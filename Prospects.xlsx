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1d6c990597bb44a788e7ec0688daa05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167" formatCode="M/d/yyyy"/>
  </x:numFmts>
  <x:fonts count="1">
    <x:font/>
  </x:fonts>
  <x:fills count="1">
    <x:fill/>
  </x:fills>
  <x:borders count="1">
    <x:border/>
  </x:borders>
  <x:cellStyleXfs count="1">
    <x:xf/>
  </x:cellStyleXfs>
  <x:cellXfs count="7">
    <x:xf numFmtId="0" fontId="0" fillId="0" borderId="0" xfId="0"/>
    <x:xf numFmtId="0" fontId="0" fillId="0" borderId="0" xfId="0"/>
    <x:xf numFmtId="0" fontId="0" fillId="0" borderId="0" xfId="0"/>
    <x:xf numFmtId="14" fontId="0" fillId="0" borderId="0" xfId="0" applyNumberFormat="1"/>
    <x:xf numFmtId="0" fontId="0" fillId="0" borderId="0" xfId="0"/>
    <x:xf numFmtId="21" fontId="0" fillId="0" borderId="0" xfId="0" applyNumberFormat="1"/>
    <x:xf numFmtId="167" fontId="0" fillId="0" borderId="0" xfId="0" applyNumberFormat="1"/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d6c990597bb44a788e7ec0688daa05d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L6591"/>
  <x:sheetViews>
    <x:sheetView tabSelected="0" workbookViewId="0" rightToLeft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cols>
    <x:col min="1" max="1" width="25.71428571" hidden="0" customWidth="1"/>
    <x:col min="2" max="2" width="25.71428571" hidden="0" customWidth="1"/>
    <x:col min="3" max="3" width="9.142857144285713" hidden="0" customWidth="1"/>
    <x:col min="4" max="4" width="25.71428571" hidden="0" customWidth="1"/>
    <x:col min="5" max="5" width="25.71428571" hidden="0" customWidth="1"/>
    <x:col min="6" max="6" width="25.71428571" hidden="0" customWidth="1"/>
    <x:col min="7" max="7" width="23.71428571" hidden="0" customWidth="1"/>
    <x:col min="8" max="8" width="18.71428571" hidden="0" customWidth="1"/>
    <x:col min="9" max="9" width="23.71428571" hidden="0" customWidth="1"/>
    <x:col min="10" max="10" width="18.71428571" hidden="0" customWidth="1"/>
    <x:col min="11" max="11" width="18.71428571" hidden="0" customWidth="1"/>
    <x:col min="12" max="12" width="15.71428571" hidden="0" customWidth="1"/>
  </x:cols>
  <x:sheetData>
    <x:row r="1">
      <x:c r="A1" t="str" s="1">
        <x:v>Contact Name</x:v>
      </x:c>
      <x:c r="B1" t="str" s="1">
        <x:v>Dealership</x:v>
      </x:c>
      <x:c r="C1" t="str" s="1">
        <x:v>Tasks (Active/Total)</x:v>
      </x:c>
      <x:c r="D1" t="str" s="1">
        <x:v>Mobile Phone</x:v>
      </x:c>
      <x:c r="E1" t="str" s="1">
        <x:v>Email</x:v>
      </x:c>
      <x:c r="F1" t="str" s="1">
        <x:v>Source</x:v>
      </x:c>
      <x:c r="G1" t="str" s="1">
        <x:v>LG</x:v>
      </x:c>
      <x:c r="H1" t="str" s="1">
        <x:v>Creation Date</x:v>
      </x:c>
      <x:c r="I1" t="str" s="1">
        <x:v>Home Consultant</x:v>
      </x:c>
      <x:c r="J1" t="str" s="1">
        <x:v>Appointment Date</x:v>
      </x:c>
      <x:c r="K1" t="str" s="1">
        <x:v>Last Contact Date</x:v>
      </x:c>
      <x:c r="L1" t="str" s="1">
        <x:v>Status</x:v>
      </x:c>
    </x:row>
    <x:row r="2">
      <x:c r="A2" t="str" s="2">
        <x:f>="Selen Martinez"</x:f>
      </x:c>
      <x:c r="B2" t="str" s="2">
        <x:v>Legacy Housing Corp. DBA Americasa</x:v>
      </x:c>
      <x:c r="C2" t="str" s="2">
        <x:v/>
      </x:c>
      <x:c r="D2" t="str" s="2">
        <x:v>4807640205</x:v>
      </x:c>
      <x:c r="E2" t="str" s="2">
        <x:v>martinezselen30@gmail.com</x:v>
      </x:c>
      <x:c r="F2" t="str" s="2">
        <x:v>Walk-in</x:v>
      </x:c>
      <x:c r="G2" s="0"/>
      <x:c r="H2" s="6">
        <x:v>46217.97268302083</x:v>
      </x:c>
      <x:c r="I2" s="0"/>
      <x:c r="J2" s="0"/>
      <x:c r="K2" s="0"/>
      <x:c r="L2" s="0"/>
    </x:row>
    <x:row r="3">
      <x:c r="A3" t="str" s="2">
        <x:f>="Alfredo Chacon"</x:f>
      </x:c>
      <x:c r="B3" t="str" s="2">
        <x:v>Legacy Housing Corp. DBA Americasa</x:v>
      </x:c>
      <x:c r="C3" t="str" s="2">
        <x:v/>
      </x:c>
      <x:c r="D3" t="str" s="2">
        <x:v>9154787581</x:v>
      </x:c>
      <x:c r="E3" t="str" s="2">
        <x:v>freddyc1214@gmail.com</x:v>
      </x:c>
      <x:c r="F3" t="str" s="2">
        <x:v>Walk-in</x:v>
      </x:c>
      <x:c r="G3" s="0"/>
      <x:c r="H3" s="6">
        <x:v>46229.78628619213</x:v>
      </x:c>
      <x:c r="I3" s="0"/>
      <x:c r="J3" s="0"/>
      <x:c r="K3" s="0"/>
      <x:c r="L3" s="0"/>
    </x:row>
    <x:row r="4">
      <x:c r="A4" t="str" s="2">
        <x:f>="Cosme Anchondo"</x:f>
      </x:c>
      <x:c r="B4" t="str" s="2">
        <x:v>Legacy Housing Corp. DBA Americasa</x:v>
      </x:c>
      <x:c r="C4" t="str" s="2">
        <x:v/>
      </x:c>
      <x:c r="D4" t="str" s="2">
        <x:v>4328189629</x:v>
      </x:c>
      <x:c r="E4" t="str" s="2">
        <x:v>cosmeanchondo2@icloud.com</x:v>
      </x:c>
      <x:c r="F4" t="str" s="2">
        <x:v>Walk-in</x:v>
      </x:c>
      <x:c r="G4" s="0"/>
      <x:c r="H4" s="6">
        <x:v>46230.763128125</x:v>
      </x:c>
      <x:c r="I4" s="0"/>
      <x:c r="J4" s="0"/>
      <x:c r="K4" s="0"/>
      <x:c r="L4" s="0"/>
    </x:row>
    <x:row r="5">
      <x:c r="A5" t="str" s="2">
        <x:f>="Frank Paradez"</x:f>
      </x:c>
      <x:c r="B5" t="str" s="2">
        <x:v>Legacy Housing Corp. DBA Americasa</x:v>
      </x:c>
      <x:c r="C5" t="str" s="2">
        <x:v/>
      </x:c>
      <x:c r="D5" t="str" s="2">
        <x:v>4323056297</x:v>
      </x:c>
      <x:c r="E5" t="str" s="2">
        <x:v>paradezfrank@gmail.com</x:v>
      </x:c>
      <x:c r="F5" t="str" s="2">
        <x:v>Walk-in</x:v>
      </x:c>
      <x:c r="G5" s="0"/>
      <x:c r="H5" s="6">
        <x:v>46231.888364039354</x:v>
      </x:c>
      <x:c r="I5" s="0"/>
      <x:c r="J5" s="0"/>
      <x:c r="K5" s="0"/>
      <x:c r="L5" s="0"/>
    </x:row>
    <x:row r="6">
      <x:c r="A6" t="str" s="2">
        <x:f>=HYPERLINK("https://rsms.futurehomex.com/lead/39053", "Laura Turner")</x:f>
      </x:c>
      <x:c r="B6" t="str" s="2">
        <x:v>Heritage Housing Marble Falls</x:v>
      </x:c>
      <x:c r="C6" t="str" s="2">
        <x:v/>
      </x:c>
      <x:c r="D6" t="str" s="2">
        <x:v>8306139824</x:v>
      </x:c>
      <x:c r="E6" t="str" s="2">
        <x:v>Shiva.vessel@gmail.com</x:v>
      </x:c>
      <x:c r="F6" t="str" s="2">
        <x:v>Walk-in</x:v>
      </x:c>
      <x:c r="G6" s="0"/>
      <x:c r="H6" s="6">
        <x:v>46242.97494355324</x:v>
      </x:c>
      <x:c r="I6" t="str" s="2">
        <x:v>Franchesca Parker</x:v>
      </x:c>
      <x:c r="J6" s="0"/>
      <x:c r="K6" s="0"/>
      <x:c r="L6" s="0"/>
    </x:row>
    <x:row r="7">
      <x:c r="A7" t="str" s="2">
        <x:f>="Elda Villarreal"</x:f>
      </x:c>
      <x:c r="B7" t="str" s="2">
        <x:v>Legacy Housing Corp. DBA Americasa</x:v>
      </x:c>
      <x:c r="C7" t="str" s="2">
        <x:v/>
      </x:c>
      <x:c r="D7" t="str" s="2">
        <x:v>4322582402</x:v>
      </x:c>
      <x:c r="E7" t="str" s="2">
        <x:v>eldavillarreal398@hotmail.com</x:v>
      </x:c>
      <x:c r="F7" t="str" s="2">
        <x:v>Walk-in</x:v>
      </x:c>
      <x:c r="G7" s="0"/>
      <x:c r="H7" s="6">
        <x:v>46246.83112581018</x:v>
      </x:c>
      <x:c r="I7" s="0"/>
      <x:c r="J7" s="0"/>
      <x:c r="K7" s="0"/>
      <x:c r="L7" s="0"/>
    </x:row>
    <x:row r="8">
      <x:c r="A8" t="str" s="2">
        <x:f>="Jacob Marcellis"</x:f>
      </x:c>
      <x:c r="B8" t="str" s="2">
        <x:v>Legacy Housing Corp. DBA Americasa</x:v>
      </x:c>
      <x:c r="C8" t="str" s="2">
        <x:v/>
      </x:c>
      <x:c r="D8" t="str" s="2">
        <x:v>4322584263</x:v>
      </x:c>
      <x:c r="E8" t="str" s="2">
        <x:v>jacobmarcellis@rocketmail.com</x:v>
      </x:c>
      <x:c r="F8" t="str" s="2">
        <x:v>Walk-in</x:v>
      </x:c>
      <x:c r="G8" s="0"/>
      <x:c r="H8" s="6">
        <x:v>46247.862982210645</x:v>
      </x:c>
      <x:c r="I8" s="0"/>
      <x:c r="J8" s="0"/>
      <x:c r="K8" s="0"/>
      <x:c r="L8" s="0"/>
    </x:row>
    <x:row r="9">
      <x:c r="A9" t="str" s="2">
        <x:f>="Karely Mendoza"</x:f>
      </x:c>
      <x:c r="B9" t="str" s="2">
        <x:v>Legacy Housing Corp. DBA Americasa</x:v>
      </x:c>
      <x:c r="C9" t="str" s="2">
        <x:v/>
      </x:c>
      <x:c r="D9" t="str" s="2">
        <x:v>5753095043</x:v>
      </x:c>
      <x:c r="E9" t="str" s="2">
        <x:v>karelyramos215@gmail.com</x:v>
      </x:c>
      <x:c r="F9" t="str" s="2">
        <x:v>Walk-in</x:v>
      </x:c>
      <x:c r="G9" s="0"/>
      <x:c r="H9" s="6">
        <x:v>46249.73938225694</x:v>
      </x:c>
      <x:c r="I9" s="0"/>
      <x:c r="J9" s="0"/>
      <x:c r="K9" s="0"/>
      <x:c r="L9" s="0"/>
    </x:row>
    <x:row r="10">
      <x:c r="A10" t="str" s="2">
        <x:f>="Heber Cigarroa"</x:f>
      </x:c>
      <x:c r="B10" t="str" s="2">
        <x:v>Legacy Housing Corp. DBA Americasa</x:v>
      </x:c>
      <x:c r="C10" t="str" s="2">
        <x:v/>
      </x:c>
      <x:c r="D10" t="str" s="2">
        <x:v>4323416334</x:v>
      </x:c>
      <x:c r="E10" t="str" s="2">
        <x:v>hebercigarroa87@gmail.com</x:v>
      </x:c>
      <x:c r="F10" t="str" s="2">
        <x:v>Walk-in</x:v>
      </x:c>
      <x:c r="G10" s="0"/>
      <x:c r="H10" s="6">
        <x:v>46253.95332569444</x:v>
      </x:c>
      <x:c r="I10" s="0"/>
      <x:c r="J10" s="0"/>
      <x:c r="K10" s="0"/>
      <x:c r="L10" s="0"/>
    </x:row>
    <x:row r="11">
      <x:c r="A11" t="str" s="2">
        <x:f>="Kimberly Offield"</x:f>
      </x:c>
      <x:c r="B11" t="str" s="2">
        <x:v>Legacy Housing Corp. DBA Americasa</x:v>
      </x:c>
      <x:c r="C11" t="str" s="2">
        <x:v/>
      </x:c>
      <x:c r="D11" t="str" s="2">
        <x:v>4323121603</x:v>
      </x:c>
      <x:c r="E11" t="str" s="2">
        <x:v>kimberlyoffield79@gmail.com</x:v>
      </x:c>
      <x:c r="F11" t="str" s="2">
        <x:v>Walk-in</x:v>
      </x:c>
      <x:c r="G11" s="0"/>
      <x:c r="H11" s="6">
        <x:v>46262.87977233796</x:v>
      </x:c>
      <x:c r="I11" s="0"/>
      <x:c r="J11" s="0"/>
      <x:c r="K11" s="0"/>
      <x:c r="L11" s="0"/>
    </x:row>
    <x:row r="12">
      <x:c r="A12" t="str" s="2">
        <x:f>="Dakota Shine"</x:f>
      </x:c>
      <x:c r="B12" t="str" s="2">
        <x:v>Legacy Housing Corp. DBA Americasa</x:v>
      </x:c>
      <x:c r="C12" t="str" s="2">
        <x:v/>
      </x:c>
      <x:c r="D12" t="str" s="2">
        <x:v>2293797525</x:v>
      </x:c>
      <x:c r="E12" t="str" s="2">
        <x:v>dakotashine74@gmail.com</x:v>
      </x:c>
      <x:c r="F12" t="str" s="2">
        <x:v>Walk-in</x:v>
      </x:c>
      <x:c r="G12" s="0"/>
      <x:c r="H12" s="6">
        <x:v>46270.67016678241</x:v>
      </x:c>
      <x:c r="I12" s="0"/>
      <x:c r="J12" s="0"/>
      <x:c r="K12" s="0"/>
      <x:c r="L12" s="0"/>
    </x:row>
    <x:row r="13">
      <x:c r="A13" t="str" s="2">
        <x:f>="Frencesca Gustav"</x:f>
      </x:c>
      <x:c r="B13" t="str" s="2">
        <x:v>Heritage Housing of Athens</x:v>
      </x:c>
      <x:c r="C13" t="str" s="2">
        <x:v/>
      </x:c>
      <x:c r="D13" t="str" s="2">
        <x:v>7062484327</x:v>
      </x:c>
      <x:c r="E13" t="str" s="2">
        <x:v>godsgirl6018@gmail.com</x:v>
      </x:c>
      <x:c r="F13" t="str" s="2">
        <x:v>Walk-in</x:v>
      </x:c>
      <x:c r="G13" s="0"/>
      <x:c r="H13" s="6">
        <x:v>46280.66783179398</x:v>
      </x:c>
      <x:c r="I13" s="0"/>
      <x:c r="J13" s="0"/>
      <x:c r="K13" s="0"/>
      <x:c r="L13" s="0"/>
    </x:row>
    <x:row r="14">
      <x:c r="A14" t="str" s="2">
        <x:f>="Emily Midla"</x:f>
      </x:c>
      <x:c r="B14" t="str" s="2">
        <x:v>Heritage Housing of Augusta</x:v>
      </x:c>
      <x:c r="C14" t="str" s="2">
        <x:v/>
      </x:c>
      <x:c r="D14" t="str" s="2">
        <x:v>7069901644</x:v>
      </x:c>
      <x:c r="E14" t="str" s="2">
        <x:v>eemidla@outlook.com</x:v>
      </x:c>
      <x:c r="F14" t="str" s="2">
        <x:v>Walk-in</x:v>
      </x:c>
      <x:c r="G14" t="str" s="2">
        <x:v>Jose Chavez</x:v>
      </x:c>
      <x:c r="H14" s="6">
        <x:v>46287.76635844907</x:v>
      </x:c>
      <x:c r="I14" s="0"/>
      <x:c r="J14" s="0"/>
      <x:c r="K14" s="0"/>
      <x:c r="L14" s="0"/>
    </x:row>
    <x:row r="15">
      <x:c r="A15" t="str" s="2">
        <x:f>="Zee Thabiti"</x:f>
      </x:c>
      <x:c r="B15" t="str" s="2">
        <x:v>Heritage Housing of Augusta</x:v>
      </x:c>
      <x:c r="C15" t="str" s="2">
        <x:v/>
      </x:c>
      <x:c r="D15" t="str" s="2">
        <x:v>6785496925</x:v>
      </x:c>
      <x:c r="E15" t="str" s="2">
        <x:v>zrl317@gmail.com</x:v>
      </x:c>
      <x:c r="F15" t="str" s="2">
        <x:v>Walk-in</x:v>
      </x:c>
      <x:c r="G15" t="str" s="2">
        <x:v>Jose Chavez</x:v>
      </x:c>
      <x:c r="H15" s="6">
        <x:v>46288.865161539354</x:v>
      </x:c>
      <x:c r="I15" s="0"/>
      <x:c r="J15" s="0"/>
      <x:c r="K15" s="0"/>
      <x:c r="L15" s="0"/>
    </x:row>
    <x:row r="16">
      <x:c r="A16" t="str" s="2">
        <x:f>="Omar Garcia"</x:f>
      </x:c>
      <x:c r="B16" t="str" s="2">
        <x:v>Pearland</x:v>
      </x:c>
      <x:c r="C16" t="str" s="2">
        <x:v/>
      </x:c>
      <x:c r="D16" t="str" s="2">
        <x:v>9366480979</x:v>
      </x:c>
      <x:c r="E16" t="str" s="2">
        <x:v>mancity17.eg@gmail.com</x:v>
      </x:c>
      <x:c r="F16" t="str" s="2">
        <x:v>Walk-in</x:v>
      </x:c>
      <x:c r="G16" s="0"/>
      <x:c r="H16" s="6">
        <x:v>46290.703105555556</x:v>
      </x:c>
      <x:c r="I16" s="0"/>
      <x:c r="J16" s="0"/>
      <x:c r="K16" s="0"/>
      <x:c r="L16" s="0"/>
    </x:row>
    <x:row r="17">
      <x:c r="A17" t="str" s="2">
        <x:f>="Jessica Padgett"</x:f>
      </x:c>
      <x:c r="B17" t="str" s="2">
        <x:v>Heritage Housing of Augusta</x:v>
      </x:c>
      <x:c r="C17" t="str" s="2">
        <x:v/>
      </x:c>
      <x:c r="D17" t="str" s="2">
        <x:v>7063051256</x:v>
      </x:c>
      <x:c r="E17" t="str" s="2">
        <x:v>jessica@gmail.com</x:v>
      </x:c>
      <x:c r="F17" t="str" s="2">
        <x:v>Walk-in</x:v>
      </x:c>
      <x:c r="G17" t="str" s="2">
        <x:v>Jose Chavez</x:v>
      </x:c>
      <x:c r="H17" s="6">
        <x:v>46295.72488862269</x:v>
      </x:c>
      <x:c r="I17" s="0"/>
      <x:c r="J17" s="0"/>
      <x:c r="K17" s="0"/>
      <x:c r="L17" s="0"/>
    </x:row>
    <x:row r="18">
      <x:c r="A18" t="str" s="2">
        <x:f>="Angie Chavez"</x:f>
      </x:c>
      <x:c r="B18" t="str" s="2">
        <x:v>Heritage Housing of Augusta</x:v>
      </x:c>
      <x:c r="C18" t="str" s="2">
        <x:v/>
      </x:c>
      <x:c r="D18" t="str" s="2">
        <x:v>7063396734</x:v>
      </x:c>
      <x:c r="E18" t="str" s="2">
        <x:v>angienixshulachavez@gmail.com</x:v>
      </x:c>
      <x:c r="F18" t="str" s="2">
        <x:v>Walk-in</x:v>
      </x:c>
      <x:c r="G18" s="0"/>
      <x:c r="H18" s="6">
        <x:v>46304.77664667824</x:v>
      </x:c>
      <x:c r="I18" s="0"/>
      <x:c r="J18" s="0"/>
      <x:c r="K18" s="0"/>
      <x:c r="L18" s="0"/>
    </x:row>
    <x:row r="19">
      <x:c r="A19" t="str" s="2">
        <x:f>="Toya M"</x:f>
      </x:c>
      <x:c r="B19" t="str" s="2">
        <x:v>Heritage Housing of Augusta</x:v>
      </x:c>
      <x:c r="C19" t="str" s="2">
        <x:v/>
      </x:c>
      <x:c r="D19" t="str" s="2">
        <x:v>7062887935</x:v>
      </x:c>
      <x:c r="E19" t="str" s="2">
        <x:v>babirl152552@gmail.com</x:v>
      </x:c>
      <x:c r="F19" t="str" s="2">
        <x:v>Walk-in</x:v>
      </x:c>
      <x:c r="G19" s="0"/>
      <x:c r="H19" s="6">
        <x:v>46307.880475543985</x:v>
      </x:c>
      <x:c r="I19" s="0"/>
      <x:c r="J19" s="0"/>
      <x:c r="K19" s="0"/>
      <x:c r="L19" s="0"/>
    </x:row>
    <x:row r="20">
      <x:c r="A20" t="str" s="2">
        <x:f>=HYPERLINK("https://rsms.futurehomex.com/lead/38235", "Ruben Jimenez")</x:f>
      </x:c>
      <x:c r="B20" t="str" s="2">
        <x:v>Heritage Housing Mt Pleasant</x:v>
      </x:c>
      <x:c r="C20" t="str" s="2">
        <x:v/>
      </x:c>
      <x:c r="D20" t="str" s="2">
        <x:v>4699265087</x:v>
      </x:c>
      <x:c r="E20" t="str" s="2">
        <x:v>4699265087</x:v>
      </x:c>
      <x:c r="F20" t="str" s="2">
        <x:v>META Marketplace</x:v>
      </x:c>
      <x:c r="G20" t="str" s="2">
        <x:v>Yarelis Torres</x:v>
      </x:c>
      <x:c r="H20" s="6">
        <x:v>46205.71516420139</x:v>
      </x:c>
      <x:c r="I20" t="str" s="2">
        <x:v>Elias Gallardo</x:v>
      </x:c>
      <x:c r="J20" s="6">
        <x:v>46206.791666666664</x:v>
      </x:c>
      <x:c r="K20" s="6">
        <x:v>46205.71516420139</x:v>
      </x:c>
      <x:c r="L20" t="str" s="2">
        <x:v>Appointment Set</x:v>
      </x:c>
    </x:row>
    <x:row r="21">
      <x:c r="A21" t="str" s="2">
        <x:f>=HYPERLINK("https://rsms.futurehomex.com/lead/38246", "Janeth Mardtinez")</x:f>
      </x:c>
      <x:c r="B21" t="str" s="2">
        <x:v>Heritage Housing Mt Pleasant</x:v>
      </x:c>
      <x:c r="C21" t="str" s="2">
        <x:v/>
      </x:c>
      <x:c r="D21" t="str" s="2">
        <x:v>8702796399</x:v>
      </x:c>
      <x:c r="E21" t="str" s="2">
        <x:v>8702796399</x:v>
      </x:c>
      <x:c r="F21" t="str" s="2">
        <x:v>META Marketplace</x:v>
      </x:c>
      <x:c r="G21" t="str" s="2">
        <x:v>Yarelis Torres</x:v>
      </x:c>
      <x:c r="H21" s="6">
        <x:v>46205.92436582176</x:v>
      </x:c>
      <x:c r="I21" t="str" s="2">
        <x:v>Elias Gallardo</x:v>
      </x:c>
      <x:c r="J21" s="6">
        <x:v>46209.875</x:v>
      </x:c>
      <x:c r="K21" s="6">
        <x:v>46205.92436582176</x:v>
      </x:c>
      <x:c r="L21" t="str" s="2">
        <x:v>Appointment Set</x:v>
      </x:c>
    </x:row>
    <x:row r="22">
      <x:c r="A22" t="str" s="2">
        <x:f>=HYPERLINK("https://rsms.futurehomex.com/lead/38989", "Virginia Rosas")</x:f>
      </x:c>
      <x:c r="B22" t="str" s="2">
        <x:v>Heritage Housing Marble Falls</x:v>
      </x:c>
      <x:c r="C22" t="str" s="2">
        <x:v/>
      </x:c>
      <x:c r="D22" t="str" s="2">
        <x:v>2105377265</x:v>
      </x:c>
      <x:c r="E22" t="str" s="2">
        <x:v>virginiarosas1407@yahoo.com</x:v>
      </x:c>
      <x:c r="F22" t="str" s="2">
        <x:v>Financing Form</x:v>
      </x:c>
      <x:c r="G22" t="str" s="2">
        <x:v>Garrett Riedesel</x:v>
      </x:c>
      <x:c r="H22" s="6">
        <x:v>46206.602112534725</x:v>
      </x:c>
      <x:c r="I22" t="str" s="2">
        <x:v>Garrett Riedesel</x:v>
      </x:c>
      <x:c r="J22" s="6">
        <x:v>46242.75</x:v>
      </x:c>
      <x:c r="K22" s="6">
        <x:v>46301.62007063657</x:v>
      </x:c>
      <x:c r="L22" t="str" s="2">
        <x:v>Appointment Set</x:v>
      </x:c>
    </x:row>
    <x:row r="23">
      <x:c r="A23" t="str" s="2">
        <x:f>=HYPERLINK("https://rsms.futurehomex.com/lead/39582", "William Tabor")</x:f>
      </x:c>
      <x:c r="B23" t="str" s="2">
        <x:v>Heritage Housing of Athens</x:v>
      </x:c>
      <x:c r="C23" t="str" s="2">
        <x:v>0/1</x:v>
      </x:c>
      <x:c r="D23" t="str" s="2">
        <x:v>7622170483</x:v>
      </x:c>
      <x:c r="E23" t="str" s="2">
        <x:v>williamtabor316@gmail.com</x:v>
      </x:c>
      <x:c r="F23" t="str" s="2">
        <x:v>Website</x:v>
      </x:c>
      <x:c r="G23" t="str" s="2">
        <x:v>Nathan Bishop</x:v>
      </x:c>
      <x:c r="H23" s="6">
        <x:v>46208.72517392361</x:v>
      </x:c>
      <x:c r="I23" t="str" s="2">
        <x:v>Nathan Bishop</x:v>
      </x:c>
      <x:c r="J23" s="6">
        <x:v>46277.666666666664</x:v>
      </x:c>
      <x:c r="K23" s="6">
        <x:v>46288.6626221875</x:v>
      </x:c>
      <x:c r="L23" t="str" s="2">
        <x:v>Appointment Set</x:v>
      </x:c>
    </x:row>
    <x:row r="24">
      <x:c r="A24" t="str" s="2">
        <x:f>=HYPERLINK("https://rsms.futurehomex.com/lead/38297", "Cynthia Howk")</x:f>
      </x:c>
      <x:c r="B24" t="str" s="2">
        <x:v>Heritage Housing Mt Pleasant</x:v>
      </x:c>
      <x:c r="C24" t="str" s="2">
        <x:v/>
      </x:c>
      <x:c r="D24" t="str" s="2">
        <x:v>9032752526</x:v>
      </x:c>
      <x:c r="E24" t="str" s="2">
        <x:v>9032752526</x:v>
      </x:c>
      <x:c r="F24" t="str" s="2">
        <x:v>META Marketplace</x:v>
      </x:c>
      <x:c r="G24" t="str" s="2">
        <x:v>Yarelis Torres</x:v>
      </x:c>
      <x:c r="H24" s="6">
        <x:v>46209.65193915509</x:v>
      </x:c>
      <x:c r="I24" t="str" s="2">
        <x:v>Elias Gallardo</x:v>
      </x:c>
      <x:c r="J24" s="6">
        <x:v>46211.875</x:v>
      </x:c>
      <x:c r="K24" s="6">
        <x:v>46209.95759201389</x:v>
      </x:c>
      <x:c r="L24" t="str" s="2">
        <x:v>Appointment Set</x:v>
      </x:c>
    </x:row>
    <x:row r="25">
      <x:c r="A25" t="str" s="2">
        <x:f>=HYPERLINK("https://rsms.futurehomex.com/lead/38363", "Elijah Bolton")</x:f>
      </x:c>
      <x:c r="B25" t="str" s="2">
        <x:v>Heritage Housing Mt Pleasant</x:v>
      </x:c>
      <x:c r="C25" t="str" s="2">
        <x:v/>
      </x:c>
      <x:c r="D25" t="str" s="2">
        <x:v>9039461155</x:v>
      </x:c>
      <x:c r="E25" t="str" s="2">
        <x:v>9039461155</x:v>
      </x:c>
      <x:c r="F25" t="str" s="2">
        <x:v>META Marketplace</x:v>
      </x:c>
      <x:c r="G25" t="str" s="2">
        <x:v>Yarelis Torres</x:v>
      </x:c>
      <x:c r="H25" s="6">
        <x:v>46212.64175559028</x:v>
      </x:c>
      <x:c r="I25" t="str" s="2">
        <x:v>Elias Gallardo</x:v>
      </x:c>
      <x:c r="J25" s="6">
        <x:v>46214.875</x:v>
      </x:c>
      <x:c r="K25" s="6">
        <x:v>46212.64175559028</x:v>
      </x:c>
      <x:c r="L25" t="str" s="2">
        <x:v>Appointment Set</x:v>
      </x:c>
    </x:row>
    <x:row r="26">
      <x:c r="A26" t="str" s="2">
        <x:f>=HYPERLINK("https://rsms.futurehomex.com/lead/38368", "Yesenia Almaraz")</x:f>
      </x:c>
      <x:c r="B26" t="str" s="2">
        <x:v>Heritage Housing Mt Pleasant</x:v>
      </x:c>
      <x:c r="C26" t="str" s="2">
        <x:v/>
      </x:c>
      <x:c r="D26" t="str" s="2">
        <x:v>9033995129</x:v>
      </x:c>
      <x:c r="E26" t="str" s="2">
        <x:v>9033995129</x:v>
      </x:c>
      <x:c r="F26" t="str" s="2">
        <x:v>META Marketplace</x:v>
      </x:c>
      <x:c r="G26" t="str" s="2">
        <x:v>Yarelis Torres</x:v>
      </x:c>
      <x:c r="H26" s="6">
        <x:v>46212.70288819444</x:v>
      </x:c>
      <x:c r="I26" t="str" s="2">
        <x:v>Elias Gallardo</x:v>
      </x:c>
      <x:c r="J26" s="6">
        <x:v>46214.75</x:v>
      </x:c>
      <x:c r="K26" s="6">
        <x:v>46212.70288819444</x:v>
      </x:c>
      <x:c r="L26" t="str" s="2">
        <x:v>Appointment Set</x:v>
      </x:c>
    </x:row>
    <x:row r="27">
      <x:c r="A27" t="str" s="2">
        <x:f>=HYPERLINK("https://rsms.futurehomex.com/lead/38410", "Elsa Paredis")</x:f>
      </x:c>
      <x:c r="B27" t="str" s="2">
        <x:v>Heritage Housing of Tulsa</x:v>
      </x:c>
      <x:c r="C27" t="str" s="2">
        <x:v/>
      </x:c>
      <x:c r="D27" t="str" s="2">
        <x:v>9188130564</x:v>
      </x:c>
      <x:c r="E27" t="str" s="2">
        <x:v>9188130564</x:v>
      </x:c>
      <x:c r="F27" t="str" s="2">
        <x:v>Walk-in</x:v>
      </x:c>
      <x:c r="G27" t="str" s="2">
        <x:v>Jenna Fransisco</x:v>
      </x:c>
      <x:c r="H27" s="6">
        <x:v>46214.61098773148</x:v>
      </x:c>
      <x:c r="I27" t="str" s="2">
        <x:v>Derek Searcy</x:v>
      </x:c>
      <x:c r="J27" s="6">
        <x:v>46214.666666666664</x:v>
      </x:c>
      <x:c r="K27" s="6">
        <x:v>46214.61098773148</x:v>
      </x:c>
      <x:c r="L27" t="str" s="2">
        <x:v>Appointment Set</x:v>
      </x:c>
    </x:row>
    <x:row r="28">
      <x:c r="A28" t="str" s="2">
        <x:f>=HYPERLINK("https://rsms.futurehomex.com/lead/38473", "Rafa Estrada")</x:f>
      </x:c>
      <x:c r="B28" t="str" s="2">
        <x:v>Heritage Housing of Athens</x:v>
      </x:c>
      <x:c r="C28" t="str" s="2">
        <x:v>0/1</x:v>
      </x:c>
      <x:c r="D28" t="str" s="2">
        <x:v>6786898435</x:v>
      </x:c>
      <x:c r="E28" t="str" s="2">
        <x:v>6786898435</x:v>
      </x:c>
      <x:c r="F28" t="str" s="2">
        <x:v>Meta Marketplace</x:v>
      </x:c>
      <x:c r="G28" t="str" s="2">
        <x:v>Nathan Bishop</x:v>
      </x:c>
      <x:c r="H28" s="6">
        <x:v>46216.82818885417</x:v>
      </x:c>
      <x:c r="I28" t="str" s="2">
        <x:v>Nathan Bishop</x:v>
      </x:c>
      <x:c r="J28" s="6">
        <x:v>46277.833333333336</x:v>
      </x:c>
      <x:c r="K28" s="6">
        <x:v>46289.851746099535</x:v>
      </x:c>
      <x:c r="L28" t="str" s="2">
        <x:v>Appointment Set</x:v>
      </x:c>
    </x:row>
    <x:row r="29">
      <x:c r="A29" t="str" s="2">
        <x:f>=HYPERLINK("https://rsms.futurehomex.com/lead/38548", "Tami Sanchez")</x:f>
      </x:c>
      <x:c r="B29" t="str" s="2">
        <x:v>Heritage Housing Mt Pleasant</x:v>
      </x:c>
      <x:c r="C29" t="str" s="2">
        <x:v/>
      </x:c>
      <x:c r="D29" t="str" s="2" xml:space="preserve">
        <x:v> 9033663814    </x:v>
      </x:c>
      <x:c r="E29" t="str" s="2">
        <x:v>tamisanchez946@gmail.com</x:v>
      </x:c>
      <x:c r="F29" t="str" s="2">
        <x:v>Meta Ads - Forms</x:v>
      </x:c>
      <x:c r="G29" t="str" s="2">
        <x:v>Yarelis Torres</x:v>
      </x:c>
      <x:c r="H29" s="6">
        <x:v>46218.87535181713</x:v>
      </x:c>
      <x:c r="I29" t="str" s="2">
        <x:v>Elias Gallardo</x:v>
      </x:c>
      <x:c r="J29" s="6">
        <x:v>46219.75</x:v>
      </x:c>
      <x:c r="K29" s="6">
        <x:v>46218.89021863426</x:v>
      </x:c>
      <x:c r="L29" t="str" s="2">
        <x:v>Appointment Set</x:v>
      </x:c>
    </x:row>
    <x:row r="30">
      <x:c r="A30" t="str" s="2">
        <x:f>=HYPERLINK("https://rsms.futurehomex.com/lead/38549", "Jean &amp; Larry Turner")</x:f>
      </x:c>
      <x:c r="B30" t="str" s="2">
        <x:v>Heritage Housing Mt Pleasant</x:v>
      </x:c>
      <x:c r="C30" t="str" s="2">
        <x:v/>
      </x:c>
      <x:c r="D30" t="str" s="2">
        <x:v>9032610995</x:v>
      </x:c>
      <x:c r="E30" t="str" s="2">
        <x:v>9032610995</x:v>
      </x:c>
      <x:c r="F30" t="str" s="2">
        <x:v>META Marketplace</x:v>
      </x:c>
      <x:c r="G30" t="str" s="2">
        <x:v>Yarelis Torres</x:v>
      </x:c>
      <x:c r="H30" s="6">
        <x:v>46218.91313579861</x:v>
      </x:c>
      <x:c r="I30" t="str" s="2">
        <x:v>Elias Gallardo</x:v>
      </x:c>
      <x:c r="J30" s="6">
        <x:v>46221.833333333336</x:v>
      </x:c>
      <x:c r="K30" s="6">
        <x:v>46218.91313579861</x:v>
      </x:c>
      <x:c r="L30" t="str" s="2">
        <x:v>Appointment Set</x:v>
      </x:c>
    </x:row>
    <x:row r="31">
      <x:c r="A31" t="str" s="2">
        <x:f>=HYPERLINK("https://rsms.futurehomex.com/lead/38643", "Jamee Kemp")</x:f>
      </x:c>
      <x:c r="B31" t="str" s="2">
        <x:v>Heritage Housing of Tulsa</x:v>
      </x:c>
      <x:c r="C31" t="str" s="2">
        <x:v/>
      </x:c>
      <x:c r="D31" t="str" s="2">
        <x:v>8166058050</x:v>
      </x:c>
      <x:c r="E31" t="str" s="2">
        <x:v>jaymeekemp@yahoo.com</x:v>
      </x:c>
      <x:c r="F31" t="str" s="2">
        <x:v>Meta Ads - Forms</x:v>
      </x:c>
      <x:c r="G31" t="str" s="2">
        <x:v>Jenna Fransisco</x:v>
      </x:c>
      <x:c r="H31" s="6">
        <x:v>46223.80891704861</x:v>
      </x:c>
      <x:c r="I31" t="str" s="2">
        <x:v>Derek Searcy</x:v>
      </x:c>
      <x:c r="J31" s="6">
        <x:v>46228.666666666664</x:v>
      </x:c>
      <x:c r="K31" s="6">
        <x:v>46223.863889699074</x:v>
      </x:c>
      <x:c r="L31" t="str" s="2">
        <x:v>Appointment Set</x:v>
      </x:c>
    </x:row>
    <x:row r="32">
      <x:c r="A32" t="str" s="2">
        <x:f>=HYPERLINK("https://rsms.futurehomex.com/lead/38657", "Rhonda Peterson")</x:f>
      </x:c>
      <x:c r="B32" t="str" s="2">
        <x:v>Heritage Housing of Albany</x:v>
      </x:c>
      <x:c r="C32" t="str" s="2">
        <x:v/>
      </x:c>
      <x:c r="D32" t="str" s="2">
        <x:v>6782093632</x:v>
      </x:c>
      <x:c r="E32" t="str" s="2">
        <x:v>6782093632</x:v>
      </x:c>
      <x:c r="F32" t="str" s="2">
        <x:v>Facebook Messenger</x:v>
      </x:c>
      <x:c r="G32" t="str" s="2">
        <x:v>Yanet Alvarez</x:v>
      </x:c>
      <x:c r="H32" s="6">
        <x:v>46224.740775115744</x:v>
      </x:c>
      <x:c r="I32" t="str" s="2">
        <x:v>Justin Johnson</x:v>
      </x:c>
      <x:c r="J32" s="6">
        <x:v>46235.625</x:v>
      </x:c>
      <x:c r="K32" s="6">
        <x:v>46224.740775115744</x:v>
      </x:c>
      <x:c r="L32" t="str" s="2">
        <x:v>Appointment Set</x:v>
      </x:c>
    </x:row>
    <x:row r="33">
      <x:c r="A33" t="str" s="2">
        <x:f>=HYPERLINK("https://rsms.futurehomex.com/lead/38667", "Dakotah Nygaard")</x:f>
      </x:c>
      <x:c r="B33" t="str" s="2">
        <x:v>Heritage Housing of Oklahoma City</x:v>
      </x:c>
      <x:c r="C33" t="str" s="2">
        <x:v/>
      </x:c>
      <x:c r="D33" t="str" s="2">
        <x:v>4054441702</x:v>
      </x:c>
      <x:c r="E33" t="str" s="2">
        <x:v>coltscomplete@gmail.com</x:v>
      </x:c>
      <x:c r="F33" t="str" s="2">
        <x:v>HH - Oklahoma City</x:v>
      </x:c>
      <x:c r="G33" t="str" s="2">
        <x:v>Trey Rixleben</x:v>
      </x:c>
      <x:c r="H33" s="6">
        <x:v>46224.900832604166</x:v>
      </x:c>
      <x:c r="I33" t="str" s="2">
        <x:v>Trey Rixleben</x:v>
      </x:c>
      <x:c r="J33" s="6">
        <x:v>46228.208333333336</x:v>
      </x:c>
      <x:c r="K33" s="6">
        <x:v>46224.900832604166</x:v>
      </x:c>
      <x:c r="L33" t="str" s="2">
        <x:v>Appointment Set</x:v>
      </x:c>
    </x:row>
    <x:row r="34">
      <x:c r="A34" t="str" s="2">
        <x:f>=HYPERLINK("https://rsms.futurehomex.com/lead/38713", "leroy peters")</x:f>
      </x:c>
      <x:c r="B34" t="str" s="2">
        <x:v>Heritage Housing of Tulsa</x:v>
      </x:c>
      <x:c r="C34" t="str" s="2">
        <x:v/>
      </x:c>
      <x:c r="D34" t="str" s="2">
        <x:v>9189008602</x:v>
      </x:c>
      <x:c r="E34" t="str" s="2">
        <x:v>leroypeters7272@gmail.com</x:v>
      </x:c>
      <x:c r="F34" t="str" s="2">
        <x:v>Meta Ads - Forms</x:v>
      </x:c>
      <x:c r="G34" t="str" s="2">
        <x:v>Jenna Fransisco</x:v>
      </x:c>
      <x:c r="H34" s="6">
        <x:v>46225.70071577546</x:v>
      </x:c>
      <x:c r="I34" t="str" s="2">
        <x:v>Derek Searcy</x:v>
      </x:c>
      <x:c r="J34" s="6">
        <x:v>46228.625</x:v>
      </x:c>
      <x:c r="K34" s="6">
        <x:v>46226.88257271991</x:v>
      </x:c>
      <x:c r="L34" t="str" s="2">
        <x:v>Appointment Set</x:v>
      </x:c>
    </x:row>
    <x:row r="35">
      <x:c r="A35" t="str" s="2">
        <x:f>=HYPERLINK("https://rsms.futurehomex.com/lead/38716", "Terisa Kirschke")</x:f>
      </x:c>
      <x:c r="B35" t="str" s="2">
        <x:v>Heritage Housing Mt Pleasant</x:v>
      </x:c>
      <x:c r="C35" t="str" s="2">
        <x:v/>
      </x:c>
      <x:c r="D35" t="str" s="2">
        <x:v>9034700276</x:v>
      </x:c>
      <x:c r="E35" t="str" s="2">
        <x:v>terisa.kirschke11@gmail.com</x:v>
      </x:c>
      <x:c r="F35" t="str" s="2">
        <x:v>Meta Ads - Forms</x:v>
      </x:c>
      <x:c r="G35" t="str" s="2">
        <x:v>Yarelis Torres</x:v>
      </x:c>
      <x:c r="H35" s="6">
        <x:v>46226.93131547454</x:v>
      </x:c>
      <x:c r="I35" t="str" s="2">
        <x:v>Elias Gallardo</x:v>
      </x:c>
      <x:c r="J35" s="6">
        <x:v>46228.666666666664</x:v>
      </x:c>
      <x:c r="K35" s="6">
        <x:v>46266.96160011574</x:v>
      </x:c>
      <x:c r="L35" t="str" s="2">
        <x:v>Appointment Set</x:v>
      </x:c>
    </x:row>
    <x:row r="36">
      <x:c r="A36" t="str" s="2">
        <x:f>=HYPERLINK("https://rsms.futurehomex.com/lead/38981", "Antoine Stewart")</x:f>
      </x:c>
      <x:c r="B36" t="str" s="2">
        <x:v>Heritage Housing of Athens</x:v>
      </x:c>
      <x:c r="C36" t="str" s="2">
        <x:v/>
      </x:c>
      <x:c r="D36" t="str" s="2">
        <x:v>7627721574</x:v>
      </x:c>
      <x:c r="E36" t="str" s="2">
        <x:v>Antstewart73@gmail.com</x:v>
      </x:c>
      <x:c r="F36" t="str" s="2">
        <x:v>Landing_BPM</x:v>
      </x:c>
      <x:c r="G36" t="str" s="2">
        <x:v>Nathan Bishop</x:v>
      </x:c>
      <x:c r="H36" s="6">
        <x:v>46236.428041238425</x:v>
      </x:c>
      <x:c r="I36" t="str" s="2">
        <x:v>Faye Lively</x:v>
      </x:c>
      <x:c r="J36" s="0"/>
      <x:c r="K36" s="6">
        <x:v>46289.741475</x:v>
      </x:c>
      <x:c r="L36" t="str" s="2">
        <x:v>Appointment Set</x:v>
      </x:c>
    </x:row>
    <x:row r="37">
      <x:c r="A37" t="str" s="2">
        <x:f>=HYPERLINK("https://rsms.futurehomex.com/lead/38973", "Antoine Stewart")</x:f>
      </x:c>
      <x:c r="B37" t="str" s="2">
        <x:v>Heritage Housing of Athens</x:v>
      </x:c>
      <x:c r="C37" t="str" s="2">
        <x:v/>
      </x:c>
      <x:c r="D37" t="str" s="2">
        <x:v>7627721574</x:v>
      </x:c>
      <x:c r="E37" t="str" s="2">
        <x:v>Antstewart73@gmail.com</x:v>
      </x:c>
      <x:c r="F37" t="str" s="2">
        <x:v>Landing_BPM</x:v>
      </x:c>
      <x:c r="G37" t="str" s="2">
        <x:v>Nathan Bishop</x:v>
      </x:c>
      <x:c r="H37" s="6">
        <x:v>46236.428041238425</x:v>
      </x:c>
      <x:c r="I37" t="str" s="2">
        <x:v>Nathan Bishop</x:v>
      </x:c>
      <x:c r="J37" s="0"/>
      <x:c r="K37" s="6">
        <x:v>46289.741475</x:v>
      </x:c>
      <x:c r="L37" t="str" s="2">
        <x:v>Appointment Set</x:v>
      </x:c>
    </x:row>
    <x:row r="38">
      <x:c r="A38" t="str" s="2">
        <x:f>=HYPERLINK("https://rsms.futurehomex.com/lead/38912", "Emily Coats")</x:f>
      </x:c>
      <x:c r="B38" t="str" s="2">
        <x:v>Heritage Housing of Tulsa</x:v>
      </x:c>
      <x:c r="C38" t="str" s="2">
        <x:v/>
      </x:c>
      <x:c r="D38" t="str" s="2">
        <x:v>8703628197</x:v>
      </x:c>
      <x:c r="E38" t="str" s="2">
        <x:v>emcoats98@gmail.com</x:v>
      </x:c>
      <x:c r="F38" t="str" s="2">
        <x:v>Landing_BPM</x:v>
      </x:c>
      <x:c r="G38" t="str" s="2">
        <x:v>Jenna Fransisco</x:v>
      </x:c>
      <x:c r="H38" s="6">
        <x:v>46237.052302048614</x:v>
      </x:c>
      <x:c r="I38" t="str" s="2">
        <x:v>Jenna Fransisco</x:v>
      </x:c>
      <x:c r="J38" s="6">
        <x:v>46240.75</x:v>
      </x:c>
      <x:c r="K38" s="6">
        <x:v>46237</x:v>
      </x:c>
      <x:c r="L38" t="str" s="2">
        <x:v>Appointment Set</x:v>
      </x:c>
    </x:row>
    <x:row r="39">
      <x:c r="A39" t="str" s="2">
        <x:f>=HYPERLINK("https://rsms.futurehomex.com/lead/38929", "Di'mondre Harper")</x:f>
      </x:c>
      <x:c r="B39" t="str" s="2">
        <x:v>Heritage Housing Mt Pleasant</x:v>
      </x:c>
      <x:c r="C39" t="str" s="2">
        <x:v/>
      </x:c>
      <x:c r="D39" t="str" s="2">
        <x:v>9032854780</x:v>
      </x:c>
      <x:c r="E39" t="str" s="2">
        <x:v>9032854780</x:v>
      </x:c>
      <x:c r="F39" t="str" s="2">
        <x:v>Office Hot Calls</x:v>
      </x:c>
      <x:c r="G39" t="str" s="2">
        <x:v>Yarelis Torres</x:v>
      </x:c>
      <x:c r="H39" s="6">
        <x:v>46237.98651994213</x:v>
      </x:c>
      <x:c r="I39" t="str" s="2">
        <x:v>Elias Gallardo</x:v>
      </x:c>
      <x:c r="J39" s="6">
        <x:v>46237.875</x:v>
      </x:c>
      <x:c r="K39" s="6">
        <x:v>46237.98651994213</x:v>
      </x:c>
      <x:c r="L39" t="str" s="2">
        <x:v>Appointment Set</x:v>
      </x:c>
    </x:row>
    <x:row r="40">
      <x:c r="A40" t="str" s="2">
        <x:f>=HYPERLINK("https://rsms.futurehomex.com/lead/38961", "Tarkesha Taylor")</x:f>
      </x:c>
      <x:c r="B40" t="str" s="2">
        <x:v>Heritage Housing of Tulsa</x:v>
      </x:c>
      <x:c r="C40" t="str" s="2">
        <x:v/>
      </x:c>
      <x:c r="D40" t="str" s="2">
        <x:v>4642215819</x:v>
      </x:c>
      <x:c r="E40" t="str" s="2">
        <x:v>tarkeshat400@gmail.com</x:v>
      </x:c>
      <x:c r="F40" t="str" s="2">
        <x:v>Landing_BPM</x:v>
      </x:c>
      <x:c r="G40" t="str" s="2">
        <x:v>Jenna Fransisco</x:v>
      </x:c>
      <x:c r="H40" s="6">
        <x:v>46239.07124938657</x:v>
      </x:c>
      <x:c r="I40" t="str" s="2">
        <x:v>Jenna Fransisco</x:v>
      </x:c>
      <x:c r="J40" s="6">
        <x:v>46240.75</x:v>
      </x:c>
      <x:c r="K40" s="6">
        <x:v>46239</x:v>
      </x:c>
      <x:c r="L40" t="str" s="2">
        <x:v>Appointment Set</x:v>
      </x:c>
    </x:row>
    <x:row r="41">
      <x:c r="A41" t="str" s="2">
        <x:f>=HYPERLINK("https://rsms.futurehomex.com/lead/39007", "Justin Scott")</x:f>
      </x:c>
      <x:c r="B41" t="str" s="2">
        <x:v>Heritage Housing Marble Falls</x:v>
      </x:c>
      <x:c r="C41" t="str" s="2">
        <x:v/>
      </x:c>
      <x:c r="D41" t="str" s="2">
        <x:v>3252489930</x:v>
      </x:c>
      <x:c r="E41" t="str" s="2">
        <x:v>Justinscott2559@gmail.com</x:v>
      </x:c>
      <x:c r="F41" t="str" s="2">
        <x:v>Flyers</x:v>
      </x:c>
      <x:c r="G41" t="str" s="2">
        <x:v>Stephen Sanders</x:v>
      </x:c>
      <x:c r="H41" s="6">
        <x:v>46241.85406979167</x:v>
      </x:c>
      <x:c r="I41" t="str" s="2">
        <x:v>Stephen Sanders</x:v>
      </x:c>
      <x:c r="J41" s="6">
        <x:v>46276.791666666664</x:v>
      </x:c>
      <x:c r="K41" s="6">
        <x:v>46254.81917322917</x:v>
      </x:c>
      <x:c r="L41" t="str" s="2">
        <x:v>Appointment Set</x:v>
      </x:c>
    </x:row>
    <x:row r="42">
      <x:c r="A42" t="str" s="2">
        <x:f>=HYPERLINK("https://rsms.futurehomex.com/lead/39095", "Christine Shaddox")</x:f>
      </x:c>
      <x:c r="B42" t="str" s="2">
        <x:v>Heritage Housing of Tulsa</x:v>
      </x:c>
      <x:c r="C42" t="str" s="2">
        <x:v>0/1</x:v>
      </x:c>
      <x:c r="D42" t="str" s="2">
        <x:v>9189470070</x:v>
      </x:c>
      <x:c r="E42" t="str" s="2">
        <x:v>odeco2@yahoo.com</x:v>
      </x:c>
      <x:c r="F42" t="str" s="2">
        <x:v>Landing_BPM</x:v>
      </x:c>
      <x:c r="G42" t="str" s="2">
        <x:v>Jenna Fransisco</x:v>
      </x:c>
      <x:c r="H42" s="6">
        <x:v>46244.62499996528</x:v>
      </x:c>
      <x:c r="I42" t="str" s="2">
        <x:v>Derek Searcy</x:v>
      </x:c>
      <x:c r="J42" s="6">
        <x:v>46249.708333333336</x:v>
      </x:c>
      <x:c r="K42" s="6">
        <x:v>46246.59808684028</x:v>
      </x:c>
      <x:c r="L42" t="str" s="2">
        <x:v>Appointment Set</x:v>
      </x:c>
    </x:row>
    <x:row r="43">
      <x:c r="A43" t="str" s="2">
        <x:f>=HYPERLINK("https://rsms.futurehomex.com/lead/39084", "Deborah Ryan")</x:f>
      </x:c>
      <x:c r="B43" t="str" s="2">
        <x:v>Heritage Housing Marble Falls</x:v>
      </x:c>
      <x:c r="C43" t="str" s="2">
        <x:v/>
      </x:c>
      <x:c r="D43" t="str" s="2">
        <x:v>5124614308</x:v>
      </x:c>
      <x:c r="E43" t="str" s="2">
        <x:v>5124614308</x:v>
      </x:c>
      <x:c r="F43" t="str" s="2">
        <x:v>Website</x:v>
      </x:c>
      <x:c r="G43" t="str" s="2">
        <x:v>Garrett Riedesel</x:v>
      </x:c>
      <x:c r="H43" s="6">
        <x:v>46245.79364991898</x:v>
      </x:c>
      <x:c r="I43" t="str" s="2">
        <x:v>Garrett Riedesel</x:v>
      </x:c>
      <x:c r="J43" s="6">
        <x:v>46249.604166666664</x:v>
      </x:c>
      <x:c r="K43" s="6">
        <x:v>46301.620769409725</x:v>
      </x:c>
      <x:c r="L43" t="str" s="2">
        <x:v>Appointment Set</x:v>
      </x:c>
    </x:row>
    <x:row r="44">
      <x:c r="A44" t="str" s="2">
        <x:f>=HYPERLINK("https://rsms.futurehomex.com/lead/40360", "Leslie Walker")</x:f>
      </x:c>
      <x:c r="B44" t="str" s="2">
        <x:v>Heritage Housing Marble Falls</x:v>
      </x:c>
      <x:c r="C44" t="str" s="2">
        <x:v>1/1</x:v>
      </x:c>
      <x:c r="D44" t="str" s="2">
        <x:v>3612544828</x:v>
      </x:c>
      <x:c r="E44" t="str" s="2">
        <x:v>3612544828</x:v>
      </x:c>
      <x:c r="F44" t="str" s="2">
        <x:v>Referrals</x:v>
      </x:c>
      <x:c r="G44" t="str" s="2">
        <x:v>Garrett Riedesel</x:v>
      </x:c>
      <x:c r="H44" s="6">
        <x:v>46248.74082334491</x:v>
      </x:c>
      <x:c r="I44" t="str" s="2">
        <x:v>Garrett Riedesel</x:v>
      </x:c>
      <x:c r="J44" s="6">
        <x:v>46296.833333333336</x:v>
      </x:c>
      <x:c r="K44" s="6">
        <x:v>46301.621777280096</x:v>
      </x:c>
      <x:c r="L44" t="str" s="2">
        <x:v>Appointment Set</x:v>
      </x:c>
    </x:row>
    <x:row r="45">
      <x:c r="A45" t="str" s="2">
        <x:f>=HYPERLINK("https://rsms.futurehomex.com/lead/39163", "JASMINE WATTS")</x:f>
      </x:c>
      <x:c r="B45" t="str" s="2">
        <x:v>Heritage Housing Mt Pleasant</x:v>
      </x:c>
      <x:c r="C45" t="str" s="2">
        <x:v/>
      </x:c>
      <x:c r="D45" t="str" s="2">
        <x:v>4303410367</x:v>
      </x:c>
      <x:c r="E45" t="str" s="2">
        <x:v>4303410367</x:v>
      </x:c>
      <x:c r="F45" t="str" s="2">
        <x:v>Meta Marketplace</x:v>
      </x:c>
      <x:c r="G45" t="str" s="2">
        <x:v>Yarelis Torres</x:v>
      </x:c>
      <x:c r="H45" s="6">
        <x:v>46248.966864699076</x:v>
      </x:c>
      <x:c r="I45" t="str" s="2">
        <x:v>Elias Gallardo</x:v>
      </x:c>
      <x:c r="J45" s="6">
        <x:v>46249.854166666664</x:v>
      </x:c>
      <x:c r="K45" s="6">
        <x:v>46248</x:v>
      </x:c>
      <x:c r="L45" t="str" s="2">
        <x:v>Appointment Set</x:v>
      </x:c>
    </x:row>
    <x:row r="46">
      <x:c r="A46" t="str" s="2">
        <x:f>=HYPERLINK("https://rsms.futurehomex.com/lead/39164", "Jose Perez")</x:f>
      </x:c>
      <x:c r="B46" t="str" s="2">
        <x:v>Heritage Housing Mt Pleasant</x:v>
      </x:c>
      <x:c r="C46" t="str" s="2">
        <x:v/>
      </x:c>
      <x:c r="D46" t="str" s="2">
        <x:v>9035787674</x:v>
      </x:c>
      <x:c r="E46" t="str" s="2">
        <x:v>9035787674</x:v>
      </x:c>
      <x:c r="F46" t="str" s="2">
        <x:v>Meta Marketplace</x:v>
      </x:c>
      <x:c r="G46" t="str" s="2">
        <x:v>Yarelis Torres</x:v>
      </x:c>
      <x:c r="H46" s="6">
        <x:v>46248.97017037037</x:v>
      </x:c>
      <x:c r="I46" t="str" s="2">
        <x:v>Elias Gallardo</x:v>
      </x:c>
      <x:c r="J46" s="6">
        <x:v>46249.6875</x:v>
      </x:c>
      <x:c r="K46" s="6">
        <x:v>46248.97017037037</x:v>
      </x:c>
      <x:c r="L46" t="str" s="2">
        <x:v>Appointment Set</x:v>
      </x:c>
    </x:row>
    <x:row r="47">
      <x:c r="A47" t="str" s="2">
        <x:f>=HYPERLINK("https://rsms.futurehomex.com/lead/39254", "Perry Wilson")</x:f>
      </x:c>
      <x:c r="B47" t="str" s="2">
        <x:v>Heritage Housing of Athens</x:v>
      </x:c>
      <x:c r="C47" t="str" s="2">
        <x:v>1/1</x:v>
      </x:c>
      <x:c r="D47" t="str" s="2">
        <x:v>9432599216</x:v>
      </x:c>
      <x:c r="E47" t="str" s="2">
        <x:v>9432599216</x:v>
      </x:c>
      <x:c r="F47" t="str" s="2">
        <x:v>Facebook Messenger</x:v>
      </x:c>
      <x:c r="G47" t="str" s="2">
        <x:v>Nathan Bishop</x:v>
      </x:c>
      <x:c r="H47" s="6">
        <x:v>46253.63384560185</x:v>
      </x:c>
      <x:c r="I47" t="str" s="2">
        <x:v>Nathan Bishop</x:v>
      </x:c>
      <x:c r="J47" s="6">
        <x:v>46261.541666666664</x:v>
      </x:c>
      <x:c r="K47" s="6">
        <x:v>46300.64138862269</x:v>
      </x:c>
      <x:c r="L47" t="str" s="2">
        <x:v>Appointment Set</x:v>
      </x:c>
    </x:row>
    <x:row r="48">
      <x:c r="A48" t="str" s="2">
        <x:f>=HYPERLINK("https://rsms.futurehomex.com/lead/39273", "Terrance Bedingfeild")</x:f>
      </x:c>
      <x:c r="B48" t="str" s="2">
        <x:v>Heritage Housing of Athens</x:v>
      </x:c>
      <x:c r="C48" t="str" s="2">
        <x:v/>
      </x:c>
      <x:c r="D48" t="str" s="2">
        <x:v>4788328714</x:v>
      </x:c>
      <x:c r="E48" t="str" s="2">
        <x:v>4788328714</x:v>
      </x:c>
      <x:c r="F48" t="str" s="2">
        <x:v>Facebook Messenger</x:v>
      </x:c>
      <x:c r="G48" t="str" s="2">
        <x:v>Nathan Bishop</x:v>
      </x:c>
      <x:c r="H48" s="6">
        <x:v>46254.57278711806</x:v>
      </x:c>
      <x:c r="I48" t="str" s="2">
        <x:v>Nathan Bishop</x:v>
      </x:c>
      <x:c r="J48" s="6">
        <x:v>46260.583333333336</x:v>
      </x:c>
      <x:c r="K48" s="6">
        <x:v>46300.64659054398</x:v>
      </x:c>
      <x:c r="L48" t="str" s="2">
        <x:v>Appointment Set</x:v>
      </x:c>
    </x:row>
    <x:row r="49">
      <x:c r="A49" t="str" s="2">
        <x:f>=HYPERLINK("https://rsms.futurehomex.com/lead/39314", "jose aguirre")</x:f>
      </x:c>
      <x:c r="B49" t="str" s="2">
        <x:v>Heritage Housing Marble Falls</x:v>
      </x:c>
      <x:c r="C49" t="str" s="2">
        <x:v/>
      </x:c>
      <x:c r="D49" t="str" s="2">
        <x:v>5126616714</x:v>
      </x:c>
      <x:c r="E49" t="str" s="2">
        <x:v>joseaguirre0178@gmail.com</x:v>
      </x:c>
      <x:c r="F49" t="str" s="2">
        <x:v>Landing_BPM</x:v>
      </x:c>
      <x:c r="G49" t="str" s="2">
        <x:v>Stephen Sanders</x:v>
      </x:c>
      <x:c r="H49" s="6">
        <x:v>46255.877348263886</x:v>
      </x:c>
      <x:c r="I49" t="str" s="2">
        <x:v>Stephen Sanders</x:v>
      </x:c>
      <x:c r="J49" s="6">
        <x:v>46267.75</x:v>
      </x:c>
      <x:c r="K49" s="6">
        <x:v>46266.628531215276</x:v>
      </x:c>
      <x:c r="L49" t="str" s="2">
        <x:v>Appointment Set</x:v>
      </x:c>
    </x:row>
    <x:row r="50">
      <x:c r="A50" t="str" s="2">
        <x:f>=HYPERLINK("https://rsms.futurehomex.com/lead/39351", "FAITH BURGESS")</x:f>
      </x:c>
      <x:c r="B50" t="str" s="2">
        <x:v>Heritage Housing of Augusta</x:v>
      </x:c>
      <x:c r="C50" t="str" s="2">
        <x:v/>
      </x:c>
      <x:c r="D50" t="str" s="2">
        <x:v>7067731416</x:v>
      </x:c>
      <x:c r="E50" t="str" s="2">
        <x:v>faburgess2@gmail.com</x:v>
      </x:c>
      <x:c r="F50" t="str" s="2">
        <x:v>Website</x:v>
      </x:c>
      <x:c r="G50" t="str" s="2">
        <x:v>Faye Lively</x:v>
      </x:c>
      <x:c r="H50" s="6">
        <x:v>46258.69348703704</x:v>
      </x:c>
      <x:c r="I50" t="str" s="2">
        <x:v>Faye Lively</x:v>
      </x:c>
      <x:c r="J50" s="6">
        <x:v>46262.875</x:v>
      </x:c>
      <x:c r="K50" s="6">
        <x:v>46279.6102553588</x:v>
      </x:c>
      <x:c r="L50" t="str" s="2">
        <x:v>Appointment Set</x:v>
      </x:c>
    </x:row>
    <x:row r="51">
      <x:c r="A51" t="str" s="2">
        <x:f>=HYPERLINK("https://rsms.futurehomex.com/lead/40138", "Jalinthya Wade")</x:f>
      </x:c>
      <x:c r="B51" t="str" s="2">
        <x:v>Heritage Housing of Athens</x:v>
      </x:c>
      <x:c r="C51" t="str" s="2">
        <x:v/>
      </x:c>
      <x:c r="D51" t="str" s="2">
        <x:v>4784349642</x:v>
      </x:c>
      <x:c r="E51" t="str" s="2">
        <x:v>cicijadyn127@gmail.com</x:v>
      </x:c>
      <x:c r="F51" t="str" s="2">
        <x:v>Landing_BPM</x:v>
      </x:c>
      <x:c r="G51" t="str" s="2">
        <x:v>Nathan Bishop</x:v>
      </x:c>
      <x:c r="H51" s="6">
        <x:v>46260.110803703705</x:v>
      </x:c>
      <x:c r="I51" t="str" s="2">
        <x:v>Nathan Bishop</x:v>
      </x:c>
      <x:c r="J51" s="6">
        <x:v>46294.583333333336</x:v>
      </x:c>
      <x:c r="K51" s="6">
        <x:v>46300.64988491898</x:v>
      </x:c>
      <x:c r="L51" t="str" s="2">
        <x:v>Appointment Set</x:v>
      </x:c>
    </x:row>
    <x:row r="52">
      <x:c r="A52" t="str" s="2">
        <x:f>=HYPERLINK("https://rsms.futurehomex.com/lead/39429", "Jason Franklin")</x:f>
      </x:c>
      <x:c r="B52" t="str" s="2">
        <x:v>Heritage Housing of Albany</x:v>
      </x:c>
      <x:c r="C52" t="str" s="2">
        <x:v/>
      </x:c>
      <x:c r="D52" t="str" s="2">
        <x:v>2292371456</x:v>
      </x:c>
      <x:c r="E52" t="str" s="2">
        <x:v>jdfranklin032579@gmail.com</x:v>
      </x:c>
      <x:c r="F52" t="str" s="2">
        <x:v>Other</x:v>
      </x:c>
      <x:c r="G52" t="str" s="2">
        <x:v>Yanet Alvarez</x:v>
      </x:c>
      <x:c r="H52" s="6">
        <x:v>46261.736106944445</x:v>
      </x:c>
      <x:c r="I52" t="str" s="2">
        <x:v>Alexander Bryant</x:v>
      </x:c>
      <x:c r="J52" s="6">
        <x:v>46263.833333333336</x:v>
      </x:c>
      <x:c r="K52" s="6">
        <x:v>46261.736106944445</x:v>
      </x:c>
      <x:c r="L52" t="str" s="2">
        <x:v>Appointment Set</x:v>
      </x:c>
    </x:row>
    <x:row r="53">
      <x:c r="A53" t="str" s="2">
        <x:f>=HYPERLINK("https://rsms.futurehomex.com/lead/39462", "Linda Smith")</x:f>
      </x:c>
      <x:c r="B53" t="str" s="2">
        <x:v>Heritage Housing Mt Pleasant</x:v>
      </x:c>
      <x:c r="C53" t="str" s="2">
        <x:v/>
      </x:c>
      <x:c r="D53" t="str" s="2">
        <x:v>9032192724</x:v>
      </x:c>
      <x:c r="E53" t="str" s="2">
        <x:v>lindas2273@gmail.com</x:v>
      </x:c>
      <x:c r="F53" t="str" s="2">
        <x:v>Bing - Search</x:v>
      </x:c>
      <x:c r="G53" t="str" s="2">
        <x:v>Elias Gallardo</x:v>
      </x:c>
      <x:c r="H53" s="6">
        <x:v>46262.81009510416</x:v>
      </x:c>
      <x:c r="I53" t="str" s="2">
        <x:v>Elias Gallardo</x:v>
      </x:c>
      <x:c r="J53" s="6">
        <x:v>46263.833333333336</x:v>
      </x:c>
      <x:c r="K53" s="6">
        <x:v>46279.92335787037</x:v>
      </x:c>
      <x:c r="L53" t="str" s="2">
        <x:v>Appointment Set</x:v>
      </x:c>
    </x:row>
    <x:row r="54">
      <x:c r="A54" t="str" s="2">
        <x:f>=HYPERLINK("https://rsms.futurehomex.com/lead/39483", "Jame WeeatherFord")</x:f>
      </x:c>
      <x:c r="B54" t="str" s="2">
        <x:v>Heritage Housing Mt Pleasant</x:v>
      </x:c>
      <x:c r="C54" t="str" s="2">
        <x:v/>
      </x:c>
      <x:c r="D54" t="str" s="2">
        <x:v>9035377806</x:v>
      </x:c>
      <x:c r="E54" t="str" s="2">
        <x:v>9035377806</x:v>
      </x:c>
      <x:c r="F54" t="str" s="2">
        <x:v>Website</x:v>
      </x:c>
      <x:c r="G54" t="str" s="2">
        <x:v>Yarelis Torres</x:v>
      </x:c>
      <x:c r="H54" s="6">
        <x:v>46263.77475181713</x:v>
      </x:c>
      <x:c r="I54" t="str" s="2">
        <x:v>Yarelis Torres</x:v>
      </x:c>
      <x:c r="J54" s="6">
        <x:v>46263.75</x:v>
      </x:c>
      <x:c r="K54" s="6">
        <x:v>46263.77475181713</x:v>
      </x:c>
      <x:c r="L54" t="str" s="2">
        <x:v>Appointment Set</x:v>
      </x:c>
    </x:row>
    <x:row r="55">
      <x:c r="A55" t="str" s="2">
        <x:f>=HYPERLINK("https://rsms.futurehomex.com/lead/39592", "Tony Anthony")</x:f>
      </x:c>
      <x:c r="B55" t="str" s="2">
        <x:v>Heritage Housing Mt Pleasant</x:v>
      </x:c>
      <x:c r="C55" t="str" s="2">
        <x:v/>
      </x:c>
      <x:c r="D55" t="str" s="2">
        <x:v>4799739159</x:v>
      </x:c>
      <x:c r="E55" t="str" s="2">
        <x:v>hogs14@gmail.com</x:v>
      </x:c>
      <x:c r="F55" t="str" s="2">
        <x:v>Landing_BPM</x:v>
      </x:c>
      <x:c r="G55" t="str" s="2">
        <x:v>Yarelis Torres</x:v>
      </x:c>
      <x:c r="H55" s="6">
        <x:v>46265.49925864583</x:v>
      </x:c>
      <x:c r="I55" t="str" s="2">
        <x:v>Yarelis Torres</x:v>
      </x:c>
      <x:c r="J55" s="6">
        <x:v>46267.875</x:v>
      </x:c>
      <x:c r="K55" s="6">
        <x:v>46274.83768510417</x:v>
      </x:c>
      <x:c r="L55" t="str" s="2">
        <x:v>Appointment Set</x:v>
      </x:c>
    </x:row>
    <x:row r="56">
      <x:c r="A56" t="str" s="2">
        <x:f>=HYPERLINK("https://rsms.futurehomex.com/lead/40329", "valentin trujillo")</x:f>
      </x:c>
      <x:c r="B56" t="str" s="2">
        <x:v>Heritage Housing Marble Falls</x:v>
      </x:c>
      <x:c r="C56" t="str" s="2">
        <x:v/>
      </x:c>
      <x:c r="D56" t="str" s="2">
        <x:v>5123799159</x:v>
      </x:c>
      <x:c r="E56" t="str" s="2">
        <x:v>valentintrujillo437@ymail.com</x:v>
      </x:c>
      <x:c r="F56" t="str" s="2">
        <x:v>Landing_BPM</x:v>
      </x:c>
      <x:c r="G56" t="str" s="2">
        <x:v>Stephen Sanders</x:v>
      </x:c>
      <x:c r="H56" s="6">
        <x:v>46266.24125934028</x:v>
      </x:c>
      <x:c r="I56" t="str" s="2">
        <x:v>Stephen Sanders</x:v>
      </x:c>
      <x:c r="J56" s="6">
        <x:v>46291.625</x:v>
      </x:c>
      <x:c r="K56" s="6">
        <x:v>46289.607411655095</x:v>
      </x:c>
      <x:c r="L56" t="str" s="2">
        <x:v>Appointment Set</x:v>
      </x:c>
    </x:row>
    <x:row r="57">
      <x:c r="A57" t="str" s="2">
        <x:f>=HYPERLINK("https://rsms.futurehomex.com/lead/40009", "Tatum Kitchen")</x:f>
      </x:c>
      <x:c r="B57" t="str" s="2">
        <x:v>Heritage Housing Mt Pleasant</x:v>
      </x:c>
      <x:c r="C57" t="str" s="2">
        <x:v/>
      </x:c>
      <x:c r="D57" t="str" s="2">
        <x:v>9034315326</x:v>
      </x:c>
      <x:c r="E57" t="str" s="2">
        <x:v>t3682330@gmail.com</x:v>
      </x:c>
      <x:c r="F57" t="str" s="2">
        <x:v>Landing_BPM</x:v>
      </x:c>
      <x:c r="G57" t="str" s="2">
        <x:v>Yarelis Torres</x:v>
      </x:c>
      <x:c r="H57" s="6">
        <x:v>46267.88193920139</x:v>
      </x:c>
      <x:c r="I57" t="str" s="2">
        <x:v>Yarelis Torres</x:v>
      </x:c>
      <x:c r="J57" s="6">
        <x:v>46287.75</x:v>
      </x:c>
      <x:c r="K57" s="6">
        <x:v>46287.67827063658</x:v>
      </x:c>
      <x:c r="L57" t="str" s="2">
        <x:v>Appointment Set</x:v>
      </x:c>
    </x:row>
    <x:row r="58">
      <x:c r="A58" t="str" s="2">
        <x:f>=HYPERLINK("https://rsms.futurehomex.com/lead/39720", "Aubrielle Thompson")</x:f>
      </x:c>
      <x:c r="B58" t="str" s="2">
        <x:v>Heritage Housing of Athens</x:v>
      </x:c>
      <x:c r="C58" t="str" s="2">
        <x:v/>
      </x:c>
      <x:c r="D58" t="str" s="2">
        <x:v>6782835140</x:v>
      </x:c>
      <x:c r="E58" t="str" s="2">
        <x:v>aubriellethompson@outlook.com</x:v>
      </x:c>
      <x:c r="F58" t="str" s="2">
        <x:v>Financing Form</x:v>
      </x:c>
      <x:c r="G58" t="str" s="2">
        <x:v>Nathan Bishop</x:v>
      </x:c>
      <x:c r="H58" s="6">
        <x:v>46269.61449290509</x:v>
      </x:c>
      <x:c r="I58" t="str" s="2">
        <x:v>Nathan Bishop</x:v>
      </x:c>
      <x:c r="J58" s="6">
        <x:v>46277.708333333336</x:v>
      </x:c>
      <x:c r="K58" s="6">
        <x:v>46300.68462638889</x:v>
      </x:c>
      <x:c r="L58" t="str" s="2">
        <x:v>Appointment Set</x:v>
      </x:c>
    </x:row>
    <x:row r="59">
      <x:c r="A59" t="str" s="2">
        <x:f>=HYPERLINK("https://rsms.futurehomex.com/lead/39692", "Diane Doughty")</x:f>
      </x:c>
      <x:c r="B59" t="str" s="2">
        <x:v>Heritage Housing of Augusta</x:v>
      </x:c>
      <x:c r="C59" t="str" s="2">
        <x:v/>
      </x:c>
      <x:c r="D59" t="str" s="2">
        <x:v>8432470876</x:v>
      </x:c>
      <x:c r="E59" t="str" s="2">
        <x:v>dianedoughty70@gmail.com</x:v>
      </x:c>
      <x:c r="F59" t="str" s="2">
        <x:v>Office Hot Calls</x:v>
      </x:c>
      <x:c r="G59" t="str" s="2">
        <x:v>Faye Lively</x:v>
      </x:c>
      <x:c r="H59" s="6">
        <x:v>46269.88239424769</x:v>
      </x:c>
      <x:c r="I59" t="str" s="2">
        <x:v>Faye Lively</x:v>
      </x:c>
      <x:c r="J59" s="6">
        <x:v>46270.666666666664</x:v>
      </x:c>
      <x:c r="K59" s="6">
        <x:v>46279.76288287037</x:v>
      </x:c>
      <x:c r="L59" t="str" s="2">
        <x:v>Appointment Set</x:v>
      </x:c>
    </x:row>
    <x:row r="60">
      <x:c r="A60" t="str" s="2">
        <x:f>=HYPERLINK("https://rsms.futurehomex.com/lead/39721", "Jacob Leavenworth")</x:f>
      </x:c>
      <x:c r="B60" t="str" s="2">
        <x:v>Heritage Housing of Athens</x:v>
      </x:c>
      <x:c r="C60" t="str" s="2">
        <x:v/>
      </x:c>
      <x:c r="D60" t="str" s="2">
        <x:v>8647945029</x:v>
      </x:c>
      <x:c r="E60" t="str" s="2">
        <x:v>jacobleavenworth817@gmail.com</x:v>
      </x:c>
      <x:c r="F60" t="str" s="2">
        <x:v>Landing_BPM</x:v>
      </x:c>
      <x:c r="G60" t="str" s="2">
        <x:v>Nathan Bishop</x:v>
      </x:c>
      <x:c r="H60" s="6">
        <x:v>46270.66977797454</x:v>
      </x:c>
      <x:c r="I60" t="str" s="2">
        <x:v>Nathan Bishop</x:v>
      </x:c>
      <x:c r="J60" s="6">
        <x:v>46284.875</x:v>
      </x:c>
      <x:c r="K60" s="6">
        <x:v>46300.68693862268</x:v>
      </x:c>
      <x:c r="L60" t="str" s="2">
        <x:v>Appointment Set</x:v>
      </x:c>
    </x:row>
    <x:row r="61">
      <x:c r="A61" t="str" s="2">
        <x:f>=HYPERLINK("https://rsms.futurehomex.com/lead/39838", "Nancy Harris")</x:f>
      </x:c>
      <x:c r="B61" t="str" s="2">
        <x:v>Heritage Housing of Athens</x:v>
      </x:c>
      <x:c r="C61" t="str" s="2">
        <x:v/>
      </x:c>
      <x:c r="D61" t="str" s="2">
        <x:v>2295896340</x:v>
      </x:c>
      <x:c r="E61" t="str" s="2">
        <x:v>nancyharriss16@gmail.com</x:v>
      </x:c>
      <x:c r="F61" t="str" s="2">
        <x:v>LandingPage</x:v>
      </x:c>
      <x:c r="G61" t="str" s="2">
        <x:v>Nathan Bishop</x:v>
      </x:c>
      <x:c r="H61" s="6">
        <x:v>46271.96537480324</x:v>
      </x:c>
      <x:c r="I61" t="str" s="2">
        <x:v>Nathan Bishop</x:v>
      </x:c>
      <x:c r="J61" s="6">
        <x:v>46280.583333333336</x:v>
      </x:c>
      <x:c r="K61" s="6">
        <x:v>46281.90863070602</x:v>
      </x:c>
      <x:c r="L61" t="str" s="2">
        <x:v>Appointment Set</x:v>
      </x:c>
    </x:row>
    <x:row r="62">
      <x:c r="A62" t="str" s="2">
        <x:f>=HYPERLINK("https://rsms.futurehomex.com/lead/39787", "Zachary Wise")</x:f>
      </x:c>
      <x:c r="B62" t="str" s="2">
        <x:v>Heritage Housing of Albany</x:v>
      </x:c>
      <x:c r="C62" t="str" s="2">
        <x:v/>
      </x:c>
      <x:c r="D62" t="str" s="2">
        <x:v>2294299068</x:v>
      </x:c>
      <x:c r="E62" t="str" s="2">
        <x:v>zacherywise6@gmail.com</x:v>
      </x:c>
      <x:c r="F62" t="str" s="2">
        <x:v>Walk-in</x:v>
      </x:c>
      <x:c r="G62" t="str" s="2">
        <x:v>Yanet Alvarez</x:v>
      </x:c>
      <x:c r="H62" s="6">
        <x:v>46273.63592114583</x:v>
      </x:c>
      <x:c r="I62" t="str" s="2">
        <x:v>Alexander Bryant</x:v>
      </x:c>
      <x:c r="J62" s="6">
        <x:v>46286.666666666664</x:v>
      </x:c>
      <x:c r="K62" s="6">
        <x:v>46283.89347630787</x:v>
      </x:c>
      <x:c r="L62" t="str" s="2">
        <x:v>Appointment Set</x:v>
      </x:c>
    </x:row>
    <x:row r="63">
      <x:c r="A63" t="str" s="2">
        <x:f>=HYPERLINK("https://rsms.futurehomex.com/lead/39805", "Vickie Howell")</x:f>
      </x:c>
      <x:c r="B63" t="str" s="2">
        <x:v>Heritage Housing of Oklahoma City</x:v>
      </x:c>
      <x:c r="C63" t="str" s="2">
        <x:v/>
      </x:c>
      <x:c r="D63" t="str" s="2">
        <x:v>4053946386</x:v>
      </x:c>
      <x:c r="E63" t="str" s="2">
        <x:v>vickiehowell60@gmail.com</x:v>
      </x:c>
      <x:c r="F63" t="str" s="2">
        <x:v>Facebook Messenger</x:v>
      </x:c>
      <x:c r="G63" t="str" s="2">
        <x:v>Trey Rixleben</x:v>
      </x:c>
      <x:c r="H63" s="6">
        <x:v>46273.85153295139</x:v>
      </x:c>
      <x:c r="I63" t="str" s="2">
        <x:v>Trey Rixleben</x:v>
      </x:c>
      <x:c r="J63" s="6">
        <x:v>46277.833333333336</x:v>
      </x:c>
      <x:c r="K63" s="6">
        <x:v>46273.85153295139</x:v>
      </x:c>
      <x:c r="L63" t="str" s="2">
        <x:v>Appointment Set</x:v>
      </x:c>
    </x:row>
    <x:row r="64">
      <x:c r="A64" t="str" s="2">
        <x:f>=HYPERLINK("https://rsms.futurehomex.com/lead/39816", "Matthew Prindiville")</x:f>
      </x:c>
      <x:c r="B64" t="str" s="2">
        <x:v>Heritage Housing of Oklahoma City</x:v>
      </x:c>
      <x:c r="C64" t="str" s="2">
        <x:v/>
      </x:c>
      <x:c r="D64" t="str" s="2">
        <x:v>2144256181</x:v>
      </x:c>
      <x:c r="E64" t="str" s="2">
        <x:v>2144256181</x:v>
      </x:c>
      <x:c r="F64" t="str" s="2">
        <x:v>Facebook Messenger</x:v>
      </x:c>
      <x:c r="G64" t="str" s="2">
        <x:v>Gianna Cervantes</x:v>
      </x:c>
      <x:c r="H64" s="6">
        <x:v>46273.96957584491</x:v>
      </x:c>
      <x:c r="I64" t="str" s="2">
        <x:v>Trey Rixleben</x:v>
      </x:c>
      <x:c r="J64" s="6">
        <x:v>46299.75</x:v>
      </x:c>
      <x:c r="K64" s="6">
        <x:v>46273.96957584491</x:v>
      </x:c>
      <x:c r="L64" t="str" s="2">
        <x:v>Appointment Set</x:v>
      </x:c>
    </x:row>
    <x:row r="65">
      <x:c r="A65" t="str" s="2">
        <x:f>=HYPERLINK("https://rsms.futurehomex.com/lead/39830", "Charlie Howard")</x:f>
      </x:c>
      <x:c r="B65" t="str" s="2">
        <x:v>Heritage Housing of Augusta</x:v>
      </x:c>
      <x:c r="C65" t="str" s="2">
        <x:v/>
      </x:c>
      <x:c r="D65" t="str" s="2">
        <x:v>7064661929</x:v>
      </x:c>
      <x:c r="E65" t="str" s="2">
        <x:v>sharonsturgis03@gmail.com</x:v>
      </x:c>
      <x:c r="F65" t="str" s="2">
        <x:v>Walk-in</x:v>
      </x:c>
      <x:c r="G65" t="str" s="2">
        <x:v>Jose Chavez</x:v>
      </x:c>
      <x:c r="H65" s="6">
        <x:v>46274.680650891205</x:v>
      </x:c>
      <x:c r="I65" t="str" s="2">
        <x:v>Jennifer Johnson</x:v>
      </x:c>
      <x:c r="J65" s="6">
        <x:v>46308.75</x:v>
      </x:c>
      <x:c r="K65" s="6">
        <x:v>46295</x:v>
      </x:c>
      <x:c r="L65" t="str" s="2">
        <x:v>Appointment Set</x:v>
      </x:c>
    </x:row>
    <x:row r="66">
      <x:c r="A66" t="str" s="2">
        <x:f>=HYPERLINK("https://rsms.futurehomex.com/lead/39852", "Tracy COTTON")</x:f>
      </x:c>
      <x:c r="B66" t="str" s="2">
        <x:v>Heritage Housing of Oklahoma City</x:v>
      </x:c>
      <x:c r="C66" t="str" s="2">
        <x:v/>
      </x:c>
      <x:c r="D66" t="str" s="2">
        <x:v>9186302581</x:v>
      </x:c>
      <x:c r="E66" t="str" s="2">
        <x:v>Tracycotton277@gmail.com</x:v>
      </x:c>
      <x:c r="F66" t="str" s="2">
        <x:v>Youtube</x:v>
      </x:c>
      <x:c r="G66" t="str" s="2">
        <x:v>Trey Rixleben</x:v>
      </x:c>
      <x:c r="H66" s="6">
        <x:v>46274.87923197917</x:v>
      </x:c>
      <x:c r="I66" t="str" s="2">
        <x:v>Trey Rixleben</x:v>
      </x:c>
      <x:c r="J66" s="6">
        <x:v>46281.666666666664</x:v>
      </x:c>
      <x:c r="K66" s="0"/>
      <x:c r="L66" t="str" s="2">
        <x:v>Appointment Set</x:v>
      </x:c>
    </x:row>
    <x:row r="67">
      <x:c r="A67" t="str" s="2">
        <x:f>=HYPERLINK("https://rsms.futurehomex.com/lead/39859", "Zachary Evans")</x:f>
      </x:c>
      <x:c r="B67" t="str" s="2">
        <x:v>Heritage Housing of Oklahoma City</x:v>
      </x:c>
      <x:c r="C67" t="str" s="2">
        <x:v/>
      </x:c>
      <x:c r="D67" t="str" s="2">
        <x:v>5722685121</x:v>
      </x:c>
      <x:c r="E67" t="str" s="2">
        <x:v>evanszachary060@gmail.com</x:v>
      </x:c>
      <x:c r="F67" t="str" s="2">
        <x:v>Facebook Messenger</x:v>
      </x:c>
      <x:c r="G67" t="str" s="2">
        <x:v>Trey Rixleben</x:v>
      </x:c>
      <x:c r="H67" s="6">
        <x:v>46274.979136608796</x:v>
      </x:c>
      <x:c r="I67" t="str" s="2">
        <x:v>Trey Rixleben</x:v>
      </x:c>
      <x:c r="J67" s="6">
        <x:v>46275.770833333336</x:v>
      </x:c>
      <x:c r="K67" s="6">
        <x:v>46274.979136608796</x:v>
      </x:c>
      <x:c r="L67" t="str" s="2">
        <x:v>Appointment Set</x:v>
      </x:c>
    </x:row>
    <x:row r="68">
      <x:c r="A68" t="str" s="2">
        <x:f>=HYPERLINK("https://rsms.futurehomex.com/lead/39880", "Sylathiel Jones")</x:f>
      </x:c>
      <x:c r="B68" t="str" s="2">
        <x:v>Heritage Housing of Augusta</x:v>
      </x:c>
      <x:c r="C68" t="str" s="2">
        <x:v/>
      </x:c>
      <x:c r="D68" t="str" s="2">
        <x:v>7063062884</x:v>
      </x:c>
      <x:c r="E68" t="str" s="2">
        <x:v>treveonjj29@gmail.com</x:v>
      </x:c>
      <x:c r="F68" t="str" s="2">
        <x:v>Youtube</x:v>
      </x:c>
      <x:c r="G68" t="str" s="2">
        <x:v>Jose Chavez</x:v>
      </x:c>
      <x:c r="H68" s="6">
        <x:v>46275.05527237269</x:v>
      </x:c>
      <x:c r="I68" t="str" s="2">
        <x:v>Alex Jones</x:v>
      </x:c>
      <x:c r="J68" s="6">
        <x:v>46277.666666666664</x:v>
      </x:c>
      <x:c r="K68" s="6">
        <x:v>46275.762464583335</x:v>
      </x:c>
      <x:c r="L68" t="str" s="2">
        <x:v>Appointment Set</x:v>
      </x:c>
    </x:row>
    <x:row r="69">
      <x:c r="A69" t="str" s="2">
        <x:f>=HYPERLINK("https://rsms.futurehomex.com/lead/40002", "Adrianna Tillman")</x:f>
      </x:c>
      <x:c r="B69" t="str" s="2">
        <x:v>Heritage Housing Mt Pleasant</x:v>
      </x:c>
      <x:c r="C69" t="str" s="2">
        <x:v/>
      </x:c>
      <x:c r="D69" t="str" s="2">
        <x:v>4693547768</x:v>
      </x:c>
      <x:c r="E69" t="str" s="2">
        <x:v>bowserethel@gmail.com</x:v>
      </x:c>
      <x:c r="F69" t="str" s="2">
        <x:v>Landing_BPM</x:v>
      </x:c>
      <x:c r="G69" t="str" s="2">
        <x:v>Yarelis Torres</x:v>
      </x:c>
      <x:c r="H69" s="6">
        <x:v>46277.57557700232</x:v>
      </x:c>
      <x:c r="I69" t="str" s="2">
        <x:v>Yarelis Torres</x:v>
      </x:c>
      <x:c r="J69" s="6">
        <x:v>46298.645833333336</x:v>
      </x:c>
      <x:c r="K69" s="6">
        <x:v>46279.624945682874</x:v>
      </x:c>
      <x:c r="L69" t="str" s="2">
        <x:v>Appointment Set</x:v>
      </x:c>
    </x:row>
    <x:row r="70">
      <x:c r="A70" t="str" s="2">
        <x:f>=HYPERLINK("https://rsms.futurehomex.com/lead/39979", "Kayle Burkett")</x:f>
      </x:c>
      <x:c r="B70" t="str" s="2">
        <x:v>Heritage Housing of Oklahoma City</x:v>
      </x:c>
      <x:c r="C70" t="str" s="2">
        <x:v/>
      </x:c>
      <x:c r="D70" t="str" s="2">
        <x:v>5392492494</x:v>
      </x:c>
      <x:c r="E70" t="str" s="2">
        <x:v>kayleburkett038@gmail.com</x:v>
      </x:c>
      <x:c r="F70" t="str" s="2">
        <x:v>Financing Form</x:v>
      </x:c>
      <x:c r="G70" t="str" s="2">
        <x:v>Trey Rixleben</x:v>
      </x:c>
      <x:c r="H70" s="6">
        <x:v>46278.050544907404</x:v>
      </x:c>
      <x:c r="I70" t="str" s="2">
        <x:v>Trey Rixleben</x:v>
      </x:c>
      <x:c r="J70" s="6">
        <x:v>46296.875</x:v>
      </x:c>
      <x:c r="K70" s="0"/>
      <x:c r="L70" t="str" s="2">
        <x:v>Appointment Set</x:v>
      </x:c>
    </x:row>
    <x:row r="71">
      <x:c r="A71" t="str" s="2">
        <x:f>=HYPERLINK("https://rsms.futurehomex.com/lead/39993", "Stephanie Young Young")</x:f>
      </x:c>
      <x:c r="B71" t="str" s="2">
        <x:v>Heritage Housing of Minden</x:v>
      </x:c>
      <x:c r="C71" t="str" s="2">
        <x:v/>
      </x:c>
      <x:c r="D71" t="str" s="2">
        <x:v>8709027801</x:v>
      </x:c>
      <x:c r="E71" t="str" s="2">
        <x:v>nursesteph49@gmail.com</x:v>
      </x:c>
      <x:c r="F71" t="str" s="2">
        <x:v>Landing_BPM</x:v>
      </x:c>
      <x:c r="G71" t="str" s="2">
        <x:v>Patrick Schuchart</x:v>
      </x:c>
      <x:c r="H71" s="6">
        <x:v>46278.48416774305</x:v>
      </x:c>
      <x:c r="I71" t="str" s="2">
        <x:v>Patrick Schuchart</x:v>
      </x:c>
      <x:c r="J71" s="6">
        <x:v>46284.75</x:v>
      </x:c>
      <x:c r="K71" s="6">
        <x:v>46279.79176006944</x:v>
      </x:c>
      <x:c r="L71" t="str" s="2">
        <x:v>Appointment Set</x:v>
      </x:c>
    </x:row>
    <x:row r="72">
      <x:c r="A72" t="str" s="2">
        <x:f>=HYPERLINK("https://rsms.futurehomex.com/lead/40270", "Pedro Villalba")</x:f>
      </x:c>
      <x:c r="B72" t="str" s="2">
        <x:v>Heritage Housing Mt Pleasant</x:v>
      </x:c>
      <x:c r="C72" t="str" s="2">
        <x:v/>
      </x:c>
      <x:c r="D72" t="str" s="2">
        <x:v>2107629075</x:v>
      </x:c>
      <x:c r="E72" t="str" s="2">
        <x:v>gyps.sa210@gmail.com</x:v>
      </x:c>
      <x:c r="F72" t="str" s="2">
        <x:v>Youtube</x:v>
      </x:c>
      <x:c r="G72" t="str" s="2">
        <x:v>Yarelis Torres</x:v>
      </x:c>
      <x:c r="H72" s="6">
        <x:v>46278.885766087966</x:v>
      </x:c>
      <x:c r="I72" t="str" s="2">
        <x:v>Yarelis Torres</x:v>
      </x:c>
      <x:c r="J72" s="6">
        <x:v>46292.770833333336</x:v>
      </x:c>
      <x:c r="K72" s="6">
        <x:v>46279.89145239583</x:v>
      </x:c>
      <x:c r="L72" t="str" s="2">
        <x:v>Appointment Set</x:v>
      </x:c>
    </x:row>
    <x:row r="73">
      <x:c r="A73" t="str" s="2">
        <x:f>=HYPERLINK("https://rsms.futurehomex.com/lead/39980", "Ranon hefner")</x:f>
      </x:c>
      <x:c r="B73" t="str" s="2">
        <x:v>Heritage Housing Marble Falls</x:v>
      </x:c>
      <x:c r="C73" t="str" s="2">
        <x:v>2/4</x:v>
      </x:c>
      <x:c r="D73" t="str" s="2">
        <x:v>5122306025</x:v>
      </x:c>
      <x:c r="E73" t="str" s="2">
        <x:v>ranonhefner@yahoo.com</x:v>
      </x:c>
      <x:c r="F73" t="str" s="2">
        <x:v>Landing_BPM</x:v>
      </x:c>
      <x:c r="G73" t="str" s="2">
        <x:v>Stephen Sanders</x:v>
      </x:c>
      <x:c r="H73" s="6">
        <x:v>46279.119844594905</x:v>
      </x:c>
      <x:c r="I73" t="str" s="2">
        <x:v>Stephen Sanders</x:v>
      </x:c>
      <x:c r="J73" s="6">
        <x:v>46294.916666666664</x:v>
      </x:c>
      <x:c r="K73" s="6">
        <x:v>46288.63812271991</x:v>
      </x:c>
      <x:c r="L73" t="str" s="2">
        <x:v>Appointment Set</x:v>
      </x:c>
    </x:row>
    <x:row r="74">
      <x:c r="A74" t="str" s="2">
        <x:f>=HYPERLINK("https://rsms.futurehomex.com/lead/40005", "Promisse Hall")</x:f>
      </x:c>
      <x:c r="B74" t="str" s="2">
        <x:v>Heritage Housing of Oklahoma City</x:v>
      </x:c>
      <x:c r="C74" t="str" s="2">
        <x:v/>
      </x:c>
      <x:c r="D74" t="str" s="2">
        <x:v>8178286985</x:v>
      </x:c>
      <x:c r="E74" t="str" s="2">
        <x:v>promissehall7@gmail.com</x:v>
      </x:c>
      <x:c r="F74" t="str" s="2">
        <x:v>Financing Form</x:v>
      </x:c>
      <x:c r="G74" t="str" s="2">
        <x:v>Trey Rixleben</x:v>
      </x:c>
      <x:c r="H74" s="6">
        <x:v>46279.92027966435</x:v>
      </x:c>
      <x:c r="I74" t="str" s="2">
        <x:v>Trey Rixleben</x:v>
      </x:c>
      <x:c r="J74" s="6">
        <x:v>46283.875</x:v>
      </x:c>
      <x:c r="K74" s="6">
        <x:v>46280.87556226852</x:v>
      </x:c>
      <x:c r="L74" t="str" s="2">
        <x:v>Appointment Set</x:v>
      </x:c>
    </x:row>
    <x:row r="75">
      <x:c r="A75" t="str" s="2">
        <x:f>=HYPERLINK("https://rsms.futurehomex.com/lead/40006", "Rick Waters")</x:f>
      </x:c>
      <x:c r="B75" t="str" s="2">
        <x:v>Heritage Housing of Oklahoma City</x:v>
      </x:c>
      <x:c r="C75" t="str" s="2">
        <x:v/>
      </x:c>
      <x:c r="D75" t="str" s="2">
        <x:v>4053611760</x:v>
      </x:c>
      <x:c r="E75" t="str" s="2">
        <x:v>4053611760</x:v>
      </x:c>
      <x:c r="F75" t="str" s="2">
        <x:v>Office Hot Calls</x:v>
      </x:c>
      <x:c r="G75" t="str" s="2">
        <x:v>Trey Rixleben</x:v>
      </x:c>
      <x:c r="H75" s="6">
        <x:v>46279.934213657405</x:v>
      </x:c>
      <x:c r="I75" t="str" s="2">
        <x:v>Trey Rixleben</x:v>
      </x:c>
      <x:c r="J75" s="6">
        <x:v>46280.71875</x:v>
      </x:c>
      <x:c r="K75" s="6">
        <x:v>46279.934213657405</x:v>
      </x:c>
      <x:c r="L75" t="str" s="2">
        <x:v>Appointment Set</x:v>
      </x:c>
    </x:row>
    <x:row r="76">
      <x:c r="A76" t="str" s="2">
        <x:f>=HYPERLINK("https://rsms.futurehomex.com/lead/40029", "Tracy Wright")</x:f>
      </x:c>
      <x:c r="B76" t="str" s="2">
        <x:v>Heritage Housing of Athens</x:v>
      </x:c>
      <x:c r="C76" t="str" s="2">
        <x:v/>
      </x:c>
      <x:c r="D76" t="str" s="2">
        <x:v>7627218134</x:v>
      </x:c>
      <x:c r="E76" t="str" s="2">
        <x:v>twright2012.tw@gmail.com</x:v>
      </x:c>
      <x:c r="F76" t="str" s="2">
        <x:v>Landing_BPM</x:v>
      </x:c>
      <x:c r="G76" t="str" s="2">
        <x:v>Ethan Fossett</x:v>
      </x:c>
      <x:c r="H76" s="6">
        <x:v>46280.74767774306</x:v>
      </x:c>
      <x:c r="I76" t="str" s="2">
        <x:v>Ethan Fossett</x:v>
      </x:c>
      <x:c r="J76" s="6">
        <x:v>46281.708333333336</x:v>
      </x:c>
      <x:c r="K76" s="6">
        <x:v>46280.74829699074</x:v>
      </x:c>
      <x:c r="L76" t="str" s="2">
        <x:v>Appointment Set</x:v>
      </x:c>
    </x:row>
    <x:row r="77">
      <x:c r="A77" t="str" s="2">
        <x:f>=HYPERLINK("https://rsms.futurehomex.com/lead/40059", "Lakita Walker")</x:f>
      </x:c>
      <x:c r="B77" t="str" s="2">
        <x:v>Heritage Housing of Athens</x:v>
      </x:c>
      <x:c r="C77" t="str" s="2">
        <x:v/>
      </x:c>
      <x:c r="D77" t="str" s="2">
        <x:v>6785455962</x:v>
      </x:c>
      <x:c r="E77" t="str" s="2">
        <x:v>keyswithkita@gmail.com</x:v>
      </x:c>
      <x:c r="F77" t="str" s="2">
        <x:v>Landing_BPM</x:v>
      </x:c>
      <x:c r="G77" t="str" s="2">
        <x:v>Nathan Bishop</x:v>
      </x:c>
      <x:c r="H77" s="6">
        <x:v>46281.06010142361</x:v>
      </x:c>
      <x:c r="I77" t="str" s="2">
        <x:v>Nathan Bishop</x:v>
      </x:c>
      <x:c r="J77" s="6">
        <x:v>46289.833333333336</x:v>
      </x:c>
      <x:c r="K77" s="6">
        <x:v>46281</x:v>
      </x:c>
      <x:c r="L77" t="str" s="2">
        <x:v>Appointment Set</x:v>
      </x:c>
    </x:row>
    <x:row r="78">
      <x:c r="A78" t="str" s="2">
        <x:f>=HYPERLINK("https://rsms.futurehomex.com/lead/40056", "Taylor Springer")</x:f>
      </x:c>
      <x:c r="B78" t="str" s="2">
        <x:v>Heritage Housing of Oklahoma City</x:v>
      </x:c>
      <x:c r="C78" t="str" s="2">
        <x:v/>
      </x:c>
      <x:c r="D78" t="str" s="2">
        <x:v>4054352652</x:v>
      </x:c>
      <x:c r="E78" t="str" s="2">
        <x:v>taylorspringer0207@gmsil.com</x:v>
      </x:c>
      <x:c r="F78" t="str" s="2">
        <x:v>Landing_BPM</x:v>
      </x:c>
      <x:c r="G78" t="str" s="2">
        <x:v>Trey Rixleben</x:v>
      </x:c>
      <x:c r="H78" s="6">
        <x:v>46281.09974953704</x:v>
      </x:c>
      <x:c r="I78" t="str" s="2">
        <x:v>Trey Rixleben</x:v>
      </x:c>
      <x:c r="J78" s="6">
        <x:v>46284.75</x:v>
      </x:c>
      <x:c r="K78" s="0"/>
      <x:c r="L78" t="str" s="2">
        <x:v>Appointment Set</x:v>
      </x:c>
    </x:row>
    <x:row r="79">
      <x:c r="A79" t="str" s="2">
        <x:f>=HYPERLINK("https://rsms.futurehomex.com/lead/40090", "Melissa Bennett")</x:f>
      </x:c>
      <x:c r="B79" t="str" s="2">
        <x:v>Heritage Housing of Oklahoma City</x:v>
      </x:c>
      <x:c r="C79" t="str" s="2">
        <x:v/>
      </x:c>
      <x:c r="D79" t="str" s="2">
        <x:v>4055382917</x:v>
      </x:c>
      <x:c r="E79" t="str" s="2">
        <x:v>Mandpcraig123@gmail.com</x:v>
      </x:c>
      <x:c r="F79" t="str" s="2">
        <x:v>Website</x:v>
      </x:c>
      <x:c r="G79" t="str" s="2">
        <x:v>Trey Rixleben</x:v>
      </x:c>
      <x:c r="H79" s="6">
        <x:v>46282.559490659725</x:v>
      </x:c>
      <x:c r="I79" t="str" s="2">
        <x:v>Trey Rixleben</x:v>
      </x:c>
      <x:c r="J79" s="6">
        <x:v>46283.833333333336</x:v>
      </x:c>
      <x:c r="K79" s="0"/>
      <x:c r="L79" t="str" s="2">
        <x:v>Appointment Set</x:v>
      </x:c>
    </x:row>
    <x:row r="80">
      <x:c r="A80" t="str" s="2">
        <x:f>=HYPERLINK("https://rsms.futurehomex.com/lead/40107", "hector huerta huerta")</x:f>
      </x:c>
      <x:c r="B80" t="str" s="2">
        <x:v>Heritage Housing of Oklahoma City</x:v>
      </x:c>
      <x:c r="C80" t="str" s="2">
        <x:v/>
      </x:c>
      <x:c r="D80" t="str" s="2">
        <x:v>4058004202</x:v>
      </x:c>
      <x:c r="E80" t="str" s="2">
        <x:v>okcdrywall2020@gmail.com</x:v>
      </x:c>
      <x:c r="F80" t="str" s="2">
        <x:v>Landing_BPM</x:v>
      </x:c>
      <x:c r="G80" t="str" s="2">
        <x:v>Trey Rixleben</x:v>
      </x:c>
      <x:c r="H80" s="6">
        <x:v>46282.69021542824</x:v>
      </x:c>
      <x:c r="I80" t="str" s="2">
        <x:v>Trey Rixleben</x:v>
      </x:c>
      <x:c r="J80" s="6">
        <x:v>46291.8125</x:v>
      </x:c>
      <x:c r="K80" s="0"/>
      <x:c r="L80" t="str" s="2">
        <x:v>Appointment Set</x:v>
      </x:c>
    </x:row>
    <x:row r="81">
      <x:c r="A81" t="str" s="2">
        <x:f>=HYPERLINK("https://rsms.futurehomex.com/lead/40113", "Daniel Alexander")</x:f>
      </x:c>
      <x:c r="B81" t="str" s="2">
        <x:v>Heritage Housing of Oklahoma City</x:v>
      </x:c>
      <x:c r="C81" t="str" s="2">
        <x:v/>
      </x:c>
      <x:c r="D81" t="str" s="2">
        <x:v>4054319980</x:v>
      </x:c>
      <x:c r="E81" t="str" s="2">
        <x:v>Daniel.r.alexander05@gmail.com</x:v>
      </x:c>
      <x:c r="F81" t="str" s="2">
        <x:v>Financing Form</x:v>
      </x:c>
      <x:c r="G81" t="str" s="2">
        <x:v>Trey Rixleben</x:v>
      </x:c>
      <x:c r="H81" s="6">
        <x:v>46282.833280011575</x:v>
      </x:c>
      <x:c r="I81" t="str" s="2">
        <x:v>Trey Rixleben</x:v>
      </x:c>
      <x:c r="J81" s="6">
        <x:v>46283.583333333336</x:v>
      </x:c>
      <x:c r="K81" s="0"/>
      <x:c r="L81" t="str" s="2">
        <x:v>Appointment Set</x:v>
      </x:c>
    </x:row>
    <x:row r="82">
      <x:c r="A82" t="str" s="2">
        <x:f>=HYPERLINK("https://rsms.futurehomex.com/lead/40312", "John Autrey")</x:f>
      </x:c>
      <x:c r="B82" t="str" s="2">
        <x:v>Heritage Housing of Athens</x:v>
      </x:c>
      <x:c r="C82" t="str" s="2">
        <x:v>0/4</x:v>
      </x:c>
      <x:c r="D82" t="str" s="2">
        <x:v>6787513763</x:v>
      </x:c>
      <x:c r="E82" t="str" s="2">
        <x:v>johnautrey72@gmail.com</x:v>
      </x:c>
      <x:c r="F82" t="str" s="2">
        <x:v>Landing_BPM</x:v>
      </x:c>
      <x:c r="G82" t="str" s="2">
        <x:v>Ethan Fossett</x:v>
      </x:c>
      <x:c r="H82" s="6">
        <x:v>46283.04755717592</x:v>
      </x:c>
      <x:c r="I82" t="str" s="2">
        <x:v>Ethan Fossett</x:v>
      </x:c>
      <x:c r="J82" s="6">
        <x:v>46289.791666666664</x:v>
      </x:c>
      <x:c r="K82" s="6">
        <x:v>46295.67347809028</x:v>
      </x:c>
      <x:c r="L82" t="str" s="2">
        <x:v>Appointment Set</x:v>
      </x:c>
    </x:row>
    <x:row r="83">
      <x:c r="A83" t="str" s="2">
        <x:f>=HYPERLINK("https://rsms.futurehomex.com/lead/40124", "Terresa Mayo")</x:f>
      </x:c>
      <x:c r="B83" t="str" s="2">
        <x:v>Heritage Housing of Albany</x:v>
      </x:c>
      <x:c r="C83" t="str" s="2">
        <x:v/>
      </x:c>
      <x:c r="D83" t="str" s="2">
        <x:v>2294060667</x:v>
      </x:c>
      <x:c r="E83" t="str" s="2">
        <x:v>2294060667</x:v>
      </x:c>
      <x:c r="F83" t="str" s="2">
        <x:v>Facebook Messenger</x:v>
      </x:c>
      <x:c r="G83" t="str" s="2">
        <x:v>Yanet Alvarez</x:v>
      </x:c>
      <x:c r="H83" s="6">
        <x:v>46283.550664965274</x:v>
      </x:c>
      <x:c r="I83" t="str" s="2">
        <x:v>Alexander Bryant</x:v>
      </x:c>
      <x:c r="J83" s="6">
        <x:v>46284.75</x:v>
      </x:c>
      <x:c r="K83" s="6">
        <x:v>46283.550664965274</x:v>
      </x:c>
      <x:c r="L83" t="str" s="2">
        <x:v>Appointment Set</x:v>
      </x:c>
    </x:row>
    <x:row r="84">
      <x:c r="A84" t="str" s="2">
        <x:f>=HYPERLINK("https://rsms.futurehomex.com/lead/40156", "Jayson Yeary")</x:f>
      </x:c>
      <x:c r="B84" t="str" s="2">
        <x:v>Heritage Housing of Oklahoma City</x:v>
      </x:c>
      <x:c r="C84" t="str" s="2">
        <x:v/>
      </x:c>
      <x:c r="D84" t="str" s="2">
        <x:v>4055359623</x:v>
      </x:c>
      <x:c r="E84" t="str" s="2">
        <x:v>j.yeary1181@gmail.com</x:v>
      </x:c>
      <x:c r="F84" t="str" s="2">
        <x:v>LandingPage</x:v>
      </x:c>
      <x:c r="G84" t="str" s="2">
        <x:v>Trey Rixleben</x:v>
      </x:c>
      <x:c r="H84" s="6">
        <x:v>46283.736203472225</x:v>
      </x:c>
      <x:c r="I84" t="str" s="2">
        <x:v>Trey Rixleben</x:v>
      </x:c>
      <x:c r="J84" s="6">
        <x:v>46291.666666666664</x:v>
      </x:c>
      <x:c r="K84" s="0"/>
      <x:c r="L84" t="str" s="2">
        <x:v>Appointment Set</x:v>
      </x:c>
    </x:row>
    <x:row r="85">
      <x:c r="A85" t="str" s="2">
        <x:f>=HYPERLINK("https://rsms.futurehomex.com/lead/40332", "Dennis Milligan")</x:f>
      </x:c>
      <x:c r="B85" t="str" s="2">
        <x:v>Heritage Housing of Athens</x:v>
      </x:c>
      <x:c r="C85" t="str" s="2">
        <x:v/>
      </x:c>
      <x:c r="D85" t="str" s="2">
        <x:v>7709102617</x:v>
      </x:c>
      <x:c r="E85" t="str" s="2">
        <x:v>dtmilligan1245@att.net</x:v>
      </x:c>
      <x:c r="F85" t="str" s="2">
        <x:v>Bing - Search</x:v>
      </x:c>
      <x:c r="G85" t="str" s="2">
        <x:v>Ethan Fossett</x:v>
      </x:c>
      <x:c r="H85" s="6">
        <x:v>46284.561072766206</x:v>
      </x:c>
      <x:c r="I85" t="str" s="2">
        <x:v>Ethan Fossett</x:v>
      </x:c>
      <x:c r="J85" s="6">
        <x:v>46290.666666666664</x:v>
      </x:c>
      <x:c r="K85" s="6">
        <x:v>46288.86439332176</x:v>
      </x:c>
      <x:c r="L85" t="str" s="2">
        <x:v>Appointment Set</x:v>
      </x:c>
    </x:row>
    <x:row r="86">
      <x:c r="A86" t="str" s="2">
        <x:f>=HYPERLINK("https://rsms.futurehomex.com/lead/40260", "Kenneth Mcnac")</x:f>
      </x:c>
      <x:c r="B86" t="str" s="2">
        <x:v>Heritage Housing Marble Falls</x:v>
      </x:c>
      <x:c r="C86" t="str" s="2">
        <x:v/>
      </x:c>
      <x:c r="D86" t="str" s="2">
        <x:v>9188403329</x:v>
      </x:c>
      <x:c r="E86" t="str" s="2">
        <x:v>kamcnac10@gmail.com</x:v>
      </x:c>
      <x:c r="F86" t="str" s="2">
        <x:v>Landing_BPM</x:v>
      </x:c>
      <x:c r="G86" t="str" s="2">
        <x:v>Stephen Sanders</x:v>
      </x:c>
      <x:c r="H86" s="6">
        <x:v>46284.94753827546</x:v>
      </x:c>
      <x:c r="I86" t="str" s="2">
        <x:v>Yarelis Torres</x:v>
      </x:c>
      <x:c r="J86" s="6">
        <x:v>46287.854166666664</x:v>
      </x:c>
      <x:c r="K86" s="6">
        <x:v>46286.78123356481</x:v>
      </x:c>
      <x:c r="L86" t="str" s="2">
        <x:v>Appointment Set</x:v>
      </x:c>
    </x:row>
    <x:row r="87">
      <x:c r="A87" t="str" s="2">
        <x:f>=HYPERLINK("https://rsms.futurehomex.com/lead/40213", "Tony 1")</x:f>
      </x:c>
      <x:c r="B87" t="str" s="2">
        <x:v>Heritage Housing of Albany</x:v>
      </x:c>
      <x:c r="C87" t="str" s="2">
        <x:v/>
      </x:c>
      <x:c r="D87" t="str" s="2">
        <x:v>2292237171</x:v>
      </x:c>
      <x:c r="E87" t="str" s="2">
        <x:v>2292237171</x:v>
      </x:c>
      <x:c r="F87" t="str" s="2">
        <x:v>Walk-in</x:v>
      </x:c>
      <x:c r="G87" t="str" s="2">
        <x:v>Yanet Alvarez</x:v>
      </x:c>
      <x:c r="H87" s="6">
        <x:v>46285.773554085645</x:v>
      </x:c>
      <x:c r="I87" t="str" s="2">
        <x:v>Alexander Bryant</x:v>
      </x:c>
      <x:c r="J87" s="6">
        <x:v>46291.729166666664</x:v>
      </x:c>
      <x:c r="K87" s="6">
        <x:v>46285.773554085645</x:v>
      </x:c>
      <x:c r="L87" t="str" s="2">
        <x:v>Appointment Set</x:v>
      </x:c>
    </x:row>
    <x:row r="88">
      <x:c r="A88" t="str" s="2">
        <x:f>=HYPERLINK("https://rsms.futurehomex.com/lead/40410", "Tammy Stiller")</x:f>
      </x:c>
      <x:c r="B88" t="str" s="2">
        <x:v>Heritage Housing of Athens</x:v>
      </x:c>
      <x:c r="C88" t="str" s="2">
        <x:v/>
      </x:c>
      <x:c r="D88" t="str" s="2">
        <x:v>4708590719</x:v>
      </x:c>
      <x:c r="E88" t="str" s="2">
        <x:v>tmanbp19@gmail.com</x:v>
      </x:c>
      <x:c r="F88" t="str" s="2">
        <x:v>Youtube</x:v>
      </x:c>
      <x:c r="G88" t="str" s="2">
        <x:v>Ethan Fossett</x:v>
      </x:c>
      <x:c r="H88" s="6">
        <x:v>46286.96322878472</x:v>
      </x:c>
      <x:c r="I88" t="str" s="2">
        <x:v>Ethan Fossett</x:v>
      </x:c>
      <x:c r="J88" s="6">
        <x:v>46297.833333333336</x:v>
      </x:c>
      <x:c r="K88" s="6">
        <x:v>46293.59607491898</x:v>
      </x:c>
      <x:c r="L88" t="str" s="2">
        <x:v>Appointment Set</x:v>
      </x:c>
    </x:row>
    <x:row r="89">
      <x:c r="A89" t="str" s="2">
        <x:f>=HYPERLINK("https://rsms.futurehomex.com/lead/40287", "Ciera Andrews")</x:f>
      </x:c>
      <x:c r="B89" t="str" s="2">
        <x:v>Heritage Housing of Oklahoma City</x:v>
      </x:c>
      <x:c r="C89" t="str" s="2">
        <x:v/>
      </x:c>
      <x:c r="D89" t="str" s="2">
        <x:v>4054500528</x:v>
      </x:c>
      <x:c r="E89" t="str" s="2">
        <x:v>cieraandrews37@gmail.com</x:v>
      </x:c>
      <x:c r="F89" t="str" s="2">
        <x:v>Facebook Messenger</x:v>
      </x:c>
      <x:c r="G89" t="str" s="2">
        <x:v>Trey Rixleben</x:v>
      </x:c>
      <x:c r="H89" s="6">
        <x:v>46288.58818665509</x:v>
      </x:c>
      <x:c r="I89" t="str" s="2">
        <x:v>Trey Rixleben</x:v>
      </x:c>
      <x:c r="J89" s="6">
        <x:v>46288.645833333336</x:v>
      </x:c>
      <x:c r="K89" s="6">
        <x:v>46288.58818665509</x:v>
      </x:c>
      <x:c r="L89" t="str" s="2">
        <x:v>Appointment Set</x:v>
      </x:c>
    </x:row>
    <x:row r="90">
      <x:c r="A90" t="str" s="2">
        <x:f>=HYPERLINK("https://rsms.futurehomex.com/lead/40296", "Jacob West")</x:f>
      </x:c>
      <x:c r="B90" t="str" s="2">
        <x:v>Heritage Housing Mt Pleasant</x:v>
      </x:c>
      <x:c r="C90" t="str" s="2">
        <x:v/>
      </x:c>
      <x:c r="D90" t="str" s="2">
        <x:v>5808506194</x:v>
      </x:c>
      <x:c r="E90" t="str" s="2">
        <x:v>5808506194</x:v>
      </x:c>
      <x:c r="F90" t="str" s="2">
        <x:v>Facebook Messenger</x:v>
      </x:c>
      <x:c r="G90" t="str" s="2">
        <x:v>Yarelis Torres</x:v>
      </x:c>
      <x:c r="H90" s="6">
        <x:v>46288.66500505787</x:v>
      </x:c>
      <x:c r="I90" t="str" s="2">
        <x:v>Yarelis Torres</x:v>
      </x:c>
      <x:c r="J90" s="6">
        <x:v>46290.625</x:v>
      </x:c>
      <x:c r="K90" s="6">
        <x:v>46288.66500505787</x:v>
      </x:c>
      <x:c r="L90" t="str" s="2">
        <x:v>Appointment Set</x:v>
      </x:c>
    </x:row>
    <x:row r="91">
      <x:c r="A91" t="str" s="2">
        <x:f>=HYPERLINK("https://rsms.futurehomex.com/lead/40753", "Destiny Walters")</x:f>
      </x:c>
      <x:c r="B91" t="str" s="2">
        <x:v>Heritage Housing of Oklahoma City</x:v>
      </x:c>
      <x:c r="C91" t="str" s="2">
        <x:v/>
      </x:c>
      <x:c r="D91" t="str" s="2">
        <x:v>4054003767</x:v>
      </x:c>
      <x:c r="E91" t="str" s="2">
        <x:v>4054003767</x:v>
      </x:c>
      <x:c r="F91" t="str" s="2">
        <x:v>Facebook Messenger</x:v>
      </x:c>
      <x:c r="G91" t="str" s="2">
        <x:v>Steve Castell</x:v>
      </x:c>
      <x:c r="H91" s="6">
        <x:v>46289.70782427083</x:v>
      </x:c>
      <x:c r="I91" t="str" s="2">
        <x:v>Steve Castell</x:v>
      </x:c>
      <x:c r="J91" s="6">
        <x:v>46313.770833333336</x:v>
      </x:c>
      <x:c r="K91" s="6">
        <x:v>46307.05449822917</x:v>
      </x:c>
      <x:c r="L91" t="str" s="2">
        <x:v>Appointment Set</x:v>
      </x:c>
    </x:row>
    <x:row r="92">
      <x:c r="A92" t="str" s="2">
        <x:f>=HYPERLINK("https://rsms.futurehomex.com/lead/40788", "Polly Porter")</x:f>
      </x:c>
      <x:c r="B92" t="str" s="2">
        <x:v>Heritage Housing of Athens</x:v>
      </x:c>
      <x:c r="C92" t="str" s="2">
        <x:v/>
      </x:c>
      <x:c r="D92" t="str" s="2">
        <x:v>7063474824</x:v>
      </x:c>
      <x:c r="E92" t="str" s="2">
        <x:v>pollyporter3@gmail.com</x:v>
      </x:c>
      <x:c r="F92" t="str" s="2">
        <x:v>Landing_BPM</x:v>
      </x:c>
      <x:c r="G92" t="str" s="2">
        <x:v>Ethan Fossett</x:v>
      </x:c>
      <x:c r="H92" s="6">
        <x:v>46292.890293055556</x:v>
      </x:c>
      <x:c r="I92" t="str" s="2">
        <x:v>Ethan Fossett</x:v>
      </x:c>
      <x:c r="J92" s="6">
        <x:v>46312.666666666664</x:v>
      </x:c>
      <x:c r="K92" s="6">
        <x:v>46307.938794988426</x:v>
      </x:c>
      <x:c r="L92" t="str" s="2">
        <x:v>Appointment Set</x:v>
      </x:c>
    </x:row>
    <x:row r="93">
      <x:c r="A93" t="str" s="2">
        <x:f>=HYPERLINK("https://rsms.futurehomex.com/lead/40501", "JERRY BROWN BROWN")</x:f>
      </x:c>
      <x:c r="B93" t="str" s="2">
        <x:v>Heritage Housing of Asheboro</x:v>
      </x:c>
      <x:c r="C93" t="str" s="2">
        <x:v/>
      </x:c>
      <x:c r="D93" t="str" s="2">
        <x:v>4048079259</x:v>
      </x:c>
      <x:c r="E93" t="str" s="2">
        <x:v>jbrown6689@yahoo.com</x:v>
      </x:c>
      <x:c r="F93" t="str" s="2">
        <x:v>Landing_BPM</x:v>
      </x:c>
      <x:c r="G93" t="str" s="2">
        <x:v>Kate Gutierrez</x:v>
      </x:c>
      <x:c r="H93" s="6">
        <x:v>46294.28760038195</x:v>
      </x:c>
      <x:c r="I93" t="str" s="2">
        <x:v>Kate Gutierrez</x:v>
      </x:c>
      <x:c r="J93" s="6">
        <x:v>46323.791666666664</x:v>
      </x:c>
      <x:c r="K93" s="6">
        <x:v>46297.79871728009</x:v>
      </x:c>
      <x:c r="L93" t="str" s="2">
        <x:v>Appointment Set</x:v>
      </x:c>
    </x:row>
    <x:row r="94">
      <x:c r="A94" t="str" s="2">
        <x:f>=HYPERLINK("https://rsms.futurehomex.com/lead/40445", "Gary &amp; Judy Williams")</x:f>
      </x:c>
      <x:c r="B94" t="str" s="2">
        <x:v>Heritage Housing of Oklahoma City</x:v>
      </x:c>
      <x:c r="C94" t="str" s="2">
        <x:v/>
      </x:c>
      <x:c r="D94" t="str" s="2">
        <x:v>4792202759</x:v>
      </x:c>
      <x:c r="E94" t="str" s="2">
        <x:v>4792202759</x:v>
      </x:c>
      <x:c r="F94" t="str" s="2">
        <x:v>Facebook Messenger</x:v>
      </x:c>
      <x:c r="G94" t="str" s="2">
        <x:v>Steve Castell</x:v>
      </x:c>
      <x:c r="H94" s="6">
        <x:v>46294.6945877662</x:v>
      </x:c>
      <x:c r="I94" t="str" s="2">
        <x:v>Steve Castell</x:v>
      </x:c>
      <x:c r="J94" s="6">
        <x:v>46305.854166666664</x:v>
      </x:c>
      <x:c r="K94" s="6">
        <x:v>46294.6945877662</x:v>
      </x:c>
      <x:c r="L94" t="str" s="2">
        <x:v>Appointment Set</x:v>
      </x:c>
    </x:row>
    <x:row r="95">
      <x:c r="A95" t="str" s="2">
        <x:f>=HYPERLINK("https://rsms.futurehomex.com/lead/40446", "Robert Guzman")</x:f>
      </x:c>
      <x:c r="B95" t="str" s="2">
        <x:v>Heritage Housing Mt Pleasant</x:v>
      </x:c>
      <x:c r="C95" t="str" s="2">
        <x:v/>
      </x:c>
      <x:c r="D95" t="str" s="2">
        <x:v>5806120457</x:v>
      </x:c>
      <x:c r="E95" t="str" s="2">
        <x:v>5806120457</x:v>
      </x:c>
      <x:c r="F95" t="str" s="2">
        <x:v>Office Hot Calls</x:v>
      </x:c>
      <x:c r="G95" t="str" s="2">
        <x:v>Yarelis Torres</x:v>
      </x:c>
      <x:c r="H95" s="6">
        <x:v>46294.69951119213</x:v>
      </x:c>
      <x:c r="I95" t="str" s="2">
        <x:v>Yarelis Torres</x:v>
      </x:c>
      <x:c r="J95" s="6">
        <x:v>46295.75</x:v>
      </x:c>
      <x:c r="K95" s="6">
        <x:v>46294.69951119213</x:v>
      </x:c>
      <x:c r="L95" t="str" s="2">
        <x:v>Appointment Set</x:v>
      </x:c>
    </x:row>
    <x:row r="96">
      <x:c r="A96" t="str" s="2">
        <x:f>=HYPERLINK("https://rsms.futurehomex.com/lead/40490", "Kayshon Berry")</x:f>
      </x:c>
      <x:c r="B96" t="str" s="2">
        <x:v>Heritage Housing of Oklahoma City</x:v>
      </x:c>
      <x:c r="C96" t="str" s="2">
        <x:v/>
      </x:c>
      <x:c r="D96" t="str" s="2">
        <x:v>4056695164</x:v>
      </x:c>
      <x:c r="E96" t="str" s="2">
        <x:v>kayshonasberry123@icloud.com</x:v>
      </x:c>
      <x:c r="F96" t="str" s="2">
        <x:v>Office Hot Calls</x:v>
      </x:c>
      <x:c r="G96" t="str" s="2">
        <x:v>Trey Rixleben</x:v>
      </x:c>
      <x:c r="H96" s="6">
        <x:v>46295.75566767361</x:v>
      </x:c>
      <x:c r="I96" t="str" s="2">
        <x:v>Trey Rixleben</x:v>
      </x:c>
      <x:c r="J96" s="6">
        <x:v>46295.791666666664</x:v>
      </x:c>
      <x:c r="K96" s="6">
        <x:v>46295.75566767361</x:v>
      </x:c>
      <x:c r="L96" t="str" s="2">
        <x:v>Appointment Set</x:v>
      </x:c>
    </x:row>
    <x:row r="97">
      <x:c r="A97" t="str" s="2">
        <x:f>=HYPERLINK("https://rsms.futurehomex.com/lead/40512", "Jerome Anderson")</x:f>
      </x:c>
      <x:c r="B97" t="str" s="2">
        <x:v>Heritage Housing of Athens</x:v>
      </x:c>
      <x:c r="C97" t="str" s="2">
        <x:v/>
      </x:c>
      <x:c r="D97" t="str" s="2">
        <x:v>7068181166</x:v>
      </x:c>
      <x:c r="E97" t="str" s="2">
        <x:v>jeromeanderson602@gmail.com</x:v>
      </x:c>
      <x:c r="F97" t="str" s="2">
        <x:v>Landing_BPM</x:v>
      </x:c>
      <x:c r="G97" t="str" s="2">
        <x:v>Ethan Fossett</x:v>
      </x:c>
      <x:c r="H97" s="6">
        <x:v>46296.584120451385</x:v>
      </x:c>
      <x:c r="I97" t="str" s="2">
        <x:v>Ethan Fossett</x:v>
      </x:c>
      <x:c r="J97" s="6">
        <x:v>46298.708333333336</x:v>
      </x:c>
      <x:c r="K97" s="6">
        <x:v>46296.760136770834</x:v>
      </x:c>
      <x:c r="L97" t="str" s="2">
        <x:v>Appointment Set</x:v>
      </x:c>
    </x:row>
    <x:row r="98">
      <x:c r="A98" t="str" s="2">
        <x:f>=HYPERLINK("https://rsms.futurehomex.com/lead/40767", "Roger Stubbs")</x:f>
      </x:c>
      <x:c r="B98" t="str" s="2">
        <x:v>Heritage Housing of Albany</x:v>
      </x:c>
      <x:c r="C98" t="str" s="2">
        <x:v>1/1</x:v>
      </x:c>
      <x:c r="D98" t="str" s="2">
        <x:v>4786628575</x:v>
      </x:c>
      <x:c r="E98" t="str" s="2">
        <x:v>travis.stubbs@gmil.com</x:v>
      </x:c>
      <x:c r="F98" t="str" s="2">
        <x:v>Website</x:v>
      </x:c>
      <x:c r="G98" t="str" s="2">
        <x:v>Yanet Alvarez</x:v>
      </x:c>
      <x:c r="H98" s="6">
        <x:v>46298.554022337965</x:v>
      </x:c>
      <x:c r="I98" t="str" s="2">
        <x:v>Yanet Alvarez</x:v>
      </x:c>
      <x:c r="J98" s="6">
        <x:v>46318.5</x:v>
      </x:c>
      <x:c r="K98" s="6">
        <x:v>46307</x:v>
      </x:c>
      <x:c r="L98" t="str" s="2">
        <x:v>Appointment Set</x:v>
      </x:c>
    </x:row>
    <x:row r="99">
      <x:c r="A99" t="str" s="2">
        <x:f>=HYPERLINK("https://rsms.futurehomex.com/lead/40561", "Lucas Sharp")</x:f>
      </x:c>
      <x:c r="B99" t="str" s="2">
        <x:v>Heritage Housing of Oklahoma City</x:v>
      </x:c>
      <x:c r="C99" t="str" s="2">
        <x:v/>
      </x:c>
      <x:c r="D99" t="str" s="2">
        <x:v>5397660413</x:v>
      </x:c>
      <x:c r="E99" t="str" s="2">
        <x:v>Lucas_sharp@myyahoo.com</x:v>
      </x:c>
      <x:c r="F99" t="str" s="2">
        <x:v>Landing_BPM</x:v>
      </x:c>
      <x:c r="G99" t="str" s="2">
        <x:v>Trey Rixleben</x:v>
      </x:c>
      <x:c r="H99" s="6">
        <x:v>46298.7193903125</x:v>
      </x:c>
      <x:c r="I99" t="str" s="2">
        <x:v>Trey Rixleben</x:v>
      </x:c>
      <x:c r="J99" s="6">
        <x:v>46302.708333333336</x:v>
      </x:c>
      <x:c r="K99" s="0"/>
      <x:c r="L99" t="str" s="2">
        <x:v>Appointment Set</x:v>
      </x:c>
    </x:row>
    <x:row r="100">
      <x:c r="A100" t="str" s="2">
        <x:f>=HYPERLINK("https://rsms.futurehomex.com/lead/40581", "Joshua Baker")</x:f>
      </x:c>
      <x:c r="B100" t="str" s="2">
        <x:v>Heritage Housing of Oklahoma City</x:v>
      </x:c>
      <x:c r="C100" t="str" s="2">
        <x:v/>
      </x:c>
      <x:c r="D100" t="str" s="2">
        <x:v>5802781497</x:v>
      </x:c>
      <x:c r="E100" t="str" s="2">
        <x:v>braxtonscarbrough@gmail.com</x:v>
      </x:c>
      <x:c r="F100" t="str" s="2">
        <x:v>Website</x:v>
      </x:c>
      <x:c r="G100" t="str" s="2">
        <x:v>Steve Castell</x:v>
      </x:c>
      <x:c r="H100" s="6">
        <x:v>46298.754180868054</x:v>
      </x:c>
      <x:c r="I100" t="str" s="2">
        <x:v>Steve Castell</x:v>
      </x:c>
      <x:c r="J100" s="6">
        <x:v>46307.9375</x:v>
      </x:c>
      <x:c r="K100" s="6">
        <x:v>46300.64267369213</x:v>
      </x:c>
      <x:c r="L100" t="str" s="2">
        <x:v>Appointment Set</x:v>
      </x:c>
    </x:row>
    <x:row r="101">
      <x:c r="A101" t="str" s="2">
        <x:f>=HYPERLINK("https://rsms.futurehomex.com/lead/40593", "Yasha Shine")</x:f>
      </x:c>
      <x:c r="B101" t="str" s="2">
        <x:v>Heritage Housing of Athens</x:v>
      </x:c>
      <x:c r="C101" t="str" s="2">
        <x:v/>
      </x:c>
      <x:c r="D101" t="str" s="2">
        <x:v>6268147850</x:v>
      </x:c>
      <x:c r="E101" t="str" s="2">
        <x:v>yashapaul@fuller.edu</x:v>
      </x:c>
      <x:c r="F101" t="str" s="2">
        <x:v>Website</x:v>
      </x:c>
      <x:c r="G101" t="str" s="2">
        <x:v>Ethan Fossett</x:v>
      </x:c>
      <x:c r="H101" s="6">
        <x:v>46299.07021315972</x:v>
      </x:c>
      <x:c r="I101" t="str" s="2">
        <x:v>Ethan Fossett</x:v>
      </x:c>
      <x:c r="J101" s="6">
        <x:v>46304.708333333336</x:v>
      </x:c>
      <x:c r="K101" s="6">
        <x:v>46300.81156782407</x:v>
      </x:c>
      <x:c r="L101" t="str" s="2">
        <x:v>Appointment Set</x:v>
      </x:c>
    </x:row>
    <x:row r="102">
      <x:c r="A102" t="str" s="2">
        <x:f>=HYPERLINK("https://rsms.futurehomex.com/lead/40620", "Amy Leach")</x:f>
      </x:c>
      <x:c r="B102" t="str" s="2">
        <x:v>Heritage Housing of Athens</x:v>
      </x:c>
      <x:c r="C102" t="str" s="2">
        <x:v/>
      </x:c>
      <x:c r="D102" t="str" s="2">
        <x:v>7068163366</x:v>
      </x:c>
      <x:c r="E102" t="str" s="2">
        <x:v>apleach71@gmail.com</x:v>
      </x:c>
      <x:c r="F102" t="str" s="2">
        <x:v>Financing Form</x:v>
      </x:c>
      <x:c r="G102" t="str" s="2">
        <x:v>Ethan Fossett</x:v>
      </x:c>
      <x:c r="H102" s="6">
        <x:v>46299.92684695602</x:v>
      </x:c>
      <x:c r="I102" t="str" s="2">
        <x:v>Ethan Fossett</x:v>
      </x:c>
      <x:c r="J102" s="6">
        <x:v>46305.791666666664</x:v>
      </x:c>
      <x:c r="K102" s="6">
        <x:v>46301.91355084491</x:v>
      </x:c>
      <x:c r="L102" t="str" s="2">
        <x:v>Appointment Set</x:v>
      </x:c>
    </x:row>
    <x:row r="103">
      <x:c r="A103" t="str" s="2">
        <x:f>=HYPERLINK("https://rsms.futurehomex.com/lead/40617", "Ranger Rick")</x:f>
      </x:c>
      <x:c r="B103" t="str" s="2">
        <x:v>Heritage Housing of Oklahoma City</x:v>
      </x:c>
      <x:c r="C103" t="str" s="2">
        <x:v/>
      </x:c>
      <x:c r="D103" t="str" s="2">
        <x:v>4055503036</x:v>
      </x:c>
      <x:c r="E103" t="str" s="2">
        <x:v>4055410527</x:v>
      </x:c>
      <x:c r="F103" t="str" s="2">
        <x:v>Walk-in</x:v>
      </x:c>
      <x:c r="G103" t="str" s="2">
        <x:v>Devon McCoy</x:v>
      </x:c>
      <x:c r="H103" s="6">
        <x:v>46301.886365162034</x:v>
      </x:c>
      <x:c r="I103" t="str" s="2">
        <x:v>Devon McCoy</x:v>
      </x:c>
      <x:c r="J103" s="6">
        <x:v>46309.708333333336</x:v>
      </x:c>
      <x:c r="K103" s="6">
        <x:v>46301.886365162034</x:v>
      </x:c>
      <x:c r="L103" t="str" s="2">
        <x:v>Appointment Set</x:v>
      </x:c>
    </x:row>
    <x:row r="104">
      <x:c r="A104" t="str" s="2">
        <x:f>=HYPERLINK("https://rsms.futurehomex.com/lead/40625", "Michael Mcgee")</x:f>
      </x:c>
      <x:c r="B104" t="str" s="2">
        <x:v>Heritage Housing of Augusta</x:v>
      </x:c>
      <x:c r="C104" t="str" s="2">
        <x:v/>
      </x:c>
      <x:c r="D104" t="str" s="2">
        <x:v>8036346941</x:v>
      </x:c>
      <x:c r="E104" t="str" s="2">
        <x:v>mjm195661@gmail.com</x:v>
      </x:c>
      <x:c r="F104" t="str" s="2">
        <x:v>Website</x:v>
      </x:c>
      <x:c r="G104" t="str" s="2">
        <x:v>Jennifer Johnson</x:v>
      </x:c>
      <x:c r="H104" s="6">
        <x:v>46302.611808877315</x:v>
      </x:c>
      <x:c r="I104" t="str" s="2">
        <x:v>Jennifer Johnson</x:v>
      </x:c>
      <x:c r="J104" s="6">
        <x:v>46308.625</x:v>
      </x:c>
      <x:c r="K104" s="6">
        <x:v>46302.611808877315</x:v>
      </x:c>
      <x:c r="L104" t="str" s="2">
        <x:v>Appointment Set</x:v>
      </x:c>
    </x:row>
    <x:row r="105">
      <x:c r="A105" t="str" s="2">
        <x:f>=HYPERLINK("https://rsms.futurehomex.com/lead/40634", "Stephanie Miller")</x:f>
      </x:c>
      <x:c r="B105" t="str" s="2">
        <x:v>Heritage Housing of Augusta</x:v>
      </x:c>
      <x:c r="C105" t="str" s="2">
        <x:v/>
      </x:c>
      <x:c r="D105" t="str" s="2">
        <x:v>4782324824</x:v>
      </x:c>
      <x:c r="E105" t="str" s="2">
        <x:v>sbra1232@gmail.com</x:v>
      </x:c>
      <x:c r="F105" t="str" s="2">
        <x:v>Financing Form</x:v>
      </x:c>
      <x:c r="G105" t="str" s="2">
        <x:v>Jennifer Johnson</x:v>
      </x:c>
      <x:c r="H105" s="6">
        <x:v>46302.73338391204</x:v>
      </x:c>
      <x:c r="I105" t="str" s="2">
        <x:v>Jennifer Johnson</x:v>
      </x:c>
      <x:c r="J105" s="6">
        <x:v>46305.625</x:v>
      </x:c>
      <x:c r="K105" s="0"/>
      <x:c r="L105" t="str" s="2">
        <x:v>Appointment Set</x:v>
      </x:c>
    </x:row>
    <x:row r="106">
      <x:c r="A106" t="str" s="2">
        <x:f>=HYPERLINK("https://rsms.futurehomex.com/lead/40730", "Sara Cervantes")</x:f>
      </x:c>
      <x:c r="B106" t="str" s="2">
        <x:v>Heritage Housing of Oklahoma City</x:v>
      </x:c>
      <x:c r="C106" t="str" s="2">
        <x:v/>
      </x:c>
      <x:c r="D106" t="str" s="2">
        <x:v>4055197263</x:v>
      </x:c>
      <x:c r="E106" t="str" s="2">
        <x:v>sarakayehill33@gmail.com</x:v>
      </x:c>
      <x:c r="F106" t="str" s="2">
        <x:v>Landing_BPM</x:v>
      </x:c>
      <x:c r="G106" t="str" s="2">
        <x:v>Trey Rixleben</x:v>
      </x:c>
      <x:c r="H106" s="6">
        <x:v>46305.54107835648</x:v>
      </x:c>
      <x:c r="I106" t="str" s="2">
        <x:v>Trey Rixleben</x:v>
      </x:c>
      <x:c r="J106" s="6">
        <x:v>46308.75</x:v>
      </x:c>
      <x:c r="K106" s="0"/>
      <x:c r="L106" t="str" s="2">
        <x:v>Appointment Set</x:v>
      </x:c>
    </x:row>
    <x:row r="107">
      <x:c r="A107" t="str" s="2">
        <x:f>=HYPERLINK("https://rsms.futurehomex.com/lead/40754", "Clifton Richards")</x:f>
      </x:c>
      <x:c r="B107" t="str" s="2">
        <x:v>Heritage Housing of Albany</x:v>
      </x:c>
      <x:c r="C107" t="str" s="2">
        <x:v/>
      </x:c>
      <x:c r="D107" t="str" s="2">
        <x:v>2299386590</x:v>
      </x:c>
      <x:c r="E107" t="str" s="2">
        <x:v>taighlor1992@gmail.com</x:v>
      </x:c>
      <x:c r="F107" t="str" s="2">
        <x:v>Financing Form</x:v>
      </x:c>
      <x:c r="G107" t="str" s="2">
        <x:v>Yanet Alvarez</x:v>
      </x:c>
      <x:c r="H107" s="6">
        <x:v>46305.914653506945</x:v>
      </x:c>
      <x:c r="I107" t="str" s="2">
        <x:v>Yanet Alvarez</x:v>
      </x:c>
      <x:c r="J107" s="6">
        <x:v>46312.541666666664</x:v>
      </x:c>
      <x:c r="K107" s="6">
        <x:v>46307</x:v>
      </x:c>
      <x:c r="L107" t="str" s="2">
        <x:v>Appointment Set</x:v>
      </x:c>
    </x:row>
    <x:row r="108">
      <x:c r="A108" t="str" s="2">
        <x:f>=HYPERLINK("https://rsms.futurehomex.com/lead/40757", "Annie Mills")</x:f>
      </x:c>
      <x:c r="B108" t="str" s="2">
        <x:v>Heritage Housing of Albany</x:v>
      </x:c>
      <x:c r="C108" t="str" s="2">
        <x:v/>
      </x:c>
      <x:c r="D108" t="str" s="2">
        <x:v>2294050699</x:v>
      </x:c>
      <x:c r="E108" t="str" s="2">
        <x:v>anniemills2026@gmail.com</x:v>
      </x:c>
      <x:c r="F108" t="str" s="2">
        <x:v>Landing_BPM</x:v>
      </x:c>
      <x:c r="G108" t="str" s="2">
        <x:v>Yanet Alvarez</x:v>
      </x:c>
      <x:c r="H108" s="6">
        <x:v>46306.61451354167</x:v>
      </x:c>
      <x:c r="I108" t="str" s="2">
        <x:v>Yanet Alvarez</x:v>
      </x:c>
      <x:c r="J108" s="6">
        <x:v>46312.75</x:v>
      </x:c>
      <x:c r="K108" s="6">
        <x:v>46307</x:v>
      </x:c>
      <x:c r="L108" t="str" s="2">
        <x:v>Appointment Set</x:v>
      </x:c>
    </x:row>
    <x:row r="109">
      <x:c r="A109" t="str" s="2">
        <x:f>=HYPERLINK("https://rsms.futurehomex.com/lead/40748", "Alba Carbajal Carbajal")</x:f>
      </x:c>
      <x:c r="B109" t="str" s="2">
        <x:v>Heritage Housing of Oklahoma City</x:v>
      </x:c>
      <x:c r="C109" t="str" s="2">
        <x:v/>
      </x:c>
      <x:c r="D109" t="str" s="2">
        <x:v>4704166432</x:v>
      </x:c>
      <x:c r="E109" t="str" s="2">
        <x:v>albaeduardo1201@gmail.com</x:v>
      </x:c>
      <x:c r="F109" t="str" s="2">
        <x:v>Landing_BPM</x:v>
      </x:c>
      <x:c r="G109" t="str" s="2">
        <x:v>Steve Castell</x:v>
      </x:c>
      <x:c r="H109" s="6">
        <x:v>46307.08084440972</x:v>
      </x:c>
      <x:c r="I109" t="str" s="2">
        <x:v>Steve Castell</x:v>
      </x:c>
      <x:c r="J109" s="6">
        <x:v>46312.229166666664</x:v>
      </x:c>
      <x:c r="K109" s="0"/>
      <x:c r="L109" t="str" s="2">
        <x:v>Appointment Set</x:v>
      </x:c>
    </x:row>
    <x:row r="110">
      <x:c r="A110" t="str" s="2">
        <x:f>=HYPERLINK("https://rsms.futurehomex.com/lead/40764", "Kim Gilbreath")</x:f>
      </x:c>
      <x:c r="B110" t="str" s="2">
        <x:v>Heritage Housing of Oklahoma City</x:v>
      </x:c>
      <x:c r="C110" t="str" s="2">
        <x:v/>
      </x:c>
      <x:c r="D110" t="str" s="2">
        <x:v>5722288890</x:v>
      </x:c>
      <x:c r="E110" t="str" s="2">
        <x:v>5722288890</x:v>
      </x:c>
      <x:c r="F110" t="str" s="2">
        <x:v>Facebook Messenger</x:v>
      </x:c>
      <x:c r="G110" t="str" s="2">
        <x:v>Devon McCoy</x:v>
      </x:c>
      <x:c r="H110" s="6">
        <x:v>46307.81529857639</x:v>
      </x:c>
      <x:c r="I110" t="str" s="2">
        <x:v>Devon McCoy</x:v>
      </x:c>
      <x:c r="J110" s="6">
        <x:v>46308.791666666664</x:v>
      </x:c>
      <x:c r="K110" s="6">
        <x:v>46307.81529857639</x:v>
      </x:c>
      <x:c r="L110" t="str" s="2">
        <x:v>Appointment Set</x:v>
      </x:c>
    </x:row>
    <x:row r="111">
      <x:c r="A111" t="str" s="2">
        <x:f>=HYPERLINK("https://rsms.futurehomex.com/lead/40765", "Raphael Guillory Jr")</x:f>
      </x:c>
      <x:c r="B111" t="str" s="2">
        <x:v>Heritage Housing of Jennings</x:v>
      </x:c>
      <x:c r="C111" t="str" s="2">
        <x:v/>
      </x:c>
      <x:c r="D111" t="str" s="2">
        <x:v>3372294553</x:v>
      </x:c>
      <x:c r="E111" t="str" s="2">
        <x:v>rg@nomail.com</x:v>
      </x:c>
      <x:c r="F111" t="str" s="2">
        <x:v>Walk-in</x:v>
      </x:c>
      <x:c r="G111" t="str" s="2">
        <x:v>Clint O'Neal</x:v>
      </x:c>
      <x:c r="H111" s="6">
        <x:v>46307.82241956019</x:v>
      </x:c>
      <x:c r="I111" t="str" s="2">
        <x:v>Clint O'Neal</x:v>
      </x:c>
      <x:c r="J111" s="6">
        <x:v>46308.708333333336</x:v>
      </x:c>
      <x:c r="K111" s="6">
        <x:v>46307.82241956019</x:v>
      </x:c>
      <x:c r="L111" t="str" s="2">
        <x:v>Appointment Set</x:v>
      </x:c>
    </x:row>
    <x:row r="112">
      <x:c r="A112" t="str" s="2">
        <x:f>=HYPERLINK("https://rsms.futurehomex.com/lead/40782", "Tommy Roedell")</x:f>
      </x:c>
      <x:c r="B112" t="str" s="2">
        <x:v>Heritage Housing of Oklahoma City</x:v>
      </x:c>
      <x:c r="C112" t="str" s="2">
        <x:v/>
      </x:c>
      <x:c r="D112" t="str" s="2">
        <x:v>5807481100</x:v>
      </x:c>
      <x:c r="E112" t="str" s="2">
        <x:v>5807481100</x:v>
      </x:c>
      <x:c r="F112" t="str" s="2">
        <x:v>Facebook Messenger</x:v>
      </x:c>
      <x:c r="G112" t="str" s="2">
        <x:v>Steve Castell</x:v>
      </x:c>
      <x:c r="H112" s="6">
        <x:v>46307.92709262732</x:v>
      </x:c>
      <x:c r="I112" t="str" s="2">
        <x:v>Steve Castell</x:v>
      </x:c>
      <x:c r="J112" s="6">
        <x:v>46308.75</x:v>
      </x:c>
      <x:c r="K112" s="6">
        <x:v>46307.92709262732</x:v>
      </x:c>
      <x:c r="L112" t="str" s="2">
        <x:v>Appointment Set</x:v>
      </x:c>
    </x:row>
    <x:row r="113">
      <x:c r="A113" t="str" s="2">
        <x:f>="Jacqueline f Wise"</x:f>
      </x:c>
      <x:c r="B113" t="str" s="2">
        <x:v>Heritage Housing of Albany</x:v>
      </x:c>
      <x:c r="C113" t="str" s="2">
        <x:v>0/2</x:v>
      </x:c>
      <x:c r="D113" t="str" s="2">
        <x:v>2292129332</x:v>
      </x:c>
      <x:c r="E113" t="str" s="2">
        <x:v>wisejackie517@gmail.com</x:v>
      </x:c>
      <x:c r="F113" t="str" s="2">
        <x:v>Meta Ads - Forms</x:v>
      </x:c>
      <x:c r="G113" t="str" s="2">
        <x:v>Yanet Alvarez</x:v>
      </x:c>
      <x:c r="H113" s="6">
        <x:v>46204.075149571756</x:v>
      </x:c>
      <x:c r="I113" s="0"/>
      <x:c r="J113" s="0"/>
      <x:c r="K113" s="6">
        <x:v>46302.72980208333</x:v>
      </x:c>
      <x:c r="L113" t="str" s="2">
        <x:v>Contacted</x:v>
      </x:c>
    </x:row>
    <x:row r="114">
      <x:c r="A114" t="str" s="2">
        <x:f>="Shannon Tyler"</x:f>
      </x:c>
      <x:c r="B114" t="str" s="2">
        <x:v>Heritage Housing of Jennings</x:v>
      </x:c>
      <x:c r="C114" t="str" s="2">
        <x:v>0/5</x:v>
      </x:c>
      <x:c r="D114" t="str" s="2">
        <x:v>5044448474</x:v>
      </x:c>
      <x:c r="E114" t="str" s="2">
        <x:v>2yogibear2@gmail.com</x:v>
      </x:c>
      <x:c r="F114" t="str" s="2">
        <x:v>Meta Ads - Forms</x:v>
      </x:c>
      <x:c r="G114" t="str" s="2">
        <x:v>Clint O'Neal</x:v>
      </x:c>
      <x:c r="H114" s="6">
        <x:v>46204.2712193287</x:v>
      </x:c>
      <x:c r="I114" s="0"/>
      <x:c r="J114" s="0"/>
      <x:c r="K114" s="6">
        <x:v>46259.73508653935</x:v>
      </x:c>
      <x:c r="L114" t="str" s="2">
        <x:v>Contacted</x:v>
      </x:c>
    </x:row>
    <x:row r="115">
      <x:c r="A115" t="str" s="2">
        <x:f>="DoloresImpal +12752760121"</x:f>
      </x:c>
      <x:c r="B115" t="str" s="2">
        <x:v>Heritage Housing of Albany</x:v>
      </x:c>
      <x:c r="C115" t="str" s="2">
        <x:v/>
      </x:c>
      <x:c r="D115" t="str" s="2">
        <x:v>87627567245</x:v>
      </x:c>
      <x:c r="E115" t="str" s="2">
        <x:v>bjbxktn@avtfdbo.oxw</x:v>
      </x:c>
      <x:c r="F115" t="str" s="2">
        <x:v>Website</x:v>
      </x:c>
      <x:c r="G115" t="str" s="2">
        <x:v>Yanet Alvarez</x:v>
      </x:c>
      <x:c r="H115" s="6">
        <x:v>46204.27896431713</x:v>
      </x:c>
      <x:c r="I115" s="0"/>
      <x:c r="J115" s="0"/>
      <x:c r="K115" s="6">
        <x:v>46295.885116631944</x:v>
      </x:c>
      <x:c r="L115" t="str" s="2">
        <x:v>Contacted</x:v>
      </x:c>
    </x:row>
    <x:row r="116">
      <x:c r="A116" t="str" s="2">
        <x:f>="Sharon Bynum Johnson"</x:f>
      </x:c>
      <x:c r="B116" t="str" s="2">
        <x:v>Heritage Housing of Minden</x:v>
      </x:c>
      <x:c r="C116" t="str" s="2">
        <x:v>0/1</x:v>
      </x:c>
      <x:c r="D116" t="str" s="2">
        <x:v>8707373823</x:v>
      </x:c>
      <x:c r="E116" t="str" s="2">
        <x:v>bigmama19677@yahoo.com</x:v>
      </x:c>
      <x:c r="F116" t="str" s="2">
        <x:v>Meta Ads - Forms</x:v>
      </x:c>
      <x:c r="G116" t="str" s="2">
        <x:v>Patrick Schuchart</x:v>
      </x:c>
      <x:c r="H116" s="6">
        <x:v>46204.439127199075</x:v>
      </x:c>
      <x:c r="I116" s="0"/>
      <x:c r="J116" s="0"/>
      <x:c r="K116" s="6">
        <x:v>46246.81297820602</x:v>
      </x:c>
      <x:c r="L116" t="str" s="2">
        <x:v>Contacted</x:v>
      </x:c>
    </x:row>
    <x:row r="117">
      <x:c r="A117" t="str" s="2">
        <x:f>="Arianne Harris"</x:f>
      </x:c>
      <x:c r="B117" t="str" s="2">
        <x:v>Heritage Housing of Jennings</x:v>
      </x:c>
      <x:c r="C117" t="str" s="2">
        <x:v>0/4</x:v>
      </x:c>
      <x:c r="D117" t="str" s="2">
        <x:v>5043173524</x:v>
      </x:c>
      <x:c r="E117" t="str" s="2">
        <x:v>harrisarianne@yahoo.com</x:v>
      </x:c>
      <x:c r="F117" t="str" s="2">
        <x:v>Meta Ads - Forms</x:v>
      </x:c>
      <x:c r="G117" t="str" s="2">
        <x:v>Clint O'Neal</x:v>
      </x:c>
      <x:c r="H117" s="6">
        <x:v>46204.51137758102</x:v>
      </x:c>
      <x:c r="I117" s="0"/>
      <x:c r="J117" s="0"/>
      <x:c r="K117" s="6">
        <x:v>46251.774207835646</x:v>
      </x:c>
      <x:c r="L117" t="str" s="2">
        <x:v>Contacted</x:v>
      </x:c>
    </x:row>
    <x:row r="118">
      <x:c r="A118" t="str" s="2">
        <x:f>="Yaritza Tamayo"</x:f>
      </x:c>
      <x:c r="B118" t="str" s="2">
        <x:v>Heritage Housing Marble Falls</x:v>
      </x:c>
      <x:c r="C118" t="str" s="2">
        <x:v>0/4</x:v>
      </x:c>
      <x:c r="D118" t="str" s="2">
        <x:v>8303078719</x:v>
      </x:c>
      <x:c r="E118" t="str" s="2">
        <x:v>yarimmex@gmail.com</x:v>
      </x:c>
      <x:c r="F118" t="str" s="2">
        <x:v>LandingPage</x:v>
      </x:c>
      <x:c r="G118" t="str" s="2">
        <x:v>Stephen Sanders</x:v>
      </x:c>
      <x:c r="H118" s="6">
        <x:v>46204.6410028588</x:v>
      </x:c>
      <x:c r="I118" s="0"/>
      <x:c r="J118" s="0"/>
      <x:c r="K118" s="6">
        <x:v>46275.86947650463</x:v>
      </x:c>
      <x:c r="L118" t="str" s="2">
        <x:v>Contacted</x:v>
      </x:c>
    </x:row>
    <x:row r="119">
      <x:c r="A119" t="str" s="2">
        <x:f>="Titania Gaines"</x:f>
      </x:c>
      <x:c r="B119" t="str" s="2">
        <x:v>Heritage Housing of Albany</x:v>
      </x:c>
      <x:c r="C119" t="str" s="2">
        <x:v/>
      </x:c>
      <x:c r="D119" t="str" s="2">
        <x:v>7069754690</x:v>
      </x:c>
      <x:c r="E119" t="str" s="2">
        <x:v>tmariescott25@gmail.com</x:v>
      </x:c>
      <x:c r="F119" t="str" s="2">
        <x:v>Financing Form</x:v>
      </x:c>
      <x:c r="G119" t="str" s="2">
        <x:v>Yanet Alvarez</x:v>
      </x:c>
      <x:c r="H119" s="6">
        <x:v>46204.6693846412</x:v>
      </x:c>
      <x:c r="I119" s="0"/>
      <x:c r="J119" s="0"/>
      <x:c r="K119" s="6">
        <x:v>46252.662963738425</x:v>
      </x:c>
      <x:c r="L119" t="str" s="2">
        <x:v>Contacted</x:v>
      </x:c>
    </x:row>
    <x:row r="120">
      <x:c r="A120" t="str" s="2">
        <x:f>=HYPERLINK("https://rsms.futurehomex.com/lead/38340", "John Bandalan")</x:f>
      </x:c>
      <x:c r="B120" t="str" s="2">
        <x:v>Heritage Housing Marble Falls</x:v>
      </x:c>
      <x:c r="C120" t="str" s="2">
        <x:v>0/1</x:v>
      </x:c>
      <x:c r="D120" t="str" s="2">
        <x:v>5124613802</x:v>
      </x:c>
      <x:c r="E120" t="str" s="2">
        <x:v>john.bandalan@gmail.com</x:v>
      </x:c>
      <x:c r="F120" t="str" s="2">
        <x:v>LandingPage</x:v>
      </x:c>
      <x:c r="G120" t="str" s="2">
        <x:v>Garrett Riedesel</x:v>
      </x:c>
      <x:c r="H120" s="6">
        <x:v>46204.91113434028</x:v>
      </x:c>
      <x:c r="I120" t="str" s="2">
        <x:v>Stephen Sanders</x:v>
      </x:c>
      <x:c r="J120" s="0"/>
      <x:c r="K120" s="6">
        <x:v>46276.71716678241</x:v>
      </x:c>
      <x:c r="L120" t="str" s="2">
        <x:v>Contacted</x:v>
      </x:c>
    </x:row>
    <x:row r="121">
      <x:c r="A121" t="str" s="2">
        <x:f>="Roscoe Anderson"</x:f>
      </x:c>
      <x:c r="B121" t="str" s="2">
        <x:v>Heritage Housing of Greenville</x:v>
      </x:c>
      <x:c r="C121" t="str" s="2">
        <x:v/>
      </x:c>
      <x:c r="D121" t="str" s="2">
        <x:v>8709530281</x:v>
      </x:c>
      <x:c r="E121" t="str" s="2">
        <x:v>aroscoe434@gmail.com</x:v>
      </x:c>
      <x:c r="F121" t="str" s="2">
        <x:v>Meta Ads - Forms</x:v>
      </x:c>
      <x:c r="G121" t="str" s="2">
        <x:v>Ana Garcia</x:v>
      </x:c>
      <x:c r="H121" s="6">
        <x:v>46205.03144753472</x:v>
      </x:c>
      <x:c r="I121" s="0"/>
      <x:c r="J121" s="0"/>
      <x:c r="K121" s="6">
        <x:v>46205.64644409722</x:v>
      </x:c>
      <x:c r="L121" t="str" s="2">
        <x:v>Contacted</x:v>
      </x:c>
    </x:row>
    <x:row r="122">
      <x:c r="A122" t="str" s="2">
        <x:f>="Jasmine Cuba"</x:f>
      </x:c>
      <x:c r="B122" t="str" s="2">
        <x:v>Heritage Housing of Greenville</x:v>
      </x:c>
      <x:c r="C122" t="str" s="2">
        <x:v/>
      </x:c>
      <x:c r="D122" t="str" s="2">
        <x:v>9035050876</x:v>
      </x:c>
      <x:c r="E122" t="str" s="2">
        <x:v>cubajasmine0@yahoo.com</x:v>
      </x:c>
      <x:c r="F122" t="str" s="2">
        <x:v>Meta Ads - Forms</x:v>
      </x:c>
      <x:c r="G122" t="str" s="2">
        <x:v>Ana Garcia</x:v>
      </x:c>
      <x:c r="H122" s="6">
        <x:v>46205.08929059028</x:v>
      </x:c>
      <x:c r="I122" s="0"/>
      <x:c r="J122" s="0"/>
      <x:c r="K122" s="6">
        <x:v>46205.645855243056</x:v>
      </x:c>
      <x:c r="L122" t="str" s="2">
        <x:v>Contacted</x:v>
      </x:c>
    </x:row>
    <x:row r="123">
      <x:c r="A123" t="str" s="2">
        <x:f>="Isac Hynson-drayton"</x:f>
      </x:c>
      <x:c r="B123" t="str" s="2">
        <x:v>Heritage Housing of Augusta</x:v>
      </x:c>
      <x:c r="C123" t="str" s="2">
        <x:v/>
      </x:c>
      <x:c r="D123" t="str" s="2">
        <x:v>9194959170</x:v>
      </x:c>
      <x:c r="E123" t="str" s="2">
        <x:v>hynsonisacg18@gmail.com</x:v>
      </x:c>
      <x:c r="F123" t="str" s="2">
        <x:v>LandingPage</x:v>
      </x:c>
      <x:c r="G123" t="str" s="2">
        <x:v>Jose Chavez</x:v>
      </x:c>
      <x:c r="H123" s="6">
        <x:v>46205.1299196412</x:v>
      </x:c>
      <x:c r="I123" s="0"/>
      <x:c r="J123" s="0"/>
      <x:c r="K123" s="6">
        <x:v>46246.5942533912</x:v>
      </x:c>
      <x:c r="L123" t="str" s="2">
        <x:v>Contacted</x:v>
      </x:c>
    </x:row>
    <x:row r="124">
      <x:c r="A124" t="str" s="2">
        <x:f>="Hannah Jenkins"</x:f>
      </x:c>
      <x:c r="B124" t="str" s="2">
        <x:v>Heritage Housing of Athens</x:v>
      </x:c>
      <x:c r="C124" t="str" s="2">
        <x:v>1/1</x:v>
      </x:c>
      <x:c r="D124" t="str" s="2">
        <x:v>9129445385</x:v>
      </x:c>
      <x:c r="E124" t="str" s="2">
        <x:v>hannah.mk.jenkins17@gmail.com</x:v>
      </x:c>
      <x:c r="F124" t="str" s="2">
        <x:v>Meta Ads - Forms</x:v>
      </x:c>
      <x:c r="G124" t="str" s="2">
        <x:v>Ethan Fossett</x:v>
      </x:c>
      <x:c r="H124" s="6">
        <x:v>46205.18713677083</x:v>
      </x:c>
      <x:c r="I124" s="0"/>
      <x:c r="J124" s="0"/>
      <x:c r="K124" s="6">
        <x:v>46259.63120138889</x:v>
      </x:c>
      <x:c r="L124" t="str" s="2">
        <x:v>Contacted</x:v>
      </x:c>
    </x:row>
    <x:row r="125">
      <x:c r="A125" t="str" s="2">
        <x:f>="Deborah Denise Webb"</x:f>
      </x:c>
      <x:c r="B125" t="str" s="2">
        <x:v>Heritage Housing of Greenville</x:v>
      </x:c>
      <x:c r="C125" t="str" s="2">
        <x:v/>
      </x:c>
      <x:c r="D125" t="str" s="2">
        <x:v>3304126599</x:v>
      </x:c>
      <x:c r="E125" t="str" s="2">
        <x:v>dankwebb37@gmail.com</x:v>
      </x:c>
      <x:c r="F125" t="str" s="2">
        <x:v>Meta Ads - Forms</x:v>
      </x:c>
      <x:c r="G125" t="str" s="2">
        <x:v>Ana Garcia</x:v>
      </x:c>
      <x:c r="H125" s="6">
        <x:v>46205.2368741088</x:v>
      </x:c>
      <x:c r="I125" s="0"/>
      <x:c r="J125" s="0"/>
      <x:c r="K125" s="6">
        <x:v>46209.56155269676</x:v>
      </x:c>
      <x:c r="L125" t="str" s="2">
        <x:v>Contacted</x:v>
      </x:c>
    </x:row>
    <x:row r="126">
      <x:c r="A126" t="str" s="2">
        <x:f>="Lg Tezeno"</x:f>
      </x:c>
      <x:c r="B126" t="str" s="2">
        <x:v>Heritage Housing of Jennings</x:v>
      </x:c>
      <x:c r="C126" t="str" s="2">
        <x:v/>
      </x:c>
      <x:c r="D126" t="str" s="2">
        <x:v>3379454221</x:v>
      </x:c>
      <x:c r="E126" t="str" s="2">
        <x:v>lgtezeno63@gmail.com</x:v>
      </x:c>
      <x:c r="F126" t="str" s="2">
        <x:v>Meta Ads - Forms</x:v>
      </x:c>
      <x:c r="G126" t="str" s="2">
        <x:v>Clint O'Neal</x:v>
      </x:c>
      <x:c r="H126" s="6">
        <x:v>46205.316383680554</x:v>
      </x:c>
      <x:c r="I126" s="0"/>
      <x:c r="J126" s="0"/>
      <x:c r="K126" s="6">
        <x:v>46239.86535251157</x:v>
      </x:c>
      <x:c r="L126" t="str" s="2">
        <x:v>Contacted</x:v>
      </x:c>
    </x:row>
    <x:row r="127">
      <x:c r="A127" t="str" s="2">
        <x:f>="Brandy Kendrick"</x:f>
      </x:c>
      <x:c r="B127" t="str" s="2">
        <x:v>Heritage Housing of Albany</x:v>
      </x:c>
      <x:c r="C127" t="str" s="2">
        <x:v/>
      </x:c>
      <x:c r="D127" t="str" s="2">
        <x:v>7622049888</x:v>
      </x:c>
      <x:c r="E127" t="str" s="2">
        <x:v>bkendrick1974@gmail.com</x:v>
      </x:c>
      <x:c r="F127" t="str" s="2">
        <x:v>Financing Form</x:v>
      </x:c>
      <x:c r="G127" t="str" s="2">
        <x:v>Yanet Alvarez</x:v>
      </x:c>
      <x:c r="H127" s="6">
        <x:v>46205.6869715625</x:v>
      </x:c>
      <x:c r="I127" s="0"/>
      <x:c r="J127" s="0"/>
      <x:c r="K127" s="6">
        <x:v>46251.92992376157</x:v>
      </x:c>
      <x:c r="L127" t="str" s="2">
        <x:v>Contacted</x:v>
      </x:c>
    </x:row>
    <x:row r="128">
      <x:c r="A128" t="str" s="2">
        <x:f>=HYPERLINK("https://rsms.futurehomex.com/lead/38248", "April Mosier")</x:f>
      </x:c>
      <x:c r="B128" t="str" s="2">
        <x:v>Heritage Housing Gainesville</x:v>
      </x:c>
      <x:c r="C128" t="str" s="2">
        <x:v/>
      </x:c>
      <x:c r="D128" t="str" s="2">
        <x:v>3462053007</x:v>
      </x:c>
      <x:c r="E128" t="str" s="2">
        <x:v>ahalsey17@icloud.com</x:v>
      </x:c>
      <x:c r="F128" t="str" s="2">
        <x:v>Financing Form</x:v>
      </x:c>
      <x:c r="G128" t="str" s="2">
        <x:v>Kelly Ford</x:v>
      </x:c>
      <x:c r="H128" s="6">
        <x:v>46205.82842943287</x:v>
      </x:c>
      <x:c r="I128" t="str" s="2">
        <x:v>Kelly Ford</x:v>
      </x:c>
      <x:c r="J128" s="0"/>
      <x:c r="K128" s="6">
        <x:v>46223.579893553244</x:v>
      </x:c>
      <x:c r="L128" t="str" s="2">
        <x:v>Contacted</x:v>
      </x:c>
    </x:row>
    <x:row r="129">
      <x:c r="A129" t="str" s="2">
        <x:f>="Vicki Eppley"</x:f>
      </x:c>
      <x:c r="B129" t="str" s="2">
        <x:v>Heritage Housing of Tulsa</x:v>
      </x:c>
      <x:c r="C129" t="str" s="2">
        <x:v/>
      </x:c>
      <x:c r="D129" t="str" s="2">
        <x:v>9182905267</x:v>
      </x:c>
      <x:c r="E129" t="str" s="2">
        <x:v>vickieppley4@gmail.com</x:v>
      </x:c>
      <x:c r="F129" t="str" s="2">
        <x:v>Meta Ads - Forms</x:v>
      </x:c>
      <x:c r="G129" t="str" s="2">
        <x:v>Jenna Fransisco</x:v>
      </x:c>
      <x:c r="H129" s="6">
        <x:v>46205.91543487269</x:v>
      </x:c>
      <x:c r="I129" s="0"/>
      <x:c r="J129" s="0"/>
      <x:c r="K129" s="6">
        <x:v>46252.95309899306</x:v>
      </x:c>
      <x:c r="L129" t="str" s="2">
        <x:v>Contacted</x:v>
      </x:c>
    </x:row>
    <x:row r="130">
      <x:c r="A130" t="str" s="2">
        <x:f>="Janice Gilder"</x:f>
      </x:c>
      <x:c r="B130" t="str" s="2">
        <x:v>Heritage Housing of Minden</x:v>
      </x:c>
      <x:c r="C130" t="str" s="2">
        <x:v>0/1</x:v>
      </x:c>
      <x:c r="D130" t="str" s="2">
        <x:v>4694523396</x:v>
      </x:c>
      <x:c r="E130" t="str" s="2">
        <x:v>janicegilder80@gmail.com</x:v>
      </x:c>
      <x:c r="F130" t="str" s="2">
        <x:v>Website</x:v>
      </x:c>
      <x:c r="G130" t="str" s="2">
        <x:v>Patrick Schuchart</x:v>
      </x:c>
      <x:c r="H130" s="6">
        <x:v>46206.031197372686</x:v>
      </x:c>
      <x:c r="I130" s="0"/>
      <x:c r="J130" s="0"/>
      <x:c r="K130" s="6">
        <x:v>46246.80916605324</x:v>
      </x:c>
      <x:c r="L130" t="str" s="2">
        <x:v>Contacted</x:v>
      </x:c>
    </x:row>
    <x:row r="131">
      <x:c r="A131" t="str" s="2">
        <x:f>="Willie Anderson"</x:f>
      </x:c>
      <x:c r="B131" t="str" s="2">
        <x:v>Heritage Housing of Minden</x:v>
      </x:c>
      <x:c r="C131" t="str" s="2">
        <x:v>0/2</x:v>
      </x:c>
      <x:c r="D131" t="str" s="2">
        <x:v>3182379464</x:v>
      </x:c>
      <x:c r="E131" t="str" s="2">
        <x:v>willieanderson0228@gmail.com</x:v>
      </x:c>
      <x:c r="F131" t="str" s="2">
        <x:v>Meta Ads - Forms</x:v>
      </x:c>
      <x:c r="G131" t="str" s="2">
        <x:v>Patrick Schuchart</x:v>
      </x:c>
      <x:c r="H131" s="6">
        <x:v>46206.29365208333</x:v>
      </x:c>
      <x:c r="I131" s="0"/>
      <x:c r="J131" s="0"/>
      <x:c r="K131" s="6">
        <x:v>46263.683587997686</x:v>
      </x:c>
      <x:c r="L131" t="str" s="2">
        <x:v>Contacted</x:v>
      </x:c>
    </x:row>
    <x:row r="132">
      <x:c r="A132" t="str" s="2">
        <x:f>="Derek Harris"</x:f>
      </x:c>
      <x:c r="B132" t="str" s="2">
        <x:v>Heritage Housing of Jennings</x:v>
      </x:c>
      <x:c r="C132" t="str" s="2">
        <x:v>0/2</x:v>
      </x:c>
      <x:c r="D132" t="str" s="2">
        <x:v>8504173512</x:v>
      </x:c>
      <x:c r="E132" t="str" s="2">
        <x:v>harrisderek63@gmail.com</x:v>
      </x:c>
      <x:c r="F132" t="str" s="2">
        <x:v>Meta Ads - Forms</x:v>
      </x:c>
      <x:c r="G132" t="str" s="2">
        <x:v>Clint O'Neal</x:v>
      </x:c>
      <x:c r="H132" s="6">
        <x:v>46206.428365706015</x:v>
      </x:c>
      <x:c r="I132" s="0"/>
      <x:c r="J132" s="0"/>
      <x:c r="K132" s="6">
        <x:v>46254.779664664355</x:v>
      </x:c>
      <x:c r="L132" t="str" s="2">
        <x:v>Contacted</x:v>
      </x:c>
    </x:row>
    <x:row r="133">
      <x:c r="A133" t="str" s="2">
        <x:f>="Shylo Davis"</x:f>
      </x:c>
      <x:c r="B133" t="str" s="2">
        <x:v>Heritage Housing of Albany</x:v>
      </x:c>
      <x:c r="C133" t="str" s="2">
        <x:v/>
      </x:c>
      <x:c r="D133" t="str" s="2">
        <x:v>7705439573</x:v>
      </x:c>
      <x:c r="E133" t="str" s="2">
        <x:v>Shylodavis.neabbq@gmail.com</x:v>
      </x:c>
      <x:c r="F133" t="str" s="2">
        <x:v>Financing Form</x:v>
      </x:c>
      <x:c r="G133" t="str" s="2">
        <x:v>Yanet Alvarez</x:v>
      </x:c>
      <x:c r="H133" s="6">
        <x:v>46206.571395520834</x:v>
      </x:c>
      <x:c r="I133" s="0"/>
      <x:c r="J133" s="0"/>
      <x:c r="K133" s="6">
        <x:v>46281.82321288194</x:v>
      </x:c>
      <x:c r="L133" t="str" s="2">
        <x:v>Contacted</x:v>
      </x:c>
    </x:row>
    <x:row r="134">
      <x:c r="A134" t="str" s="2">
        <x:f>="Will Gary"</x:f>
      </x:c>
      <x:c r="B134" t="str" s="2">
        <x:v>Heritage Housing Gainesville</x:v>
      </x:c>
      <x:c r="C134" t="str" s="2">
        <x:v/>
      </x:c>
      <x:c r="D134" t="str" s="2">
        <x:v>8173534029</x:v>
      </x:c>
      <x:c r="E134" t="str" s="2">
        <x:v>mrwillgary79@gmail.com</x:v>
      </x:c>
      <x:c r="F134" t="str" s="2">
        <x:v>Meta Ads - Forms</x:v>
      </x:c>
      <x:c r="G134" t="str" s="2">
        <x:v>Kelly Ford</x:v>
      </x:c>
      <x:c r="H134" s="6">
        <x:v>46206.5879403125</x:v>
      </x:c>
      <x:c r="I134" s="0"/>
      <x:c r="J134" s="0"/>
      <x:c r="K134" s="6">
        <x:v>46302.74663383102</x:v>
      </x:c>
      <x:c r="L134" t="str" s="2">
        <x:v>Contacted</x:v>
      </x:c>
    </x:row>
    <x:row r="135">
      <x:c r="A135" t="str" s="2">
        <x:f>="Kevin Harger"</x:f>
      </x:c>
      <x:c r="B135" t="str" s="2">
        <x:v>Heritage Housing of Asheboro</x:v>
      </x:c>
      <x:c r="C135" t="str" s="2">
        <x:v/>
      </x:c>
      <x:c r="D135" t="str" s="2">
        <x:v>9105408973</x:v>
      </x:c>
      <x:c r="E135" t="str" s="2">
        <x:v>kevinharger5101@gmail.com</x:v>
      </x:c>
      <x:c r="F135" t="str" s="2">
        <x:v>Meta Ads - Forms</x:v>
      </x:c>
      <x:c r="G135" t="str" s="2">
        <x:v>Kate Gutierrez</x:v>
      </x:c>
      <x:c r="H135" s="6">
        <x:v>46206.7488428588</x:v>
      </x:c>
      <x:c r="I135" s="0"/>
      <x:c r="J135" s="0"/>
      <x:c r="K135" s="6">
        <x:v>46302.8009528125</x:v>
      </x:c>
      <x:c r="L135" t="str" s="2">
        <x:v>Contacted</x:v>
      </x:c>
    </x:row>
    <x:row r="136">
      <x:c r="A136" t="str" s="2">
        <x:f>="Ronney Lovett"</x:f>
      </x:c>
      <x:c r="B136" t="str" s="2">
        <x:v>Heritage Housing of Athens</x:v>
      </x:c>
      <x:c r="C136" t="str" s="2">
        <x:v/>
      </x:c>
      <x:c r="D136" t="str" s="2">
        <x:v>4049772483</x:v>
      </x:c>
      <x:c r="E136" t="str" s="2">
        <x:v>ronlovett55@gmail.com</x:v>
      </x:c>
      <x:c r="F136" t="str" s="2">
        <x:v>Meta Ads - Forms</x:v>
      </x:c>
      <x:c r="G136" t="str" s="2">
        <x:v>Ethan Fossett</x:v>
      </x:c>
      <x:c r="H136" s="6">
        <x:v>46206.86749413195</x:v>
      </x:c>
      <x:c r="I136" s="0"/>
      <x:c r="J136" s="0"/>
      <x:c r="K136" s="6">
        <x:v>46252.597171030095</x:v>
      </x:c>
      <x:c r="L136" t="str" s="2">
        <x:v>Contacted</x:v>
      </x:c>
    </x:row>
    <x:row r="137">
      <x:c r="A137" t="str" s="2">
        <x:f>="Julian Rubio"</x:f>
      </x:c>
      <x:c r="B137" t="str" s="2">
        <x:v>Heritage Housing Marble Falls</x:v>
      </x:c>
      <x:c r="C137" t="str" s="2">
        <x:v/>
      </x:c>
      <x:c r="D137" t="str" s="2">
        <x:v>2102326866</x:v>
      </x:c>
      <x:c r="E137" t="str" s="2">
        <x:v>Rjrubio867@outlook.com</x:v>
      </x:c>
      <x:c r="F137" t="str" s="2">
        <x:v>Meta Ads - Forms</x:v>
      </x:c>
      <x:c r="G137" t="str" s="2">
        <x:v>Stephen Sanders</x:v>
      </x:c>
      <x:c r="H137" s="6">
        <x:v>46207.01681577546</x:v>
      </x:c>
      <x:c r="I137" s="0"/>
      <x:c r="J137" s="0"/>
      <x:c r="K137" s="6">
        <x:v>46275.87067962963</x:v>
      </x:c>
      <x:c r="L137" t="str" s="2">
        <x:v>Contacted</x:v>
      </x:c>
    </x:row>
    <x:row r="138">
      <x:c r="A138" t="str" s="2">
        <x:f>="Eliezer Carrero"</x:f>
      </x:c>
      <x:c r="B138" t="str" s="2">
        <x:v>Heritage Housing of Greenville</x:v>
      </x:c>
      <x:c r="C138" t="str" s="2">
        <x:v/>
      </x:c>
      <x:c r="D138" t="str" s="2">
        <x:v>8174951035</x:v>
      </x:c>
      <x:c r="E138" t="str" s="2">
        <x:v>Carrero1368@Gmail.Com</x:v>
      </x:c>
      <x:c r="F138" t="str" s="2">
        <x:v>Meta Ads - Forms</x:v>
      </x:c>
      <x:c r="G138" t="str" s="2">
        <x:v>Ana Garcia</x:v>
      </x:c>
      <x:c r="H138" s="6">
        <x:v>46207.15302662037</x:v>
      </x:c>
      <x:c r="I138" s="0"/>
      <x:c r="J138" s="0"/>
      <x:c r="K138" s="6">
        <x:v>46209.56870146991</x:v>
      </x:c>
      <x:c r="L138" t="str" s="2">
        <x:v>Contacted</x:v>
      </x:c>
    </x:row>
    <x:row r="139">
      <x:c r="A139" t="str" s="2">
        <x:f>="AMyra Kately"</x:f>
      </x:c>
      <x:c r="B139" t="str" s="2">
        <x:v>Heritage Housing of Jennings</x:v>
      </x:c>
      <x:c r="C139" t="str" s="2">
        <x:v/>
      </x:c>
      <x:c r="D139" t="str" s="2">
        <x:v>3378496321</x:v>
      </x:c>
      <x:c r="E139" t="str" s="2">
        <x:v>Amyrakately9@gmail.com</x:v>
      </x:c>
      <x:c r="F139" t="str" s="2">
        <x:v>Meta Ads - Forms</x:v>
      </x:c>
      <x:c r="G139" t="str" s="2">
        <x:v>Clint O'Neal</x:v>
      </x:c>
      <x:c r="H139" s="6">
        <x:v>46207.15528630787</x:v>
      </x:c>
      <x:c r="I139" s="0"/>
      <x:c r="J139" s="0"/>
      <x:c r="K139" s="6">
        <x:v>46244.80631137732</x:v>
      </x:c>
      <x:c r="L139" t="str" s="2">
        <x:v>Contacted</x:v>
      </x:c>
    </x:row>
    <x:row r="140">
      <x:c r="A140" t="str" s="2">
        <x:f>="Dolores Tizcareño"</x:f>
      </x:c>
      <x:c r="B140" t="str" s="2">
        <x:v>Legacy Housing Corp. DBA Americasa</x:v>
      </x:c>
      <x:c r="C140" t="str" s="2">
        <x:v/>
      </x:c>
      <x:c r="D140" t="str" s="2">
        <x:v>8328970146</x:v>
      </x:c>
      <x:c r="E140" t="str" s="2">
        <x:v>dolorestizcareno019@gmail.com</x:v>
      </x:c>
      <x:c r="F140" t="str" s="2">
        <x:v>Meta Ads - Forms</x:v>
      </x:c>
      <x:c r="G140" t="str" s="2">
        <x:v>Rodrigo Ramirez</x:v>
      </x:c>
      <x:c r="H140" s="6">
        <x:v>46207.165971759256</x:v>
      </x:c>
      <x:c r="I140" s="0"/>
      <x:c r="J140" s="0"/>
      <x:c r="K140" s="6">
        <x:v>46209.75062777778</x:v>
      </x:c>
      <x:c r="L140" t="str" s="2">
        <x:v>Contacted</x:v>
      </x:c>
    </x:row>
    <x:row r="141">
      <x:c r="A141" t="str" s="2">
        <x:f>="LaJessika P Williams"</x:f>
      </x:c>
      <x:c r="B141" t="str" s="2">
        <x:v>Heritage Housing of Jennings</x:v>
      </x:c>
      <x:c r="C141" t="str" s="2">
        <x:v>0/3</x:v>
      </x:c>
      <x:c r="D141" t="str" s="2">
        <x:v>7692443547</x:v>
      </x:c>
      <x:c r="E141" t="str" s="2">
        <x:v>juicyw20@gmail.com</x:v>
      </x:c>
      <x:c r="F141" t="str" s="2">
        <x:v>Meta Ads - Forms</x:v>
      </x:c>
      <x:c r="G141" t="str" s="2">
        <x:v>Clint O'Neal</x:v>
      </x:c>
      <x:c r="H141" s="6">
        <x:v>46207.18037410879</x:v>
      </x:c>
      <x:c r="I141" s="0"/>
      <x:c r="J141" s="0"/>
      <x:c r="K141" s="6">
        <x:v>46225.79832207176</x:v>
      </x:c>
      <x:c r="L141" t="str" s="2">
        <x:v>Contacted</x:v>
      </x:c>
    </x:row>
    <x:row r="142">
      <x:c r="A142" t="str" s="2">
        <x:f>="tydrick chevailer"</x:f>
      </x:c>
      <x:c r="B142" t="str" s="2">
        <x:v>Heritage Housing of Jennings</x:v>
      </x:c>
      <x:c r="C142" t="str" s="2">
        <x:v>0/11</x:v>
      </x:c>
      <x:c r="D142" t="str" s="2">
        <x:v>3373002435</x:v>
      </x:c>
      <x:c r="E142" t="str" s="2">
        <x:v>tydrickchevail@gmail.com</x:v>
      </x:c>
      <x:c r="F142" t="str" s="2">
        <x:v>Meta Ads - Forms</x:v>
      </x:c>
      <x:c r="G142" t="str" s="2">
        <x:v>Mervin Leslie Smith</x:v>
      </x:c>
      <x:c r="H142" s="6">
        <x:v>46207.19425231482</x:v>
      </x:c>
      <x:c r="I142" s="0"/>
      <x:c r="J142" s="0"/>
      <x:c r="K142" s="6">
        <x:v>46232.91641813658</x:v>
      </x:c>
      <x:c r="L142" t="str" s="2">
        <x:v>Contacted</x:v>
      </x:c>
    </x:row>
    <x:row r="143">
      <x:c r="A143" t="str" s="2">
        <x:f>="Tilman Johnson"</x:f>
      </x:c>
      <x:c r="B143" t="str" s="2">
        <x:v>Heritage Housing Gainesville</x:v>
      </x:c>
      <x:c r="C143" t="str" s="2">
        <x:v/>
      </x:c>
      <x:c r="D143" t="str" s="2">
        <x:v>9404457399</x:v>
      </x:c>
      <x:c r="E143" t="str" s="2">
        <x:v>tmanotexas@yahoo.com</x:v>
      </x:c>
      <x:c r="F143" t="str" s="2">
        <x:v>Meta Ads - Forms</x:v>
      </x:c>
      <x:c r="G143" t="str" s="2">
        <x:v>Kelly Ford</x:v>
      </x:c>
      <x:c r="H143" s="6">
        <x:v>46207.40965628472</x:v>
      </x:c>
      <x:c r="I143" s="0"/>
      <x:c r="J143" s="0"/>
      <x:c r="K143" s="6">
        <x:v>46308.71756805555</x:v>
      </x:c>
      <x:c r="L143" t="str" s="2">
        <x:v>Contacted</x:v>
      </x:c>
    </x:row>
    <x:row r="144">
      <x:c r="A144" t="str" s="2">
        <x:f>="Resa Burke"</x:f>
      </x:c>
      <x:c r="B144" t="str" s="2">
        <x:v>Heritage Housing of Minden</x:v>
      </x:c>
      <x:c r="C144" t="str" s="2">
        <x:v>0/6</x:v>
      </x:c>
      <x:c r="D144" t="str" s="2">
        <x:v>9046766506</x:v>
      </x:c>
      <x:c r="E144" t="str" s="2">
        <x:v>resaburke1@gmail.com</x:v>
      </x:c>
      <x:c r="F144" t="str" s="2">
        <x:v>Website</x:v>
      </x:c>
      <x:c r="G144" t="str" s="2">
        <x:v>Patrick Schuchart</x:v>
      </x:c>
      <x:c r="H144" s="6">
        <x:v>46207.49825200231</x:v>
      </x:c>
      <x:c r="I144" s="0"/>
      <x:c r="J144" s="0"/>
      <x:c r="K144" s="6">
        <x:v>46265.893629479164</x:v>
      </x:c>
      <x:c r="L144" t="str" s="2">
        <x:v>Contacted</x:v>
      </x:c>
    </x:row>
    <x:row r="145">
      <x:c r="A145" t="str" s="2">
        <x:f>="Krystle McKay"</x:f>
      </x:c>
      <x:c r="B145" t="str" s="2">
        <x:v>Heritage Housing of Minden</x:v>
      </x:c>
      <x:c r="C145" t="str" s="2">
        <x:v>0/3</x:v>
      </x:c>
      <x:c r="D145" t="str" s="2">
        <x:v>3184771237</x:v>
      </x:c>
      <x:c r="E145" t="str" s="2">
        <x:v>kam61182@gmail.com</x:v>
      </x:c>
      <x:c r="F145" t="str" s="2">
        <x:v>Meta Ads - Forms</x:v>
      </x:c>
      <x:c r="G145" t="str" s="2">
        <x:v>Patrick Schuchart</x:v>
      </x:c>
      <x:c r="H145" s="6">
        <x:v>46207.680382060185</x:v>
      </x:c>
      <x:c r="I145" s="0"/>
      <x:c r="J145" s="0"/>
      <x:c r="K145" s="6">
        <x:v>46265.894368402776</x:v>
      </x:c>
      <x:c r="L145" t="str" s="2">
        <x:v>Contacted</x:v>
      </x:c>
    </x:row>
    <x:row r="146">
      <x:c r="A146" t="str" s="2">
        <x:f>="Marco Ramirez"</x:f>
      </x:c>
      <x:c r="B146" t="str" s="2">
        <x:v>Legacy Housing Corp. DBA Americasa</x:v>
      </x:c>
      <x:c r="C146" t="str" s="2">
        <x:v/>
      </x:c>
      <x:c r="D146" t="str" s="2">
        <x:v>8133431404</x:v>
      </x:c>
      <x:c r="E146" t="str" s="2">
        <x:v>marc_ant_rez@hotmail.com</x:v>
      </x:c>
      <x:c r="F146" t="str" s="2">
        <x:v>Meta Ads - Forms</x:v>
      </x:c>
      <x:c r="G146" t="str" s="2">
        <x:v>Rodrigo Ramirez</x:v>
      </x:c>
      <x:c r="H146" s="6">
        <x:v>46208.28904290509</x:v>
      </x:c>
      <x:c r="I146" s="0"/>
      <x:c r="J146" s="0"/>
      <x:c r="K146" s="6">
        <x:v>46209.751504085645</x:v>
      </x:c>
      <x:c r="L146" t="str" s="2">
        <x:v>Contacted</x:v>
      </x:c>
    </x:row>
    <x:row r="147">
      <x:c r="A147" t="str" s="2">
        <x:f>="Angela Roberts"</x:f>
      </x:c>
      <x:c r="B147" t="str" s="2">
        <x:v>Heritage Housing of Albany</x:v>
      </x:c>
      <x:c r="C147" t="str" s="2">
        <x:v/>
      </x:c>
      <x:c r="D147" t="str" s="2">
        <x:v>2292567142</x:v>
      </x:c>
      <x:c r="E147" t="str" s="2">
        <x:v>angelaevans903@gmail.com</x:v>
      </x:c>
      <x:c r="F147" t="str" s="2">
        <x:v>Meta Ads - Forms</x:v>
      </x:c>
      <x:c r="G147" t="str" s="2">
        <x:v>Yanet Alvarez</x:v>
      </x:c>
      <x:c r="H147" s="6">
        <x:v>46208.349841585645</x:v>
      </x:c>
      <x:c r="I147" s="0"/>
      <x:c r="J147" s="0"/>
      <x:c r="K147" s="6">
        <x:v>46289.70990601852</x:v>
      </x:c>
      <x:c r="L147" t="str" s="2">
        <x:v>Contacted</x:v>
      </x:c>
    </x:row>
    <x:row r="148">
      <x:c r="A148" t="str" s="2">
        <x:f>="Natasha Peterson"</x:f>
      </x:c>
      <x:c r="B148" t="str" s="2">
        <x:v>Heritage Housing of Minden</x:v>
      </x:c>
      <x:c r="C148" t="str" s="2">
        <x:v>0/2</x:v>
      </x:c>
      <x:c r="D148" t="str" s="2">
        <x:v>3186122396</x:v>
      </x:c>
      <x:c r="E148" t="str" s="2">
        <x:v>Natasha112484@gmail.com</x:v>
      </x:c>
      <x:c r="F148" t="str" s="2">
        <x:v>Meta Ads - Forms</x:v>
      </x:c>
      <x:c r="G148" t="str" s="2">
        <x:v>Patrick Schuchart</x:v>
      </x:c>
      <x:c r="H148" s="6">
        <x:v>46208.61176898148</x:v>
      </x:c>
      <x:c r="I148" s="0"/>
      <x:c r="J148" s="0"/>
      <x:c r="K148" s="6">
        <x:v>46265.89512971065</x:v>
      </x:c>
      <x:c r="L148" t="str" s="2">
        <x:v>Contacted</x:v>
      </x:c>
    </x:row>
    <x:row r="149">
      <x:c r="A149" t="str" s="2">
        <x:f>="Kershunda Morris"</x:f>
      </x:c>
      <x:c r="B149" t="str" s="2">
        <x:v>Legacy Housing Corp. DBA Americasa</x:v>
      </x:c>
      <x:c r="C149" t="str" s="2">
        <x:v/>
      </x:c>
      <x:c r="D149" t="str" s="2">
        <x:v>2819054061</x:v>
      </x:c>
      <x:c r="E149" t="str" s="2">
        <x:v>mspoohpye1976@gmail.com</x:v>
      </x:c>
      <x:c r="F149" t="str" s="2">
        <x:v>Google Ads</x:v>
      </x:c>
      <x:c r="G149" t="str" s="2">
        <x:v>Rodrigo Ramirez</x:v>
      </x:c>
      <x:c r="H149" s="6">
        <x:v>46208.758330439814</x:v>
      </x:c>
      <x:c r="I149" s="0"/>
      <x:c r="J149" s="0"/>
      <x:c r="K149" s="6">
        <x:v>46209.75204398148</x:v>
      </x:c>
      <x:c r="L149" t="str" s="2">
        <x:v>Contacted</x:v>
      </x:c>
    </x:row>
    <x:row r="150">
      <x:c r="A150" t="str" s="2">
        <x:f>="Jamie Sheffield"</x:f>
      </x:c>
      <x:c r="B150" t="str" s="2">
        <x:v>Heritage Housing of Albany</x:v>
      </x:c>
      <x:c r="C150" t="str" s="2">
        <x:v>0/2</x:v>
      </x:c>
      <x:c r="D150" t="str" s="2">
        <x:v>2299440676</x:v>
      </x:c>
      <x:c r="E150" t="str" s="2">
        <x:v>jamiethompson218@gmail.com</x:v>
      </x:c>
      <x:c r="F150" t="str" s="2">
        <x:v>Financing Form</x:v>
      </x:c>
      <x:c r="G150" t="str" s="2">
        <x:v>Yanet Alvarez</x:v>
      </x:c>
      <x:c r="H150" s="6">
        <x:v>46208.76030459491</x:v>
      </x:c>
      <x:c r="I150" s="0"/>
      <x:c r="J150" s="0"/>
      <x:c r="K150" s="6">
        <x:v>46303.922353043985</x:v>
      </x:c>
      <x:c r="L150" t="str" s="2">
        <x:v>Contacted</x:v>
      </x:c>
    </x:row>
    <x:row r="151">
      <x:c r="A151" t="str" s="2">
        <x:f>="Francisco Hernandez"</x:f>
      </x:c>
      <x:c r="B151" t="str" s="2">
        <x:v>Heritage Housing of Greenville</x:v>
      </x:c>
      <x:c r="C151" t="str" s="2">
        <x:v/>
      </x:c>
      <x:c r="D151" t="str" s="2">
        <x:v>2148157177</x:v>
      </x:c>
      <x:c r="E151" t="str" s="2">
        <x:v>alejandro05.fh@gmail.com</x:v>
      </x:c>
      <x:c r="F151" t="str" s="2">
        <x:v>Meta Ads - Forms</x:v>
      </x:c>
      <x:c r="G151" t="str" s="2">
        <x:v>Ana Garcia</x:v>
      </x:c>
      <x:c r="H151" s="6">
        <x:v>46208.82328927083</x:v>
      </x:c>
      <x:c r="I151" s="0"/>
      <x:c r="J151" s="0"/>
      <x:c r="K151" s="6">
        <x:v>46209.56071747685</x:v>
      </x:c>
      <x:c r="L151" t="str" s="2">
        <x:v>Contacted</x:v>
      </x:c>
    </x:row>
    <x:row r="152">
      <x:c r="A152" t="str" s="2">
        <x:f>="Cameron McElroy"</x:f>
      </x:c>
      <x:c r="B152" t="str" s="2">
        <x:v>Heritage Housing of Oklahoma City</x:v>
      </x:c>
      <x:c r="C152" t="str" s="2">
        <x:v>0/1</x:v>
      </x:c>
      <x:c r="D152" t="str" s="2">
        <x:v>4055961087</x:v>
      </x:c>
      <x:c r="E152" t="str" s="2">
        <x:v>cameronmcelroy50@gmail.com</x:v>
      </x:c>
      <x:c r="F152" t="str" s="2">
        <x:v>LandingPage</x:v>
      </x:c>
      <x:c r="G152" t="str" s="2">
        <x:v>Steve Castell</x:v>
      </x:c>
      <x:c r="H152" s="6">
        <x:v>46208.849487928244</x:v>
      </x:c>
      <x:c r="I152" s="0"/>
      <x:c r="J152" s="0"/>
      <x:c r="K152" s="6">
        <x:v>46212.82074228009</x:v>
      </x:c>
      <x:c r="L152" t="str" s="2">
        <x:v>Contacted</x:v>
      </x:c>
    </x:row>
    <x:row r="153">
      <x:c r="A153" t="str" s="2">
        <x:f>="jacqulyn Tyler"</x:f>
      </x:c>
      <x:c r="B153" t="str" s="2">
        <x:v>Heritage Housing of Greenville</x:v>
      </x:c>
      <x:c r="C153" t="str" s="2">
        <x:v/>
      </x:c>
      <x:c r="D153" t="str" s="2">
        <x:v>4699151581</x:v>
      </x:c>
      <x:c r="E153" t="str" s="2">
        <x:v>jacqulynmtyler51@gmail.com</x:v>
      </x:c>
      <x:c r="F153" t="str" s="2">
        <x:v>Meta Ads - Forms</x:v>
      </x:c>
      <x:c r="G153" t="str" s="2">
        <x:v>Ana Garcia</x:v>
      </x:c>
      <x:c r="H153" s="6">
        <x:v>46208.88045471065</x:v>
      </x:c>
      <x:c r="I153" s="0"/>
      <x:c r="J153" s="0"/>
      <x:c r="K153" s="6">
        <x:v>46209.56886832176</x:v>
      </x:c>
      <x:c r="L153" t="str" s="2">
        <x:v>Contacted</x:v>
      </x:c>
    </x:row>
    <x:row r="154">
      <x:c r="A154" t="str" s="2">
        <x:f>="LusciousLadii Stephens"</x:f>
      </x:c>
      <x:c r="B154" t="str" s="2">
        <x:v>Heritage Housing of Jennings</x:v>
      </x:c>
      <x:c r="C154" t="str" s="2">
        <x:v>0/2</x:v>
      </x:c>
      <x:c r="D154" t="str" s="2">
        <x:v>4787381404</x:v>
      </x:c>
      <x:c r="E154" t="str" s="2">
        <x:v>cookiemonsta8793@gmail.com</x:v>
      </x:c>
      <x:c r="F154" t="str" s="2">
        <x:v>Meta Ads - Forms</x:v>
      </x:c>
      <x:c r="G154" t="str" s="2">
        <x:v>Brian Amato</x:v>
      </x:c>
      <x:c r="H154" s="6">
        <x:v>46208.93264814815</x:v>
      </x:c>
      <x:c r="I154" s="0"/>
      <x:c r="J154" s="0"/>
      <x:c r="K154" s="6">
        <x:v>46211.75290748842</x:v>
      </x:c>
      <x:c r="L154" t="str" s="2">
        <x:v>Contacted</x:v>
      </x:c>
    </x:row>
    <x:row r="155">
      <x:c r="A155" t="str" s="2">
        <x:f>="Javier Espino"</x:f>
      </x:c>
      <x:c r="B155" t="str" s="2">
        <x:v>Heritage Housing Marble Falls</x:v>
      </x:c>
      <x:c r="C155" t="str" s="2">
        <x:v>1/3</x:v>
      </x:c>
      <x:c r="D155" t="str" s="2">
        <x:v>8177369725</x:v>
      </x:c>
      <x:c r="E155" t="str" s="2">
        <x:v>izaakespino@gmail.com</x:v>
      </x:c>
      <x:c r="F155" t="str" s="2">
        <x:v>Meta Ads - Forms</x:v>
      </x:c>
      <x:c r="G155" t="str" s="2">
        <x:v>Stephen Sanders</x:v>
      </x:c>
      <x:c r="H155" s="6">
        <x:v>46208.94883321759</x:v>
      </x:c>
      <x:c r="I155" s="0"/>
      <x:c r="J155" s="0"/>
      <x:c r="K155" s="6">
        <x:v>46288.63713059028</x:v>
      </x:c>
      <x:c r="L155" t="str" s="2">
        <x:v>Contacted</x:v>
      </x:c>
    </x:row>
    <x:row r="156">
      <x:c r="A156" t="str" s="2">
        <x:f>="Alexia Lewis"</x:f>
      </x:c>
      <x:c r="B156" t="str" s="2">
        <x:v>Heritage Housing of Minden</x:v>
      </x:c>
      <x:c r="C156" t="str" s="2">
        <x:v>0/1</x:v>
      </x:c>
      <x:c r="D156" t="str" s="2">
        <x:v>8702245731</x:v>
      </x:c>
      <x:c r="E156" t="str" s="2">
        <x:v>alexialewis729@icloud.com</x:v>
      </x:c>
      <x:c r="F156" t="str" s="2">
        <x:v>Meta Ads - Forms</x:v>
      </x:c>
      <x:c r="G156" t="str" s="2">
        <x:v>Patrick Schuchart</x:v>
      </x:c>
      <x:c r="H156" s="6">
        <x:v>46208.965825810184</x:v>
      </x:c>
      <x:c r="I156" s="0"/>
      <x:c r="J156" s="0"/>
      <x:c r="K156" s="6">
        <x:v>46265.89589710648</x:v>
      </x:c>
      <x:c r="L156" t="str" s="2">
        <x:v>Contacted</x:v>
      </x:c>
    </x:row>
    <x:row r="157">
      <x:c r="A157" t="str" s="2">
        <x:f>="Filia Chavez"</x:f>
      </x:c>
      <x:c r="B157" t="str" s="2">
        <x:v>Heritage Housing Marble Falls</x:v>
      </x:c>
      <x:c r="C157" t="str" s="2">
        <x:v>1/1</x:v>
      </x:c>
      <x:c r="D157" t="str" s="2">
        <x:v>5059851152</x:v>
      </x:c>
      <x:c r="E157" t="str" s="2">
        <x:v>filiaychavez@gmail.com</x:v>
      </x:c>
      <x:c r="F157" t="str" s="2">
        <x:v>Meta Ads - Forms</x:v>
      </x:c>
      <x:c r="G157" t="str" s="2">
        <x:v>Stephen Sanders</x:v>
      </x:c>
      <x:c r="H157" s="6">
        <x:v>46209.32158217593</x:v>
      </x:c>
      <x:c r="I157" s="0"/>
      <x:c r="J157" s="0"/>
      <x:c r="K157" s="6">
        <x:v>46275.93233144676</x:v>
      </x:c>
      <x:c r="L157" t="str" s="2">
        <x:v>Contacted</x:v>
      </x:c>
    </x:row>
    <x:row r="158">
      <x:c r="A158" t="str" s="2">
        <x:f>="LaTonya Wilson"</x:f>
      </x:c>
      <x:c r="B158" t="str" s="2">
        <x:v>Heritage Housing of Minden</x:v>
      </x:c>
      <x:c r="C158" t="str" s="2">
        <x:v>0/2</x:v>
      </x:c>
      <x:c r="D158" t="str" s="2">
        <x:v>3185791598</x:v>
      </x:c>
      <x:c r="E158" t="str" s="2">
        <x:v>tonyap.abyssinc@gmail.com</x:v>
      </x:c>
      <x:c r="F158" t="str" s="2">
        <x:v>Financing Form</x:v>
      </x:c>
      <x:c r="G158" t="str" s="2">
        <x:v>Patrick Schuchart</x:v>
      </x:c>
      <x:c r="H158" s="6">
        <x:v>46209.514375</x:v>
      </x:c>
      <x:c r="I158" s="0"/>
      <x:c r="J158" s="0"/>
      <x:c r="K158" s="6">
        <x:v>46242.78891577546</x:v>
      </x:c>
      <x:c r="L158" t="str" s="2">
        <x:v>Contacted</x:v>
      </x:c>
    </x:row>
    <x:row r="159">
      <x:c r="A159" t="str" s="2">
        <x:f>="Steve Mossman"</x:f>
      </x:c>
      <x:c r="B159" t="str" s="2">
        <x:v>Heritage Housing of Greenville</x:v>
      </x:c>
      <x:c r="C159" t="str" s="2">
        <x:v/>
      </x:c>
      <x:c r="D159" t="str" s="2">
        <x:v>9406002326</x:v>
      </x:c>
      <x:c r="E159" t="str" s="2">
        <x:v>steve.mossman@yahoo.com</x:v>
      </x:c>
      <x:c r="F159" t="str" s="2">
        <x:v>Meta Ads - Forms</x:v>
      </x:c>
      <x:c r="G159" t="str" s="2">
        <x:v>Ana Garcia</x:v>
      </x:c>
      <x:c r="H159" s="6">
        <x:v>46209.524453275466</x:v>
      </x:c>
      <x:c r="I159" s="0"/>
      <x:c r="J159" s="0"/>
      <x:c r="K159" s="6">
        <x:v>46209.569678506945</x:v>
      </x:c>
      <x:c r="L159" t="str" s="2">
        <x:v>Contacted</x:v>
      </x:c>
    </x:row>
    <x:row r="160">
      <x:c r="A160" t="str" s="2">
        <x:f>="Marleshia Davis"</x:f>
      </x:c>
      <x:c r="B160" t="str" s="2">
        <x:v>Heritage Housing of Albany</x:v>
      </x:c>
      <x:c r="C160" t="str" s="2">
        <x:v>0/2</x:v>
      </x:c>
      <x:c r="D160" t="str" s="2">
        <x:v>2298489026</x:v>
      </x:c>
      <x:c r="E160" t="str" s="2">
        <x:v>marleshia.davis93@gmail.com</x:v>
      </x:c>
      <x:c r="F160" t="str" s="2">
        <x:v>Financing Form</x:v>
      </x:c>
      <x:c r="G160" t="str" s="2">
        <x:v>Yanet Alvarez</x:v>
      </x:c>
      <x:c r="H160" s="6">
        <x:v>46209.774616319446</x:v>
      </x:c>
      <x:c r="I160" s="0"/>
      <x:c r="J160" s="0"/>
      <x:c r="K160" s="6">
        <x:v>46281.90376450231</x:v>
      </x:c>
      <x:c r="L160" t="str" s="2">
        <x:v>Contacted</x:v>
      </x:c>
    </x:row>
    <x:row r="161">
      <x:c r="A161" t="str" s="2">
        <x:f>="??’??????. Glover"</x:f>
      </x:c>
      <x:c r="B161" t="str" s="2">
        <x:v>Heritage Housing of Jennings</x:v>
      </x:c>
      <x:c r="C161" t="str" s="2">
        <x:v>0/3</x:v>
      </x:c>
      <x:c r="D161" t="str" s="2">
        <x:v>5044938559</x:v>
      </x:c>
      <x:c r="E161" t="str" s="2">
        <x:v>akyiaglover373@gmail.com</x:v>
      </x:c>
      <x:c r="F161" t="str" s="2">
        <x:v>Meta Ads - Forms</x:v>
      </x:c>
      <x:c r="G161" t="str" s="2">
        <x:v>Mervin Leslie Smith</x:v>
      </x:c>
      <x:c r="H161" s="6">
        <x:v>46209.963362152776</x:v>
      </x:c>
      <x:c r="I161" s="0"/>
      <x:c r="J161" s="0"/>
      <x:c r="K161" s="6">
        <x:v>46240.79571261574</x:v>
      </x:c>
      <x:c r="L161" t="str" s="2">
        <x:v>Contacted</x:v>
      </x:c>
    </x:row>
    <x:row r="162">
      <x:c r="A162" t="str" s="2">
        <x:f>="Chandra Williams"</x:f>
      </x:c>
      <x:c r="B162" t="str" s="2">
        <x:v>Heritage Housing of Greenville</x:v>
      </x:c>
      <x:c r="C162" t="str" s="2">
        <x:v/>
      </x:c>
      <x:c r="D162" t="str" s="2">
        <x:v>7738428106</x:v>
      </x:c>
      <x:c r="E162" t="str" s="2">
        <x:v>williamschandra30@gmail.com</x:v>
      </x:c>
      <x:c r="F162" t="str" s="2">
        <x:v>Meta Ads - Forms</x:v>
      </x:c>
      <x:c r="G162" t="str" s="2">
        <x:v>Ana Garcia</x:v>
      </x:c>
      <x:c r="H162" s="6">
        <x:v>46210.01874915509</x:v>
      </x:c>
      <x:c r="I162" s="0"/>
      <x:c r="J162" s="0"/>
      <x:c r="K162" s="6">
        <x:v>46210.69406681713</x:v>
      </x:c>
      <x:c r="L162" t="str" s="2">
        <x:v>Contacted</x:v>
      </x:c>
    </x:row>
    <x:row r="163">
      <x:c r="A163" t="str" s="2">
        <x:f>="Melody Gavina"</x:f>
      </x:c>
      <x:c r="B163" t="str" s="2">
        <x:v>Heritage Housing of Greenville</x:v>
      </x:c>
      <x:c r="C163" t="str" s="2">
        <x:v/>
      </x:c>
      <x:c r="D163" t="str" s="2">
        <x:v>6824349876</x:v>
      </x:c>
      <x:c r="E163" t="str" s="2">
        <x:v>melodygavina873@gmail.com</x:v>
      </x:c>
      <x:c r="F163" t="str" s="2">
        <x:v>Meta Ads - Forms</x:v>
      </x:c>
      <x:c r="G163" t="str" s="2">
        <x:v>Ana Garcia</x:v>
      </x:c>
      <x:c r="H163" s="6">
        <x:v>46210.175081747686</x:v>
      </x:c>
      <x:c r="I163" s="0"/>
      <x:c r="J163" s="0"/>
      <x:c r="K163" s="6">
        <x:v>46210.69441701389</x:v>
      </x:c>
      <x:c r="L163" t="str" s="2">
        <x:v>Contacted</x:v>
      </x:c>
    </x:row>
    <x:row r="164">
      <x:c r="A164" t="str" s="2">
        <x:f>="Malik Johnson"</x:f>
      </x:c>
      <x:c r="B164" t="str" s="2">
        <x:v>Heritage Housing of Greenville</x:v>
      </x:c>
      <x:c r="C164" t="str" s="2">
        <x:v/>
      </x:c>
      <x:c r="D164" t="str" s="2">
        <x:v>3182822869</x:v>
      </x:c>
      <x:c r="E164" t="str" s="2">
        <x:v>johnlikj81@gmail.com</x:v>
      </x:c>
      <x:c r="F164" t="str" s="2">
        <x:v>Meta Ads - Forms</x:v>
      </x:c>
      <x:c r="G164" t="str" s="2">
        <x:v>Ana Garcia</x:v>
      </x:c>
      <x:c r="H164" s="6">
        <x:v>46210.334084375</x:v>
      </x:c>
      <x:c r="I164" s="0"/>
      <x:c r="J164" s="0"/>
      <x:c r="K164" s="6">
        <x:v>46210.67735813657</x:v>
      </x:c>
      <x:c r="L164" t="str" s="2">
        <x:v>Contacted</x:v>
      </x:c>
    </x:row>
    <x:row r="165">
      <x:c r="A165" t="str" s="2">
        <x:f>="Brent Swain"</x:f>
      </x:c>
      <x:c r="B165" t="str" s="2">
        <x:v>Heritage Housing of Athens</x:v>
      </x:c>
      <x:c r="C165" t="str" s="2">
        <x:v/>
      </x:c>
      <x:c r="D165" t="str" s="2">
        <x:v>6628012701</x:v>
      </x:c>
      <x:c r="E165" t="str" s="2">
        <x:v>wbswain@gmail.com</x:v>
      </x:c>
      <x:c r="F165" t="str" s="2">
        <x:v>Financing Form</x:v>
      </x:c>
      <x:c r="G165" t="str" s="2">
        <x:v>Nathan Bishop</x:v>
      </x:c>
      <x:c r="H165" s="6">
        <x:v>46210.566435266206</x:v>
      </x:c>
      <x:c r="I165" s="0"/>
      <x:c r="J165" s="0"/>
      <x:c r="K165" s="6">
        <x:v>46252.70937824074</x:v>
      </x:c>
      <x:c r="L165" t="str" s="2">
        <x:v>Contacted</x:v>
      </x:c>
    </x:row>
    <x:row r="166">
      <x:c r="A166" t="str" s="2">
        <x:f>="Inaya James"</x:f>
      </x:c>
      <x:c r="B166" t="str" s="2">
        <x:v>Heritage Housing of Minden</x:v>
      </x:c>
      <x:c r="C166" t="str" s="2">
        <x:v>0/8</x:v>
      </x:c>
      <x:c r="D166" t="str" s="2">
        <x:v>3189572060</x:v>
      </x:c>
      <x:c r="E166" t="str" s="2">
        <x:v>inajames18@gmail.com</x:v>
      </x:c>
      <x:c r="F166" t="str" s="2">
        <x:v>Meta Ads - Forms</x:v>
      </x:c>
      <x:c r="G166" t="str" s="2">
        <x:v>Patrick Schuchart</x:v>
      </x:c>
      <x:c r="H166" s="6">
        <x:v>46210.6011784375</x:v>
      </x:c>
      <x:c r="I166" s="0"/>
      <x:c r="J166" s="0"/>
      <x:c r="K166" s="6">
        <x:v>46270.66475042824</x:v>
      </x:c>
      <x:c r="L166" t="str" s="2">
        <x:v>Contacted</x:v>
      </x:c>
    </x:row>
    <x:row r="167">
      <x:c r="A167" t="str" s="2">
        <x:f>="Manacia Whitfield"</x:f>
      </x:c>
      <x:c r="B167" t="str" s="2">
        <x:v>Heritage Housing of Albany</x:v>
      </x:c>
      <x:c r="C167" t="str" s="2">
        <x:v>0/2</x:v>
      </x:c>
      <x:c r="D167" t="str" s="2">
        <x:v>2293448484</x:v>
      </x:c>
      <x:c r="E167" t="str" s="2">
        <x:v>manaciawhitfield@icloud.com</x:v>
      </x:c>
      <x:c r="F167" t="str" s="2">
        <x:v>Meta Ads - Forms</x:v>
      </x:c>
      <x:c r="G167" t="str" s="2">
        <x:v>Yanet Alvarez</x:v>
      </x:c>
      <x:c r="H167" s="6">
        <x:v>46210.643354594904</x:v>
      </x:c>
      <x:c r="I167" s="0"/>
      <x:c r="J167" s="0"/>
      <x:c r="K167" s="6">
        <x:v>46302.61125787037</x:v>
      </x:c>
      <x:c r="L167" t="str" s="2">
        <x:v>Contacted</x:v>
      </x:c>
    </x:row>
    <x:row r="168">
      <x:c r="A168" t="str" s="2">
        <x:f>="Victoria Ziegler"</x:f>
      </x:c>
      <x:c r="B168" t="str" s="2">
        <x:v>Heritage Housing of Jennings</x:v>
      </x:c>
      <x:c r="C168" t="str" s="2">
        <x:v/>
      </x:c>
      <x:c r="D168" t="str" s="2">
        <x:v>3373172628</x:v>
      </x:c>
      <x:c r="E168" t="str" s="2">
        <x:v>vichardy369@gmail.com</x:v>
      </x:c>
      <x:c r="F168" t="str" s="2">
        <x:v>Website</x:v>
      </x:c>
      <x:c r="G168" t="str" s="2">
        <x:v>Clint O'Neal</x:v>
      </x:c>
      <x:c r="H168" s="6">
        <x:v>46210.65577809028</x:v>
      </x:c>
      <x:c r="I168" s="0"/>
      <x:c r="J168" s="0"/>
      <x:c r="K168" s="6">
        <x:v>46254.77920416667</x:v>
      </x:c>
      <x:c r="L168" t="str" s="2">
        <x:v>Contacted</x:v>
      </x:c>
    </x:row>
    <x:row r="169">
      <x:c r="A169" t="str" s="2">
        <x:f>=HYPERLINK("https://rsms.futurehomex.com/lead/38327", "Anna Barnett Harris")</x:f>
      </x:c>
      <x:c r="B169" t="str" s="2">
        <x:v>Heritage Housing of Jennings</x:v>
      </x:c>
      <x:c r="C169" t="str" s="2">
        <x:v>0/2</x:v>
      </x:c>
      <x:c r="D169" t="str" s="2">
        <x:v>9302053195</x:v>
      </x:c>
      <x:c r="E169" t="str" s="2">
        <x:v>aharris2720@gmail.com</x:v>
      </x:c>
      <x:c r="F169" t="str" s="2">
        <x:v>Financing Form</x:v>
      </x:c>
      <x:c r="G169" t="str" s="2">
        <x:v>Mervin Leslie Smith</x:v>
      </x:c>
      <x:c r="H169" s="6">
        <x:v>46210.804866238424</x:v>
      </x:c>
      <x:c r="I169" t="str" s="2">
        <x:v>Mervin Leslie Smith</x:v>
      </x:c>
      <x:c r="J169" s="0"/>
      <x:c r="K169" s="6">
        <x:v>46235.77998587963</x:v>
      </x:c>
      <x:c r="L169" t="str" s="2">
        <x:v>Contacted</x:v>
      </x:c>
    </x:row>
    <x:row r="170">
      <x:c r="A170" t="str" s="2">
        <x:f>="Sandra Artecona"</x:f>
      </x:c>
      <x:c r="B170" t="str" s="2">
        <x:v>Heritage Housing Marble Falls</x:v>
      </x:c>
      <x:c r="C170" t="str" s="2">
        <x:v/>
      </x:c>
      <x:c r="D170" t="str" s="2">
        <x:v>8302659505</x:v>
      </x:c>
      <x:c r="E170" t="str" s="2">
        <x:v>sandy.cog.365@gmail.com</x:v>
      </x:c>
      <x:c r="F170" t="str" s="2">
        <x:v>Website</x:v>
      </x:c>
      <x:c r="G170" t="str" s="2">
        <x:v>Stephen Sanders</x:v>
      </x:c>
      <x:c r="H170" s="6">
        <x:v>46210.843022141205</x:v>
      </x:c>
      <x:c r="I170" s="0"/>
      <x:c r="J170" s="0"/>
      <x:c r="K170" s="6">
        <x:v>46210.950449386575</x:v>
      </x:c>
      <x:c r="L170" t="str" s="2">
        <x:v>Contacted</x:v>
      </x:c>
    </x:row>
    <x:row r="171">
      <x:c r="A171" t="str" s="2">
        <x:f>="engeng engeng"</x:f>
      </x:c>
      <x:c r="B171" t="str" s="2">
        <x:v>Heritage Housing of Albany</x:v>
      </x:c>
      <x:c r="C171" t="str" s="2">
        <x:v/>
      </x:c>
      <x:c r="D171" t="str" s="2">
        <x:v>dwwdwdw@fefefrgrgtht.co</x:v>
      </x:c>
      <x:c r="E171" t="str" s="2">
        <x:v>dwwdwdw@fefefrgrgtht.co</x:v>
      </x:c>
      <x:c r="F171" t="str" s="2">
        <x:v>Landing_BPM</x:v>
      </x:c>
      <x:c r="G171" t="str" s="2">
        <x:v>Yanet Alvarez</x:v>
      </x:c>
      <x:c r="H171" s="6">
        <x:v>46210.8757912037</x:v>
      </x:c>
      <x:c r="I171" s="0"/>
      <x:c r="J171" s="0"/>
      <x:c r="K171" s="6">
        <x:v>46295.88542866898</x:v>
      </x:c>
      <x:c r="L171" t="str" s="2">
        <x:v>Contacted</x:v>
      </x:c>
    </x:row>
    <x:row r="172">
      <x:c r="A172" t="str" s="2">
        <x:f>="Mariana pruebaaa"</x:f>
      </x:c>
      <x:c r="B172" t="str" s="2">
        <x:v>Heritage Housing of Greenville</x:v>
      </x:c>
      <x:c r="C172" t="str" s="2">
        <x:v/>
      </x:c>
      <x:c r="D172" t="str" s="2">
        <x:v>362598745</x:v>
      </x:c>
      <x:c r="E172" t="str" s="2">
        <x:v>mariana321@gmail.com</x:v>
      </x:c>
      <x:c r="F172" t="str" s="2">
        <x:v>Meta Ads - Traffic</x:v>
      </x:c>
      <x:c r="G172" t="str" s="2">
        <x:v>Brooklynn Allen</x:v>
      </x:c>
      <x:c r="H172" s="6">
        <x:v>46210.90555420139</x:v>
      </x:c>
      <x:c r="I172" s="0"/>
      <x:c r="J172" s="0"/>
      <x:c r="K172" s="6">
        <x:v>46253.6575971412</x:v>
      </x:c>
      <x:c r="L172" t="str" s="2">
        <x:v>Contacted</x:v>
      </x:c>
    </x:row>
    <x:row r="173">
      <x:c r="A173" t="str" s="2">
        <x:f>="Deasia Reese"</x:f>
      </x:c>
      <x:c r="B173" t="str" s="2">
        <x:v>Heritage Housing of Albany</x:v>
      </x:c>
      <x:c r="C173" t="str" s="2">
        <x:v>0/1</x:v>
      </x:c>
      <x:c r="D173" t="str" s="2">
        <x:v>2293318455</x:v>
      </x:c>
      <x:c r="E173" t="str" s="2">
        <x:v>deasiareese211@gmail.com</x:v>
      </x:c>
      <x:c r="F173" t="str" s="2">
        <x:v>Meta Ads - Forms</x:v>
      </x:c>
      <x:c r="G173" t="str" s="2">
        <x:v>Yanet Alvarez</x:v>
      </x:c>
      <x:c r="H173" s="6">
        <x:v>46210.93397612269</x:v>
      </x:c>
      <x:c r="I173" s="0"/>
      <x:c r="J173" s="0"/>
      <x:c r="K173" s="6">
        <x:v>46289.71069626157</x:v>
      </x:c>
      <x:c r="L173" t="str" s="2">
        <x:v>Contacted</x:v>
      </x:c>
    </x:row>
    <x:row r="174">
      <x:c r="A174" t="str" s="2">
        <x:f>="Fran Randazzo"</x:f>
      </x:c>
      <x:c r="B174" t="str" s="2">
        <x:v>Heritage Housing of Greenville</x:v>
      </x:c>
      <x:c r="C174" t="str" s="2">
        <x:v/>
      </x:c>
      <x:c r="D174" t="str" s="2">
        <x:v>2143179790</x:v>
      </x:c>
      <x:c r="E174" t="str" s="2">
        <x:v>Maryrandazz@gmail.com</x:v>
      </x:c>
      <x:c r="F174" t="str" s="2">
        <x:v>Meta Ads - Forms</x:v>
      </x:c>
      <x:c r="G174" t="str" s="2">
        <x:v>Ana Garcia</x:v>
      </x:c>
      <x:c r="H174" s="6">
        <x:v>46211.183969178244</x:v>
      </x:c>
      <x:c r="I174" s="0"/>
      <x:c r="J174" s="0"/>
      <x:c r="K174" s="6">
        <x:v>46211.65637769676</x:v>
      </x:c>
      <x:c r="L174" t="str" s="2">
        <x:v>Contacted</x:v>
      </x:c>
    </x:row>
    <x:row r="175">
      <x:c r="A175" t="str" s="2">
        <x:f>="Rhonda Margiotta"</x:f>
      </x:c>
      <x:c r="B175" t="str" s="2">
        <x:v>Heritage Housing of Jennings</x:v>
      </x:c>
      <x:c r="C175" t="str" s="2">
        <x:v>0/4</x:v>
      </x:c>
      <x:c r="D175" t="str" s="2">
        <x:v>9854260823</x:v>
      </x:c>
      <x:c r="E175" t="str" s="2">
        <x:v>margiottarhonda65@gmail.com</x:v>
      </x:c>
      <x:c r="F175" t="str" s="2">
        <x:v>Meta Ads - Forms</x:v>
      </x:c>
      <x:c r="G175" t="str" s="2">
        <x:v>Mervin Leslie Smith</x:v>
      </x:c>
      <x:c r="H175" s="6">
        <x:v>46211.419263344906</x:v>
      </x:c>
      <x:c r="I175" s="0"/>
      <x:c r="J175" s="0"/>
      <x:c r="K175" s="6">
        <x:v>46253.693907326386</x:v>
      </x:c>
      <x:c r="L175" t="str" s="2">
        <x:v>Contacted</x:v>
      </x:c>
    </x:row>
    <x:row r="176">
      <x:c r="A176" t="str" s="2">
        <x:f>="Malcolm Clowers"</x:f>
      </x:c>
      <x:c r="B176" t="str" s="2">
        <x:v>Heritage Housing of Greenville</x:v>
      </x:c>
      <x:c r="C176" t="str" s="2">
        <x:v/>
      </x:c>
      <x:c r="D176" t="str" s="2">
        <x:v>3256036826</x:v>
      </x:c>
      <x:c r="E176" t="str" s="2">
        <x:v>malcolmclowers94@gmail.com</x:v>
      </x:c>
      <x:c r="F176" t="str" s="2">
        <x:v>Meta Ads - Forms</x:v>
      </x:c>
      <x:c r="G176" t="str" s="2">
        <x:v>Ana Garcia</x:v>
      </x:c>
      <x:c r="H176" s="6">
        <x:v>46211.48367850694</x:v>
      </x:c>
      <x:c r="I176" s="0"/>
      <x:c r="J176" s="0"/>
      <x:c r="K176" s="6">
        <x:v>46232.49211701389</x:v>
      </x:c>
      <x:c r="L176" t="str" s="2">
        <x:v>Contacted</x:v>
      </x:c>
    </x:row>
    <x:row r="177">
      <x:c r="A177" t="str" s="2">
        <x:f>="Sandy Anthony"</x:f>
      </x:c>
      <x:c r="B177" t="str" s="2">
        <x:v>Heritage Housing of Greenville</x:v>
      </x:c>
      <x:c r="C177" t="str" s="2">
        <x:v/>
      </x:c>
      <x:c r="D177" t="str" s="2">
        <x:v>4698182220</x:v>
      </x:c>
      <x:c r="E177" t="str" s="2">
        <x:v>MARKANTHONYSCLOSET@icloud.com</x:v>
      </x:c>
      <x:c r="F177" t="str" s="2">
        <x:v>Meta Ads - Forms</x:v>
      </x:c>
      <x:c r="G177" t="str" s="2">
        <x:v>Ana Garcia</x:v>
      </x:c>
      <x:c r="H177" s="6">
        <x:v>46211.58612318287</x:v>
      </x:c>
      <x:c r="I177" s="0"/>
      <x:c r="J177" s="0"/>
      <x:c r="K177" s="6">
        <x:v>46212.6292693287</x:v>
      </x:c>
      <x:c r="L177" t="str" s="2">
        <x:v>Contacted</x:v>
      </x:c>
    </x:row>
    <x:row r="178">
      <x:c r="A178" t="str" s="2">
        <x:f>="Justin Doule"</x:f>
      </x:c>
      <x:c r="B178" t="str" s="2">
        <x:v>Heritage Housing of Jennings</x:v>
      </x:c>
      <x:c r="C178" t="str" s="2">
        <x:v/>
      </x:c>
      <x:c r="D178" t="str" s="2">
        <x:v>3185419858</x:v>
      </x:c>
      <x:c r="E178" t="str" s="2">
        <x:v>jmdoyle2005@gmail.com</x:v>
      </x:c>
      <x:c r="F178" t="str" s="2">
        <x:v>Website</x:v>
      </x:c>
      <x:c r="G178" t="str" s="2">
        <x:v>Clint O'Neal</x:v>
      </x:c>
      <x:c r="H178" s="6">
        <x:v>46211.64920983796</x:v>
      </x:c>
      <x:c r="I178" s="0"/>
      <x:c r="J178" s="0"/>
      <x:c r="K178" s="6">
        <x:v>46261.739738854165</x:v>
      </x:c>
      <x:c r="L178" t="str" s="2">
        <x:v>Contacted</x:v>
      </x:c>
    </x:row>
    <x:row r="179">
      <x:c r="A179" t="str" s="2">
        <x:f>="Trey Leverette"</x:f>
      </x:c>
      <x:c r="B179" t="str" s="2">
        <x:v>Heritage Housing of Athens</x:v>
      </x:c>
      <x:c r="C179" t="str" s="2">
        <x:v/>
      </x:c>
      <x:c r="D179" t="str" s="2">
        <x:v>7067658682</x:v>
      </x:c>
      <x:c r="E179" t="str" s="2">
        <x:v>treyleverette2005@gmail.com</x:v>
      </x:c>
      <x:c r="F179" t="str" s="2">
        <x:v>Meta Ads - Forms</x:v>
      </x:c>
      <x:c r="G179" t="str" s="2">
        <x:v>Nathan Bishop</x:v>
      </x:c>
      <x:c r="H179" s="6">
        <x:v>46211.685818784725</x:v>
      </x:c>
      <x:c r="I179" s="0"/>
      <x:c r="J179" s="0"/>
      <x:c r="K179" s="6">
        <x:v>46265.82563341435</x:v>
      </x:c>
      <x:c r="L179" t="str" s="2">
        <x:v>Contacted</x:v>
      </x:c>
    </x:row>
    <x:row r="180">
      <x:c r="A180" t="str" s="2">
        <x:f>="Rhonda Lindley"</x:f>
      </x:c>
      <x:c r="B180" t="str" s="2">
        <x:v>Heritage Housing Marble Falls</x:v>
      </x:c>
      <x:c r="C180" t="str" s="2">
        <x:v/>
      </x:c>
      <x:c r="D180" t="str" s="2">
        <x:v>2103131911</x:v>
      </x:c>
      <x:c r="E180" t="str" s="2">
        <x:v>reddylynn1965@gmail.com</x:v>
      </x:c>
      <x:c r="F180" t="str" s="2">
        <x:v>Meta Ads - Traffic</x:v>
      </x:c>
      <x:c r="G180" t="str" s="2">
        <x:v>Garrett Riedesel</x:v>
      </x:c>
      <x:c r="H180" s="6">
        <x:v>46211.766016898146</x:v>
      </x:c>
      <x:c r="I180" s="0"/>
      <x:c r="J180" s="0"/>
      <x:c r="K180" s="6">
        <x:v>46288.834590625</x:v>
      </x:c>
      <x:c r="L180" t="str" s="2">
        <x:v>Contacted</x:v>
      </x:c>
    </x:row>
    <x:row r="181">
      <x:c r="A181" t="str" s="2">
        <x:f>=HYPERLINK("https://rsms.futurehomex.com/lead/38348", "George McClellan")</x:f>
      </x:c>
      <x:c r="B181" t="str" s="2">
        <x:v>Heritage Housing of Athens</x:v>
      </x:c>
      <x:c r="C181" t="str" s="2">
        <x:v/>
      </x:c>
      <x:c r="D181" t="str" s="2">
        <x:v>7063803001</x:v>
      </x:c>
      <x:c r="E181" t="str" s="2">
        <x:v>ajomcclellan5@gmail.com</x:v>
      </x:c>
      <x:c r="F181" t="str" s="2">
        <x:v>Walk-in</x:v>
      </x:c>
      <x:c r="G181" t="str" s="2">
        <x:v>Nathan Bishop</x:v>
      </x:c>
      <x:c r="H181" s="6">
        <x:v>46211.85094733796</x:v>
      </x:c>
      <x:c r="I181" t="str" s="2">
        <x:v>Nathan Bishop</x:v>
      </x:c>
      <x:c r="J181" s="0"/>
      <x:c r="K181" s="6">
        <x:v>46253.66462496528</x:v>
      </x:c>
      <x:c r="L181" t="str" s="2">
        <x:v>Contacted</x:v>
      </x:c>
    </x:row>
    <x:row r="182">
      <x:c r="A182" t="str" s="2">
        <x:f>="Chelsie Prevatt"</x:f>
      </x:c>
      <x:c r="B182" t="str" s="2">
        <x:v>Heritage Housing of Albany</x:v>
      </x:c>
      <x:c r="C182" t="str" s="2">
        <x:v>0/1</x:v>
      </x:c>
      <x:c r="D182" t="str" s="2">
        <x:v>2295162468</x:v>
      </x:c>
      <x:c r="E182" t="str" s="2">
        <x:v>Chelsie.compton@aol.com</x:v>
      </x:c>
      <x:c r="F182" t="str" s="2">
        <x:v>Meta Ads - Forms</x:v>
      </x:c>
      <x:c r="G182" t="str" s="2">
        <x:v>Yanet Alvarez</x:v>
      </x:c>
      <x:c r="H182" s="6">
        <x:v>46211.86387152778</x:v>
      </x:c>
      <x:c r="I182" s="0"/>
      <x:c r="J182" s="0"/>
      <x:c r="K182" s="6">
        <x:v>46269.872752511576</x:v>
      </x:c>
      <x:c r="L182" t="str" s="2">
        <x:v>Contacted</x:v>
      </x:c>
    </x:row>
    <x:row r="183">
      <x:c r="A183" t="str" s="2">
        <x:f>="Holly Machovec Saucier"</x:f>
      </x:c>
      <x:c r="B183" t="str" s="2">
        <x:v>Heritage Housing of Minden</x:v>
      </x:c>
      <x:c r="C183" t="str" s="2">
        <x:v>0/3</x:v>
      </x:c>
      <x:c r="D183" t="str" s="2">
        <x:v>3186644944</x:v>
      </x:c>
      <x:c r="E183" t="str" s="2">
        <x:v>Hollymacsaucier@yahoo.com</x:v>
      </x:c>
      <x:c r="F183" t="str" s="2">
        <x:v>Meta Ads - Forms</x:v>
      </x:c>
      <x:c r="G183" t="str" s="2">
        <x:v>Patrick Schuchart</x:v>
      </x:c>
      <x:c r="H183" s="6">
        <x:v>46211.95022951389</x:v>
      </x:c>
      <x:c r="I183" s="0"/>
      <x:c r="J183" s="0"/>
      <x:c r="K183" s="6">
        <x:v>46270.665483993056</x:v>
      </x:c>
      <x:c r="L183" t="str" s="2">
        <x:v>Contacted</x:v>
      </x:c>
    </x:row>
    <x:row r="184">
      <x:c r="A184" t="str" s="2">
        <x:f>="Heidi Alaniz"</x:f>
      </x:c>
      <x:c r="B184" t="str" s="2">
        <x:v>Heritage Housing of Canton</x:v>
      </x:c>
      <x:c r="C184" t="str" s="2">
        <x:v/>
      </x:c>
      <x:c r="D184" t="str" s="2">
        <x:v>3254332573</x:v>
      </x:c>
      <x:c r="E184" t="str" s="2">
        <x:v>halaniz218@gmail.com</x:v>
      </x:c>
      <x:c r="F184" t="str" s="2">
        <x:v>Meta Ads - Forms</x:v>
      </x:c>
      <x:c r="G184" t="str" s="2">
        <x:v>Jacob Hatten</x:v>
      </x:c>
      <x:c r="H184" s="6">
        <x:v>46211.964188541664</x:v>
      </x:c>
      <x:c r="I184" s="0"/>
      <x:c r="J184" s="0"/>
      <x:c r="K184" s="6">
        <x:v>46258.730812615744</x:v>
      </x:c>
      <x:c r="L184" t="str" s="2">
        <x:v>Contacted</x:v>
      </x:c>
    </x:row>
    <x:row r="185">
      <x:c r="A185" t="str" s="2">
        <x:f>="Dennis Schulze"</x:f>
      </x:c>
      <x:c r="B185" t="str" s="2">
        <x:v>Heritage Housing Marble Falls</x:v>
      </x:c>
      <x:c r="C185" t="str" s="2">
        <x:v/>
      </x:c>
      <x:c r="D185" t="str" s="2">
        <x:v>8303298018</x:v>
      </x:c>
      <x:c r="E185" t="str" s="2">
        <x:v>schulzedennis85@gmail.com</x:v>
      </x:c>
      <x:c r="F185" t="str" s="2">
        <x:v>Meta Ads - Forms</x:v>
      </x:c>
      <x:c r="G185" t="str" s="2">
        <x:v>Garrett Riedesel</x:v>
      </x:c>
      <x:c r="H185" s="6">
        <x:v>46212.03036670139</x:v>
      </x:c>
      <x:c r="I185" s="0"/>
      <x:c r="J185" s="0"/>
      <x:c r="K185" s="6">
        <x:v>46288.83420324074</x:v>
      </x:c>
      <x:c r="L185" t="str" s="2">
        <x:v>Contacted</x:v>
      </x:c>
    </x:row>
    <x:row r="186">
      <x:c r="A186" t="str" s="2">
        <x:f>="Kenneth Mccoy"</x:f>
      </x:c>
      <x:c r="B186" t="str" s="2">
        <x:v>Heritage Housing of Greenville</x:v>
      </x:c>
      <x:c r="C186" t="str" s="2">
        <x:v/>
      </x:c>
      <x:c r="D186" t="str" s="2">
        <x:v>4699530924</x:v>
      </x:c>
      <x:c r="E186" t="str" s="2">
        <x:v>mccoyhken@gmail.com</x:v>
      </x:c>
      <x:c r="F186" t="str" s="2">
        <x:v>Meta Ads - Forms</x:v>
      </x:c>
      <x:c r="G186" t="str" s="2">
        <x:v>Ana Garcia</x:v>
      </x:c>
      <x:c r="H186" s="6">
        <x:v>46212.12567619213</x:v>
      </x:c>
      <x:c r="I186" s="0"/>
      <x:c r="J186" s="0"/>
      <x:c r="K186" s="6">
        <x:v>46212.627316782404</x:v>
      </x:c>
      <x:c r="L186" t="str" s="2">
        <x:v>Contacted</x:v>
      </x:c>
    </x:row>
    <x:row r="187">
      <x:c r="A187" t="str" s="2">
        <x:f>="Jocelyne Huerta"</x:f>
      </x:c>
      <x:c r="B187" t="str" s="2">
        <x:v>Heritage Housing Gainesville</x:v>
      </x:c>
      <x:c r="C187" t="str" s="2">
        <x:v/>
      </x:c>
      <x:c r="D187" t="str" s="2">
        <x:v>9402840144</x:v>
      </x:c>
      <x:c r="E187" t="str" s="2">
        <x:v>huertajocelyn3@gmail.com</x:v>
      </x:c>
      <x:c r="F187" t="str" s="2">
        <x:v>Financing Form</x:v>
      </x:c>
      <x:c r="G187" t="str" s="2">
        <x:v>Kelly Ford</x:v>
      </x:c>
      <x:c r="H187" s="6">
        <x:v>46212.13113252315</x:v>
      </x:c>
      <x:c r="I187" s="0"/>
      <x:c r="J187" s="0"/>
      <x:c r="K187" s="6">
        <x:v>46308.70314305556</x:v>
      </x:c>
      <x:c r="L187" t="str" s="2">
        <x:v>Contacted</x:v>
      </x:c>
    </x:row>
    <x:row r="188">
      <x:c r="A188" t="str" s="2">
        <x:f>="Giovanni Russo"</x:f>
      </x:c>
      <x:c r="B188" t="str" s="2">
        <x:v>Heritage Housing of Jennings</x:v>
      </x:c>
      <x:c r="C188" t="str" s="2">
        <x:v>0/4</x:v>
      </x:c>
      <x:c r="D188" t="str" s="2">
        <x:v>9857146225</x:v>
      </x:c>
      <x:c r="E188" t="str" s="2">
        <x:v>johnnyb21505@gmail.com</x:v>
      </x:c>
      <x:c r="F188" t="str" s="2">
        <x:v>Meta Ads - Forms</x:v>
      </x:c>
      <x:c r="G188" t="str" s="2">
        <x:v>Mervin Leslie Smith</x:v>
      </x:c>
      <x:c r="H188" s="6">
        <x:v>46212.13578452546</x:v>
      </x:c>
      <x:c r="I188" s="0"/>
      <x:c r="J188" s="0"/>
      <x:c r="K188" s="6">
        <x:v>46259.5773931713</x:v>
      </x:c>
      <x:c r="L188" t="str" s="2">
        <x:v>Contacted</x:v>
      </x:c>
    </x:row>
    <x:row r="189">
      <x:c r="A189" t="str" s="2">
        <x:f>="Julie Williams"</x:f>
      </x:c>
      <x:c r="B189" t="str" s="2">
        <x:v>Heritage Housing of Minden</x:v>
      </x:c>
      <x:c r="C189" t="str" s="2">
        <x:v>0/3</x:v>
      </x:c>
      <x:c r="D189" t="str" s="2">
        <x:v>8704152930</x:v>
      </x:c>
      <x:c r="E189" t="str" s="2">
        <x:v>julliew57@gmail.com</x:v>
      </x:c>
      <x:c r="F189" t="str" s="2">
        <x:v>Meta Ads - Forms</x:v>
      </x:c>
      <x:c r="G189" t="str" s="2">
        <x:v>Patrick Schuchart</x:v>
      </x:c>
      <x:c r="H189" s="6">
        <x:v>46212.321061689814</x:v>
      </x:c>
      <x:c r="I189" s="0"/>
      <x:c r="J189" s="0"/>
      <x:c r="K189" s="6">
        <x:v>46287.947461655094</x:v>
      </x:c>
      <x:c r="L189" t="str" s="2">
        <x:v>Contacted</x:v>
      </x:c>
    </x:row>
    <x:row r="190">
      <x:c r="A190" t="str" s="2">
        <x:f>="Jeanine Bell"</x:f>
      </x:c>
      <x:c r="B190" t="str" s="2">
        <x:v>Heritage Housing of Augusta</x:v>
      </x:c>
      <x:c r="C190" t="str" s="2">
        <x:v/>
      </x:c>
      <x:c r="D190" t="str" s="2">
        <x:v>7622608606</x:v>
      </x:c>
      <x:c r="E190" t="str" s="2">
        <x:v>jeaninebll@yahoo.com</x:v>
      </x:c>
      <x:c r="F190" t="str" s="2">
        <x:v>Website</x:v>
      </x:c>
      <x:c r="G190" t="str" s="2">
        <x:v>Jose Chavez</x:v>
      </x:c>
      <x:c r="H190" s="6">
        <x:v>46212.59530112269</x:v>
      </x:c>
      <x:c r="I190" s="0"/>
      <x:c r="J190" s="0"/>
      <x:c r="K190" s="6">
        <x:v>46282.823352893516</x:v>
      </x:c>
      <x:c r="L190" t="str" s="2">
        <x:v>Contacted</x:v>
      </x:c>
    </x:row>
    <x:row r="191">
      <x:c r="A191" t="str" s="2">
        <x:f>="John Mccombs"</x:f>
      </x:c>
      <x:c r="B191" t="str" s="2">
        <x:v>Heritage Housing of Greenville</x:v>
      </x:c>
      <x:c r="C191" t="str" s="2">
        <x:v/>
      </x:c>
      <x:c r="D191" t="str" s="2">
        <x:v>8179943863</x:v>
      </x:c>
      <x:c r="E191" t="str" s="2">
        <x:v>mccombs.john05@gmail.com</x:v>
      </x:c>
      <x:c r="F191" t="str" s="2">
        <x:v>Meta Ads - Forms</x:v>
      </x:c>
      <x:c r="G191" t="str" s="2">
        <x:v>Ana Garcia</x:v>
      </x:c>
      <x:c r="H191" s="6">
        <x:v>46212.624027777776</x:v>
      </x:c>
      <x:c r="I191" s="0"/>
      <x:c r="J191" s="0"/>
      <x:c r="K191" s="6">
        <x:v>46212.86929108796</x:v>
      </x:c>
      <x:c r="L191" t="str" s="2">
        <x:v>Contacted</x:v>
      </x:c>
    </x:row>
    <x:row r="192">
      <x:c r="A192" t="str" s="2">
        <x:f>="Vanessa Fuentes"</x:f>
      </x:c>
      <x:c r="B192" t="str" s="2">
        <x:v>Heritage Housing of Greenville</x:v>
      </x:c>
      <x:c r="C192" t="str" s="2">
        <x:v/>
      </x:c>
      <x:c r="D192" t="str" s="2">
        <x:v>4696488417</x:v>
      </x:c>
      <x:c r="E192" t="str" s="2">
        <x:v>vanefuentes0317@icloud.com</x:v>
      </x:c>
      <x:c r="F192" t="str" s="2">
        <x:v>Meta Ads - Forms</x:v>
      </x:c>
      <x:c r="G192" t="str" s="2">
        <x:v>Ana Garcia</x:v>
      </x:c>
      <x:c r="H192" s="6">
        <x:v>46212.674428969905</x:v>
      </x:c>
      <x:c r="I192" s="0"/>
      <x:c r="J192" s="0"/>
      <x:c r="K192" s="6">
        <x:v>46252.70003063657</x:v>
      </x:c>
      <x:c r="L192" t="str" s="2">
        <x:v>Contacted</x:v>
      </x:c>
    </x:row>
    <x:row r="193">
      <x:c r="A193" t="str" s="2">
        <x:f>=HYPERLINK("https://rsms.futurehomex.com/lead/38380", "Yanella Sanabria")</x:f>
      </x:c>
      <x:c r="B193" t="str" s="2">
        <x:v>Legacy Housing Corp. DBA Americasa</x:v>
      </x:c>
      <x:c r="C193" t="str" s="2">
        <x:v/>
      </x:c>
      <x:c r="D193" t="str" s="2">
        <x:v>7863551929</x:v>
      </x:c>
      <x:c r="E193" t="str" s="2">
        <x:v>Yanella.noda@gmail.com</x:v>
      </x:c>
      <x:c r="F193" t="str" s="2">
        <x:v>Meta Ads - Forms</x:v>
      </x:c>
      <x:c r="G193" t="str" s="2">
        <x:v>Rodrigo Ramirez</x:v>
      </x:c>
      <x:c r="H193" s="6">
        <x:v>46212.75978912037</x:v>
      </x:c>
      <x:c r="I193" t="str" s="2">
        <x:v>Joey Marquez</x:v>
      </x:c>
      <x:c r="J193" s="0"/>
      <x:c r="K193" s="6">
        <x:v>46290.762463576386</x:v>
      </x:c>
      <x:c r="L193" t="str" s="2">
        <x:v>Contacted</x:v>
      </x:c>
    </x:row>
    <x:row r="194">
      <x:c r="A194" t="str" s="2">
        <x:f>="Matt Camacho"</x:f>
      </x:c>
      <x:c r="B194" t="str" s="2">
        <x:v>Heritage Housing of Jennings</x:v>
      </x:c>
      <x:c r="C194" t="str" s="2">
        <x:v/>
      </x:c>
      <x:c r="D194" t="str" s="2">
        <x:v>3376802540</x:v>
      </x:c>
      <x:c r="E194" t="str" s="2">
        <x:v>Camachomatt2109@gmail.com</x:v>
      </x:c>
      <x:c r="F194" t="str" s="2">
        <x:v>Meta Ads - Forms</x:v>
      </x:c>
      <x:c r="G194" t="str" s="2">
        <x:v>Mervin Leslie Smith</x:v>
      </x:c>
      <x:c r="H194" s="6">
        <x:v>46212.780679780095</x:v>
      </x:c>
      <x:c r="I194" s="0"/>
      <x:c r="J194" s="0"/>
      <x:c r="K194" s="6">
        <x:v>46254.77842190972</x:v>
      </x:c>
      <x:c r="L194" t="str" s="2">
        <x:v>Contacted</x:v>
      </x:c>
    </x:row>
    <x:row r="195">
      <x:c r="A195" t="str" s="2">
        <x:f>=HYPERLINK("https://rsms.futurehomex.com/lead/38374", "Ricky Parker")</x:f>
      </x:c>
      <x:c r="B195" t="str" s="2">
        <x:v>Heritage Housing of Tulsa</x:v>
      </x:c>
      <x:c r="C195" t="str" s="2">
        <x:v/>
      </x:c>
      <x:c r="D195" t="str" s="2">
        <x:v>9183692413</x:v>
      </x:c>
      <x:c r="E195" t="str" s="2">
        <x:v>rep2344@yahoo.com</x:v>
      </x:c>
      <x:c r="F195" t="str" s="2">
        <x:v>Walk-in</x:v>
      </x:c>
      <x:c r="G195" t="str" s="2">
        <x:v>Jenna Fransisco</x:v>
      </x:c>
      <x:c r="H195" s="6">
        <x:v>46212.792395868055</x:v>
      </x:c>
      <x:c r="I195" t="str" s="2">
        <x:v>Jenna Fransisco</x:v>
      </x:c>
      <x:c r="J195" s="0"/>
      <x:c r="K195" s="6">
        <x:v>46223.63829447917</x:v>
      </x:c>
      <x:c r="L195" t="str" s="2">
        <x:v>Contacted</x:v>
      </x:c>
    </x:row>
    <x:row r="196">
      <x:c r="A196" t="str" s="2">
        <x:f>="Rebecca Louise Lemoine"</x:f>
      </x:c>
      <x:c r="B196" t="str" s="2">
        <x:v>Heritage Housing of Jennings</x:v>
      </x:c>
      <x:c r="C196" t="str" s="2">
        <x:v>0/10</x:v>
      </x:c>
      <x:c r="D196" t="str" s="2">
        <x:v>3183052545</x:v>
      </x:c>
      <x:c r="E196" t="str" s="2">
        <x:v>Rebeccalemoine907@gmail.com</x:v>
      </x:c>
      <x:c r="F196" t="str" s="2">
        <x:v>Meta Ads - Forms</x:v>
      </x:c>
      <x:c r="G196" t="str" s="2">
        <x:v>Mervin Leslie Smith</x:v>
      </x:c>
      <x:c r="H196" s="6">
        <x:v>46212.7930712963</x:v>
      </x:c>
      <x:c r="I196" s="0"/>
      <x:c r="J196" s="0"/>
      <x:c r="K196" s="6">
        <x:v>46270.73421346065</x:v>
      </x:c>
      <x:c r="L196" t="str" s="2">
        <x:v>Contacted</x:v>
      </x:c>
    </x:row>
    <x:row r="197">
      <x:c r="A197" t="str" s="2">
        <x:f>=HYPERLINK("https://rsms.futurehomex.com/lead/38381", "Sandra Gonzalez")</x:f>
      </x:c>
      <x:c r="B197" t="str" s="2">
        <x:v>Heritage Housing Mt Pleasant</x:v>
      </x:c>
      <x:c r="C197" t="str" s="2">
        <x:v/>
      </x:c>
      <x:c r="D197" t="str" s="2">
        <x:v>9039177410</x:v>
      </x:c>
      <x:c r="E197" t="str" s="2">
        <x:v>Sg9144515@gmail.com</x:v>
      </x:c>
      <x:c r="F197" t="str" s="2">
        <x:v>META Marketplace</x:v>
      </x:c>
      <x:c r="G197" t="str" s="2">
        <x:v>Yarelis Torres</x:v>
      </x:c>
      <x:c r="H197" s="6">
        <x:v>46212.90844803241</x:v>
      </x:c>
      <x:c r="I197" t="str" s="2">
        <x:v>Elias Gallardo</x:v>
      </x:c>
      <x:c r="J197" s="0"/>
      <x:c r="K197" s="6">
        <x:v>46276.967133136575</x:v>
      </x:c>
      <x:c r="L197" t="str" s="2">
        <x:v>Contacted</x:v>
      </x:c>
    </x:row>
    <x:row r="198">
      <x:c r="A198" t="str" s="2">
        <x:f>="Harold Banks"</x:f>
      </x:c>
      <x:c r="B198" t="str" s="2">
        <x:v>Heritage Housing of Jennings</x:v>
      </x:c>
      <x:c r="C198" t="str" s="2">
        <x:v>0/4</x:v>
      </x:c>
      <x:c r="D198" t="str" s="2">
        <x:v>5046573866</x:v>
      </x:c>
      <x:c r="E198" t="str" s="2">
        <x:v>harlem736@gmail.com</x:v>
      </x:c>
      <x:c r="F198" t="str" s="2">
        <x:v>Meta Ads - Forms</x:v>
      </x:c>
      <x:c r="G198" t="str" s="2">
        <x:v>Mervin Leslie Smith</x:v>
      </x:c>
      <x:c r="H198" s="6">
        <x:v>46212.93274267361</x:v>
      </x:c>
      <x:c r="I198" s="0"/>
      <x:c r="J198" s="0"/>
      <x:c r="K198" s="6">
        <x:v>46258.88005802083</x:v>
      </x:c>
      <x:c r="L198" t="str" s="2">
        <x:v>Contacted</x:v>
      </x:c>
    </x:row>
    <x:row r="199">
      <x:c r="A199" t="str" s="2">
        <x:f>="J Rhenay Pollard Knox"</x:f>
      </x:c>
      <x:c r="B199" t="str" s="2">
        <x:v>Heritage Housing of Oklahoma City</x:v>
      </x:c>
      <x:c r="C199" t="str" s="2">
        <x:v>0/1</x:v>
      </x:c>
      <x:c r="D199" t="str" s="2">
        <x:v>4058567407</x:v>
      </x:c>
      <x:c r="E199" t="str" s="2">
        <x:v>meemeesohumble@gmail.com</x:v>
      </x:c>
      <x:c r="F199" t="str" s="2">
        <x:v>Meta Ads - Forms</x:v>
      </x:c>
      <x:c r="G199" t="str" s="2">
        <x:v>Steve Castell</x:v>
      </x:c>
      <x:c r="H199" s="6">
        <x:v>46212.97581886574</x:v>
      </x:c>
      <x:c r="I199" s="0"/>
      <x:c r="J199" s="0"/>
      <x:c r="K199" s="6">
        <x:v>46217.97011041667</x:v>
      </x:c>
      <x:c r="L199" t="str" s="2">
        <x:v>Contacted</x:v>
      </x:c>
    </x:row>
    <x:row r="200">
      <x:c r="A200" t="str" s="2">
        <x:f>="Chris Mowry"</x:f>
      </x:c>
      <x:c r="B200" t="str" s="2">
        <x:v>Heritage Housing Marble Falls</x:v>
      </x:c>
      <x:c r="C200" t="str" s="2">
        <x:v/>
      </x:c>
      <x:c r="D200" t="str" s="2">
        <x:v>5129097723</x:v>
      </x:c>
      <x:c r="E200" t="str" s="2">
        <x:v>cmow7273@gmail.com</x:v>
      </x:c>
      <x:c r="F200" t="str" s="2">
        <x:v>Meta Ads - Forms</x:v>
      </x:c>
      <x:c r="G200" t="str" s="2">
        <x:v>Stephen Sanders</x:v>
      </x:c>
      <x:c r="H200" s="6">
        <x:v>46212.98609047454</x:v>
      </x:c>
      <x:c r="I200" s="0"/>
      <x:c r="J200" s="0"/>
      <x:c r="K200" s="6">
        <x:v>46213.707173344905</x:v>
      </x:c>
      <x:c r="L200" t="str" s="2">
        <x:v>Contacted</x:v>
      </x:c>
    </x:row>
    <x:row r="201">
      <x:c r="A201" t="str" s="2">
        <x:f>="Maria Rodriguez"</x:f>
      </x:c>
      <x:c r="B201" t="str" s="2">
        <x:v>Heritage Housing of Athens</x:v>
      </x:c>
      <x:c r="C201" t="str" s="2">
        <x:v/>
      </x:c>
      <x:c r="D201" t="str" s="2">
        <x:v>6788700882</x:v>
      </x:c>
      <x:c r="E201" t="str" s="2">
        <x:v>marirdgz0915@gmail.com</x:v>
      </x:c>
      <x:c r="F201" t="str" s="2">
        <x:v>Meta Ads - Forms</x:v>
      </x:c>
      <x:c r="G201" t="str" s="2">
        <x:v>Nathan Bishop</x:v>
      </x:c>
      <x:c r="H201" s="6">
        <x:v>46213.006911655095</x:v>
      </x:c>
      <x:c r="I201" s="0"/>
      <x:c r="J201" s="0"/>
      <x:c r="K201" s="6">
        <x:v>46267.769447719904</x:v>
      </x:c>
      <x:c r="L201" t="str" s="2">
        <x:v>Contacted</x:v>
      </x:c>
    </x:row>
    <x:row r="202">
      <x:c r="A202" t="str" s="2">
        <x:f>="Heather Larsen"</x:f>
      </x:c>
      <x:c r="B202" t="str" s="2">
        <x:v>Heritage Housing of Albany</x:v>
      </x:c>
      <x:c r="C202" t="str" s="2">
        <x:v>0/1</x:v>
      </x:c>
      <x:c r="D202" t="str" s="2">
        <x:v>4789554749</x:v>
      </x:c>
      <x:c r="E202" t="str" s="2">
        <x:v>heatherlarsen19@gmail.com</x:v>
      </x:c>
      <x:c r="F202" t="str" s="2">
        <x:v>Meta Ads - Forms</x:v>
      </x:c>
      <x:c r="G202" t="str" s="2">
        <x:v>Yanet Alvarez</x:v>
      </x:c>
      <x:c r="H202" s="6">
        <x:v>46213.23326670139</x:v>
      </x:c>
      <x:c r="I202" s="0"/>
      <x:c r="J202" s="0"/>
      <x:c r="K202" s="6">
        <x:v>46260.741559988426</x:v>
      </x:c>
      <x:c r="L202" t="str" s="2">
        <x:v>Contacted</x:v>
      </x:c>
    </x:row>
    <x:row r="203">
      <x:c r="A203" t="str" s="2">
        <x:f>="Jennifer O’Brien"</x:f>
      </x:c>
      <x:c r="B203" t="str" s="2">
        <x:v>Heritage Housing Marble Falls</x:v>
      </x:c>
      <x:c r="C203" t="str" s="2">
        <x:v/>
      </x:c>
      <x:c r="D203" t="str" s="2" xml:space="preserve">
        <x:v> 9499797488    </x:v>
      </x:c>
      <x:c r="E203" t="str" s="2">
        <x:v>Obrien_jen@getdandynow.com</x:v>
      </x:c>
      <x:c r="F203" t="str" s="2">
        <x:v>Website</x:v>
      </x:c>
      <x:c r="G203" t="str" s="2">
        <x:v>Stephen Sanders</x:v>
      </x:c>
      <x:c r="H203" s="6">
        <x:v>46213.235281747686</x:v>
      </x:c>
      <x:c r="I203" s="0"/>
      <x:c r="J203" s="0"/>
      <x:c r="K203" s="6">
        <x:v>46213.70597465278</x:v>
      </x:c>
      <x:c r="L203" t="str" s="2">
        <x:v>Contacted</x:v>
      </x:c>
    </x:row>
    <x:row r="204">
      <x:c r="A204" t="str" s="2">
        <x:f>="Tessa Thompson"</x:f>
      </x:c>
      <x:c r="B204" t="str" s="2">
        <x:v>Heritage Housing of Athens</x:v>
      </x:c>
      <x:c r="C204" t="str" s="2">
        <x:v/>
      </x:c>
      <x:c r="D204" t="str" s="2">
        <x:v>4703650602</x:v>
      </x:c>
      <x:c r="E204" t="str" s="2">
        <x:v>tessamann7@gmail.com</x:v>
      </x:c>
      <x:c r="F204" t="str" s="2">
        <x:v>Meta Ads - Forms</x:v>
      </x:c>
      <x:c r="G204" t="str" s="2">
        <x:v>Nathan Bishop</x:v>
      </x:c>
      <x:c r="H204" s="6">
        <x:v>46213.351322222225</x:v>
      </x:c>
      <x:c r="I204" s="0"/>
      <x:c r="J204" s="0"/>
      <x:c r="K204" s="6">
        <x:v>46267.76846863426</x:v>
      </x:c>
      <x:c r="L204" t="str" s="2">
        <x:v>Contacted</x:v>
      </x:c>
    </x:row>
    <x:row r="205">
      <x:c r="A205" t="str" s="2">
        <x:f>="Francisco Rodriguez"</x:f>
      </x:c>
      <x:c r="B205" t="str" s="2">
        <x:v>Heritage Housing of Athens</x:v>
      </x:c>
      <x:c r="C205" t="str" s="2">
        <x:v/>
      </x:c>
      <x:c r="D205" t="str" s="2">
        <x:v>8032159700</x:v>
      </x:c>
      <x:c r="E205" t="str" s="2">
        <x:v>Frodriguez0408@icloud.com</x:v>
      </x:c>
      <x:c r="F205" t="str" s="2">
        <x:v>Meta Ads - Forms</x:v>
      </x:c>
      <x:c r="G205" t="str" s="2">
        <x:v>Nathan Bishop</x:v>
      </x:c>
      <x:c r="H205" s="6">
        <x:v>46213.6871940625</x:v>
      </x:c>
      <x:c r="I205" s="0"/>
      <x:c r="J205" s="0"/>
      <x:c r="K205" s="6">
        <x:v>46267.749159293984</x:v>
      </x:c>
      <x:c r="L205" t="str" s="2">
        <x:v>Contacted</x:v>
      </x:c>
    </x:row>
    <x:row r="206">
      <x:c r="A206" t="str" s="2">
        <x:f>=HYPERLINK("https://rsms.futurehomex.com/lead/38395", "Alysia Houston")</x:f>
      </x:c>
      <x:c r="B206" t="str" s="2">
        <x:v>Heritage Housing Gainesville</x:v>
      </x:c>
      <x:c r="C206" t="str" s="2">
        <x:v/>
      </x:c>
      <x:c r="D206" t="str" s="2">
        <x:v>2297192921</x:v>
      </x:c>
      <x:c r="E206" t="str" s="2">
        <x:v>HOUSTONSHEA56@GMAIL.COM</x:v>
      </x:c>
      <x:c r="F206" t="str" s="2">
        <x:v>Website</x:v>
      </x:c>
      <x:c r="G206" t="str" s="2">
        <x:v>Jeniffer Arellano</x:v>
      </x:c>
      <x:c r="H206" s="6">
        <x:v>46213.73623761574</x:v>
      </x:c>
      <x:c r="I206" t="str" s="2">
        <x:v>Chris Michniacki</x:v>
      </x:c>
      <x:c r="J206" s="0"/>
      <x:c r="K206" s="6">
        <x:v>46214.86989158565</x:v>
      </x:c>
      <x:c r="L206" t="str" s="2">
        <x:v>Contacted</x:v>
      </x:c>
    </x:row>
    <x:row r="207">
      <x:c r="A207" t="str" s="2">
        <x:f>=HYPERLINK("https://rsms.futurehomex.com/lead/38392", "JENNY CAMPBELL")</x:f>
      </x:c>
      <x:c r="B207" t="str" s="2">
        <x:v>Heritage Housing of Augusta</x:v>
      </x:c>
      <x:c r="C207" t="str" s="2">
        <x:v/>
      </x:c>
      <x:c r="D207" t="str" s="2">
        <x:v>7708614628</x:v>
      </x:c>
      <x:c r="E207" t="str" s="2">
        <x:v>campbellredhead@yahoo.com</x:v>
      </x:c>
      <x:c r="F207" t="str" s="2">
        <x:v>FHF Website</x:v>
      </x:c>
      <x:c r="G207" t="str" s="2">
        <x:v>Jose Chavez</x:v>
      </x:c>
      <x:c r="H207" s="6">
        <x:v>46213.74350471065</x:v>
      </x:c>
      <x:c r="I207" t="str" s="2">
        <x:v>Faye Lively</x:v>
      </x:c>
      <x:c r="J207" s="0"/>
      <x:c r="K207" s="6">
        <x:v>46277.60654112269</x:v>
      </x:c>
      <x:c r="L207" t="str" s="2">
        <x:v>Contacted</x:v>
      </x:c>
    </x:row>
    <x:row r="208">
      <x:c r="A208" t="str" s="2">
        <x:f>="Pedro Moreno"</x:f>
      </x:c>
      <x:c r="B208" t="str" s="2">
        <x:v>Heritage Housing of Oklahoma City</x:v>
      </x:c>
      <x:c r="C208" t="str" s="2">
        <x:v>0/4</x:v>
      </x:c>
      <x:c r="D208" t="str" s="2">
        <x:v>4058983522</x:v>
      </x:c>
      <x:c r="E208" t="str" s="2">
        <x:v>danielmorenopuebla1283@gmail.com</x:v>
      </x:c>
      <x:c r="F208" t="str" s="2">
        <x:v>Meta Ads - Traffic</x:v>
      </x:c>
      <x:c r="G208" t="str" s="2">
        <x:v>Steve Castell</x:v>
      </x:c>
      <x:c r="H208" s="6">
        <x:v>46213.74706670139</x:v>
      </x:c>
      <x:c r="I208" s="0"/>
      <x:c r="J208" s="0"/>
      <x:c r="K208" s="6">
        <x:v>46248.63817060185</x:v>
      </x:c>
      <x:c r="L208" t="str" s="2">
        <x:v>Contacted</x:v>
      </x:c>
    </x:row>
    <x:row r="209">
      <x:c r="A209" t="str" s="2">
        <x:f>=HYPERLINK("https://rsms.futurehomex.com/lead/38403", "Alejandro Rios")</x:f>
      </x:c>
      <x:c r="B209" t="str" s="2">
        <x:v>Heritage Housing of Athens</x:v>
      </x:c>
      <x:c r="C209" t="str" s="2">
        <x:v>0/1</x:v>
      </x:c>
      <x:c r="D209" t="str" s="2">
        <x:v>1234567897</x:v>
      </x:c>
      <x:c r="E209" t="str" s="2">
        <x:v>1234567897</x:v>
      </x:c>
      <x:c r="F209" t="str" s="2">
        <x:v>Meta Ads - Messenger</x:v>
      </x:c>
      <x:c r="G209" t="str" s="2">
        <x:v>Nathan Bishop</x:v>
      </x:c>
      <x:c r="H209" s="6">
        <x:v>46213.844192627315</x:v>
      </x:c>
      <x:c r="I209" t="str" s="2">
        <x:v>Nathan Bishop</x:v>
      </x:c>
      <x:c r="J209" s="0"/>
      <x:c r="K209" s="6">
        <x:v>46265.79470274306</x:v>
      </x:c>
      <x:c r="L209" t="str" s="2">
        <x:v>Contacted</x:v>
      </x:c>
    </x:row>
    <x:row r="210">
      <x:c r="A210" t="str" s="2">
        <x:f>="William Durden"</x:f>
      </x:c>
      <x:c r="B210" t="str" s="2">
        <x:v>Heritage Housing of Athens</x:v>
      </x:c>
      <x:c r="C210" t="str" s="2">
        <x:v>0/2</x:v>
      </x:c>
      <x:c r="D210" t="str" s="2">
        <x:v>6783159525</x:v>
      </x:c>
      <x:c r="E210" t="str" s="2">
        <x:v>santabilldurden@gmail.com</x:v>
      </x:c>
      <x:c r="F210" t="str" s="2">
        <x:v>Meta Ads - Forms</x:v>
      </x:c>
      <x:c r="G210" t="str" s="2">
        <x:v>Nathan Bishop</x:v>
      </x:c>
      <x:c r="H210" s="6">
        <x:v>46213.8793371875</x:v>
      </x:c>
      <x:c r="I210" s="0"/>
      <x:c r="J210" s="0"/>
      <x:c r="K210" s="6">
        <x:v>46253.6909309375</x:v>
      </x:c>
      <x:c r="L210" t="str" s="2">
        <x:v>Contacted</x:v>
      </x:c>
    </x:row>
    <x:row r="211">
      <x:c r="A211" t="str" s="2">
        <x:f>="Lara Lisbeth"</x:f>
      </x:c>
      <x:c r="B211" t="str" s="2">
        <x:v>Heritage Housing Marble Falls</x:v>
      </x:c>
      <x:c r="C211" t="str" s="2">
        <x:v/>
      </x:c>
      <x:c r="D211" t="str" s="2">
        <x:v>4752989003</x:v>
      </x:c>
      <x:c r="E211" t="str" s="2">
        <x:v>lisbethlara1103@gmail.com</x:v>
      </x:c>
      <x:c r="F211" t="str" s="2">
        <x:v>Meta Ads - Forms</x:v>
      </x:c>
      <x:c r="G211" t="str" s="2">
        <x:v>Stephen Sanders</x:v>
      </x:c>
      <x:c r="H211" s="6">
        <x:v>46213.88246998843</x:v>
      </x:c>
      <x:c r="I211" s="0"/>
      <x:c r="J211" s="0"/>
      <x:c r="K211" s="6">
        <x:v>46267.84091605324</x:v>
      </x:c>
      <x:c r="L211" t="str" s="2">
        <x:v>Contacted</x:v>
      </x:c>
    </x:row>
    <x:row r="212">
      <x:c r="A212" t="str" s="2">
        <x:f>=HYPERLINK("https://rsms.futurehomex.com/lead/38412", "Brad &amp; Gayle Lefler")</x:f>
      </x:c>
      <x:c r="B212" t="str" s="2">
        <x:v>Heritage Housing Marble Falls</x:v>
      </x:c>
      <x:c r="C212" t="str" s="2">
        <x:v/>
      </x:c>
      <x:c r="D212" t="str" s="2">
        <x:v>3195724584</x:v>
      </x:c>
      <x:c r="E212" t="str" s="2">
        <x:v>3195724584</x:v>
      </x:c>
      <x:c r="F212" t="str" s="2">
        <x:v>Facebook Messenger</x:v>
      </x:c>
      <x:c r="G212" t="str" s="2">
        <x:v>Garrett Riedesel</x:v>
      </x:c>
      <x:c r="H212" s="6">
        <x:v>46214.62254082176</x:v>
      </x:c>
      <x:c r="I212" t="str" s="2">
        <x:v>Garrett Riedesel</x:v>
      </x:c>
      <x:c r="J212" s="0"/>
      <x:c r="K212" s="6">
        <x:v>46288.83307337963</x:v>
      </x:c>
      <x:c r="L212" t="str" s="2">
        <x:v>Contacted</x:v>
      </x:c>
    </x:row>
    <x:row r="213">
      <x:c r="A213" t="str" s="2">
        <x:f>=HYPERLINK("https://rsms.futurehomex.com/lead/38429", "Laurell Hester")</x:f>
      </x:c>
      <x:c r="B213" t="str" s="2">
        <x:v>Heritage Housing of Minden</x:v>
      </x:c>
      <x:c r="C213" t="str" s="2">
        <x:v/>
      </x:c>
      <x:c r="D213" t="str" s="2">
        <x:v>3182820056</x:v>
      </x:c>
      <x:c r="E213" t="str" s="2">
        <x:v>Moses.laurell@yahoo.com</x:v>
      </x:c>
      <x:c r="F213" t="str" s="2">
        <x:v>HH - Minden</x:v>
      </x:c>
      <x:c r="G213" t="str" s="2">
        <x:v>Patrick Schuchart</x:v>
      </x:c>
      <x:c r="H213" s="6">
        <x:v>46214.76486018518</x:v>
      </x:c>
      <x:c r="I213" t="str" s="2">
        <x:v>Patrick Schuchart</x:v>
      </x:c>
      <x:c r="J213" s="0"/>
      <x:c r="K213" s="6">
        <x:v>46231.92569834491</x:v>
      </x:c>
      <x:c r="L213" t="str" s="2">
        <x:v>Contacted</x:v>
      </x:c>
    </x:row>
    <x:row r="214">
      <x:c r="A214" t="str" s="2">
        <x:f>=HYPERLINK("https://rsms.futurehomex.com/lead/38433", "Marquis Wright")</x:f>
      </x:c>
      <x:c r="B214" t="str" s="2">
        <x:v>Heritage Housing of Athens</x:v>
      </x:c>
      <x:c r="C214" t="str" s="2">
        <x:v>1/2</x:v>
      </x:c>
      <x:c r="D214" t="str" s="2">
        <x:v>4793967990</x:v>
      </x:c>
      <x:c r="E214" t="str" s="2">
        <x:v>4793697990</x:v>
      </x:c>
      <x:c r="F214" t="str" s="2">
        <x:v>Website</x:v>
      </x:c>
      <x:c r="G214" t="str" s="2">
        <x:v>Nathan Bishop</x:v>
      </x:c>
      <x:c r="H214" s="6">
        <x:v>46214.82447364584</x:v>
      </x:c>
      <x:c r="I214" t="str" s="2">
        <x:v>Nathan Bishop</x:v>
      </x:c>
      <x:c r="J214" s="0"/>
      <x:c r="K214" s="6">
        <x:v>46280.93407256944</x:v>
      </x:c>
      <x:c r="L214" t="str" s="2">
        <x:v>Contacted</x:v>
      </x:c>
    </x:row>
    <x:row r="215">
      <x:c r="A215" t="str" s="2">
        <x:f>=HYPERLINK("https://rsms.futurehomex.com/lead/38521", "Marlon Rojas")</x:f>
      </x:c>
      <x:c r="B215" t="str" s="2">
        <x:v>Legacy Housing Corp. DBA Americasa</x:v>
      </x:c>
      <x:c r="C215" t="str" s="2">
        <x:v/>
      </x:c>
      <x:c r="D215" t="str" s="2">
        <x:v>3467587571</x:v>
      </x:c>
      <x:c r="E215" t="str" s="2">
        <x:v>3467587571</x:v>
      </x:c>
      <x:c r="F215" t="str" s="2">
        <x:v>Meta Marketplace</x:v>
      </x:c>
      <x:c r="G215" t="str" s="2">
        <x:v>Rodrigo Ramirez</x:v>
      </x:c>
      <x:c r="H215" s="6">
        <x:v>46214.8595340625</x:v>
      </x:c>
      <x:c r="I215" t="str" s="2">
        <x:v>Joey Marquez</x:v>
      </x:c>
      <x:c r="J215" s="6">
        <x:v>46217.666666666664</x:v>
      </x:c>
      <x:c r="K215" s="6">
        <x:v>46289.79924988426</x:v>
      </x:c>
      <x:c r="L215" t="str" s="2">
        <x:v>Contacted</x:v>
      </x:c>
    </x:row>
    <x:row r="216">
      <x:c r="A216" t="str" s="2">
        <x:f>="Buelah Withrow"</x:f>
      </x:c>
      <x:c r="B216" t="str" s="2">
        <x:v>Heritage Housing of Jennings</x:v>
      </x:c>
      <x:c r="C216" t="str" s="2">
        <x:v>0/9</x:v>
      </x:c>
      <x:c r="D216" t="str" s="2">
        <x:v>9137047404</x:v>
      </x:c>
      <x:c r="E216" t="str" s="2">
        <x:v>buelahsusiewithrow@gmail.com</x:v>
      </x:c>
      <x:c r="F216" t="str" s="2">
        <x:v>Meta Ads - Forms</x:v>
      </x:c>
      <x:c r="G216" t="str" s="2">
        <x:v>Mervin Leslie Smith</x:v>
      </x:c>
      <x:c r="H216" s="6">
        <x:v>46214.936932372686</x:v>
      </x:c>
      <x:c r="I216" s="0"/>
      <x:c r="J216" s="0"/>
      <x:c r="K216" s="6">
        <x:v>46238.893093715276</x:v>
      </x:c>
      <x:c r="L216" t="str" s="2">
        <x:v>Contacted</x:v>
      </x:c>
    </x:row>
    <x:row r="217">
      <x:c r="A217" t="str" s="2">
        <x:f>="Jasmyn Goolden"</x:f>
      </x:c>
      <x:c r="B217" t="str" s="2">
        <x:v>Heritage Housing of Greenville</x:v>
      </x:c>
      <x:c r="C217" t="str" s="2">
        <x:v/>
      </x:c>
      <x:c r="D217" t="str" s="2">
        <x:v>2147244768</x:v>
      </x:c>
      <x:c r="E217" t="str" s="2">
        <x:v>i.am.spices91@icloud.com</x:v>
      </x:c>
      <x:c r="F217" t="str" s="2">
        <x:v>Meta Ads - Forms</x:v>
      </x:c>
      <x:c r="G217" t="str" s="2">
        <x:v>Ana Garcia</x:v>
      </x:c>
      <x:c r="H217" s="6">
        <x:v>46215.08355228009</x:v>
      </x:c>
      <x:c r="I217" s="0"/>
      <x:c r="J217" s="0"/>
      <x:c r="K217" s="6">
        <x:v>46216.58186712963</x:v>
      </x:c>
      <x:c r="L217" t="str" s="2">
        <x:v>Contacted</x:v>
      </x:c>
    </x:row>
    <x:row r="218">
      <x:c r="A218" t="str" s="2">
        <x:f>="Lisa Dones"</x:f>
      </x:c>
      <x:c r="B218" t="str" s="2">
        <x:v>Heritage Housing Marble Falls</x:v>
      </x:c>
      <x:c r="C218" t="str" s="2">
        <x:v/>
      </x:c>
      <x:c r="D218" t="str" s="2">
        <x:v>2544625712</x:v>
      </x:c>
      <x:c r="E218" t="str" s="2">
        <x:v>lisa.dones@yahoo.com</x:v>
      </x:c>
      <x:c r="F218" t="str" s="2">
        <x:v>Meta Ads - Forms</x:v>
      </x:c>
      <x:c r="G218" t="str" s="2">
        <x:v>Stephen Sanders</x:v>
      </x:c>
      <x:c r="H218" s="6">
        <x:v>46215.10264070602</x:v>
      </x:c>
      <x:c r="I218" s="0"/>
      <x:c r="J218" s="0"/>
      <x:c r="K218" s="6">
        <x:v>46267.84211987269</x:v>
      </x:c>
      <x:c r="L218" t="str" s="2">
        <x:v>Contacted</x:v>
      </x:c>
    </x:row>
    <x:row r="219">
      <x:c r="A219" t="str" s="2">
        <x:f>="Jennifer Anthony"</x:f>
      </x:c>
      <x:c r="B219" t="str" s="2">
        <x:v>Heritage Housing of Jennings</x:v>
      </x:c>
      <x:c r="C219" t="str" s="2">
        <x:v/>
      </x:c>
      <x:c r="D219" t="str" s="2">
        <x:v>3374656142</x:v>
      </x:c>
      <x:c r="E219" t="str" s="2">
        <x:v>jennifergarrette101@gmail.com</x:v>
      </x:c>
      <x:c r="F219" t="str" s="2">
        <x:v>Meta Ads - Forms</x:v>
      </x:c>
      <x:c r="G219" t="str" s="2">
        <x:v>Mervin Leslie Smith</x:v>
      </x:c>
      <x:c r="H219" s="6">
        <x:v>46215.11355165509</x:v>
      </x:c>
      <x:c r="I219" s="0"/>
      <x:c r="J219" s="0"/>
      <x:c r="K219" s="6">
        <x:v>46269.88210934028</x:v>
      </x:c>
      <x:c r="L219" t="str" s="2">
        <x:v>Contacted</x:v>
      </x:c>
    </x:row>
    <x:row r="220">
      <x:c r="A220" t="str" s="2">
        <x:f>="Chayntina Thomas"</x:f>
      </x:c>
      <x:c r="B220" t="str" s="2">
        <x:v>Heritage Housing of Augusta</x:v>
      </x:c>
      <x:c r="C220" t="str" s="2">
        <x:v>0/1</x:v>
      </x:c>
      <x:c r="D220" t="str" s="2">
        <x:v>8032212149</x:v>
      </x:c>
      <x:c r="E220" t="str" s="2">
        <x:v>cha.johnthomas1@gmail.com</x:v>
      </x:c>
      <x:c r="F220" t="str" s="2">
        <x:v>Meta Ads - Forms</x:v>
      </x:c>
      <x:c r="G220" t="str" s="2">
        <x:v>Jose Chavez</x:v>
      </x:c>
      <x:c r="H220" s="6">
        <x:v>46215.380820405095</x:v>
      </x:c>
      <x:c r="I220" s="0"/>
      <x:c r="J220" s="0"/>
      <x:c r="K220" s="6">
        <x:v>46279.877925775465</x:v>
      </x:c>
      <x:c r="L220" t="str" s="2">
        <x:v>Contacted</x:v>
      </x:c>
    </x:row>
    <x:row r="221">
      <x:c r="A221" t="str" s="2">
        <x:f>="jasmine pickens"</x:f>
      </x:c>
      <x:c r="B221" t="str" s="2">
        <x:v>Heritage Housing Marble Falls</x:v>
      </x:c>
      <x:c r="C221" t="str" s="2">
        <x:v/>
      </x:c>
      <x:c r="D221" t="str" s="2">
        <x:v>3187305601</x:v>
      </x:c>
      <x:c r="E221" t="str" s="2">
        <x:v>pjasmine017@gmail.com</x:v>
      </x:c>
      <x:c r="F221" t="str" s="2">
        <x:v>Meta Ads - Forms</x:v>
      </x:c>
      <x:c r="G221" t="str" s="2">
        <x:v>Stephen Sanders</x:v>
      </x:c>
      <x:c r="H221" s="6">
        <x:v>46215.58591431713</x:v>
      </x:c>
      <x:c r="I221" s="0"/>
      <x:c r="J221" s="0"/>
      <x:c r="K221" s="6">
        <x:v>46267.842924537035</x:v>
      </x:c>
      <x:c r="L221" t="str" s="2">
        <x:v>Contacted</x:v>
      </x:c>
    </x:row>
    <x:row r="222">
      <x:c r="A222" t="str" s="2">
        <x:f>="Stephanie Driver"</x:f>
      </x:c>
      <x:c r="B222" t="str" s="2">
        <x:v>Heritage Housing of Athens</x:v>
      </x:c>
      <x:c r="C222" t="str" s="2">
        <x:v/>
      </x:c>
      <x:c r="D222" t="str" s="2">
        <x:v>6788524870</x:v>
      </x:c>
      <x:c r="E222" t="str" s="2">
        <x:v>stephanied341@gmail.com</x:v>
      </x:c>
      <x:c r="F222" t="str" s="2">
        <x:v>Meta Ads - Forms</x:v>
      </x:c>
      <x:c r="G222" t="str" s="2">
        <x:v>Nathan Bishop</x:v>
      </x:c>
      <x:c r="H222" s="6">
        <x:v>46215.72308568287</x:v>
      </x:c>
      <x:c r="I222" s="0"/>
      <x:c r="J222" s="0"/>
      <x:c r="K222" s="6">
        <x:v>46289.87064059028</x:v>
      </x:c>
      <x:c r="L222" t="str" s="2">
        <x:v>Contacted</x:v>
      </x:c>
    </x:row>
    <x:row r="223">
      <x:c r="A223" t="str" s="2">
        <x:f>="Ricky Lowery"</x:f>
      </x:c>
      <x:c r="B223" t="str" s="2">
        <x:v>Heritage Housing of Minden</x:v>
      </x:c>
      <x:c r="C223" t="str" s="2">
        <x:v>0/2</x:v>
      </x:c>
      <x:c r="D223" t="str" s="2">
        <x:v>3184039307</x:v>
      </x:c>
      <x:c r="E223" t="str" s="2">
        <x:v>wileynla@yahoo.com</x:v>
      </x:c>
      <x:c r="F223" t="str" s="2">
        <x:v>Meta Ads - Forms</x:v>
      </x:c>
      <x:c r="G223" t="str" s="2">
        <x:v>Patrick Schuchart</x:v>
      </x:c>
      <x:c r="H223" s="6">
        <x:v>46215.73470552083</x:v>
      </x:c>
      <x:c r="I223" s="0"/>
      <x:c r="J223" s="0"/>
      <x:c r="K223" s="6">
        <x:v>46265.89877792824</x:v>
      </x:c>
      <x:c r="L223" t="str" s="2">
        <x:v>Contacted</x:v>
      </x:c>
    </x:row>
    <x:row r="224">
      <x:c r="A224" t="str" s="2">
        <x:f>="Scotty Guinn"</x:f>
      </x:c>
      <x:c r="B224" t="str" s="2">
        <x:v>Heritage Housing of Minden</x:v>
      </x:c>
      <x:c r="C224" t="str" s="2">
        <x:v>0/9</x:v>
      </x:c>
      <x:c r="D224" t="str" s="2">
        <x:v>3188987183</x:v>
      </x:c>
      <x:c r="E224" t="str" s="2">
        <x:v>gordonguinn2@icloud.com</x:v>
      </x:c>
      <x:c r="F224" t="str" s="2">
        <x:v>Meta Ads - Forms</x:v>
      </x:c>
      <x:c r="G224" t="str" s="2">
        <x:v>Patrick Schuchart</x:v>
      </x:c>
      <x:c r="H224" s="6">
        <x:v>46215.80231369213</x:v>
      </x:c>
      <x:c r="I224" s="0"/>
      <x:c r="J224" s="0"/>
      <x:c r="K224" s="6">
        <x:v>46287.946686689815</x:v>
      </x:c>
      <x:c r="L224" t="str" s="2">
        <x:v>Contacted</x:v>
      </x:c>
    </x:row>
    <x:row r="225">
      <x:c r="A225" t="str" s="2">
        <x:f>="Roman Kursyk"</x:f>
      </x:c>
      <x:c r="B225" t="str" s="2">
        <x:v>Heritage Housing of Jennings</x:v>
      </x:c>
      <x:c r="C225" t="str" s="2">
        <x:v/>
      </x:c>
      <x:c r="D225" t="str" s="2">
        <x:v>3377074407</x:v>
      </x:c>
      <x:c r="E225" t="str" s="2">
        <x:v>kutsykroman3@gmail.com</x:v>
      </x:c>
      <x:c r="F225" t="str" s="2">
        <x:v>Website</x:v>
      </x:c>
      <x:c r="G225" t="str" s="2">
        <x:v>Clint O'Neal</x:v>
      </x:c>
      <x:c r="H225" s="6">
        <x:v>46215.807277280095</x:v>
      </x:c>
      <x:c r="I225" s="0"/>
      <x:c r="J225" s="0"/>
      <x:c r="K225" s="6">
        <x:v>46261.74020543981</x:v>
      </x:c>
      <x:c r="L225" t="str" s="2">
        <x:v>Contacted</x:v>
      </x:c>
    </x:row>
    <x:row r="226">
      <x:c r="A226" t="str" s="2">
        <x:f>="Rhonda Ray"</x:f>
      </x:c>
      <x:c r="B226" t="str" s="2">
        <x:v>Heritage Housing of Asheboro</x:v>
      </x:c>
      <x:c r="C226" t="str" s="2">
        <x:v/>
      </x:c>
      <x:c r="D226" t="str" s="2">
        <x:v>3364607954</x:v>
      </x:c>
      <x:c r="E226" t="str" s="2">
        <x:v>rhondaray1952@gmail.com</x:v>
      </x:c>
      <x:c r="F226" t="str" s="2">
        <x:v>Meta Ads - Forms</x:v>
      </x:c>
      <x:c r="G226" t="str" s="2">
        <x:v>Maria Lopez</x:v>
      </x:c>
      <x:c r="H226" s="6">
        <x:v>46215.833988541664</x:v>
      </x:c>
      <x:c r="I226" s="0"/>
      <x:c r="J226" s="0"/>
      <x:c r="K226" s="6">
        <x:v>46273.561838194444</x:v>
      </x:c>
      <x:c r="L226" t="str" s="2">
        <x:v>Contacted</x:v>
      </x:c>
    </x:row>
    <x:row r="227">
      <x:c r="A227" t="str" s="2">
        <x:f>="Monette Gott"</x:f>
      </x:c>
      <x:c r="B227" t="str" s="2">
        <x:v>Heritage Housing of Jennings</x:v>
      </x:c>
      <x:c r="C227" t="str" s="2">
        <x:v>0/2</x:v>
      </x:c>
      <x:c r="D227" t="str" s="2">
        <x:v>2252703301</x:v>
      </x:c>
      <x:c r="E227" t="str" s="2">
        <x:v>monettegott1@gmail.com</x:v>
      </x:c>
      <x:c r="F227" t="str" s="2">
        <x:v>Meta Ads - Forms</x:v>
      </x:c>
      <x:c r="G227" t="str" s="2">
        <x:v>Mervin Leslie Smith</x:v>
      </x:c>
      <x:c r="H227" s="6">
        <x:v>46215.87846921296</x:v>
      </x:c>
      <x:c r="I227" s="0"/>
      <x:c r="J227" s="0"/>
      <x:c r="K227" s="6">
        <x:v>46254.78260601852</x:v>
      </x:c>
      <x:c r="L227" t="str" s="2">
        <x:v>Contacted</x:v>
      </x:c>
    </x:row>
    <x:row r="228">
      <x:c r="A228" t="str" s="2">
        <x:f>="Wilson Crespo"</x:f>
      </x:c>
      <x:c r="B228" t="str" s="2">
        <x:v>Heritage Housing of Canton</x:v>
      </x:c>
      <x:c r="C228" t="str" s="2">
        <x:v/>
      </x:c>
      <x:c r="D228" t="str" s="2">
        <x:v>6827859949</x:v>
      </x:c>
      <x:c r="E228" t="str" s="2">
        <x:v>navedowilson@gmail.com</x:v>
      </x:c>
      <x:c r="F228" t="str" s="2">
        <x:v>Meta Ads - Forms</x:v>
      </x:c>
      <x:c r="G228" t="str" s="2">
        <x:v>Jacob Hatten</x:v>
      </x:c>
      <x:c r="H228" s="6">
        <x:v>46215.88777565972</x:v>
      </x:c>
      <x:c r="I228" s="0"/>
      <x:c r="J228" s="0"/>
      <x:c r="K228" s="6">
        <x:v>46251.53575239583</x:v>
      </x:c>
      <x:c r="L228" t="str" s="2">
        <x:v>Contacted</x:v>
      </x:c>
    </x:row>
    <x:row r="229">
      <x:c r="A229" t="str" s="2">
        <x:f>="???????????? ?????????? Atkins"</x:f>
      </x:c>
      <x:c r="B229" t="str" s="2">
        <x:v>Heritage Housing of Greenville</x:v>
      </x:c>
      <x:c r="C229" t="str" s="2">
        <x:v/>
      </x:c>
      <x:c r="D229" t="str" s="2">
        <x:v>3184463403</x:v>
      </x:c>
      <x:c r="E229" t="str" s="2">
        <x:v>kelsey.atikins32@icloud.com</x:v>
      </x:c>
      <x:c r="F229" t="str" s="2">
        <x:v>Meta Ads - Forms</x:v>
      </x:c>
      <x:c r="G229" t="str" s="2">
        <x:v>Brooklynn Allen</x:v>
      </x:c>
      <x:c r="H229" s="6">
        <x:v>46216.12059475695</x:v>
      </x:c>
      <x:c r="I229" s="0"/>
      <x:c r="J229" s="0"/>
      <x:c r="K229" s="6">
        <x:v>46253.64955771991</x:v>
      </x:c>
      <x:c r="L229" t="str" s="2">
        <x:v>Contacted</x:v>
      </x:c>
    </x:row>
    <x:row r="230">
      <x:c r="A230" t="str" s="2">
        <x:f>="Derek Robinson"</x:f>
      </x:c>
      <x:c r="B230" t="str" s="2">
        <x:v>Heritage Housing of Minden</x:v>
      </x:c>
      <x:c r="C230" t="str" s="2">
        <x:v>0/9</x:v>
      </x:c>
      <x:c r="D230" t="str" s="2">
        <x:v>3184516245</x:v>
      </x:c>
      <x:c r="E230" t="str" s="2">
        <x:v>doctor6544@gmail.com</x:v>
      </x:c>
      <x:c r="F230" t="str" s="2">
        <x:v>Meta Ads - Forms</x:v>
      </x:c>
      <x:c r="G230" t="str" s="2">
        <x:v>Patrick Schuchart</x:v>
      </x:c>
      <x:c r="H230" s="6">
        <x:v>46216.173204976854</x:v>
      </x:c>
      <x:c r="I230" s="0"/>
      <x:c r="J230" s="0"/>
      <x:c r="K230" s="6">
        <x:v>46287.9460837963</x:v>
      </x:c>
      <x:c r="L230" t="str" s="2">
        <x:v>Contacted</x:v>
      </x:c>
    </x:row>
    <x:row r="231">
      <x:c r="A231" t="str" s="2">
        <x:f>="Clementina Hernandez"</x:f>
      </x:c>
      <x:c r="B231" t="str" s="2">
        <x:v>Heritage Housing of Canton</x:v>
      </x:c>
      <x:c r="C231" t="str" s="2">
        <x:v/>
      </x:c>
      <x:c r="D231" t="str" s="2">
        <x:v>9795958587</x:v>
      </x:c>
      <x:c r="E231" t="str" s="2">
        <x:v>laclemexx0123@gmail.com</x:v>
      </x:c>
      <x:c r="F231" t="str" s="2">
        <x:v>Meta Ads - Forms</x:v>
      </x:c>
      <x:c r="G231" t="str" s="2">
        <x:v>Jacob Hatten</x:v>
      </x:c>
      <x:c r="H231" s="6">
        <x:v>46216.258258449074</x:v>
      </x:c>
      <x:c r="I231" s="0"/>
      <x:c r="J231" s="0"/>
      <x:c r="K231" s="6">
        <x:v>46251.53539545139</x:v>
      </x:c>
      <x:c r="L231" t="str" s="2">
        <x:v>Contacted</x:v>
      </x:c>
    </x:row>
    <x:row r="232">
      <x:c r="A232" t="str" s="2">
        <x:f>=HYPERLINK("https://rsms.futurehomex.com/lead/38457", "Carlton Moss")</x:f>
      </x:c>
      <x:c r="B232" t="str" s="2">
        <x:v>Heritage Housing Mt Pleasant</x:v>
      </x:c>
      <x:c r="C232" t="str" s="2">
        <x:v/>
      </x:c>
      <x:c r="D232" t="str" s="2">
        <x:v>9038530071</x:v>
      </x:c>
      <x:c r="E232" t="str" s="2">
        <x:v>Cnc.woodworking@gmail.com</x:v>
      </x:c>
      <x:c r="F232" t="str" s="2">
        <x:v>META Marketplace</x:v>
      </x:c>
      <x:c r="G232" t="str" s="2">
        <x:v>Yarelis Torres</x:v>
      </x:c>
      <x:c r="H232" s="6">
        <x:v>46216.590160266205</x:v>
      </x:c>
      <x:c r="I232" t="str" s="2">
        <x:v>Elias Gallardo</x:v>
      </x:c>
      <x:c r="J232" s="0"/>
      <x:c r="K232" s="6">
        <x:v>46276.967097141205</x:v>
      </x:c>
      <x:c r="L232" t="str" s="2">
        <x:v>Contacted</x:v>
      </x:c>
    </x:row>
    <x:row r="233">
      <x:c r="A233" t="str" s="2">
        <x:f>="Nikola Gardner"</x:f>
      </x:c>
      <x:c r="B233" t="str" s="2">
        <x:v>Heritage Housing of Greenville</x:v>
      </x:c>
      <x:c r="C233" t="str" s="2">
        <x:v/>
      </x:c>
      <x:c r="D233" t="str" s="2">
        <x:v>2147808921</x:v>
      </x:c>
      <x:c r="E233" t="str" s="2">
        <x:v>nikolagardner77@gmail.com</x:v>
      </x:c>
      <x:c r="F233" t="str" s="2">
        <x:v>Meta Ads - Forms</x:v>
      </x:c>
      <x:c r="G233" t="str" s="2">
        <x:v>Ana Garcia</x:v>
      </x:c>
      <x:c r="H233" s="6">
        <x:v>46216.60347920139</x:v>
      </x:c>
      <x:c r="I233" s="0"/>
      <x:c r="J233" s="0"/>
      <x:c r="K233" s="6">
        <x:v>46216.67292268518</x:v>
      </x:c>
      <x:c r="L233" t="str" s="2">
        <x:v>Contacted</x:v>
      </x:c>
    </x:row>
    <x:row r="234">
      <x:c r="A234" t="str" s="2">
        <x:f>="Jessica Fuller"</x:f>
      </x:c>
      <x:c r="B234" t="str" s="2">
        <x:v>Heritage Housing of Minden</x:v>
      </x:c>
      <x:c r="C234" t="str" s="2">
        <x:v>0/8</x:v>
      </x:c>
      <x:c r="D234" t="str" s="2">
        <x:v>8706757675</x:v>
      </x:c>
      <x:c r="E234" t="str" s="2">
        <x:v>Jessicafuller6307@gmail.com</x:v>
      </x:c>
      <x:c r="F234" t="str" s="2">
        <x:v>Meta Ads - Forms</x:v>
      </x:c>
      <x:c r="G234" t="str" s="2">
        <x:v>Patrick Schuchart</x:v>
      </x:c>
      <x:c r="H234" s="6">
        <x:v>46216.606143136574</x:v>
      </x:c>
      <x:c r="I234" s="0"/>
      <x:c r="J234" s="0"/>
      <x:c r="K234" s="6">
        <x:v>46287.945468784725</x:v>
      </x:c>
      <x:c r="L234" t="str" s="2">
        <x:v>Contacted</x:v>
      </x:c>
    </x:row>
    <x:row r="235">
      <x:c r="A235" t="str" s="2">
        <x:f>="Craig Austin"</x:f>
      </x:c>
      <x:c r="B235" t="str" s="2">
        <x:v>Heritage Housing of Canton</x:v>
      </x:c>
      <x:c r="C235" t="str" s="2">
        <x:v/>
      </x:c>
      <x:c r="D235" t="str" s="2">
        <x:v>9729009182</x:v>
      </x:c>
      <x:c r="E235" t="str" s="2">
        <x:v>craigaustin90@yahoo.com</x:v>
      </x:c>
      <x:c r="F235" t="str" s="2">
        <x:v>Meta Ads - Forms</x:v>
      </x:c>
      <x:c r="G235" t="str" s="2">
        <x:v>Maira Garcia</x:v>
      </x:c>
      <x:c r="H235" s="6">
        <x:v>46216.60703383102</x:v>
      </x:c>
      <x:c r="I235" s="0"/>
      <x:c r="J235" s="0"/>
      <x:c r="K235" s="6">
        <x:v>46216.70101767361</x:v>
      </x:c>
      <x:c r="L235" t="str" s="2">
        <x:v>Contacted</x:v>
      </x:c>
    </x:row>
    <x:row r="236">
      <x:c r="A236" t="str" s="2">
        <x:f>=HYPERLINK("https://rsms.futurehomex.com/lead/38609", "Irlandy Cuadra Salazar")</x:f>
      </x:c>
      <x:c r="B236" t="str" s="2">
        <x:v>Legacy Housing Corp. DBA Americasa</x:v>
      </x:c>
      <x:c r="C236" t="str" s="2">
        <x:v/>
      </x:c>
      <x:c r="D236" t="str" s="2">
        <x:v>2818180655</x:v>
      </x:c>
      <x:c r="E236" t="str" s="2">
        <x:v>landycris80@gmail.com</x:v>
      </x:c>
      <x:c r="F236" t="str" s="2">
        <x:v>Meta Ads - Forms</x:v>
      </x:c>
      <x:c r="G236" t="str" s="2">
        <x:v>Jose Parada</x:v>
      </x:c>
      <x:c r="H236" s="6">
        <x:v>46216.676055868054</x:v>
      </x:c>
      <x:c r="I236" t="str" s="2">
        <x:v>Joey Marquez</x:v>
      </x:c>
      <x:c r="J236" s="0"/>
      <x:c r="K236" s="6">
        <x:v>46220.832096956015</x:v>
      </x:c>
      <x:c r="L236" t="str" s="2">
        <x:v>Contacted</x:v>
      </x:c>
    </x:row>
    <x:row r="237">
      <x:c r="A237" t="str" s="2">
        <x:f>=HYPERLINK("https://rsms.futurehomex.com/lead/38466", "Shanelda LaShay")</x:f>
      </x:c>
      <x:c r="B237" t="str" s="2">
        <x:v>Heritage Housing of Athens</x:v>
      </x:c>
      <x:c r="C237" t="str" s="2">
        <x:v/>
      </x:c>
      <x:c r="D237" t="str" s="2">
        <x:v>8645486556</x:v>
      </x:c>
      <x:c r="E237" t="str" s="2">
        <x:v>8645486556</x:v>
      </x:c>
      <x:c r="F237" t="str" s="2">
        <x:v>Facebook Messenger</x:v>
      </x:c>
      <x:c r="G237" t="str" s="2">
        <x:v>Nathan Bishop</x:v>
      </x:c>
      <x:c r="H237" s="6">
        <x:v>46216.69087341435</x:v>
      </x:c>
      <x:c r="I237" t="str" s="2">
        <x:v>Nathan Bishop</x:v>
      </x:c>
      <x:c r="J237" s="0"/>
      <x:c r="K237" s="6">
        <x:v>46253.705332488425</x:v>
      </x:c>
      <x:c r="L237" t="str" s="2">
        <x:v>Contacted</x:v>
      </x:c>
    </x:row>
    <x:row r="238">
      <x:c r="A238" t="str" s="2">
        <x:f>=HYPERLINK("https://rsms.futurehomex.com/lead/38471", "Rick Milton")</x:f>
      </x:c>
      <x:c r="B238" t="str" s="2">
        <x:v>Heritage Housing of Minden</x:v>
      </x:c>
      <x:c r="C238" t="str" s="2">
        <x:v>0/2</x:v>
      </x:c>
      <x:c r="D238" t="str" s="2">
        <x:v>5802311209</x:v>
      </x:c>
      <x:c r="E238" t="str" s="2">
        <x:v>5802311209</x:v>
      </x:c>
      <x:c r="F238" t="str" s="2">
        <x:v>Meta Marketplace</x:v>
      </x:c>
      <x:c r="G238" t="str" s="2">
        <x:v>Patrick Schuchart</x:v>
      </x:c>
      <x:c r="H238" s="6">
        <x:v>46216.78546331019</x:v>
      </x:c>
      <x:c r="I238" t="str" s="2">
        <x:v>Patrick Schuchart</x:v>
      </x:c>
      <x:c r="J238" s="0"/>
      <x:c r="K238" s="6">
        <x:v>46245.883886145835</x:v>
      </x:c>
      <x:c r="L238" t="str" s="2">
        <x:v>Contacted</x:v>
      </x:c>
    </x:row>
    <x:row r="239">
      <x:c r="A239" t="str" s="2">
        <x:f>="Tyrone D Brown"</x:f>
      </x:c>
      <x:c r="B239" t="str" s="2">
        <x:v>Heritage Housing of Greenville</x:v>
      </x:c>
      <x:c r="C239" t="str" s="2">
        <x:v/>
      </x:c>
      <x:c r="D239" t="str" s="2">
        <x:v>6823714814</x:v>
      </x:c>
      <x:c r="E239" t="str" s="2">
        <x:v>tyronebrown411@gmai.com</x:v>
      </x:c>
      <x:c r="F239" t="str" s="2">
        <x:v>Meta Ads - Forms</x:v>
      </x:c>
      <x:c r="G239" t="str" s="2">
        <x:v>Brooklynn Allen</x:v>
      </x:c>
      <x:c r="H239" s="6">
        <x:v>46216.82695552083</x:v>
      </x:c>
      <x:c r="I239" s="0"/>
      <x:c r="J239" s="0"/>
      <x:c r="K239" s="6">
        <x:v>46253.662328321756</x:v>
      </x:c>
      <x:c r="L239" t="str" s="2">
        <x:v>Contacted</x:v>
      </x:c>
    </x:row>
    <x:row r="240">
      <x:c r="A240" t="str" s="2">
        <x:f>="Sandra Suarez"</x:f>
      </x:c>
      <x:c r="B240" t="str" s="2">
        <x:v>Heritage Housing of Greenville</x:v>
      </x:c>
      <x:c r="C240" t="str" s="2">
        <x:v/>
      </x:c>
      <x:c r="D240" t="str" s="2">
        <x:v>4692231876</x:v>
      </x:c>
      <x:c r="E240" t="str" s="2">
        <x:v>tanya1.suarez@gmail.com</x:v>
      </x:c>
      <x:c r="F240" t="str" s="2">
        <x:v>Meta Ads - Forms</x:v>
      </x:c>
      <x:c r="G240" t="str" s="2">
        <x:v>Ana Garcia</x:v>
      </x:c>
      <x:c r="H240" s="6">
        <x:v>46217.011045914354</x:v>
      </x:c>
      <x:c r="I240" s="0"/>
      <x:c r="J240" s="0"/>
      <x:c r="K240" s="6">
        <x:v>46217.59688391204</x:v>
      </x:c>
      <x:c r="L240" t="str" s="2">
        <x:v>Contacted</x:v>
      </x:c>
    </x:row>
    <x:row r="241">
      <x:c r="A241" t="str" s="2">
        <x:f>="James Alden"</x:f>
      </x:c>
      <x:c r="B241" t="str" s="2">
        <x:v>Heritage Housing Marble Falls</x:v>
      </x:c>
      <x:c r="C241" t="str" s="2">
        <x:v/>
      </x:c>
      <x:c r="D241" t="str" s="2">
        <x:v>5015567634</x:v>
      </x:c>
      <x:c r="E241" t="str" s="2">
        <x:v>Jrjlalden76@gmail.com</x:v>
      </x:c>
      <x:c r="F241" t="str" s="2">
        <x:v>Meta Ads - Forms</x:v>
      </x:c>
      <x:c r="G241" t="str" s="2">
        <x:v>Stephen Sanders</x:v>
      </x:c>
      <x:c r="H241" s="6">
        <x:v>46217.07159186342</x:v>
      </x:c>
      <x:c r="I241" s="0"/>
      <x:c r="J241" s="0"/>
      <x:c r="K241" s="6">
        <x:v>46267.844248726855</x:v>
      </x:c>
      <x:c r="L241" t="str" s="2">
        <x:v>Contacted</x:v>
      </x:c>
    </x:row>
    <x:row r="242">
      <x:c r="A242" t="str" s="2">
        <x:f>="RDGWillie Hicks"</x:f>
      </x:c>
      <x:c r="B242" t="str" s="2">
        <x:v>Heritage Housing of Minden</x:v>
      </x:c>
      <x:c r="C242" t="str" s="2">
        <x:v>0/2</x:v>
      </x:c>
      <x:c r="D242" t="str" s="2">
        <x:v>3182289139</x:v>
      </x:c>
      <x:c r="E242" t="str" s="2">
        <x:v>williehicks2001@icloud.com</x:v>
      </x:c>
      <x:c r="F242" t="str" s="2">
        <x:v>Meta Ads - Forms</x:v>
      </x:c>
      <x:c r="G242" t="str" s="2">
        <x:v>Patrick Schuchart</x:v>
      </x:c>
      <x:c r="H242" s="6">
        <x:v>46217.135863194446</x:v>
      </x:c>
      <x:c r="I242" s="0"/>
      <x:c r="J242" s="0"/>
      <x:c r="K242" s="6">
        <x:v>46297.907127893515</x:v>
      </x:c>
      <x:c r="L242" t="str" s="2">
        <x:v>Contacted</x:v>
      </x:c>
    </x:row>
    <x:row r="243">
      <x:c r="A243" t="str" s="2">
        <x:f>="Aaron Hudson"</x:f>
      </x:c>
      <x:c r="B243" t="str" s="2">
        <x:v>Heritage Housing of Minden</x:v>
      </x:c>
      <x:c r="C243" t="str" s="2">
        <x:v>0/3</x:v>
      </x:c>
      <x:c r="D243" t="str" s="2">
        <x:v>3183722196</x:v>
      </x:c>
      <x:c r="E243" t="str" s="2">
        <x:v>hudsonaaron005@gmail.com</x:v>
      </x:c>
      <x:c r="F243" t="str" s="2">
        <x:v>Financing Form</x:v>
      </x:c>
      <x:c r="G243" t="str" s="2">
        <x:v>Patrick Schuchart</x:v>
      </x:c>
      <x:c r="H243" s="6">
        <x:v>46217.13996623843</x:v>
      </x:c>
      <x:c r="I243" s="0"/>
      <x:c r="J243" s="0"/>
      <x:c r="K243" s="6">
        <x:v>46297.90779251157</x:v>
      </x:c>
      <x:c r="L243" t="str" s="2">
        <x:v>Contacted</x:v>
      </x:c>
    </x:row>
    <x:row r="244">
      <x:c r="A244" t="str" s="2">
        <x:f>="Molly rodriguez"</x:f>
      </x:c>
      <x:c r="B244" t="str" s="2">
        <x:v>Heritage Housing Marble Falls</x:v>
      </x:c>
      <x:c r="C244" t="str" s="2">
        <x:v/>
      </x:c>
      <x:c r="D244" t="str" s="2">
        <x:v>3615574303</x:v>
      </x:c>
      <x:c r="E244" t="str" s="2">
        <x:v>mollyr2557@icloud.com</x:v>
      </x:c>
      <x:c r="F244" t="str" s="2">
        <x:v>Meta Ads - Forms</x:v>
      </x:c>
      <x:c r="G244" t="str" s="2">
        <x:v>Stephen Sanders</x:v>
      </x:c>
      <x:c r="H244" s="6">
        <x:v>46217.140399965276</x:v>
      </x:c>
      <x:c r="I244" s="0"/>
      <x:c r="J244" s="0"/>
      <x:c r="K244" s="6">
        <x:v>46219.703354826386</x:v>
      </x:c>
      <x:c r="L244" t="str" s="2">
        <x:v>Contacted</x:v>
      </x:c>
    </x:row>
    <x:row r="245">
      <x:c r="A245" t="str" s="2">
        <x:f>="June Lee"</x:f>
      </x:c>
      <x:c r="B245" t="str" s="2">
        <x:v>Heritage Housing of Minden</x:v>
      </x:c>
      <x:c r="C245" t="str" s="2">
        <x:v>0/2</x:v>
      </x:c>
      <x:c r="D245" t="str" s="2">
        <x:v>3182433743</x:v>
      </x:c>
      <x:c r="E245" t="str" s="2">
        <x:v>junegardnerlee@gmail.com</x:v>
      </x:c>
      <x:c r="F245" t="str" s="2">
        <x:v>Financing Form</x:v>
      </x:c>
      <x:c r="G245" t="str" s="2">
        <x:v>Patrick Schuchart</x:v>
      </x:c>
      <x:c r="H245" s="6">
        <x:v>46217.15232734954</x:v>
      </x:c>
      <x:c r="I245" s="0"/>
      <x:c r="J245" s="0"/>
      <x:c r="K245" s="6">
        <x:v>46262.75282314815</x:v>
      </x:c>
      <x:c r="L245" t="str" s="2">
        <x:v>Contacted</x:v>
      </x:c>
    </x:row>
    <x:row r="246">
      <x:c r="A246" t="str" s="2">
        <x:f>="Santos Colorado"</x:f>
      </x:c>
      <x:c r="B246" t="str" s="2">
        <x:v>Heritage Housing Marble Falls</x:v>
      </x:c>
      <x:c r="C246" t="str" s="2">
        <x:v>0/2</x:v>
      </x:c>
      <x:c r="D246" t="str" s="2">
        <x:v>2109291906</x:v>
      </x:c>
      <x:c r="E246" t="str" s="2">
        <x:v>coloradosantos99@icloud.com</x:v>
      </x:c>
      <x:c r="F246" t="str" s="2">
        <x:v>Meta Ads - Forms</x:v>
      </x:c>
      <x:c r="G246" t="str" s="2">
        <x:v>Stephen Sanders</x:v>
      </x:c>
      <x:c r="H246" s="6">
        <x:v>46217.41678313658</x:v>
      </x:c>
      <x:c r="I246" s="0"/>
      <x:c r="J246" s="0"/>
      <x:c r="K246" s="6">
        <x:v>46248.614493483794</x:v>
      </x:c>
      <x:c r="L246" t="str" s="2">
        <x:v>Contacted</x:v>
      </x:c>
    </x:row>
    <x:row r="247">
      <x:c r="A247" t="str" s="2">
        <x:f>="Meagan Juarez"</x:f>
      </x:c>
      <x:c r="B247" t="str" s="2">
        <x:v>Heritage Housing Marble Falls</x:v>
      </x:c>
      <x:c r="C247" t="str" s="2">
        <x:v/>
      </x:c>
      <x:c r="D247" t="str" s="2">
        <x:v>2107397572</x:v>
      </x:c>
      <x:c r="E247" t="str" s="2">
        <x:v>meggz1234_j@icloud.com</x:v>
      </x:c>
      <x:c r="F247" t="str" s="2">
        <x:v>Meta Ads - Forms</x:v>
      </x:c>
      <x:c r="G247" t="str" s="2">
        <x:v>Garrett Riedesel</x:v>
      </x:c>
      <x:c r="H247" s="6">
        <x:v>46217.68043564815</x:v>
      </x:c>
      <x:c r="I247" s="0"/>
      <x:c r="J247" s="0"/>
      <x:c r="K247" s="6">
        <x:v>46288.816828854164</x:v>
      </x:c>
      <x:c r="L247" t="str" s="2">
        <x:v>Contacted</x:v>
      </x:c>
    </x:row>
    <x:row r="248">
      <x:c r="A248" t="str" s="2">
        <x:f>=HYPERLINK("https://rsms.futurehomex.com/lead/38506", "Jason Reed")</x:f>
      </x:c>
      <x:c r="B248" t="str" s="2">
        <x:v>Heritage Housing of Augusta</x:v>
      </x:c>
      <x:c r="C248" t="str" s="2">
        <x:v/>
      </x:c>
      <x:c r="D248" t="str" s="2">
        <x:v>8324913750</x:v>
      </x:c>
      <x:c r="E248" t="str" s="2">
        <x:v>jasonmreed13189@gmail.com</x:v>
      </x:c>
      <x:c r="F248" t="str" s="2">
        <x:v>Other</x:v>
      </x:c>
      <x:c r="G248" t="str" s="2">
        <x:v>Jose Chavez</x:v>
      </x:c>
      <x:c r="H248" s="6">
        <x:v>46217.72532253472</x:v>
      </x:c>
      <x:c r="I248" t="str" s="2">
        <x:v>Faye Lively</x:v>
      </x:c>
      <x:c r="J248" s="0"/>
      <x:c r="K248" s="6">
        <x:v>46282.82434232639</x:v>
      </x:c>
      <x:c r="L248" t="str" s="2">
        <x:v>Contacted</x:v>
      </x:c>
    </x:row>
    <x:row r="249">
      <x:c r="A249" t="str" s="2">
        <x:f>="Ariel Mckan"</x:f>
      </x:c>
      <x:c r="B249" t="str" s="2">
        <x:v>Heritage Housing of Minden</x:v>
      </x:c>
      <x:c r="C249" t="str" s="2">
        <x:v>0/5</x:v>
      </x:c>
      <x:c r="D249" t="str" s="2">
        <x:v>3183666343</x:v>
      </x:c>
      <x:c r="E249" t="str" s="2">
        <x:v>arielstanaland@gmail.com</x:v>
      </x:c>
      <x:c r="F249" t="str" s="2">
        <x:v>Website</x:v>
      </x:c>
      <x:c r="G249" t="str" s="2">
        <x:v>Patrick Schuchart</x:v>
      </x:c>
      <x:c r="H249" s="6">
        <x:v>46217.77942719907</x:v>
      </x:c>
      <x:c r="I249" s="0"/>
      <x:c r="J249" s="0"/>
      <x:c r="K249" s="6">
        <x:v>46290.79338429398</x:v>
      </x:c>
      <x:c r="L249" t="str" s="2">
        <x:v>Contacted</x:v>
      </x:c>
    </x:row>
    <x:row r="250">
      <x:c r="A250" t="str" s="2">
        <x:f>="Jennifer Buckley"</x:f>
      </x:c>
      <x:c r="B250" t="str" s="2">
        <x:v>Heritage Housing of Augusta</x:v>
      </x:c>
      <x:c r="C250" t="str" s="2">
        <x:v/>
      </x:c>
      <x:c r="D250" t="str" s="2">
        <x:v>9403990482</x:v>
      </x:c>
      <x:c r="E250" t="str" s="2">
        <x:v>jlbuckley28@gmail.com</x:v>
      </x:c>
      <x:c r="F250" t="str" s="2">
        <x:v>Meta Ads - Forms</x:v>
      </x:c>
      <x:c r="G250" t="str" s="2">
        <x:v>Jose Chavez</x:v>
      </x:c>
      <x:c r="H250" s="6">
        <x:v>46217.782379131946</x:v>
      </x:c>
      <x:c r="I250" s="0"/>
      <x:c r="J250" s="0"/>
      <x:c r="K250" s="6">
        <x:v>46282.826213229164</x:v>
      </x:c>
      <x:c r="L250" t="str" s="2">
        <x:v>Contacted</x:v>
      </x:c>
    </x:row>
    <x:row r="251">
      <x:c r="A251" t="str" s="2">
        <x:f>="Tyler Stutes"</x:f>
      </x:c>
      <x:c r="B251" t="str" s="2">
        <x:v>Heritage Housing of Jennings</x:v>
      </x:c>
      <x:c r="C251" t="str" s="2">
        <x:v>0/6</x:v>
      </x:c>
      <x:c r="D251" t="str" s="2">
        <x:v>3372859696</x:v>
      </x:c>
      <x:c r="E251" t="str" s="2">
        <x:v>tylercstutes@gmail.com</x:v>
      </x:c>
      <x:c r="F251" t="str" s="2">
        <x:v>Website</x:v>
      </x:c>
      <x:c r="G251" t="str" s="2">
        <x:v>Mervin Leslie Smith</x:v>
      </x:c>
      <x:c r="H251" s="6">
        <x:v>46217.85620231481</x:v>
      </x:c>
      <x:c r="I251" s="0"/>
      <x:c r="J251" s="0"/>
      <x:c r="K251" s="6">
        <x:v>46295.805228784724</x:v>
      </x:c>
      <x:c r="L251" t="str" s="2">
        <x:v>Contacted</x:v>
      </x:c>
    </x:row>
    <x:row r="252">
      <x:c r="A252" t="str" s="2">
        <x:f>=HYPERLINK("https://rsms.futurehomex.com/lead/38513", "Jose Jorge Morales")</x:f>
      </x:c>
      <x:c r="B252" t="str" s="2">
        <x:v>Legacy Housing Corp. DBA Americasa</x:v>
      </x:c>
      <x:c r="C252" t="str" s="2">
        <x:v/>
      </x:c>
      <x:c r="D252" t="str" s="2">
        <x:v>2815430212</x:v>
      </x:c>
      <x:c r="E252" t="str" s="2">
        <x:v>2815430212</x:v>
      </x:c>
      <x:c r="F252" t="str" s="2">
        <x:v>Meta Marketplace</x:v>
      </x:c>
      <x:c r="G252" t="str" s="2">
        <x:v>Rodrigo Ramirez</x:v>
      </x:c>
      <x:c r="H252" s="6">
        <x:v>46217.86323880787</x:v>
      </x:c>
      <x:c r="I252" t="str" s="2">
        <x:v>Joey Marquez</x:v>
      </x:c>
      <x:c r="J252" s="0"/>
      <x:c r="K252" s="6">
        <x:v>46290.646524502314</x:v>
      </x:c>
      <x:c r="L252" t="str" s="2">
        <x:v>Contacted</x:v>
      </x:c>
    </x:row>
    <x:row r="253">
      <x:c r="A253" t="str" s="2">
        <x:f>="Stacey Wallace"</x:f>
      </x:c>
      <x:c r="B253" t="str" s="2">
        <x:v>Heritage Housing of Augusta</x:v>
      </x:c>
      <x:c r="C253" t="str" s="2">
        <x:v>1/1</x:v>
      </x:c>
      <x:c r="D253" t="str" s="2">
        <x:v>6785936782</x:v>
      </x:c>
      <x:c r="E253" t="str" s="2">
        <x:v>staceyz.wallace@gmail.com</x:v>
      </x:c>
      <x:c r="F253" t="str" s="2">
        <x:v>Website</x:v>
      </x:c>
      <x:c r="G253" t="str" s="2">
        <x:v>Jose Chavez</x:v>
      </x:c>
      <x:c r="H253" s="6">
        <x:v>46218.05063758102</x:v>
      </x:c>
      <x:c r="I253" s="0"/>
      <x:c r="J253" s="0"/>
      <x:c r="K253" s="6">
        <x:v>46277.57397496528</x:v>
      </x:c>
      <x:c r="L253" t="str" s="2">
        <x:v>Contacted</x:v>
      </x:c>
    </x:row>
    <x:row r="254">
      <x:c r="A254" t="str" s="2">
        <x:f>="Liz Vincent"</x:f>
      </x:c>
      <x:c r="B254" t="str" s="2">
        <x:v>Heritage Housing of Minden</x:v>
      </x:c>
      <x:c r="C254" t="str" s="2">
        <x:v>0/7</x:v>
      </x:c>
      <x:c r="D254" t="str" s="2">
        <x:v>3378585407</x:v>
      </x:c>
      <x:c r="E254" t="str" s="2">
        <x:v>liz061054@gmail.com</x:v>
      </x:c>
      <x:c r="F254" t="str" s="2">
        <x:v>Meta Ads - Forms</x:v>
      </x:c>
      <x:c r="G254" t="str" s="2">
        <x:v>Patrick Schuchart</x:v>
      </x:c>
      <x:c r="H254" s="6">
        <x:v>46218.05574471065</x:v>
      </x:c>
      <x:c r="I254" s="0"/>
      <x:c r="J254" s="0"/>
      <x:c r="K254" s="6">
        <x:v>46262.74708923611</x:v>
      </x:c>
      <x:c r="L254" t="str" s="2">
        <x:v>Contacted</x:v>
      </x:c>
    </x:row>
    <x:row r="255">
      <x:c r="A255" t="str" s="2">
        <x:f>="Holly Adams"</x:f>
      </x:c>
      <x:c r="B255" t="str" s="2">
        <x:v>Heritage Housing of Minden</x:v>
      </x:c>
      <x:c r="C255" t="str" s="2">
        <x:v>0/5</x:v>
      </x:c>
      <x:c r="D255" t="str" s="2">
        <x:v>3188204350</x:v>
      </x:c>
      <x:c r="E255" t="str" s="2">
        <x:v>hadams2382@gmail.com</x:v>
      </x:c>
      <x:c r="F255" t="str" s="2">
        <x:v>Meta Ads - Forms</x:v>
      </x:c>
      <x:c r="G255" t="str" s="2">
        <x:v>Patrick Schuchart</x:v>
      </x:c>
      <x:c r="H255" s="6">
        <x:v>46218.111899965275</x:v>
      </x:c>
      <x:c r="I255" s="0"/>
      <x:c r="J255" s="0"/>
      <x:c r="K255" s="6">
        <x:v>46269.816361655096</x:v>
      </x:c>
      <x:c r="L255" t="str" s="2">
        <x:v>Contacted</x:v>
      </x:c>
    </x:row>
    <x:row r="256">
      <x:c r="A256" t="str" s="2">
        <x:f>="Michelle Thompson"</x:f>
      </x:c>
      <x:c r="B256" t="str" s="2">
        <x:v>Heritage Housing Gainesville</x:v>
      </x:c>
      <x:c r="C256" t="str" s="2">
        <x:v/>
      </x:c>
      <x:c r="D256" t="str" s="2">
        <x:v>6822397373</x:v>
      </x:c>
      <x:c r="E256" t="str" s="2">
        <x:v>Metx2006@yahoo.com</x:v>
      </x:c>
      <x:c r="F256" t="str" s="2">
        <x:v>Meta Ads - Forms</x:v>
      </x:c>
      <x:c r="G256" t="str" s="2">
        <x:v>Kelly Ford</x:v>
      </x:c>
      <x:c r="H256" s="6">
        <x:v>46218.13538506944</x:v>
      </x:c>
      <x:c r="I256" s="0"/>
      <x:c r="J256" s="0"/>
      <x:c r="K256" s="6">
        <x:v>46302.72366585648</x:v>
      </x:c>
      <x:c r="L256" t="str" s="2">
        <x:v>Contacted</x:v>
      </x:c>
    </x:row>
    <x:row r="257">
      <x:c r="A257" t="str" s="2">
        <x:f>="Peggy Davis"</x:f>
      </x:c>
      <x:c r="B257" t="str" s="2">
        <x:v>Heritage Housing Marble Falls</x:v>
      </x:c>
      <x:c r="C257" t="str" s="2">
        <x:v/>
      </x:c>
      <x:c r="D257" t="str" s="2">
        <x:v>5122279732</x:v>
      </x:c>
      <x:c r="E257" t="str" s="2">
        <x:v>pleadavis@gmail.com</x:v>
      </x:c>
      <x:c r="F257" t="str" s="2">
        <x:v>Meta Ads - Forms</x:v>
      </x:c>
      <x:c r="G257" t="str" s="2">
        <x:v>Garrett Riedesel</x:v>
      </x:c>
      <x:c r="H257" s="6">
        <x:v>46218.49895644676</x:v>
      </x:c>
      <x:c r="I257" s="0"/>
      <x:c r="J257" s="0"/>
      <x:c r="K257" s="6">
        <x:v>46288.81020153935</x:v>
      </x:c>
      <x:c r="L257" t="str" s="2">
        <x:v>Contacted</x:v>
      </x:c>
    </x:row>
    <x:row r="258">
      <x:c r="A258" t="str" s="2">
        <x:f>="Alma Delatorre"</x:f>
      </x:c>
      <x:c r="B258" t="str" s="2">
        <x:v>Legacy Housing Corp. DBA Americasa</x:v>
      </x:c>
      <x:c r="C258" t="str" s="2">
        <x:v/>
      </x:c>
      <x:c r="D258" t="str" s="2">
        <x:v>2095171879</x:v>
      </x:c>
      <x:c r="E258" t="str" s="2">
        <x:v>almasfairytaleeverafter@gmail.com</x:v>
      </x:c>
      <x:c r="F258" t="str" s="2">
        <x:v>Meta Ads - Traffic</x:v>
      </x:c>
      <x:c r="G258" t="str" s="2">
        <x:v>Jose Parada</x:v>
      </x:c>
      <x:c r="H258" s="6">
        <x:v>46218.64650127315</x:v>
      </x:c>
      <x:c r="I258" s="0"/>
      <x:c r="J258" s="0"/>
      <x:c r="K258" s="6">
        <x:v>46220.831092939814</x:v>
      </x:c>
      <x:c r="L258" t="str" s="2">
        <x:v>Contacted</x:v>
      </x:c>
    </x:row>
    <x:row r="259">
      <x:c r="A259" t="str" s="2">
        <x:f>=HYPERLINK("https://rsms.futurehomex.com/lead/38860", "Lisa Ricks")</x:f>
      </x:c>
      <x:c r="B259" t="str" s="2">
        <x:v>Heritage Housing of Athens</x:v>
      </x:c>
      <x:c r="C259" t="str" s="2">
        <x:v/>
      </x:c>
      <x:c r="D259" t="str" s="2">
        <x:v>4049039789</x:v>
      </x:c>
      <x:c r="E259" t="str" s="2">
        <x:v>royandlisa4ever@gmail.con</x:v>
      </x:c>
      <x:c r="F259" t="str" s="2">
        <x:v>Meta Ads - Forms</x:v>
      </x:c>
      <x:c r="G259" t="str" s="2">
        <x:v>Nathan Bishop</x:v>
      </x:c>
      <x:c r="H259" s="6">
        <x:v>46218.714216203705</x:v>
      </x:c>
      <x:c r="I259" t="str" s="2">
        <x:v>Alex Jones</x:v>
      </x:c>
      <x:c r="J259" s="0"/>
      <x:c r="K259" s="6">
        <x:v>46267.871044907406</x:v>
      </x:c>
      <x:c r="L259" t="str" s="2">
        <x:v>Contacted</x:v>
      </x:c>
    </x:row>
    <x:row r="260">
      <x:c r="A260" t="str" s="2">
        <x:f>="Thomas Kibble"</x:f>
      </x:c>
      <x:c r="B260" t="str" s="2">
        <x:v>Legacy Housing Corp. DBA Americasa</x:v>
      </x:c>
      <x:c r="C260" t="str" s="2">
        <x:v/>
      </x:c>
      <x:c r="D260" t="str" s="2">
        <x:v>7135425756</x:v>
      </x:c>
      <x:c r="E260" t="str" s="2">
        <x:v>thomaskibble61@gmail.com</x:v>
      </x:c>
      <x:c r="F260" t="str" s="2">
        <x:v>Financing Form</x:v>
      </x:c>
      <x:c r="G260" t="str" s="2">
        <x:v>Rodrigo Ramirez</x:v>
      </x:c>
      <x:c r="H260" s="6">
        <x:v>46218.739897997686</x:v>
      </x:c>
      <x:c r="I260" s="0"/>
      <x:c r="J260" s="0"/>
      <x:c r="K260" s="6">
        <x:v>46218.780847372684</x:v>
      </x:c>
      <x:c r="L260" t="str" s="2">
        <x:v>Contacted</x:v>
      </x:c>
    </x:row>
    <x:row r="261">
      <x:c r="A261" t="str" s="2">
        <x:f>="Wayne Miller"</x:f>
      </x:c>
      <x:c r="B261" t="str" s="2">
        <x:v>Heritage Housing of Augusta</x:v>
      </x:c>
      <x:c r="C261" t="str" s="2">
        <x:v/>
      </x:c>
      <x:c r="D261" t="str" s="2">
        <x:v>8036037999</x:v>
      </x:c>
      <x:c r="E261" t="str" s="2">
        <x:v>millerwayne1212@gmail.com</x:v>
      </x:c>
      <x:c r="F261" t="str" s="2">
        <x:v>Meta Ads - Forms</x:v>
      </x:c>
      <x:c r="G261" t="str" s="2">
        <x:v>Jose Chavez</x:v>
      </x:c>
      <x:c r="H261" s="6">
        <x:v>46218.94405489583</x:v>
      </x:c>
      <x:c r="I261" s="0"/>
      <x:c r="J261" s="0"/>
      <x:c r="K261" s="6">
        <x:v>46277.57683144676</x:v>
      </x:c>
      <x:c r="L261" t="str" s="2">
        <x:v>Contacted</x:v>
      </x:c>
    </x:row>
    <x:row r="262">
      <x:c r="A262" t="str" s="2">
        <x:f>="Elan McMillan"</x:f>
      </x:c>
      <x:c r="B262" t="str" s="2">
        <x:v>Heritage Housing of Minden</x:v>
      </x:c>
      <x:c r="C262" t="str" s="2">
        <x:v>0/8</x:v>
      </x:c>
      <x:c r="D262" t="str" s="2">
        <x:v>2564784152</x:v>
      </x:c>
      <x:c r="E262" t="str" s="2">
        <x:v>mcmillanelan9@gmail.com</x:v>
      </x:c>
      <x:c r="F262" t="str" s="2">
        <x:v>Meta Ads - Forms</x:v>
      </x:c>
      <x:c r="G262" t="str" s="2">
        <x:v>Patrick Schuchart</x:v>
      </x:c>
      <x:c r="H262" s="6">
        <x:v>46219.09840405093</x:v>
      </x:c>
      <x:c r="I262" s="0"/>
      <x:c r="J262" s="0"/>
      <x:c r="K262" s="6">
        <x:v>46242.76115883102</x:v>
      </x:c>
      <x:c r="L262" t="str" s="2">
        <x:v>Contacted</x:v>
      </x:c>
    </x:row>
    <x:row r="263">
      <x:c r="A263" t="str" s="2">
        <x:f>="Rhonda Johnson"</x:f>
      </x:c>
      <x:c r="B263" t="str" s="2">
        <x:v>Heritage Housing of Oklahoma City</x:v>
      </x:c>
      <x:c r="C263" t="str" s="2">
        <x:v>0/1</x:v>
      </x:c>
      <x:c r="D263" t="str" s="2">
        <x:v>4058375000</x:v>
      </x:c>
      <x:c r="E263" t="str" s="2">
        <x:v>CLaVsStar26@gmail.com</x:v>
      </x:c>
      <x:c r="F263" t="str" s="2">
        <x:v>Meta Ads - Forms</x:v>
      </x:c>
      <x:c r="G263" t="str" s="2">
        <x:v>Steve Castell</x:v>
      </x:c>
      <x:c r="H263" s="6">
        <x:v>46219.24938306713</x:v>
      </x:c>
      <x:c r="I263" s="0"/>
      <x:c r="J263" s="0"/>
      <x:c r="K263" s="6">
        <x:v>46223.93731203704</x:v>
      </x:c>
      <x:c r="L263" t="str" s="2">
        <x:v>Contacted</x:v>
      </x:c>
    </x:row>
    <x:row r="264">
      <x:c r="A264" t="str" s="2">
        <x:f>="Nick Martinez"</x:f>
      </x:c>
      <x:c r="B264" t="str" s="2">
        <x:v>Heritage Housing Marble Falls</x:v>
      </x:c>
      <x:c r="C264" t="str" s="2">
        <x:v/>
      </x:c>
      <x:c r="D264" t="str" s="2">
        <x:v>2103631091</x:v>
      </x:c>
      <x:c r="E264" t="str" s="2">
        <x:v>martineznick1963@gmail.com</x:v>
      </x:c>
      <x:c r="F264" t="str" s="2">
        <x:v>Meta Ads - Forms</x:v>
      </x:c>
      <x:c r="G264" t="str" s="2">
        <x:v>Stephen Sanders</x:v>
      </x:c>
      <x:c r="H264" s="6">
        <x:v>46219.50776855324</x:v>
      </x:c>
      <x:c r="I264" s="0"/>
      <x:c r="J264" s="0"/>
      <x:c r="K264" s="6">
        <x:v>46266.89400980324</x:v>
      </x:c>
      <x:c r="L264" t="str" s="2">
        <x:v>Contacted</x:v>
      </x:c>
    </x:row>
    <x:row r="265">
      <x:c r="A265" t="str" s="2">
        <x:f>="Ann Adams"</x:f>
      </x:c>
      <x:c r="B265" t="str" s="2">
        <x:v>Heritage Housing of Minden</x:v>
      </x:c>
      <x:c r="C265" t="str" s="2">
        <x:v>0/4</x:v>
      </x:c>
      <x:c r="D265" t="str" s="2">
        <x:v>8703109900</x:v>
      </x:c>
      <x:c r="E265" t="str" s="2">
        <x:v>adamsann870@gmail.com</x:v>
      </x:c>
      <x:c r="F265" t="str" s="2">
        <x:v>Meta Ads - Forms</x:v>
      </x:c>
      <x:c r="G265" t="str" s="2">
        <x:v>Patrick Schuchart</x:v>
      </x:c>
      <x:c r="H265" s="6">
        <x:v>46219.52029502315</x:v>
      </x:c>
      <x:c r="I265" s="0"/>
      <x:c r="J265" s="0"/>
      <x:c r="K265" s="6">
        <x:v>46290.79189811343</x:v>
      </x:c>
      <x:c r="L265" t="str" s="2">
        <x:v>Contacted</x:v>
      </x:c>
    </x:row>
    <x:row r="266">
      <x:c r="A266" t="str" s="2">
        <x:f>="Miguel Johnson"</x:f>
      </x:c>
      <x:c r="B266" t="str" s="2">
        <x:v>Heritage Housing of Minden</x:v>
      </x:c>
      <x:c r="C266" t="str" s="2">
        <x:v>0/9</x:v>
      </x:c>
      <x:c r="D266" t="str" s="2">
        <x:v>3182862874</x:v>
      </x:c>
      <x:c r="E266" t="str" s="2">
        <x:v>miguelfjohnson53@gmail.com</x:v>
      </x:c>
      <x:c r="F266" t="str" s="2">
        <x:v>Meta Ads - Forms</x:v>
      </x:c>
      <x:c r="G266" t="str" s="2">
        <x:v>Patrick Schuchart</x:v>
      </x:c>
      <x:c r="H266" s="6">
        <x:v>46219.644053668984</x:v>
      </x:c>
      <x:c r="I266" s="0"/>
      <x:c r="J266" s="0"/>
      <x:c r="K266" s="6">
        <x:v>46290.790976041666</x:v>
      </x:c>
      <x:c r="L266" t="str" s="2">
        <x:v>Contacted</x:v>
      </x:c>
    </x:row>
    <x:row r="267">
      <x:c r="A267" t="str" s="2">
        <x:f>="Abbas Alramahy"</x:f>
      </x:c>
      <x:c r="B267" t="str" s="2">
        <x:v>Heritage Housing Marble Falls</x:v>
      </x:c>
      <x:c r="C267" t="str" s="2">
        <x:v/>
      </x:c>
      <x:c r="D267" t="str" s="2">
        <x:v>6822168573</x:v>
      </x:c>
      <x:c r="E267" t="str" s="2">
        <x:v>hollyrae131@gmail.com</x:v>
      </x:c>
      <x:c r="F267" t="str" s="2">
        <x:v>Meta Ads - Forms</x:v>
      </x:c>
      <x:c r="G267" t="str" s="2">
        <x:v>Stephen Sanders</x:v>
      </x:c>
      <x:c r="H267" s="6">
        <x:v>46219.7497503125</x:v>
      </x:c>
      <x:c r="I267" s="0"/>
      <x:c r="J267" s="0"/>
      <x:c r="K267" s="6">
        <x:v>46266.89468931713</x:v>
      </x:c>
      <x:c r="L267" t="str" s="2">
        <x:v>Contacted</x:v>
      </x:c>
    </x:row>
    <x:row r="268">
      <x:c r="A268" t="str" s="2">
        <x:f>="Racheal West"</x:f>
      </x:c>
      <x:c r="B268" t="str" s="2">
        <x:v>Heritage Housing Gainesville</x:v>
      </x:c>
      <x:c r="C268" t="str" s="2">
        <x:v/>
      </x:c>
      <x:c r="D268" t="str" s="2">
        <x:v>9407824114</x:v>
      </x:c>
      <x:c r="E268" t="str" s="2">
        <x:v>rachealshyann94@gmail.com</x:v>
      </x:c>
      <x:c r="F268" t="str" s="2">
        <x:v>Financing Form</x:v>
      </x:c>
      <x:c r="G268" t="str" s="2">
        <x:v>Kelly Ford</x:v>
      </x:c>
      <x:c r="H268" s="6">
        <x:v>46219.75108440972</x:v>
      </x:c>
      <x:c r="I268" s="0"/>
      <x:c r="J268" s="0"/>
      <x:c r="K268" s="6">
        <x:v>46296.78367376157</x:v>
      </x:c>
      <x:c r="L268" t="str" s="2">
        <x:v>Contacted</x:v>
      </x:c>
    </x:row>
    <x:row r="269">
      <x:c r="A269" t="str" s="2">
        <x:f>="Lillie Tolen"</x:f>
      </x:c>
      <x:c r="B269" t="str" s="2">
        <x:v>Heritage Housing of Augusta</x:v>
      </x:c>
      <x:c r="C269" t="str" s="2">
        <x:v/>
      </x:c>
      <x:c r="D269" t="str" s="2">
        <x:v>8033171927</x:v>
      </x:c>
      <x:c r="E269" t="str" s="2">
        <x:v>lillietolen12@gmail.com</x:v>
      </x:c>
      <x:c r="F269" t="str" s="2">
        <x:v>Meta Ads - Forms</x:v>
      </x:c>
      <x:c r="G269" t="str" s="2">
        <x:v>Jose Chavez</x:v>
      </x:c>
      <x:c r="H269" s="6">
        <x:v>46219.78531542824</x:v>
      </x:c>
      <x:c r="I269" s="0"/>
      <x:c r="J269" s="0"/>
      <x:c r="K269" s="6">
        <x:v>46277.56879903935</x:v>
      </x:c>
      <x:c r="L269" t="str" s="2">
        <x:v>Contacted</x:v>
      </x:c>
    </x:row>
    <x:row r="270">
      <x:c r="A270" t="str" s="2">
        <x:f>=HYPERLINK("https://rsms.futurehomex.com/lead/38560", "Sharon Kendrick")</x:f>
      </x:c>
      <x:c r="B270" t="str" s="2">
        <x:v>Heritage Housing of Minden</x:v>
      </x:c>
      <x:c r="C270" t="str" s="2">
        <x:v>0/3</x:v>
      </x:c>
      <x:c r="D270" t="str" s="2">
        <x:v>3186244972</x:v>
      </x:c>
      <x:c r="E270" t="str" s="2">
        <x:v>stkendrick@yahoo.com</x:v>
      </x:c>
      <x:c r="F270" t="str" s="2">
        <x:v>Meta Marketplace</x:v>
      </x:c>
      <x:c r="G270" t="str" s="2">
        <x:v>Patrick Schuchart</x:v>
      </x:c>
      <x:c r="H270" s="6">
        <x:v>46219.81632604167</x:v>
      </x:c>
      <x:c r="I270" t="str" s="2">
        <x:v>Patrick Schuchart</x:v>
      </x:c>
      <x:c r="J270" s="0"/>
      <x:c r="K270" s="6">
        <x:v>46232.88924575232</x:v>
      </x:c>
      <x:c r="L270" t="str" s="2">
        <x:v>Contacted</x:v>
      </x:c>
    </x:row>
    <x:row r="271">
      <x:c r="A271" t="str" s="2">
        <x:f>="Rebecca Clark"</x:f>
      </x:c>
      <x:c r="B271" t="str" s="2">
        <x:v>Heritage Housing of Minden</x:v>
      </x:c>
      <x:c r="C271" t="str" s="2">
        <x:v>0/5</x:v>
      </x:c>
      <x:c r="D271" t="str" s="2">
        <x:v>3182355103</x:v>
      </x:c>
      <x:c r="E271" t="str" s="2">
        <x:v>rbclark1013@gmail.com</x:v>
      </x:c>
      <x:c r="F271" t="str" s="2">
        <x:v>Financing Form</x:v>
      </x:c>
      <x:c r="G271" t="str" s="2">
        <x:v>Patrick Schuchart</x:v>
      </x:c>
      <x:c r="H271" s="6">
        <x:v>46219.83469791667</x:v>
      </x:c>
      <x:c r="I271" s="0"/>
      <x:c r="J271" s="0"/>
      <x:c r="K271" s="6">
        <x:v>46290.79019695602</x:v>
      </x:c>
      <x:c r="L271" t="str" s="2">
        <x:v>Contacted</x:v>
      </x:c>
    </x:row>
    <x:row r="272">
      <x:c r="A272" t="str" s="2">
        <x:f>="Theba Sirmans"</x:f>
      </x:c>
      <x:c r="B272" t="str" s="2">
        <x:v>Heritage Housing of Albany</x:v>
      </x:c>
      <x:c r="C272" t="str" s="2">
        <x:v/>
      </x:c>
      <x:c r="D272" t="str" s="2">
        <x:v>6789738553</x:v>
      </x:c>
      <x:c r="E272" t="str" s="2">
        <x:v>phobie814@gmail.com</x:v>
      </x:c>
      <x:c r="F272" t="str" s="2">
        <x:v>Meta Ads - Forms</x:v>
      </x:c>
      <x:c r="G272" t="str" s="2">
        <x:v>Yanet Alvarez</x:v>
      </x:c>
      <x:c r="H272" s="6">
        <x:v>46220.05571284722</x:v>
      </x:c>
      <x:c r="I272" s="0"/>
      <x:c r="J272" s="0"/>
      <x:c r="K272" s="6">
        <x:v>46253.738215590274</x:v>
      </x:c>
      <x:c r="L272" t="str" s="2">
        <x:v>Contacted</x:v>
      </x:c>
    </x:row>
    <x:row r="273">
      <x:c r="A273" t="str" s="2">
        <x:f>="Holly Schouest"</x:f>
      </x:c>
      <x:c r="B273" t="str" s="2">
        <x:v>Heritage Housing of Minden</x:v>
      </x:c>
      <x:c r="C273" t="str" s="2">
        <x:v>0/6</x:v>
      </x:c>
      <x:c r="D273" t="str" s="2">
        <x:v>6013035145</x:v>
      </x:c>
      <x:c r="E273" t="str" s="2">
        <x:v>hollyschouest70@gmail.com</x:v>
      </x:c>
      <x:c r="F273" t="str" s="2">
        <x:v>Meta Ads - Forms</x:v>
      </x:c>
      <x:c r="G273" t="str" s="2">
        <x:v>Patrick Schuchart</x:v>
      </x:c>
      <x:c r="H273" s="6">
        <x:v>46220.0668915162</x:v>
      </x:c>
      <x:c r="I273" s="0"/>
      <x:c r="J273" s="0"/>
      <x:c r="K273" s="6">
        <x:v>46290.78924259259</x:v>
      </x:c>
      <x:c r="L273" t="str" s="2">
        <x:v>Contacted</x:v>
      </x:c>
    </x:row>
    <x:row r="274">
      <x:c r="A274" t="str" s="2">
        <x:f>="Keaun Williams"</x:f>
      </x:c>
      <x:c r="B274" t="str" s="2">
        <x:v>Heritage Housing of Minden</x:v>
      </x:c>
      <x:c r="C274" t="str" s="2">
        <x:v>0/4</x:v>
      </x:c>
      <x:c r="D274" t="str" s="2">
        <x:v>2142448433</x:v>
      </x:c>
      <x:c r="E274" t="str" s="2">
        <x:v>keaunaw053@gmail.com</x:v>
      </x:c>
      <x:c r="F274" t="str" s="2">
        <x:v>Financing Form</x:v>
      </x:c>
      <x:c r="G274" t="str" s="2">
        <x:v>Patrick Schuchart</x:v>
      </x:c>
      <x:c r="H274" s="6">
        <x:v>46220.69065575232</x:v>
      </x:c>
      <x:c r="I274" s="0"/>
      <x:c r="J274" s="6">
        <x:v>46223.833333333336</x:v>
      </x:c>
      <x:c r="K274" s="6">
        <x:v>46262.73721542824</x:v>
      </x:c>
      <x:c r="L274" t="str" s="2">
        <x:v>Contacted</x:v>
      </x:c>
    </x:row>
    <x:row r="275">
      <x:c r="A275" t="str" s="2">
        <x:f>=HYPERLINK("https://rsms.futurehomex.com/lead/38621", "Yurisleydis Alvarez")</x:f>
      </x:c>
      <x:c r="B275" t="str" s="2">
        <x:v>Legacy Housing Corp. DBA Americasa</x:v>
      </x:c>
      <x:c r="C275" t="str" s="2">
        <x:v/>
      </x:c>
      <x:c r="D275" t="str" s="2">
        <x:v>3463706517</x:v>
      </x:c>
      <x:c r="E275" t="str" s="2">
        <x:v>alvarezyurisleydis@gmail.com</x:v>
      </x:c>
      <x:c r="F275" t="str" s="2">
        <x:v>Website</x:v>
      </x:c>
      <x:c r="G275" t="str" s="2">
        <x:v>Rodrigo Ramirez</x:v>
      </x:c>
      <x:c r="H275" s="6">
        <x:v>46220.799981365744</x:v>
      </x:c>
      <x:c r="I275" t="str" s="2">
        <x:v>Joey Marquez</x:v>
      </x:c>
      <x:c r="J275" s="6">
        <x:v>46221.833333333336</x:v>
      </x:c>
      <x:c r="K275" s="6">
        <x:v>46296.74722538194</x:v>
      </x:c>
      <x:c r="L275" t="str" s="2">
        <x:v>Contacted</x:v>
      </x:c>
    </x:row>
    <x:row r="276">
      <x:c r="A276" t="str" s="2">
        <x:f>="Wendell Clark"</x:f>
      </x:c>
      <x:c r="B276" t="str" s="2">
        <x:v>Heritage Housing Marble Falls</x:v>
      </x:c>
      <x:c r="C276" t="str" s="2">
        <x:v/>
      </x:c>
      <x:c r="D276" t="str" s="2" xml:space="preserve">
        <x:v> 3852315660    </x:v>
      </x:c>
      <x:c r="E276" t="str" s="2">
        <x:v>wendellclarknavy@gmail.com</x:v>
      </x:c>
      <x:c r="F276" t="str" s="2">
        <x:v>Meta Ads - Forms</x:v>
      </x:c>
      <x:c r="G276" t="str" s="2">
        <x:v>Stephen Sanders</x:v>
      </x:c>
      <x:c r="H276" s="6">
        <x:v>46221.00858368055</x:v>
      </x:c>
      <x:c r="I276" s="0"/>
      <x:c r="J276" s="0"/>
      <x:c r="K276" s="6">
        <x:v>46227.88290991898</x:v>
      </x:c>
      <x:c r="L276" t="str" s="2">
        <x:v>Contacted</x:v>
      </x:c>
    </x:row>
    <x:row r="277">
      <x:c r="A277" t="str" s="2">
        <x:f>="Jason Jones"</x:f>
      </x:c>
      <x:c r="B277" t="str" s="2">
        <x:v>Heritage Housing of Greenville</x:v>
      </x:c>
      <x:c r="C277" t="str" s="2">
        <x:v>0/2</x:v>
      </x:c>
      <x:c r="D277" t="str" s="2">
        <x:v>2487890625</x:v>
      </x:c>
      <x:c r="E277" t="str" s="2">
        <x:v>nafateriecrawley@gmail.com</x:v>
      </x:c>
      <x:c r="F277" t="str" s="2">
        <x:v>Meta Ads - Forms</x:v>
      </x:c>
      <x:c r="G277" t="str" s="2">
        <x:v>Brooklynn Allen</x:v>
      </x:c>
      <x:c r="H277" s="6">
        <x:v>46221.025306793985</x:v>
      </x:c>
      <x:c r="I277" s="0"/>
      <x:c r="J277" s="0"/>
      <x:c r="K277" s="6">
        <x:v>46253.66654305556</x:v>
      </x:c>
      <x:c r="L277" t="str" s="2">
        <x:v>Contacted</x:v>
      </x:c>
    </x:row>
    <x:row r="278">
      <x:c r="A278" t="str" s="2">
        <x:f>="Heather Bryant"</x:f>
      </x:c>
      <x:c r="B278" t="str" s="2">
        <x:v>Heritage Housing Marble Falls</x:v>
      </x:c>
      <x:c r="C278" t="str" s="2">
        <x:v/>
      </x:c>
      <x:c r="D278" t="str" s="2">
        <x:v>2543349442</x:v>
      </x:c>
      <x:c r="E278" t="str" s="2">
        <x:v>heather.bryant23@icloud.com</x:v>
      </x:c>
      <x:c r="F278" t="str" s="2">
        <x:v>Meta Ads - Forms</x:v>
      </x:c>
      <x:c r="G278" t="str" s="2">
        <x:v>Stephen Sanders</x:v>
      </x:c>
      <x:c r="H278" s="6">
        <x:v>46221.30410755787</x:v>
      </x:c>
      <x:c r="I278" s="0"/>
      <x:c r="J278" s="0"/>
      <x:c r="K278" s="6">
        <x:v>46275.866568171296</x:v>
      </x:c>
      <x:c r="L278" t="str" s="2">
        <x:v>Contacted</x:v>
      </x:c>
    </x:row>
    <x:row r="279">
      <x:c r="A279" t="str" s="2">
        <x:f>=HYPERLINK("https://rsms.futurehomex.com/lead/38590", "Gavin Gilore")</x:f>
      </x:c>
      <x:c r="B279" t="str" s="2">
        <x:v>Heritage Housing of Minden</x:v>
      </x:c>
      <x:c r="C279" t="str" s="2">
        <x:v>0/4</x:v>
      </x:c>
      <x:c r="D279" t="str" s="2">
        <x:v>3184758416</x:v>
      </x:c>
      <x:c r="E279" t="str" s="2">
        <x:v>3184758416</x:v>
      </x:c>
      <x:c r="F279" t="str" s="2">
        <x:v>HH - Jennings</x:v>
      </x:c>
      <x:c r="G279" t="str" s="2">
        <x:v>Patrick Schuchart</x:v>
      </x:c>
      <x:c r="H279" s="6">
        <x:v>46221.61325304398</x:v>
      </x:c>
      <x:c r="I279" t="str" s="2">
        <x:v>Patrick Schuchart</x:v>
      </x:c>
      <x:c r="J279" s="0"/>
      <x:c r="K279" s="6">
        <x:v>46290.7880212963</x:v>
      </x:c>
      <x:c r="L279" t="str" s="2">
        <x:v>Contacted</x:v>
      </x:c>
    </x:row>
    <x:row r="280">
      <x:c r="A280" t="str" s="2">
        <x:f>=HYPERLINK("https://rsms.futurehomex.com/lead/38608", "Andrease Smith")</x:f>
      </x:c>
      <x:c r="B280" t="str" s="2">
        <x:v>Heritage Housing of Augusta</x:v>
      </x:c>
      <x:c r="C280" t="str" s="2">
        <x:v>1/1</x:v>
      </x:c>
      <x:c r="D280" t="str" s="2">
        <x:v>7063609602</x:v>
      </x:c>
      <x:c r="E280" t="str" s="2">
        <x:v>7063609602</x:v>
      </x:c>
      <x:c r="F280" t="str" s="2">
        <x:v>Walk-in</x:v>
      </x:c>
      <x:c r="G280" t="str" s="2">
        <x:v>Jose Chavez</x:v>
      </x:c>
      <x:c r="H280" s="6">
        <x:v>46221.8133340625</x:v>
      </x:c>
      <x:c r="I280" t="str" s="2">
        <x:v>Faye Lively</x:v>
      </x:c>
      <x:c r="J280" s="0"/>
      <x:c r="K280" s="6">
        <x:v>46276.84656103009</x:v>
      </x:c>
      <x:c r="L280" t="str" s="2">
        <x:v>Contacted</x:v>
      </x:c>
    </x:row>
    <x:row r="281">
      <x:c r="A281" t="str" s="2">
        <x:f>="Catherine James"</x:f>
      </x:c>
      <x:c r="B281" t="str" s="2">
        <x:v>Heritage Housing of Minden</x:v>
      </x:c>
      <x:c r="C281" t="str" s="2">
        <x:v>0/9</x:v>
      </x:c>
      <x:c r="D281" t="str" s="2">
        <x:v>3184394883</x:v>
      </x:c>
      <x:c r="E281" t="str" s="2">
        <x:v>cjames0977@yahoo.com</x:v>
      </x:c>
      <x:c r="F281" t="str" s="2">
        <x:v>Meta Ads - Forms</x:v>
      </x:c>
      <x:c r="G281" t="str" s="2">
        <x:v>Patrick Schuchart</x:v>
      </x:c>
      <x:c r="H281" s="6">
        <x:v>46221.8410834838</x:v>
      </x:c>
      <x:c r="I281" s="0"/>
      <x:c r="J281" s="0"/>
      <x:c r="K281" s="6">
        <x:v>46290.7865275463</x:v>
      </x:c>
      <x:c r="L281" t="str" s="2">
        <x:v>Contacted</x:v>
      </x:c>
    </x:row>
    <x:row r="282">
      <x:c r="A282" t="str" s="2">
        <x:f>="Naveed Sheikh"</x:f>
      </x:c>
      <x:c r="B282" t="str" s="2">
        <x:v>Heritage Housing of Greenville</x:v>
      </x:c>
      <x:c r="C282" t="str" s="2">
        <x:v/>
      </x:c>
      <x:c r="D282" t="str" s="2">
        <x:v>9082440980</x:v>
      </x:c>
      <x:c r="E282" t="str" s="2">
        <x:v>naveed@nizamdb.com</x:v>
      </x:c>
      <x:c r="F282" t="str" s="2">
        <x:v>LandingPage</x:v>
      </x:c>
      <x:c r="G282" t="str" s="2">
        <x:v>Brooklynn Allen</x:v>
      </x:c>
      <x:c r="H282" s="6">
        <x:v>46222.14938449074</x:v>
      </x:c>
      <x:c r="I282" s="0"/>
      <x:c r="J282" s="0"/>
      <x:c r="K282" s="6">
        <x:v>46279.635501122684</x:v>
      </x:c>
      <x:c r="L282" t="str" s="2">
        <x:v>Contacted</x:v>
      </x:c>
    </x:row>
    <x:row r="283">
      <x:c r="A283" t="str" s="2">
        <x:f>="Trevor Whitman"</x:f>
      </x:c>
      <x:c r="B283" t="str" s="2">
        <x:v>Heritage Housing of Minden</x:v>
      </x:c>
      <x:c r="C283" t="str" s="2">
        <x:v>0/3</x:v>
      </x:c>
      <x:c r="D283" t="str" s="2">
        <x:v>3184758278</x:v>
      </x:c>
      <x:c r="E283" t="str" s="2">
        <x:v>colewhitman33@icloud.com</x:v>
      </x:c>
      <x:c r="F283" t="str" s="2">
        <x:v>Financing Form</x:v>
      </x:c>
      <x:c r="G283" t="str" s="2">
        <x:v>Patrick Schuchart</x:v>
      </x:c>
      <x:c r="H283" s="6">
        <x:v>46222.21930153935</x:v>
      </x:c>
      <x:c r="I283" s="0"/>
      <x:c r="J283" s="0"/>
      <x:c r="K283" s="6">
        <x:v>46290.785272534726</x:v>
      </x:c>
      <x:c r="L283" t="str" s="2">
        <x:v>Contacted</x:v>
      </x:c>
    </x:row>
    <x:row r="284">
      <x:c r="A284" t="str" s="2">
        <x:f>="Pearline Henderson"</x:f>
      </x:c>
      <x:c r="B284" t="str" s="2">
        <x:v>Heritage Housing of Minden</x:v>
      </x:c>
      <x:c r="C284" t="str" s="2">
        <x:v>0/5</x:v>
      </x:c>
      <x:c r="D284" t="str" s="2">
        <x:v>3184180541</x:v>
      </x:c>
      <x:c r="E284" t="str" s="2">
        <x:v>pkhjay@yahoo.com</x:v>
      </x:c>
      <x:c r="F284" t="str" s="2">
        <x:v>Meta Ads - Forms</x:v>
      </x:c>
      <x:c r="G284" t="str" s="2">
        <x:v>Patrick Schuchart</x:v>
      </x:c>
      <x:c r="H284" s="6">
        <x:v>46222.279353125</x:v>
      </x:c>
      <x:c r="I284" s="0"/>
      <x:c r="J284" s="0"/>
      <x:c r="K284" s="6">
        <x:v>46290.78417210648</x:v>
      </x:c>
      <x:c r="L284" t="str" s="2">
        <x:v>Contacted</x:v>
      </x:c>
    </x:row>
    <x:row r="285">
      <x:c r="A285" t="str" s="2">
        <x:f>="Anthony Cobb"</x:f>
      </x:c>
      <x:c r="B285" t="str" s="2">
        <x:v>Legacy Housing Corp. DBA Americasa</x:v>
      </x:c>
      <x:c r="C285" t="str" s="2">
        <x:v/>
      </x:c>
      <x:c r="D285" t="str" s="2">
        <x:v>4154839197</x:v>
      </x:c>
      <x:c r="E285" t="str" s="2">
        <x:v>ascobb@gmail.com</x:v>
      </x:c>
      <x:c r="F285" t="str" s="2">
        <x:v>Financing Form</x:v>
      </x:c>
      <x:c r="G285" t="str" s="2">
        <x:v>Rodrigo Ramirez</x:v>
      </x:c>
      <x:c r="H285" s="6">
        <x:v>46222.53508961805</x:v>
      </x:c>
      <x:c r="I285" s="0"/>
      <x:c r="J285" s="0"/>
      <x:c r="K285" s="6">
        <x:v>46279.951641817126</x:v>
      </x:c>
      <x:c r="L285" t="str" s="2">
        <x:v>Contacted</x:v>
      </x:c>
    </x:row>
    <x:row r="286">
      <x:c r="A286" t="str" s="2">
        <x:f>="Eula Lafrance"</x:f>
      </x:c>
      <x:c r="B286" t="str" s="2">
        <x:v>Heritage Housing Marble Falls</x:v>
      </x:c>
      <x:c r="C286" t="str" s="2">
        <x:v/>
      </x:c>
      <x:c r="D286" t="str" s="2">
        <x:v>5127487592</x:v>
      </x:c>
      <x:c r="E286" t="str" s="2">
        <x:v>ms.lafrance1980@gmail.com</x:v>
      </x:c>
      <x:c r="F286" t="str" s="2">
        <x:v>Meta Ads - Forms</x:v>
      </x:c>
      <x:c r="G286" t="str" s="2">
        <x:v>Stephen Sanders</x:v>
      </x:c>
      <x:c r="H286" s="6">
        <x:v>46222.68110061342</x:v>
      </x:c>
      <x:c r="I286" s="0"/>
      <x:c r="J286" s="0"/>
      <x:c r="K286" s="6">
        <x:v>46275.867051354166</x:v>
      </x:c>
      <x:c r="L286" t="str" s="2">
        <x:v>Contacted</x:v>
      </x:c>
    </x:row>
    <x:row r="287">
      <x:c r="A287" t="str" s="2">
        <x:f>="Katina Byrd"</x:f>
      </x:c>
      <x:c r="B287" t="str" s="2">
        <x:v>Heritage Housing of Albany</x:v>
      </x:c>
      <x:c r="C287" t="str" s="2">
        <x:v>0/2</x:v>
      </x:c>
      <x:c r="D287" t="str" s="2">
        <x:v>7623153004</x:v>
      </x:c>
      <x:c r="E287" t="str" s="2">
        <x:v>byrdkatina730@gmail.com</x:v>
      </x:c>
      <x:c r="F287" t="str" s="2">
        <x:v>Meta Ads - Forms</x:v>
      </x:c>
      <x:c r="G287" t="str" s="2">
        <x:v>Yanet Alvarez</x:v>
      </x:c>
      <x:c r="H287" s="6">
        <x:v>46222.76726542824</x:v>
      </x:c>
      <x:c r="I287" s="0"/>
      <x:c r="J287" s="0"/>
      <x:c r="K287" s="6">
        <x:v>46283.643902118056</x:v>
      </x:c>
      <x:c r="L287" t="str" s="2">
        <x:v>Contacted</x:v>
      </x:c>
    </x:row>
    <x:row r="288">
      <x:c r="A288" t="str" s="2">
        <x:f>="Anthony Hall"</x:f>
      </x:c>
      <x:c r="B288" t="str" s="2">
        <x:v>Heritage Housing of Minden</x:v>
      </x:c>
      <x:c r="C288" t="str" s="2">
        <x:v>0/3</x:v>
      </x:c>
      <x:c r="D288" t="str" s="2">
        <x:v>3185815323</x:v>
      </x:c>
      <x:c r="E288" t="str" s="2">
        <x:v>ah591981@gmail.com</x:v>
      </x:c>
      <x:c r="F288" t="str" s="2">
        <x:v>Meta Ads - Forms</x:v>
      </x:c>
      <x:c r="G288" t="str" s="2">
        <x:v>Patrick Schuchart</x:v>
      </x:c>
      <x:c r="H288" s="6">
        <x:v>46222.77483295139</x:v>
      </x:c>
      <x:c r="I288" s="0"/>
      <x:c r="J288" s="0"/>
      <x:c r="K288" s="6">
        <x:v>46290.78341200232</x:v>
      </x:c>
      <x:c r="L288" t="str" s="2">
        <x:v>Contacted</x:v>
      </x:c>
    </x:row>
    <x:row r="289">
      <x:c r="A289" t="str" s="2">
        <x:f>="Janet Walton"</x:f>
      </x:c>
      <x:c r="B289" t="str" s="2">
        <x:v>Heritage Housing of Athens</x:v>
      </x:c>
      <x:c r="C289" t="str" s="2">
        <x:v/>
      </x:c>
      <x:c r="D289" t="str" s="2">
        <x:v>4704548826</x:v>
      </x:c>
      <x:c r="E289" t="str" s="2">
        <x:v>waltonjanet108@gmail.com</x:v>
      </x:c>
      <x:c r="F289" t="str" s="2">
        <x:v>Website</x:v>
      </x:c>
      <x:c r="G289" t="str" s="2">
        <x:v>Justin Johnson</x:v>
      </x:c>
      <x:c r="H289" s="6">
        <x:v>46222.85745447917</x:v>
      </x:c>
      <x:c r="I289" s="0"/>
      <x:c r="J289" s="0"/>
      <x:c r="K289" s="6">
        <x:v>46223.66575274306</x:v>
      </x:c>
      <x:c r="L289" t="str" s="2">
        <x:v>Contacted</x:v>
      </x:c>
    </x:row>
    <x:row r="290">
      <x:c r="A290" t="str" s="2">
        <x:f>="Donald Cassell"</x:f>
      </x:c>
      <x:c r="B290" t="str" s="2">
        <x:v>Heritage Housing of Augusta</x:v>
      </x:c>
      <x:c r="C290" t="str" s="2">
        <x:v/>
      </x:c>
      <x:c r="D290" t="str" s="2">
        <x:v>4432619764</x:v>
      </x:c>
      <x:c r="E290" t="str" s="2">
        <x:v>doncassell00@gmail.com</x:v>
      </x:c>
      <x:c r="F290" t="str" s="2">
        <x:v>Website</x:v>
      </x:c>
      <x:c r="G290" t="str" s="2">
        <x:v>Faye Lively</x:v>
      </x:c>
      <x:c r="H290" s="6">
        <x:v>46222.91797184028</x:v>
      </x:c>
      <x:c r="I290" s="0"/>
      <x:c r="J290" s="0"/>
      <x:c r="K290" s="6">
        <x:v>46275.908387881944</x:v>
      </x:c>
      <x:c r="L290" t="str" s="2">
        <x:v>Contacted</x:v>
      </x:c>
    </x:row>
    <x:row r="291">
      <x:c r="A291" t="str" s="2">
        <x:f>="Robertrer BillyrerGM"</x:f>
      </x:c>
      <x:c r="B291" t="str" s="2">
        <x:v>Heritage Housing of Greenville</x:v>
      </x:c>
      <x:c r="C291" t="str" s="2">
        <x:v/>
      </x:c>
      <x:c r="D291" t="str" s="2">
        <x:v>89223448921</x:v>
      </x:c>
      <x:c r="E291" t="str" s="2">
        <x:v>javdaal@cbqulvh.vnt</x:v>
      </x:c>
      <x:c r="F291" t="str" s="2">
        <x:v>Website</x:v>
      </x:c>
      <x:c r="G291" t="str" s="2">
        <x:v>Ana Garcia</x:v>
      </x:c>
      <x:c r="H291" s="6">
        <x:v>46222.93614467593</x:v>
      </x:c>
      <x:c r="I291" s="0"/>
      <x:c r="J291" s="0"/>
      <x:c r="K291" s="6">
        <x:v>46223.56987184028</x:v>
      </x:c>
      <x:c r="L291" t="str" s="2">
        <x:v>Contacted</x:v>
      </x:c>
    </x:row>
    <x:row r="292">
      <x:c r="A292" t="str" s="2">
        <x:f>="Wiley Clark Wiley Clark"</x:f>
      </x:c>
      <x:c r="B292" t="str" s="2">
        <x:v>Heritage Housing of Minden</x:v>
      </x:c>
      <x:c r="C292" t="str" s="2">
        <x:v>0/3</x:v>
      </x:c>
      <x:c r="D292" t="str" s="2">
        <x:v>3182308322</x:v>
      </x:c>
      <x:c r="E292" t="str" s="2">
        <x:v>cajuncoyote1@gmail.com</x:v>
      </x:c>
      <x:c r="F292" t="str" s="2">
        <x:v>Meta Ads - Forms</x:v>
      </x:c>
      <x:c r="G292" t="str" s="2">
        <x:v>Patrick Schuchart</x:v>
      </x:c>
      <x:c r="H292" s="6">
        <x:v>46223.04334394676</x:v>
      </x:c>
      <x:c r="I292" s="0"/>
      <x:c r="J292" s="0"/>
      <x:c r="K292" s="6">
        <x:v>46290.78245362268</x:v>
      </x:c>
      <x:c r="L292" t="str" s="2">
        <x:v>Contacted</x:v>
      </x:c>
    </x:row>
    <x:row r="293">
      <x:c r="A293" t="str" s="2">
        <x:f>="Jessica Williams"</x:f>
      </x:c>
      <x:c r="B293" t="str" s="2">
        <x:v>Heritage Housing of Minden</x:v>
      </x:c>
      <x:c r="C293" t="str" s="2">
        <x:v>0/8</x:v>
      </x:c>
      <x:c r="D293" t="str" s="2">
        <x:v>3186809961</x:v>
      </x:c>
      <x:c r="E293" t="str" s="2">
        <x:v>jessica_lynne27@yahoo.com</x:v>
      </x:c>
      <x:c r="F293" t="str" s="2">
        <x:v>Meta Ads - Forms</x:v>
      </x:c>
      <x:c r="G293" t="str" s="2">
        <x:v>Patrick Schuchart</x:v>
      </x:c>
      <x:c r="H293" s="6">
        <x:v>46223.063481446756</x:v>
      </x:c>
      <x:c r="I293" s="0"/>
      <x:c r="J293" s="0"/>
      <x:c r="K293" s="6">
        <x:v>46290.746335648146</x:v>
      </x:c>
      <x:c r="L293" t="str" s="2">
        <x:v>Contacted</x:v>
      </x:c>
    </x:row>
    <x:row r="294">
      <x:c r="A294" t="str" s="2">
        <x:f>=". Duncan"</x:f>
      </x:c>
      <x:c r="B294" t="str" s="2">
        <x:v>Heritage Housing of Minden</x:v>
      </x:c>
      <x:c r="C294" t="str" s="2">
        <x:v>0/1</x:v>
      </x:c>
      <x:c r="D294" t="str" s="2">
        <x:v>3184032783</x:v>
      </x:c>
      <x:c r="E294" t="str" s="2">
        <x:v>dricka2021@icloud.com</x:v>
      </x:c>
      <x:c r="F294" t="str" s="2">
        <x:v>Meta Ads - Forms</x:v>
      </x:c>
      <x:c r="G294" t="str" s="2">
        <x:v>Patrick Schuchart</x:v>
      </x:c>
      <x:c r="H294" s="6">
        <x:v>46223.09835717593</x:v>
      </x:c>
      <x:c r="I294" s="0"/>
      <x:c r="J294" s="0"/>
      <x:c r="K294" s="6">
        <x:v>46242.73804563657</x:v>
      </x:c>
      <x:c r="L294" t="str" s="2">
        <x:v>Contacted</x:v>
      </x:c>
    </x:row>
    <x:row r="295">
      <x:c r="A295" t="str" s="2">
        <x:f>="Tawana Harris"</x:f>
      </x:c>
      <x:c r="B295" t="str" s="2">
        <x:v>Heritage Housing of Minden</x:v>
      </x:c>
      <x:c r="C295" t="str" s="2">
        <x:v>0/9</x:v>
      </x:c>
      <x:c r="D295" t="str" s="2">
        <x:v>3187804864</x:v>
      </x:c>
      <x:c r="E295" t="str" s="2">
        <x:v>tawanaharris480@gmail.com</x:v>
      </x:c>
      <x:c r="F295" t="str" s="2">
        <x:v>Website</x:v>
      </x:c>
      <x:c r="G295" t="str" s="2">
        <x:v>Patrick Schuchart</x:v>
      </x:c>
      <x:c r="H295" s="6">
        <x:v>46223.124360532405</x:v>
      </x:c>
      <x:c r="I295" s="0"/>
      <x:c r="J295" s="0"/>
      <x:c r="K295" s="6">
        <x:v>46290.745370289354</x:v>
      </x:c>
      <x:c r="L295" t="str" s="2">
        <x:v>Contacted</x:v>
      </x:c>
    </x:row>
    <x:row r="296">
      <x:c r="A296" t="str" s="2">
        <x:f>=HYPERLINK("https://rsms.futurehomex.com/lead/38623", "BERNABE CORDOVA")</x:f>
      </x:c>
      <x:c r="B296" t="str" s="2">
        <x:v>Heritage Housing Mt Pleasant</x:v>
      </x:c>
      <x:c r="C296" t="str" s="2">
        <x:v/>
      </x:c>
      <x:c r="D296" t="str" s="2">
        <x:v>9033874205</x:v>
      </x:c>
      <x:c r="E296" t="str" s="2">
        <x:v>9033874205</x:v>
      </x:c>
      <x:c r="F296" t="str" s="2">
        <x:v>META Marketplace</x:v>
      </x:c>
      <x:c r="G296" t="str" s="2">
        <x:v>Yarelis Torres</x:v>
      </x:c>
      <x:c r="H296" s="6">
        <x:v>46223.586601006944</x:v>
      </x:c>
      <x:c r="I296" t="str" s="2">
        <x:v>Elias Gallardo</x:v>
      </x:c>
      <x:c r="J296" s="0"/>
      <x:c r="K296" s="6">
        <x:v>46276.96698136574</x:v>
      </x:c>
      <x:c r="L296" t="str" s="2">
        <x:v>Contacted</x:v>
      </x:c>
    </x:row>
    <x:row r="297">
      <x:c r="A297" t="str" s="2">
        <x:f>="Jennifer Anthony"</x:f>
      </x:c>
      <x:c r="B297" t="str" s="2">
        <x:v>Legacy Housing Corp. DBA Americasa</x:v>
      </x:c>
      <x:c r="C297" t="str" s="2">
        <x:v/>
      </x:c>
      <x:c r="D297" t="str" s="2">
        <x:v>7138359762</x:v>
      </x:c>
      <x:c r="E297" t="str" s="2">
        <x:v>Skylarsmom2026@gmail.com</x:v>
      </x:c>
      <x:c r="F297" t="str" s="2">
        <x:v>Financing Form</x:v>
      </x:c>
      <x:c r="G297" t="str" s="2">
        <x:v>Joey Marquez</x:v>
      </x:c>
      <x:c r="H297" s="6">
        <x:v>46223.70042920139</x:v>
      </x:c>
      <x:c r="I297" s="0"/>
      <x:c r="J297" s="0"/>
      <x:c r="K297" s="6">
        <x:v>46223.93626886574</x:v>
      </x:c>
      <x:c r="L297" t="str" s="2">
        <x:v>Contacted</x:v>
      </x:c>
    </x:row>
    <x:row r="298">
      <x:c r="A298" t="str" s="2">
        <x:f>="Brenda Sloan"</x:f>
      </x:c>
      <x:c r="B298" t="str" s="2">
        <x:v>Heritage Housing of Minden</x:v>
      </x:c>
      <x:c r="C298" t="str" s="2">
        <x:v>0/10</x:v>
      </x:c>
      <x:c r="D298" t="str" s="2">
        <x:v>2142991478</x:v>
      </x:c>
      <x:c r="E298" t="str" s="2">
        <x:v>sloanb235@gmail.com</x:v>
      </x:c>
      <x:c r="F298" t="str" s="2">
        <x:v>Website</x:v>
      </x:c>
      <x:c r="G298" t="str" s="2">
        <x:v>Patrick Schuchart</x:v>
      </x:c>
      <x:c r="H298" s="6">
        <x:v>46223.70256547454</x:v>
      </x:c>
      <x:c r="I298" s="0"/>
      <x:c r="J298" s="0"/>
      <x:c r="K298" s="6">
        <x:v>46282.913827627315</x:v>
      </x:c>
      <x:c r="L298" t="str" s="2">
        <x:v>Contacted</x:v>
      </x:c>
    </x:row>
    <x:row r="299">
      <x:c r="A299" t="str" s="2">
        <x:f>="Calvin Hayes"</x:f>
      </x:c>
      <x:c r="B299" t="str" s="2">
        <x:v>Heritage Housing of Jennings</x:v>
      </x:c>
      <x:c r="C299" t="str" s="2">
        <x:v>0/9</x:v>
      </x:c>
      <x:c r="D299" t="str" s="2">
        <x:v>9852121928</x:v>
      </x:c>
      <x:c r="E299" t="str" s="2">
        <x:v>calvinhayes1961@gmail.com</x:v>
      </x:c>
      <x:c r="F299" t="str" s="2">
        <x:v>Meta Ads - Forms</x:v>
      </x:c>
      <x:c r="G299" t="str" s="2">
        <x:v>Mervin Leslie Smith</x:v>
      </x:c>
      <x:c r="H299" s="6">
        <x:v>46223.73194050926</x:v>
      </x:c>
      <x:c r="I299" s="0"/>
      <x:c r="J299" s="0"/>
      <x:c r="K299" s="6">
        <x:v>46287.73851689815</x:v>
      </x:c>
      <x:c r="L299" t="str" s="2">
        <x:v>Contacted</x:v>
      </x:c>
    </x:row>
    <x:row r="300">
      <x:c r="A300" t="str" s="2">
        <x:f>="Kimberly Hughes"</x:f>
      </x:c>
      <x:c r="B300" t="str" s="2">
        <x:v>Heritage Housing of Albany</x:v>
      </x:c>
      <x:c r="C300" t="str" s="2">
        <x:v/>
      </x:c>
      <x:c r="D300" t="str" s="2">
        <x:v>9106336622</x:v>
      </x:c>
      <x:c r="E300" t="str" s="2">
        <x:v>kimhughes6067@gmail.com</x:v>
      </x:c>
      <x:c r="F300" t="str" s="2">
        <x:v>LandingPage</x:v>
      </x:c>
      <x:c r="G300" t="str" s="2">
        <x:v>Yanet Alvarez</x:v>
      </x:c>
      <x:c r="H300" s="6">
        <x:v>46223.81654545139</x:v>
      </x:c>
      <x:c r="I300" s="0"/>
      <x:c r="J300" s="0"/>
      <x:c r="K300" s="6">
        <x:v>46303.95519494213</x:v>
      </x:c>
      <x:c r="L300" t="str" s="2">
        <x:v>Contacted</x:v>
      </x:c>
    </x:row>
    <x:row r="301">
      <x:c r="A301" t="str" s="2">
        <x:f>=HYPERLINK("https://rsms.futurehomex.com/lead/38644", "Charles Thompson")</x:f>
      </x:c>
      <x:c r="B301" t="str" s="2">
        <x:v>Heritage Housing of Minden</x:v>
      </x:c>
      <x:c r="C301" t="str" s="2">
        <x:v>0/2</x:v>
      </x:c>
      <x:c r="D301" t="str" s="2">
        <x:v>3185052639</x:v>
      </x:c>
      <x:c r="E301" t="str" s="2">
        <x:v>3185052639</x:v>
      </x:c>
      <x:c r="F301" t="str" s="2">
        <x:v>Walk-in</x:v>
      </x:c>
      <x:c r="G301" t="str" s="2">
        <x:v>Patrick Schuchart</x:v>
      </x:c>
      <x:c r="H301" s="6">
        <x:v>46223.89050559028</x:v>
      </x:c>
      <x:c r="I301" t="str" s="2">
        <x:v>Patrick Schuchart</x:v>
      </x:c>
      <x:c r="J301" s="0"/>
      <x:c r="K301" s="6">
        <x:v>46253.82876744213</x:v>
      </x:c>
      <x:c r="L301" t="str" s="2">
        <x:v>Contacted</x:v>
      </x:c>
    </x:row>
    <x:row r="302">
      <x:c r="A302" t="str" s="2">
        <x:f>="Merlena Moore"</x:f>
      </x:c>
      <x:c r="B302" t="str" s="2">
        <x:v>Heritage Housing of Minden</x:v>
      </x:c>
      <x:c r="C302" t="str" s="2">
        <x:v>0/7</x:v>
      </x:c>
      <x:c r="D302" t="str" s="2">
        <x:v>3185708088</x:v>
      </x:c>
      <x:c r="E302" t="str" s="2">
        <x:v>merlenamoore1@gmail.com</x:v>
      </x:c>
      <x:c r="F302" t="str" s="2">
        <x:v>Meta Ads - Forms</x:v>
      </x:c>
      <x:c r="G302" t="str" s="2">
        <x:v>Patrick Schuchart</x:v>
      </x:c>
      <x:c r="H302" s="6">
        <x:v>46223.97585818287</x:v>
      </x:c>
      <x:c r="I302" s="0"/>
      <x:c r="J302" s="0"/>
      <x:c r="K302" s="6">
        <x:v>46290.7427158912</x:v>
      </x:c>
      <x:c r="L302" t="str" s="2">
        <x:v>Contacted</x:v>
      </x:c>
    </x:row>
    <x:row r="303">
      <x:c r="A303" t="str" s="2">
        <x:f>="Victoria Olgin"</x:f>
      </x:c>
      <x:c r="B303" t="str" s="2">
        <x:v>Heritage Housing of Canton</x:v>
      </x:c>
      <x:c r="C303" t="str" s="2">
        <x:v/>
      </x:c>
      <x:c r="D303" t="str" s="2">
        <x:v>4322577111</x:v>
      </x:c>
      <x:c r="E303" t="str" s="2">
        <x:v>victoriaolgin195@gmail.com</x:v>
      </x:c>
      <x:c r="F303" t="str" s="2">
        <x:v>Meta Ads - Forms</x:v>
      </x:c>
      <x:c r="G303" t="str" s="2">
        <x:v>Maira Garcia</x:v>
      </x:c>
      <x:c r="H303" s="6">
        <x:v>46224.01633665509</x:v>
      </x:c>
      <x:c r="I303" s="0"/>
      <x:c r="J303" s="0"/>
      <x:c r="K303" s="6">
        <x:v>46224.81125381945</x:v>
      </x:c>
      <x:c r="L303" t="str" s="2">
        <x:v>Contacted</x:v>
      </x:c>
    </x:row>
    <x:row r="304">
      <x:c r="A304" t="str" s="2">
        <x:f>="Gay jones"</x:f>
      </x:c>
      <x:c r="B304" t="str" s="2">
        <x:v>Heritage Housing Mt Pleasant</x:v>
      </x:c>
      <x:c r="C304" t="str" s="2">
        <x:v/>
      </x:c>
      <x:c r="D304" t="str" s="2">
        <x:v>9036991736</x:v>
      </x:c>
      <x:c r="E304" t="str" s="2">
        <x:v>Stephenajones55@yahoo.com</x:v>
      </x:c>
      <x:c r="F304" t="str" s="2">
        <x:v>Meta Ads - Forms</x:v>
      </x:c>
      <x:c r="G304" t="str" s="2">
        <x:v>Yarelis Torres</x:v>
      </x:c>
      <x:c r="H304" s="6">
        <x:v>46224.10747789352</x:v>
      </x:c>
      <x:c r="I304" s="0"/>
      <x:c r="J304" s="0"/>
      <x:c r="K304" s="6">
        <x:v>46266.97395042824</x:v>
      </x:c>
      <x:c r="L304" t="str" s="2">
        <x:v>Contacted</x:v>
      </x:c>
    </x:row>
    <x:row r="305">
      <x:c r="A305" t="str" s="2">
        <x:f>="Crystal Gipson"</x:f>
      </x:c>
      <x:c r="B305" t="str" s="2">
        <x:v>Heritage Housing of Albany</x:v>
      </x:c>
      <x:c r="C305" t="str" s="2">
        <x:v>0/3</x:v>
      </x:c>
      <x:c r="D305" t="str" s="2">
        <x:v>4782700137</x:v>
      </x:c>
      <x:c r="E305" t="str" s="2">
        <x:v>gipsoncrystal10@gmail.com</x:v>
      </x:c>
      <x:c r="F305" t="str" s="2">
        <x:v>Meta Ads - Forms</x:v>
      </x:c>
      <x:c r="G305" t="str" s="2">
        <x:v>Yanet Alvarez</x:v>
      </x:c>
      <x:c r="H305" s="6">
        <x:v>46224.17502491898</x:v>
      </x:c>
      <x:c r="I305" s="0"/>
      <x:c r="J305" s="0"/>
      <x:c r="K305" s="6">
        <x:v>46302.6378397338</x:v>
      </x:c>
      <x:c r="L305" t="str" s="2">
        <x:v>Contacted</x:v>
      </x:c>
    </x:row>
    <x:row r="306">
      <x:c r="A306" t="str" s="2">
        <x:f>="Danny Alleman"</x:f>
      </x:c>
      <x:c r="B306" t="str" s="2">
        <x:v>Heritage Housing of Jennings</x:v>
      </x:c>
      <x:c r="C306" t="str" s="2">
        <x:v>0/2</x:v>
      </x:c>
      <x:c r="D306" t="str" s="2">
        <x:v>9852288363</x:v>
      </x:c>
      <x:c r="E306" t="str" s="2">
        <x:v>dannyalleman4@gmail.com</x:v>
      </x:c>
      <x:c r="F306" t="str" s="2">
        <x:v>Meta Ads - Forms</x:v>
      </x:c>
      <x:c r="G306" t="str" s="2">
        <x:v>Mervin Leslie Smith</x:v>
      </x:c>
      <x:c r="H306" s="6">
        <x:v>46224.445559293985</x:v>
      </x:c>
      <x:c r="I306" s="0"/>
      <x:c r="J306" s="0"/>
      <x:c r="K306" s="6">
        <x:v>46288.7917377662</x:v>
      </x:c>
      <x:c r="L306" t="str" s="2">
        <x:v>Contacted</x:v>
      </x:c>
    </x:row>
    <x:row r="307">
      <x:c r="A307" t="str" s="2">
        <x:f>="Antonia Gomez"</x:f>
      </x:c>
      <x:c r="B307" t="str" s="2">
        <x:v>Heritage Housing of Greenville</x:v>
      </x:c>
      <x:c r="C307" t="str" s="2">
        <x:v/>
      </x:c>
      <x:c r="D307" t="str" s="2">
        <x:v>8173495066</x:v>
      </x:c>
      <x:c r="E307" t="str" s="2">
        <x:v>eliaoviedog70@gmail.com</x:v>
      </x:c>
      <x:c r="F307" t="str" s="2">
        <x:v>Meta Ads - Forms</x:v>
      </x:c>
      <x:c r="G307" t="str" s="2">
        <x:v>Ana Garcia</x:v>
      </x:c>
      <x:c r="H307" s="6">
        <x:v>46224.49392777778</x:v>
      </x:c>
      <x:c r="I307" s="0"/>
      <x:c r="J307" s="0"/>
      <x:c r="K307" s="6">
        <x:v>46224.63387815972</x:v>
      </x:c>
      <x:c r="L307" t="str" s="2">
        <x:v>Contacted</x:v>
      </x:c>
    </x:row>
    <x:row r="308">
      <x:c r="A308" t="str" s="2">
        <x:f>="Lydia Petty"</x:f>
      </x:c>
      <x:c r="B308" t="str" s="2">
        <x:v>Heritage Housing Marble Falls</x:v>
      </x:c>
      <x:c r="C308" t="str" s="2">
        <x:v/>
      </x:c>
      <x:c r="D308" t="str" s="2">
        <x:v>7409751552</x:v>
      </x:c>
      <x:c r="E308" t="str" s="2">
        <x:v>Lydia.petty@aol.com</x:v>
      </x:c>
      <x:c r="F308" t="str" s="2">
        <x:v>Meta Ads - Forms</x:v>
      </x:c>
      <x:c r="G308" t="str" s="2">
        <x:v>Stephen Sanders</x:v>
      </x:c>
      <x:c r="H308" s="6">
        <x:v>46224.54942141203</x:v>
      </x:c>
      <x:c r="I308" s="0"/>
      <x:c r="J308" s="0"/>
      <x:c r="K308" s="6">
        <x:v>46275.86751635417</x:v>
      </x:c>
      <x:c r="L308" t="str" s="2">
        <x:v>Contacted</x:v>
      </x:c>
    </x:row>
    <x:row r="309">
      <x:c r="A309" t="str" s="2">
        <x:f>="rheagan.23 evans"</x:f>
      </x:c>
      <x:c r="B309" t="str" s="2">
        <x:v>Heritage Housing of Minden</x:v>
      </x:c>
      <x:c r="C309" t="str" s="2">
        <x:v>0/5</x:v>
      </x:c>
      <x:c r="D309" t="str" s="2">
        <x:v>3186503832</x:v>
      </x:c>
      <x:c r="E309" t="str" s="2">
        <x:v>evansrheaga@gmail.com</x:v>
      </x:c>
      <x:c r="F309" t="str" s="2">
        <x:v>Meta Ads - Forms</x:v>
      </x:c>
      <x:c r="G309" t="str" s="2">
        <x:v>Patrick Schuchart</x:v>
      </x:c>
      <x:c r="H309" s="6">
        <x:v>46224.649833993055</x:v>
      </x:c>
      <x:c r="I309" s="0"/>
      <x:c r="J309" s="0"/>
      <x:c r="K309" s="6">
        <x:v>46290.741831099534</x:v>
      </x:c>
      <x:c r="L309" t="str" s="2">
        <x:v>Contacted</x:v>
      </x:c>
    </x:row>
    <x:row r="310">
      <x:c r="A310" t="str" s="2">
        <x:f>=HYPERLINK("https://rsms.futurehomex.com/lead/38655", "Raye Cole")</x:f>
      </x:c>
      <x:c r="B310" t="str" s="2">
        <x:v>Heritage Housing of Minden</x:v>
      </x:c>
      <x:c r="C310" t="str" s="2">
        <x:v>0/2</x:v>
      </x:c>
      <x:c r="D310" t="str" s="2">
        <x:v>5055443685</x:v>
      </x:c>
      <x:c r="E310" t="str" s="2">
        <x:v>5055443685</x:v>
      </x:c>
      <x:c r="F310" t="str" s="2">
        <x:v>HH - Minden</x:v>
      </x:c>
      <x:c r="G310" t="str" s="2">
        <x:v>Patrick Schuchart</x:v>
      </x:c>
      <x:c r="H310" s="6">
        <x:v>46224.72158931713</x:v>
      </x:c>
      <x:c r="I310" t="str" s="2">
        <x:v>Patrick Schuchart</x:v>
      </x:c>
      <x:c r="J310" s="0"/>
      <x:c r="K310" s="6">
        <x:v>46249.86821061343</x:v>
      </x:c>
      <x:c r="L310" t="str" s="2">
        <x:v>Contacted</x:v>
      </x:c>
    </x:row>
    <x:row r="311">
      <x:c r="A311" t="str" s="2">
        <x:f>=HYPERLINK("https://rsms.futurehomex.com/lead/38661", "Erika Matias")</x:f>
      </x:c>
      <x:c r="B311" t="str" s="2">
        <x:v>Legacy Housing Corp. DBA Americasa</x:v>
      </x:c>
      <x:c r="C311" t="str" s="2">
        <x:v/>
      </x:c>
      <x:c r="D311" t="str" s="2">
        <x:v>8324190921</x:v>
      </x:c>
      <x:c r="E311" t="str" s="2">
        <x:v>8324190921</x:v>
      </x:c>
      <x:c r="F311" t="str" s="2">
        <x:v>Meta Marketplace</x:v>
      </x:c>
      <x:c r="G311" t="str" s="2">
        <x:v>Rodrigo Ramirez</x:v>
      </x:c>
      <x:c r="H311" s="6">
        <x:v>46224.843588854164</x:v>
      </x:c>
      <x:c r="I311" t="str" s="2">
        <x:v>Joey Marquez</x:v>
      </x:c>
      <x:c r="J311" s="0"/>
      <x:c r="K311" s="6">
        <x:v>46290.798566666665</x:v>
      </x:c>
      <x:c r="L311" t="str" s="2">
        <x:v>Contacted</x:v>
      </x:c>
    </x:row>
    <x:row r="312">
      <x:c r="A312" t="str" s="2">
        <x:f>="Elvira Edwards"</x:f>
      </x:c>
      <x:c r="B312" t="str" s="2">
        <x:v>Heritage Housing of Oklahoma City</x:v>
      </x:c>
      <x:c r="C312" t="str" s="2">
        <x:v>0/1</x:v>
      </x:c>
      <x:c r="D312" t="str" s="2">
        <x:v>4055840213</x:v>
      </x:c>
      <x:c r="E312" t="str" s="2">
        <x:v>terryandelvira6967@gmail.com</x:v>
      </x:c>
      <x:c r="F312" t="str" s="2">
        <x:v>Meta Ads - Forms</x:v>
      </x:c>
      <x:c r="G312" t="str" s="2">
        <x:v>Steve Castell</x:v>
      </x:c>
      <x:c r="H312" s="6">
        <x:v>46225.00200054398</x:v>
      </x:c>
      <x:c r="I312" s="0"/>
      <x:c r="J312" s="0"/>
      <x:c r="K312" s="6">
        <x:v>46228.888205902775</x:v>
      </x:c>
      <x:c r="L312" t="str" s="2">
        <x:v>Contacted</x:v>
      </x:c>
    </x:row>
    <x:row r="313">
      <x:c r="A313" t="str" s="2">
        <x:f>="Ursula Harrison"</x:f>
      </x:c>
      <x:c r="B313" t="str" s="2">
        <x:v>Heritage Housing of Albany</x:v>
      </x:c>
      <x:c r="C313" t="str" s="2">
        <x:v>0/3</x:v>
      </x:c>
      <x:c r="D313" t="str" s="2">
        <x:v>2292880940</x:v>
      </x:c>
      <x:c r="E313" t="str" s="2">
        <x:v>uharrison3004@gmail.com</x:v>
      </x:c>
      <x:c r="F313" t="str" s="2">
        <x:v>Google Ads</x:v>
      </x:c>
      <x:c r="G313" t="str" s="2">
        <x:v>Yanet Alvarez</x:v>
      </x:c>
      <x:c r="H313" s="6">
        <x:v>46225.09930204861</x:v>
      </x:c>
      <x:c r="I313" s="0"/>
      <x:c r="J313" s="0"/>
      <x:c r="K313" s="6">
        <x:v>46283.69151484954</x:v>
      </x:c>
      <x:c r="L313" t="str" s="2">
        <x:v>Contacted</x:v>
      </x:c>
    </x:row>
    <x:row r="314">
      <x:c r="A314" t="str" s="2">
        <x:f>="Sonya Ivey"</x:f>
      </x:c>
      <x:c r="B314" t="str" s="2">
        <x:v>Heritage Housing of Augusta</x:v>
      </x:c>
      <x:c r="C314" t="str" s="2">
        <x:v/>
      </x:c>
      <x:c r="D314" t="str" s="2">
        <x:v>7067416036</x:v>
      </x:c>
      <x:c r="E314" t="str" s="2">
        <x:v>sonyaivey1515@gmail.com</x:v>
      </x:c>
      <x:c r="F314" t="str" s="2">
        <x:v>Website</x:v>
      </x:c>
      <x:c r="G314" t="str" s="2">
        <x:v>Faye Lively</x:v>
      </x:c>
      <x:c r="H314" s="6">
        <x:v>46225.13377623843</x:v>
      </x:c>
      <x:c r="I314" s="0"/>
      <x:c r="J314" s="0"/>
      <x:c r="K314" s="6">
        <x:v>46282.82693978009</x:v>
      </x:c>
      <x:c r="L314" t="str" s="2">
        <x:v>Contacted</x:v>
      </x:c>
    </x:row>
    <x:row r="315">
      <x:c r="A315" t="str" s="2">
        <x:f>="Jonathan Clay"</x:f>
      </x:c>
      <x:c r="B315" t="str" s="2">
        <x:v>Heritage Housing of Minden</x:v>
      </x:c>
      <x:c r="C315" t="str" s="2">
        <x:v>0/7</x:v>
      </x:c>
      <x:c r="D315" t="str" s="2">
        <x:v>3187068011</x:v>
      </x:c>
      <x:c r="E315" t="str" s="2">
        <x:v>clayjonathan90@gmail.com</x:v>
      </x:c>
      <x:c r="F315" t="str" s="2">
        <x:v>Meta Ads - Traffic</x:v>
      </x:c>
      <x:c r="G315" t="str" s="2">
        <x:v>Patrick Schuchart</x:v>
      </x:c>
      <x:c r="H315" s="6">
        <x:v>46225.4312337963</x:v>
      </x:c>
      <x:c r="I315" s="0"/>
      <x:c r="J315" s="0"/>
      <x:c r="K315" s="6">
        <x:v>46290.74101087963</x:v>
      </x:c>
      <x:c r="L315" t="str" s="2">
        <x:v>Contacted</x:v>
      </x:c>
    </x:row>
    <x:row r="316">
      <x:c r="A316" t="str" s="2">
        <x:f>=HYPERLINK("https://rsms.futurehomex.com/lead/38675", "Kendrick Crawford")</x:f>
      </x:c>
      <x:c r="B316" t="str" s="2">
        <x:v>Heritage Housing of Minden</x:v>
      </x:c>
      <x:c r="C316" t="str" s="2">
        <x:v>0/3</x:v>
      </x:c>
      <x:c r="D316" t="str" s="2">
        <x:v>3186072601</x:v>
      </x:c>
      <x:c r="E316" t="str" s="2">
        <x:v>3186072601</x:v>
      </x:c>
      <x:c r="F316" t="str" s="2">
        <x:v>HH - Minden</x:v>
      </x:c>
      <x:c r="G316" t="str" s="2">
        <x:v>Patrick Schuchart</x:v>
      </x:c>
      <x:c r="H316" s="6">
        <x:v>46225.59366265046</x:v>
      </x:c>
      <x:c r="I316" t="str" s="2">
        <x:v>Patrick Schuchart</x:v>
      </x:c>
      <x:c r="J316" s="0"/>
      <x:c r="K316" s="6">
        <x:v>46290.73588020833</x:v>
      </x:c>
      <x:c r="L316" t="str" s="2">
        <x:v>Contacted</x:v>
      </x:c>
    </x:row>
    <x:row r="317">
      <x:c r="A317" t="str" s="2">
        <x:f>="Antoinette Williamson"</x:f>
      </x:c>
      <x:c r="B317" t="str" s="2">
        <x:v>Heritage Housing of Minden</x:v>
      </x:c>
      <x:c r="C317" t="str" s="2">
        <x:v>0/5</x:v>
      </x:c>
      <x:c r="D317" t="str" s="2">
        <x:v>4693671481</x:v>
      </x:c>
      <x:c r="E317" t="str" s="2">
        <x:v>antoinettewilliamson5@gmail.com</x:v>
      </x:c>
      <x:c r="F317" t="str" s="2">
        <x:v>Meta Ads - Forms</x:v>
      </x:c>
      <x:c r="G317" t="str" s="2">
        <x:v>Patrick Schuchart</x:v>
      </x:c>
      <x:c r="H317" s="6">
        <x:v>46225.64372407407</x:v>
      </x:c>
      <x:c r="I317" s="0"/>
      <x:c r="J317" s="0"/>
      <x:c r="K317" s="6">
        <x:v>46290.73518040509</x:v>
      </x:c>
      <x:c r="L317" t="str" s="2">
        <x:v>Contacted</x:v>
      </x:c>
    </x:row>
    <x:row r="318">
      <x:c r="A318" t="str" s="2">
        <x:f>="Lisa Mcnerlin"</x:f>
      </x:c>
      <x:c r="B318" t="str" s="2">
        <x:v>Heritage Housing of Augusta</x:v>
      </x:c>
      <x:c r="C318" t="str" s="2">
        <x:v/>
      </x:c>
      <x:c r="D318" t="str" s="2">
        <x:v>7626858311</x:v>
      </x:c>
      <x:c r="E318" t="str" s="2">
        <x:v>Mcnerlin.lisa@gmail.com</x:v>
      </x:c>
      <x:c r="F318" t="str" s="2">
        <x:v>Meta Ads - Forms</x:v>
      </x:c>
      <x:c r="G318" t="str" s="2">
        <x:v>Faye Lively</x:v>
      </x:c>
      <x:c r="H318" s="6">
        <x:v>46225.70070486111</x:v>
      </x:c>
      <x:c r="I318" s="0"/>
      <x:c r="J318" s="0"/>
      <x:c r="K318" s="6">
        <x:v>46279.637846956015</x:v>
      </x:c>
      <x:c r="L318" t="str" s="2">
        <x:v>Contacted</x:v>
      </x:c>
    </x:row>
    <x:row r="319">
      <x:c r="A319" t="str" s="2">
        <x:f>=HYPERLINK("https://rsms.futurehomex.com/lead/38687", "Matthew Fife")</x:f>
      </x:c>
      <x:c r="B319" t="str" s="2">
        <x:v>Heritage Housing of Minden</x:v>
      </x:c>
      <x:c r="C319" t="str" s="2">
        <x:v>0/2</x:v>
      </x:c>
      <x:c r="D319" t="str" s="2">
        <x:v>3183722837</x:v>
      </x:c>
      <x:c r="E319" t="str" s="2">
        <x:v>3183722837</x:v>
      </x:c>
      <x:c r="F319" t="str" s="2">
        <x:v>Walk-in</x:v>
      </x:c>
      <x:c r="G319" t="str" s="2">
        <x:v>Patrick Schuchart</x:v>
      </x:c>
      <x:c r="H319" s="6">
        <x:v>46225.805689699075</x:v>
      </x:c>
      <x:c r="I319" t="str" s="2">
        <x:v>Patrick Schuchart</x:v>
      </x:c>
      <x:c r="J319" s="0"/>
      <x:c r="K319" s="6">
        <x:v>46240.725343784725</x:v>
      </x:c>
      <x:c r="L319" t="str" s="2">
        <x:v>Contacted</x:v>
      </x:c>
    </x:row>
    <x:row r="320">
      <x:c r="A320" t="str" s="2">
        <x:f>="Robertrer KeithrerGM"</x:f>
      </x:c>
      <x:c r="B320" t="str" s="2">
        <x:v>Heritage Housing of Greenville</x:v>
      </x:c>
      <x:c r="C320" t="str" s="2">
        <x:v/>
      </x:c>
      <x:c r="D320" t="str" s="2">
        <x:v>88616163987</x:v>
      </x:c>
      <x:c r="E320" t="str" s="2">
        <x:v>twpudwq@bxlhltc.tfe</x:v>
      </x:c>
      <x:c r="F320" t="str" s="2">
        <x:v>Website</x:v>
      </x:c>
      <x:c r="G320" t="str" s="2">
        <x:v>Oscar Osorio</x:v>
      </x:c>
      <x:c r="H320" s="6">
        <x:v>46225.85130925926</x:v>
      </x:c>
      <x:c r="I320" s="0"/>
      <x:c r="J320" s="0"/>
      <x:c r="K320" s="6">
        <x:v>46225.882026238425</x:v>
      </x:c>
      <x:c r="L320" t="str" s="2">
        <x:v>Contacted</x:v>
      </x:c>
    </x:row>
    <x:row r="321">
      <x:c r="A321" t="str" s="2">
        <x:f>="Marie Ragland"</x:f>
      </x:c>
      <x:c r="B321" t="str" s="2">
        <x:v>Heritage Housing of Greenville</x:v>
      </x:c>
      <x:c r="C321" t="str" s="2">
        <x:v/>
      </x:c>
      <x:c r="D321" t="str" s="2">
        <x:v>5673175610</x:v>
      </x:c>
      <x:c r="E321" t="str" s="2">
        <x:v>spiritually111333@icloud.com</x:v>
      </x:c>
      <x:c r="F321" t="str" s="2">
        <x:v>Meta Ads - Forms</x:v>
      </x:c>
      <x:c r="G321" t="str" s="2">
        <x:v>Brooklynn Allen</x:v>
      </x:c>
      <x:c r="H321" s="6">
        <x:v>46225.92900795139</x:v>
      </x:c>
      <x:c r="I321" s="0"/>
      <x:c r="J321" s="0"/>
      <x:c r="K321" s="6">
        <x:v>46253.65397380787</x:v>
      </x:c>
      <x:c r="L321" t="str" s="2">
        <x:v>Contacted</x:v>
      </x:c>
    </x:row>
    <x:row r="322">
      <x:c r="A322" t="str" s="2">
        <x:f>="Emily Hoosier"</x:f>
      </x:c>
      <x:c r="B322" t="str" s="2">
        <x:v>Heritage Housing Mt Pleasant</x:v>
      </x:c>
      <x:c r="C322" t="str" s="2">
        <x:v/>
      </x:c>
      <x:c r="D322" t="str" s="2">
        <x:v>9039169926</x:v>
      </x:c>
      <x:c r="E322" t="str" s="2">
        <x:v>Erin.hoosier77@gmail.com</x:v>
      </x:c>
      <x:c r="F322" t="str" s="2">
        <x:v>Meta Ads - Forms</x:v>
      </x:c>
      <x:c r="G322" t="str" s="2">
        <x:v>Yarelis Torres</x:v>
      </x:c>
      <x:c r="H322" s="6">
        <x:v>46225.93531759259</x:v>
      </x:c>
      <x:c r="I322" s="0"/>
      <x:c r="J322" s="0"/>
      <x:c r="K322" s="6">
        <x:v>46266.96834869213</x:v>
      </x:c>
      <x:c r="L322" t="str" s="2">
        <x:v>Contacted</x:v>
      </x:c>
    </x:row>
    <x:row r="323">
      <x:c r="A323" t="str" s="2">
        <x:f>=HYPERLINK("https://rsms.futurehomex.com/lead/38694", "Jose Flores")</x:f>
      </x:c>
      <x:c r="B323" t="str" s="2">
        <x:v>Legacy Housing Corp. DBA Americasa</x:v>
      </x:c>
      <x:c r="C323" t="str" s="2">
        <x:v/>
      </x:c>
      <x:c r="D323" t="str" s="2">
        <x:v>2813154104</x:v>
      </x:c>
      <x:c r="E323" t="str" s="2">
        <x:v>2813154104</x:v>
      </x:c>
      <x:c r="F323" t="str" s="2">
        <x:v>Walk-in</x:v>
      </x:c>
      <x:c r="G323" t="str" s="2">
        <x:v>Rodrigo Ramirez</x:v>
      </x:c>
      <x:c r="H323" s="6">
        <x:v>46225.94777792824</x:v>
      </x:c>
      <x:c r="I323" t="str" s="2">
        <x:v>Joey Marquez</x:v>
      </x:c>
      <x:c r="J323" s="0"/>
      <x:c r="K323" s="6">
        <x:v>46307.78567832176</x:v>
      </x:c>
      <x:c r="L323" t="str" s="2">
        <x:v>Contacted</x:v>
      </x:c>
    </x:row>
    <x:row r="324">
      <x:c r="A324" t="str" s="2">
        <x:f>="Roberta Choate"</x:f>
      </x:c>
      <x:c r="B324" t="str" s="2">
        <x:v>Heritage Housing of Oklahoma City</x:v>
      </x:c>
      <x:c r="C324" t="str" s="2">
        <x:v>0/2</x:v>
      </x:c>
      <x:c r="D324" t="str" s="2">
        <x:v>910-247-0584</x:v>
      </x:c>
      <x:c r="E324" t="str" s="2">
        <x:v>roberta.choate7@gmail.com</x:v>
      </x:c>
      <x:c r="F324" t="str" s="2">
        <x:v>Website</x:v>
      </x:c>
      <x:c r="G324" t="str" s="2">
        <x:v>Steve Castell</x:v>
      </x:c>
      <x:c r="H324" s="6">
        <x:v>46226.036557141204</x:v>
      </x:c>
      <x:c r="I324" s="0"/>
      <x:c r="J324" s="0"/>
      <x:c r="K324" s="6">
        <x:v>46231.08692815972</x:v>
      </x:c>
      <x:c r="L324" t="str" s="2">
        <x:v>Contacted</x:v>
      </x:c>
    </x:row>
    <x:row r="325">
      <x:c r="A325" t="str" s="2">
        <x:f>="Mark Lovelace"</x:f>
      </x:c>
      <x:c r="B325" t="str" s="2">
        <x:v>Heritage Housing Mt Pleasant</x:v>
      </x:c>
      <x:c r="C325" t="str" s="2">
        <x:v/>
      </x:c>
      <x:c r="D325" t="str" s="2">
        <x:v>5806120987</x:v>
      </x:c>
      <x:c r="E325" t="str" s="2">
        <x:v>lovelacejohn@rocketmail.com</x:v>
      </x:c>
      <x:c r="F325" t="str" s="2">
        <x:v>Meta Ads - Forms</x:v>
      </x:c>
      <x:c r="G325" t="str" s="2">
        <x:v>Yarelis Torres</x:v>
      </x:c>
      <x:c r="H325" s="6">
        <x:v>46226.074506909725</x:v>
      </x:c>
      <x:c r="I325" s="0"/>
      <x:c r="J325" s="0"/>
      <x:c r="K325" s="6">
        <x:v>46266.96626273148</x:v>
      </x:c>
      <x:c r="L325" t="str" s="2">
        <x:v>Contacted</x:v>
      </x:c>
    </x:row>
    <x:row r="326">
      <x:c r="A326" t="str" s="2">
        <x:f>="Licbo Kennedy"</x:f>
      </x:c>
      <x:c r="B326" t="str" s="2">
        <x:v>Heritage Housing Mt Pleasant</x:v>
      </x:c>
      <x:c r="C326" t="str" s="2">
        <x:v/>
      </x:c>
      <x:c r="D326" t="str" s="2">
        <x:v>3185404229</x:v>
      </x:c>
      <x:c r="E326" t="str" s="2">
        <x:v>lilcbo318@icloud.com</x:v>
      </x:c>
      <x:c r="F326" t="str" s="2">
        <x:v>Meta Ads - Forms</x:v>
      </x:c>
      <x:c r="G326" t="str" s="2">
        <x:v>Yarelis Torres</x:v>
      </x:c>
      <x:c r="H326" s="6">
        <x:v>46226.180817326385</x:v>
      </x:c>
      <x:c r="I326" s="0"/>
      <x:c r="J326" s="0"/>
      <x:c r="K326" s="6">
        <x:v>46266.96437728009</x:v>
      </x:c>
      <x:c r="L326" t="str" s="2">
        <x:v>Contacted</x:v>
      </x:c>
    </x:row>
    <x:row r="327">
      <x:c r="A327" t="str" s="2">
        <x:f>="Marcus Farmer"</x:f>
      </x:c>
      <x:c r="B327" t="str" s="2">
        <x:v>Heritage Housing of Oklahoma City</x:v>
      </x:c>
      <x:c r="C327" t="str" s="2">
        <x:v>0/1</x:v>
      </x:c>
      <x:c r="D327" t="str" s="2">
        <x:v>4057147389</x:v>
      </x:c>
      <x:c r="E327" t="str" s="2">
        <x:v>mdfarmer0026@gmail.com</x:v>
      </x:c>
      <x:c r="F327" t="str" s="2">
        <x:v>Financing Form</x:v>
      </x:c>
      <x:c r="G327" t="str" s="2">
        <x:v>Steve Castell</x:v>
      </x:c>
      <x:c r="H327" s="6">
        <x:v>46226.5899908912</x:v>
      </x:c>
      <x:c r="I327" s="0"/>
      <x:c r="J327" s="0"/>
      <x:c r="K327" s="6">
        <x:v>46231.08597450231</x:v>
      </x:c>
      <x:c r="L327" t="str" s="2">
        <x:v>Contacted</x:v>
      </x:c>
    </x:row>
    <x:row r="328">
      <x:c r="A328" t="str" s="2">
        <x:f>="Crystal Hardison"</x:f>
      </x:c>
      <x:c r="B328" t="str" s="2">
        <x:v>Heritage Housing of Tulsa</x:v>
      </x:c>
      <x:c r="C328" t="str" s="2">
        <x:v>0/2</x:v>
      </x:c>
      <x:c r="D328" t="str" s="2">
        <x:v>9198157586</x:v>
      </x:c>
      <x:c r="E328" t="str" s="2">
        <x:v>hardison.crystal@yahoo.com</x:v>
      </x:c>
      <x:c r="F328" t="str" s="2">
        <x:v>Meta Ads - Forms</x:v>
      </x:c>
      <x:c r="G328" t="str" s="2">
        <x:v>Jenna Fransisco</x:v>
      </x:c>
      <x:c r="H328" s="6">
        <x:v>46226.61771709491</x:v>
      </x:c>
      <x:c r="I328" s="0"/>
      <x:c r="J328" s="0"/>
      <x:c r="K328" s="6">
        <x:v>46251.92839945602</x:v>
      </x:c>
      <x:c r="L328" t="str" s="2">
        <x:v>Contacted</x:v>
      </x:c>
    </x:row>
    <x:row r="329">
      <x:c r="A329" t="str" s="2">
        <x:f>=HYPERLINK("https://rsms.futurehomex.com/lead/38699", "Millicent Mcconnell")</x:f>
      </x:c>
      <x:c r="B329" t="str" s="2">
        <x:v>Heritage Housing of Minden</x:v>
      </x:c>
      <x:c r="C329" t="str" s="2">
        <x:v>0/1</x:v>
      </x:c>
      <x:c r="D329" t="str" s="2">
        <x:v>3184558034</x:v>
      </x:c>
      <x:c r="E329" t="str" s="2">
        <x:v>mil_mil_25@yahoo.com</x:v>
      </x:c>
      <x:c r="F329" t="str" s="2">
        <x:v>Meta Marketplace</x:v>
      </x:c>
      <x:c r="G329" t="str" s="2">
        <x:v>Patrick Schuchart</x:v>
      </x:c>
      <x:c r="H329" s="6">
        <x:v>46226.62215081019</x:v>
      </x:c>
      <x:c r="I329" t="str" s="2">
        <x:v>Patrick Schuchart</x:v>
      </x:c>
      <x:c r="J329" s="0"/>
      <x:c r="K329" s="6">
        <x:v>46239.87826693287</x:v>
      </x:c>
      <x:c r="L329" t="str" s="2">
        <x:v>Contacted</x:v>
      </x:c>
    </x:row>
    <x:row r="330">
      <x:c r="A330" t="str" s="2">
        <x:f>="Ann McCarley"</x:f>
      </x:c>
      <x:c r="B330" t="str" s="2">
        <x:v>Heritage Housing of Greenville</x:v>
      </x:c>
      <x:c r="C330" t="str" s="2">
        <x:v/>
      </x:c>
      <x:c r="D330" t="str" s="2">
        <x:v>9726585560</x:v>
      </x:c>
      <x:c r="E330" t="str" s="2">
        <x:v>annmc02@gmail.com</x:v>
      </x:c>
      <x:c r="F330" t="str" s="2">
        <x:v>Website</x:v>
      </x:c>
      <x:c r="G330" t="str" s="2">
        <x:v>Brooklynn Allen</x:v>
      </x:c>
      <x:c r="H330" s="6">
        <x:v>46226.67860868056</x:v>
      </x:c>
      <x:c r="I330" s="0"/>
      <x:c r="J330" s="0"/>
      <x:c r="K330" s="6">
        <x:v>46253.665705590276</x:v>
      </x:c>
      <x:c r="L330" t="str" s="2">
        <x:v>Contacted</x:v>
      </x:c>
    </x:row>
    <x:row r="331">
      <x:c r="A331" t="str" s="2">
        <x:f>="Leticia Martinez Garza"</x:f>
      </x:c>
      <x:c r="B331" t="str" s="2">
        <x:v>Heritage Housing of Greenville</x:v>
      </x:c>
      <x:c r="C331" t="str" s="2">
        <x:v>0/2</x:v>
      </x:c>
      <x:c r="D331" t="str" s="2">
        <x:v>4693386936</x:v>
      </x:c>
      <x:c r="E331" t="str" s="2">
        <x:v>lg7412708@gmail.com</x:v>
      </x:c>
      <x:c r="F331" t="str" s="2">
        <x:v>Meta Ads - Forms</x:v>
      </x:c>
      <x:c r="G331" t="str" s="2">
        <x:v>Brooklynn Allen</x:v>
      </x:c>
      <x:c r="H331" s="6">
        <x:v>46226.69912878472</x:v>
      </x:c>
      <x:c r="I331" s="0"/>
      <x:c r="J331" s="0"/>
      <x:c r="K331" s="6">
        <x:v>46253.65508460648</x:v>
      </x:c>
      <x:c r="L331" t="str" s="2">
        <x:v>Contacted</x:v>
      </x:c>
    </x:row>
    <x:row r="332">
      <x:c r="A332" t="str" s="2">
        <x:f>=HYPERLINK("https://rsms.futurehomex.com/lead/38707", "Juan Campos")</x:f>
      </x:c>
      <x:c r="B332" t="str" s="2">
        <x:v>Legacy Housing Corp. DBA Americasa</x:v>
      </x:c>
      <x:c r="C332" t="str" s="2">
        <x:v/>
      </x:c>
      <x:c r="D332" t="str" s="2">
        <x:v>8325995423</x:v>
      </x:c>
      <x:c r="E332" t="str" s="2">
        <x:v>8325995423</x:v>
      </x:c>
      <x:c r="F332" t="str" s="2">
        <x:v>Meta Marketplace</x:v>
      </x:c>
      <x:c r="G332" t="str" s="2">
        <x:v>Rodrigo Ramirez</x:v>
      </x:c>
      <x:c r="H332" s="6">
        <x:v>46226.72570613426</x:v>
      </x:c>
      <x:c r="I332" t="str" s="2">
        <x:v>Joey Marquez</x:v>
      </x:c>
      <x:c r="J332" s="0"/>
      <x:c r="K332" s="6">
        <x:v>46307.76482488426</x:v>
      </x:c>
      <x:c r="L332" t="str" s="2">
        <x:v>Contacted</x:v>
      </x:c>
    </x:row>
    <x:row r="333">
      <x:c r="A333" t="str" s="2">
        <x:f>="Brittany Hill"</x:f>
      </x:c>
      <x:c r="B333" t="str" s="2">
        <x:v>Heritage Housing of Minden</x:v>
      </x:c>
      <x:c r="C333" t="str" s="2">
        <x:v>0/1</x:v>
      </x:c>
      <x:c r="D333" t="str" s="2">
        <x:v>3182685412</x:v>
      </x:c>
      <x:c r="E333" t="str" s="2">
        <x:v>Bmh8716@gmail.com</x:v>
      </x:c>
      <x:c r="F333" t="str" s="2">
        <x:v>Office Hot Calls</x:v>
      </x:c>
      <x:c r="G333" t="str" s="2">
        <x:v>Kyla Brown</x:v>
      </x:c>
      <x:c r="H333" s="6">
        <x:v>46227.72676246528</x:v>
      </x:c>
      <x:c r="I333" s="0"/>
      <x:c r="J333" s="6">
        <x:v>46234.708333333336</x:v>
      </x:c>
      <x:c r="K333" s="6">
        <x:v>46290.7325315162</x:v>
      </x:c>
      <x:c r="L333" t="str" s="2">
        <x:v>Contacted</x:v>
      </x:c>
    </x:row>
    <x:row r="334">
      <x:c r="A334" t="str" s="2">
        <x:f>=HYPERLINK("https://rsms.futurehomex.com/lead/38048", "Danny Platt")</x:f>
      </x:c>
      <x:c r="B334" s="0"/>
      <x:c r="C334" t="str" s="2">
        <x:v/>
      </x:c>
      <x:c r="D334" t="str" s="2">
        <x:v>9183705893</x:v>
      </x:c>
      <x:c r="E334" t="str" s="2">
        <x:v>plattd420@gmail.com</x:v>
      </x:c>
      <x:c r="F334" t="str" s="2">
        <x:v>Website</x:v>
      </x:c>
      <x:c r="G334" t="str" s="2">
        <x:v>Madison Chapman</x:v>
      </x:c>
      <x:c r="H334" s="6">
        <x:v>46227.81898815972</x:v>
      </x:c>
      <x:c r="I334" t="str" s="2">
        <x:v>Brittany Cobb</x:v>
      </x:c>
      <x:c r="J334" s="0"/>
      <x:c r="K334" s="0"/>
      <x:c r="L334" t="str" s="2">
        <x:v>Contacted</x:v>
      </x:c>
    </x:row>
    <x:row r="335">
      <x:c r="A335" t="str" s="2">
        <x:f>=HYPERLINK("https://rsms.futurehomex.com/lead/38729", "Paula Martin")</x:f>
      </x:c>
      <x:c r="B335" t="str" s="2">
        <x:v>Heritage Housing of Minden</x:v>
      </x:c>
      <x:c r="C335" t="str" s="2">
        <x:v>0/3</x:v>
      </x:c>
      <x:c r="D335" t="str" s="2">
        <x:v>3184139540</x:v>
      </x:c>
      <x:c r="E335" t="str" s="2">
        <x:v>3184139540</x:v>
      </x:c>
      <x:c r="F335" t="str" s="2">
        <x:v>Walk-in</x:v>
      </x:c>
      <x:c r="G335" t="str" s="2">
        <x:v>Kyla Brown</x:v>
      </x:c>
      <x:c r="H335" s="6">
        <x:v>46227.86948043982</x:v>
      </x:c>
      <x:c r="I335" t="str" s="2">
        <x:v>Patrick Schuchart</x:v>
      </x:c>
      <x:c r="J335" s="0"/>
      <x:c r="K335" s="6">
        <x:v>46290.73115447917</x:v>
      </x:c>
      <x:c r="L335" t="str" s="2">
        <x:v>Contacted</x:v>
      </x:c>
    </x:row>
    <x:row r="336">
      <x:c r="A336" t="str" s="2">
        <x:f>="Matt Holley"</x:f>
      </x:c>
      <x:c r="B336" t="str" s="2">
        <x:v>Heritage Housing of Tulsa</x:v>
      </x:c>
      <x:c r="C336" t="str" s="2">
        <x:v/>
      </x:c>
      <x:c r="D336" t="str" s="2">
        <x:v>9186059833</x:v>
      </x:c>
      <x:c r="E336" t="str" s="2">
        <x:v>mattholley471@gmail.com</x:v>
      </x:c>
      <x:c r="F336" t="str" s="2">
        <x:v>Financing Form</x:v>
      </x:c>
      <x:c r="G336" t="str" s="2">
        <x:v>Jenna Fransisco</x:v>
      </x:c>
      <x:c r="H336" s="6">
        <x:v>46228.19298275463</x:v>
      </x:c>
      <x:c r="I336" s="0"/>
      <x:c r="J336" s="0"/>
      <x:c r="K336" s="6">
        <x:v>46252.952277662036</x:v>
      </x:c>
      <x:c r="L336" t="str" s="2">
        <x:v>Contacted</x:v>
      </x:c>
    </x:row>
    <x:row r="337">
      <x:c r="A337" t="str" s="2">
        <x:f>="Jennifer Smith"</x:f>
      </x:c>
      <x:c r="B337" t="str" s="2">
        <x:v>Heritage Housing of Minden</x:v>
      </x:c>
      <x:c r="C337" t="str" s="2">
        <x:v>0/6</x:v>
      </x:c>
      <x:c r="D337" t="str" s="2">
        <x:v>8703551220</x:v>
      </x:c>
      <x:c r="E337" t="str" s="2">
        <x:v>Yunaearl_2@yahoo.com</x:v>
      </x:c>
      <x:c r="F337" t="str" s="2">
        <x:v>Website</x:v>
      </x:c>
      <x:c r="G337" t="str" s="2">
        <x:v>Patrick Schuchart</x:v>
      </x:c>
      <x:c r="H337" s="6">
        <x:v>46228.852659108794</x:v>
      </x:c>
      <x:c r="I337" s="0"/>
      <x:c r="J337" s="0"/>
      <x:c r="K337" s="6">
        <x:v>46290.730347916666</x:v>
      </x:c>
      <x:c r="L337" t="str" s="2">
        <x:v>Contacted</x:v>
      </x:c>
    </x:row>
    <x:row r="338">
      <x:c r="A338" t="str" s="2">
        <x:f>="Tommy Vardeman"</x:f>
      </x:c>
      <x:c r="B338" t="str" s="2">
        <x:v>Heritage Housing of Tulsa</x:v>
      </x:c>
      <x:c r="C338" t="str" s="2">
        <x:v/>
      </x:c>
      <x:c r="D338" t="str" s="2">
        <x:v>9185070339</x:v>
      </x:c>
      <x:c r="E338" t="str" s="2">
        <x:v>rafterv7189@gmail.com</x:v>
      </x:c>
      <x:c r="F338" t="str" s="2">
        <x:v>Meta Ads - Forms</x:v>
      </x:c>
      <x:c r="G338" t="str" s="2">
        <x:v>Jenna Fransisco</x:v>
      </x:c>
      <x:c r="H338" s="6">
        <x:v>46229.899334918984</x:v>
      </x:c>
      <x:c r="I338" s="0"/>
      <x:c r="J338" s="0"/>
      <x:c r="K338" s="6">
        <x:v>46260.614496608796</x:v>
      </x:c>
      <x:c r="L338" t="str" s="2">
        <x:v>Contacted</x:v>
      </x:c>
    </x:row>
    <x:row r="339">
      <x:c r="A339" t="str" s="2">
        <x:f>="Brian Test"</x:f>
      </x:c>
      <x:c r="B339" t="str" s="2">
        <x:v>Heritage Housing of Augusta</x:v>
      </x:c>
      <x:c r="C339" t="str" s="2">
        <x:v/>
      </x:c>
      <x:c r="D339" t="str" s="2">
        <x:v>3524587994</x:v>
      </x:c>
      <x:c r="E339" t="str" s="2">
        <x:v>brianamato@heritagehousing.net</x:v>
      </x:c>
      <x:c r="F339" t="str" s="2">
        <x:v>Walk-in</x:v>
      </x:c>
      <x:c r="G339" s="0"/>
      <x:c r="H339" s="6">
        <x:v>46230.635145914355</x:v>
      </x:c>
      <x:c r="I339" s="0"/>
      <x:c r="J339" s="0"/>
      <x:c r="K339" s="6">
        <x:v>46251.62584494213</x:v>
      </x:c>
      <x:c r="L339" t="str" s="2">
        <x:v>Contacted</x:v>
      </x:c>
    </x:row>
    <x:row r="340">
      <x:c r="A340" t="str" s="2">
        <x:f>=HYPERLINK("https://rsms.futurehomex.com/lead/38777", "Mark Cantrell")</x:f>
      </x:c>
      <x:c r="B340" t="str" s="2">
        <x:v>Heritage Housing of Minden</x:v>
      </x:c>
      <x:c r="C340" t="str" s="2">
        <x:v>0/2</x:v>
      </x:c>
      <x:c r="D340" t="str" s="2">
        <x:v>3186280227</x:v>
      </x:c>
      <x:c r="E340" t="str" s="2">
        <x:v>3186280227</x:v>
      </x:c>
      <x:c r="F340" t="str" s="2">
        <x:v>Office Hot Calls</x:v>
      </x:c>
      <x:c r="G340" t="str" s="2">
        <x:v>Patrick Schuchart</x:v>
      </x:c>
      <x:c r="H340" s="6">
        <x:v>46230.766741666666</x:v>
      </x:c>
      <x:c r="I340" t="str" s="2">
        <x:v>Patrick Schuchart</x:v>
      </x:c>
      <x:c r="J340" s="0"/>
      <x:c r="K340" s="6">
        <x:v>46290.729661840276</x:v>
      </x:c>
      <x:c r="L340" t="str" s="2">
        <x:v>Contacted</x:v>
      </x:c>
    </x:row>
    <x:row r="341">
      <x:c r="A341" t="str" s="2">
        <x:f>=HYPERLINK("https://rsms.futurehomex.com/lead/38782", "Joseph Eligh")</x:f>
      </x:c>
      <x:c r="B341" t="str" s="2">
        <x:v>Heritage Housing of Minden</x:v>
      </x:c>
      <x:c r="C341" t="str" s="2">
        <x:v>0/4</x:v>
      </x:c>
      <x:c r="D341" t="str" s="2">
        <x:v>3185501176</x:v>
      </x:c>
      <x:c r="E341" t="str" s="2">
        <x:v>3185501176</x:v>
      </x:c>
      <x:c r="F341" t="str" s="2">
        <x:v>Walk-in</x:v>
      </x:c>
      <x:c r="G341" t="str" s="2">
        <x:v>Patrick Schuchart</x:v>
      </x:c>
      <x:c r="H341" s="6">
        <x:v>46230.8159428588</x:v>
      </x:c>
      <x:c r="I341" t="str" s="2">
        <x:v>Patrick Schuchart</x:v>
      </x:c>
      <x:c r="J341" s="0"/>
      <x:c r="K341" s="6">
        <x:v>46290.72888368055</x:v>
      </x:c>
      <x:c r="L341" t="str" s="2">
        <x:v>Contacted</x:v>
      </x:c>
    </x:row>
    <x:row r="342">
      <x:c r="A342" t="str" s="2">
        <x:f>="Isaac Williams Jr."</x:f>
      </x:c>
      <x:c r="B342" t="str" s="2">
        <x:v>Heritage Housing of Oklahoma City</x:v>
      </x:c>
      <x:c r="C342" t="str" s="2">
        <x:v/>
      </x:c>
      <x:c r="D342" t="str" s="2">
        <x:v>5804787799</x:v>
      </x:c>
      <x:c r="E342" t="str" s="2">
        <x:v>isaacwilliams895@gmail.com</x:v>
      </x:c>
      <x:c r="F342" t="str" s="2">
        <x:v>Meta Ads - Forms</x:v>
      </x:c>
      <x:c r="G342" t="str" s="2">
        <x:v>Steve Castell</x:v>
      </x:c>
      <x:c r="H342" s="6">
        <x:v>46230.84225980324</x:v>
      </x:c>
      <x:c r="I342" s="0"/>
      <x:c r="J342" s="0"/>
      <x:c r="K342" s="6">
        <x:v>46231.07354953704</x:v>
      </x:c>
      <x:c r="L342" t="str" s="2">
        <x:v>Contacted</x:v>
      </x:c>
    </x:row>
    <x:row r="343">
      <x:c r="A343" t="str" s="2">
        <x:f>=HYPERLINK("https://rsms.futurehomex.com/lead/38789", "Frank Polous")</x:f>
      </x:c>
      <x:c r="B343" t="str" s="2">
        <x:v>Heritage Housing of Minden</x:v>
      </x:c>
      <x:c r="C343" t="str" s="2">
        <x:v>0/1</x:v>
      </x:c>
      <x:c r="D343" t="str" s="2">
        <x:v>3183484093</x:v>
      </x:c>
      <x:c r="E343" t="str" s="2">
        <x:v>3183484093</x:v>
      </x:c>
      <x:c r="F343" t="str" s="2">
        <x:v>Meta Marketplace</x:v>
      </x:c>
      <x:c r="G343" t="str" s="2">
        <x:v>Patrick Schuchart</x:v>
      </x:c>
      <x:c r="H343" s="6">
        <x:v>46230.949792708336</x:v>
      </x:c>
      <x:c r="I343" t="str" s="2">
        <x:v>Patrick Schuchart</x:v>
      </x:c>
      <x:c r="J343" s="0"/>
      <x:c r="K343" s="6">
        <x:v>46261.942904247684</x:v>
      </x:c>
      <x:c r="L343" t="str" s="2">
        <x:v>Contacted</x:v>
      </x:c>
    </x:row>
    <x:row r="344">
      <x:c r="A344" t="str" s="2">
        <x:f>="Payton Simpson"</x:f>
      </x:c>
      <x:c r="B344" t="str" s="2">
        <x:v>Heritage Housing of Oklahoma City</x:v>
      </x:c>
      <x:c r="C344" t="str" s="2">
        <x:v>0/2</x:v>
      </x:c>
      <x:c r="D344" t="str" s="2">
        <x:v>4052406046</x:v>
      </x:c>
      <x:c r="E344" t="str" s="2">
        <x:v>simpsonfamilyconstructionllc@gmail.com</x:v>
      </x:c>
      <x:c r="F344" t="str" s="2">
        <x:v>Financing Form</x:v>
      </x:c>
      <x:c r="G344" t="str" s="2">
        <x:v>Steve Castell</x:v>
      </x:c>
      <x:c r="H344" s="6">
        <x:v>46230.96861192129</x:v>
      </x:c>
      <x:c r="I344" s="0"/>
      <x:c r="J344" s="0"/>
      <x:c r="K344" s="6">
        <x:v>46244.90763927083</x:v>
      </x:c>
      <x:c r="L344" t="str" s="2">
        <x:v>Contacted</x:v>
      </x:c>
    </x:row>
    <x:row r="345">
      <x:c r="A345" t="str" s="2">
        <x:f>=HYPERLINK("https://rsms.futurehomex.com/lead/38804", "Sarai Morales")</x:f>
      </x:c>
      <x:c r="B345" t="str" s="2">
        <x:v>Legacy Housing Corp. DBA Americasa</x:v>
      </x:c>
      <x:c r="C345" t="str" s="2">
        <x:v/>
      </x:c>
      <x:c r="D345" t="str" s="2">
        <x:v>8322319952</x:v>
      </x:c>
      <x:c r="E345" t="str" s="2">
        <x:v>8322319958</x:v>
      </x:c>
      <x:c r="F345" t="str" s="2">
        <x:v>Website</x:v>
      </x:c>
      <x:c r="G345" t="str" s="2">
        <x:v>Rodrigo Ramirez</x:v>
      </x:c>
      <x:c r="H345" s="6">
        <x:v>46231.76777384259</x:v>
      </x:c>
      <x:c r="I345" t="str" s="2">
        <x:v>Joey Marquez</x:v>
      </x:c>
      <x:c r="J345" s="0"/>
      <x:c r="K345" s="6">
        <x:v>46289.79472704861</x:v>
      </x:c>
      <x:c r="L345" t="str" s="2">
        <x:v>Contacted</x:v>
      </x:c>
    </x:row>
    <x:row r="346">
      <x:c r="A346" t="str" s="2">
        <x:f>=HYPERLINK("https://rsms.futurehomex.com/lead/38820", "Trina And Rick Pringle")</x:f>
      </x:c>
      <x:c r="B346" t="str" s="2">
        <x:v>Heritage Housing of Minden</x:v>
      </x:c>
      <x:c r="C346" t="str" s="2">
        <x:v>0/2</x:v>
      </x:c>
      <x:c r="D346" t="str" s="2">
        <x:v>3182658105</x:v>
      </x:c>
      <x:c r="E346" t="str" s="2">
        <x:v>ntrinaculookin@gmail.com</x:v>
      </x:c>
      <x:c r="F346" t="str" s="2">
        <x:v>Walk-in</x:v>
      </x:c>
      <x:c r="G346" t="str" s="2">
        <x:v>Patrick Schuchart</x:v>
      </x:c>
      <x:c r="H346" s="6">
        <x:v>46232.751053622684</x:v>
      </x:c>
      <x:c r="I346" t="str" s="2">
        <x:v>Patrick Schuchart</x:v>
      </x:c>
      <x:c r="J346" s="0"/>
      <x:c r="K346" s="6">
        <x:v>46261.941934375</x:v>
      </x:c>
      <x:c r="L346" t="str" s="2">
        <x:v>Contacted</x:v>
      </x:c>
    </x:row>
    <x:row r="347">
      <x:c r="A347" t="str" s="2">
        <x:f>=HYPERLINK("https://rsms.futurehomex.com/lead/38822", "Karla Brizuela")</x:f>
      </x:c>
      <x:c r="B347" t="str" s="2">
        <x:v>Heritage Housing of Oklahoma City</x:v>
      </x:c>
      <x:c r="C347" t="str" s="2">
        <x:v/>
      </x:c>
      <x:c r="D347" t="str" s="2">
        <x:v>4058458514</x:v>
      </x:c>
      <x:c r="E347" t="str" s="2">
        <x:v>4058458514</x:v>
      </x:c>
      <x:c r="F347" t="str" s="2">
        <x:v>HH - Oklahoma City</x:v>
      </x:c>
      <x:c r="G347" t="str" s="2">
        <x:v>Steve Castell</x:v>
      </x:c>
      <x:c r="H347" s="6">
        <x:v>46232.776972719905</x:v>
      </x:c>
      <x:c r="I347" t="str" s="2">
        <x:v>Karla Brizuela</x:v>
      </x:c>
      <x:c r="J347" s="0"/>
      <x:c r="K347" s="6">
        <x:v>46232.77836736111</x:v>
      </x:c>
      <x:c r="L347" t="str" s="2">
        <x:v>Contacted</x:v>
      </x:c>
    </x:row>
    <x:row r="348">
      <x:c r="A348" t="str" s="2">
        <x:f>=HYPERLINK("https://rsms.futurehomex.com/lead/38836", "Eli Love")</x:f>
      </x:c>
      <x:c r="B348" t="str" s="2">
        <x:v>Heritage Housing of Minden</x:v>
      </x:c>
      <x:c r="C348" t="str" s="2">
        <x:v>0/2</x:v>
      </x:c>
      <x:c r="D348" t="str" s="2">
        <x:v>9722467117</x:v>
      </x:c>
      <x:c r="E348" t="str" s="2">
        <x:v>9722467117</x:v>
      </x:c>
      <x:c r="F348" t="str" s="2">
        <x:v>Office Hot Calls</x:v>
      </x:c>
      <x:c r="G348" t="str" s="2">
        <x:v>Patrick Schuchart</x:v>
      </x:c>
      <x:c r="H348" s="6">
        <x:v>46232.95576145833</x:v>
      </x:c>
      <x:c r="I348" t="str" s="2">
        <x:v>Patrick Schuchart</x:v>
      </x:c>
      <x:c r="J348" s="0"/>
      <x:c r="K348" s="6">
        <x:v>46260.92289537037</x:v>
      </x:c>
      <x:c r="L348" t="str" s="2">
        <x:v>Contacted</x:v>
      </x:c>
    </x:row>
    <x:row r="349">
      <x:c r="A349" t="str" s="2">
        <x:f>="Edward Marshall"</x:f>
      </x:c>
      <x:c r="B349" t="str" s="2">
        <x:v>Heritage Housing of Albany</x:v>
      </x:c>
      <x:c r="C349" t="str" s="2">
        <x:v/>
      </x:c>
      <x:c r="D349" t="str" s="2">
        <x:v>6092099614</x:v>
      </x:c>
      <x:c r="E349" t="str" s="2">
        <x:v>good4u@juno.com</x:v>
      </x:c>
      <x:c r="F349" t="str" s="2">
        <x:v>LandingPage</x:v>
      </x:c>
      <x:c r="G349" t="str" s="2">
        <x:v>Yanet Alvarez</x:v>
      </x:c>
      <x:c r="H349" s="6">
        <x:v>46233.7037412037</x:v>
      </x:c>
      <x:c r="I349" s="0"/>
      <x:c r="J349" s="0"/>
      <x:c r="K349" s="6">
        <x:v>46288.76035697917</x:v>
      </x:c>
      <x:c r="L349" t="str" s="2">
        <x:v>Contacted</x:v>
      </x:c>
    </x:row>
    <x:row r="350">
      <x:c r="A350" t="str" s="2">
        <x:f>="Constance Sam"</x:f>
      </x:c>
      <x:c r="B350" t="str" s="2">
        <x:v>Heritage Housing of Minden</x:v>
      </x:c>
      <x:c r="C350" t="str" s="2">
        <x:v>0/5</x:v>
      </x:c>
      <x:c r="D350" t="str" s="2">
        <x:v>c.sam2014@gmail.com</x:v>
      </x:c>
      <x:c r="E350" t="str" s="2">
        <x:v>c.sam2014@gmail.com</x:v>
      </x:c>
      <x:c r="F350" t="str" s="2">
        <x:v>Landing_BPM</x:v>
      </x:c>
      <x:c r="G350" t="str" s="2">
        <x:v>Patrick Schuchart</x:v>
      </x:c>
      <x:c r="H350" s="6">
        <x:v>46234.653621840276</x:v>
      </x:c>
      <x:c r="I350" s="0"/>
      <x:c r="J350" s="0"/>
      <x:c r="K350" s="6">
        <x:v>46282.887875231485</x:v>
      </x:c>
      <x:c r="L350" t="str" s="2">
        <x:v>Contacted</x:v>
      </x:c>
    </x:row>
    <x:row r="351">
      <x:c r="A351" t="str" s="2">
        <x:f>=HYPERLINK("https://rsms.futurehomex.com/lead/38855", "Maria Estela Gallardo Bailon")</x:f>
      </x:c>
      <x:c r="B351" t="str" s="2">
        <x:v>Heritage Housing Mt Pleasant</x:v>
      </x:c>
      <x:c r="C351" t="str" s="2">
        <x:v/>
      </x:c>
      <x:c r="D351" t="str" s="2">
        <x:v>4302499339</x:v>
      </x:c>
      <x:c r="E351" t="str" s="2">
        <x:v>Ecm053021@gmail.com</x:v>
      </x:c>
      <x:c r="F351" t="str" s="2">
        <x:v>Other</x:v>
      </x:c>
      <x:c r="G351" t="str" s="2">
        <x:v>Yarelis Torres</x:v>
      </x:c>
      <x:c r="H351" s="6">
        <x:v>46234.73784204861</x:v>
      </x:c>
      <x:c r="I351" t="str" s="2">
        <x:v>Elias Gallardo</x:v>
      </x:c>
      <x:c r="J351" s="0"/>
      <x:c r="K351" s="6">
        <x:v>46276.9672375</x:v>
      </x:c>
      <x:c r="L351" t="str" s="2">
        <x:v>Contacted</x:v>
      </x:c>
    </x:row>
    <x:row r="352">
      <x:c r="A352" t="str" s="2">
        <x:f>=HYPERLINK("https://rsms.futurehomex.com/lead/38856", "C Hobley")</x:f>
      </x:c>
      <x:c r="B352" t="str" s="2">
        <x:v>Heritage Housing of Minden</x:v>
      </x:c>
      <x:c r="C352" t="str" s="2">
        <x:v>0/3</x:v>
      </x:c>
      <x:c r="D352" t="str" s="2">
        <x:v>3184649094</x:v>
      </x:c>
      <x:c r="E352" t="str" s="2">
        <x:v>3184649094</x:v>
      </x:c>
      <x:c r="F352" t="str" s="2">
        <x:v>Walk-in</x:v>
      </x:c>
      <x:c r="G352" t="str" s="2">
        <x:v>Patrick Schuchart</x:v>
      </x:c>
      <x:c r="H352" s="6">
        <x:v>46234.77067133102</x:v>
      </x:c>
      <x:c r="I352" t="str" s="2">
        <x:v>Patrick Schuchart</x:v>
      </x:c>
      <x:c r="J352" s="0"/>
      <x:c r="K352" s="6">
        <x:v>46291.75188834491</x:v>
      </x:c>
      <x:c r="L352" t="str" s="2">
        <x:v>Contacted</x:v>
      </x:c>
    </x:row>
    <x:row r="353">
      <x:c r="A353" t="str" s="2">
        <x:f>="Kenny Pumariega"</x:f>
      </x:c>
      <x:c r="B353" t="str" s="2">
        <x:v>Heritage Housing of Minden</x:v>
      </x:c>
      <x:c r="C353" t="str" s="2">
        <x:v>0/6</x:v>
      </x:c>
      <x:c r="D353" t="str" s="2">
        <x:v>5022967171</x:v>
      </x:c>
      <x:c r="E353" t="str" s="2">
        <x:v>pumariegakenny6@gmail.com</x:v>
      </x:c>
      <x:c r="F353" t="str" s="2">
        <x:v>Landing_BPM</x:v>
      </x:c>
      <x:c r="G353" t="str" s="2">
        <x:v>Patrick Schuchart</x:v>
      </x:c>
      <x:c r="H353" s="6">
        <x:v>46235.033391516205</x:v>
      </x:c>
      <x:c r="I353" s="0"/>
      <x:c r="J353" s="0"/>
      <x:c r="K353" s="6">
        <x:v>46282.800571099535</x:v>
      </x:c>
      <x:c r="L353" t="str" s="2">
        <x:v>Contacted</x:v>
      </x:c>
    </x:row>
    <x:row r="354">
      <x:c r="A354" t="str" s="2">
        <x:f>="Cesar Astello"</x:f>
      </x:c>
      <x:c r="B354" t="str" s="2">
        <x:v>Heritage Housing of Asheboro</x:v>
      </x:c>
      <x:c r="C354" t="str" s="2">
        <x:v/>
      </x:c>
      <x:c r="D354" t="str" s="2">
        <x:v>8285001601</x:v>
      </x:c>
      <x:c r="E354" t="str" s="2">
        <x:v>castello2001@icloud.com</x:v>
      </x:c>
      <x:c r="F354" t="str" s="2">
        <x:v>Financing Form</x:v>
      </x:c>
      <x:c r="G354" t="str" s="2">
        <x:v>Alexander Bryant</x:v>
      </x:c>
      <x:c r="H354" s="6">
        <x:v>46235.0540875</x:v>
      </x:c>
      <x:c r="I354" s="0"/>
      <x:c r="J354" s="0"/>
      <x:c r="K354" s="6">
        <x:v>46238.926333993055</x:v>
      </x:c>
      <x:c r="L354" t="str" s="2">
        <x:v>Contacted</x:v>
      </x:c>
    </x:row>
    <x:row r="355">
      <x:c r="A355" t="str" s="2">
        <x:f>="Denise Spies"</x:f>
      </x:c>
      <x:c r="B355" t="str" s="2">
        <x:v>Heritage Housing of Greenville</x:v>
      </x:c>
      <x:c r="C355" t="str" s="2">
        <x:v/>
      </x:c>
      <x:c r="D355" t="str" s="2">
        <x:v>dlspies@live.com</x:v>
      </x:c>
      <x:c r="E355" t="str" s="2">
        <x:v>dlspies@live.com</x:v>
      </x:c>
      <x:c r="F355" t="str" s="2">
        <x:v>Landing_BPM</x:v>
      </x:c>
      <x:c r="G355" t="str" s="2">
        <x:v>Ana Garcia</x:v>
      </x:c>
      <x:c r="H355" s="6">
        <x:v>46235.21475960648</x:v>
      </x:c>
      <x:c r="I355" s="0"/>
      <x:c r="J355" s="0"/>
      <x:c r="K355" s="6">
        <x:v>46238.580644988426</x:v>
      </x:c>
      <x:c r="L355" t="str" s="2">
        <x:v>Contacted</x:v>
      </x:c>
    </x:row>
    <x:row r="356">
      <x:c r="A356" t="str" s="2">
        <x:f>="Dustin Dodson"</x:f>
      </x:c>
      <x:c r="B356" t="str" s="2">
        <x:v>Heritage Housing Mt Pleasant</x:v>
      </x:c>
      <x:c r="C356" t="str" s="2">
        <x:v/>
      </x:c>
      <x:c r="D356" t="str" s="2">
        <x:v>9037672042</x:v>
      </x:c>
      <x:c r="E356" t="str" s="2">
        <x:v>ddodson5585@gmail.com</x:v>
      </x:c>
      <x:c r="F356" t="str" s="2">
        <x:v>Landing_BPM</x:v>
      </x:c>
      <x:c r="G356" t="str" s="2">
        <x:v>Yarelis Torres</x:v>
      </x:c>
      <x:c r="H356" s="6">
        <x:v>46235.46055038195</x:v>
      </x:c>
      <x:c r="I356" s="0"/>
      <x:c r="J356" s="6">
        <x:v>46236.614583333336</x:v>
      </x:c>
      <x:c r="K356" s="6">
        <x:v>46274.98695135416</x:v>
      </x:c>
      <x:c r="L356" t="str" s="2">
        <x:v>Contacted</x:v>
      </x:c>
    </x:row>
    <x:row r="357">
      <x:c r="A357" t="str" s="2">
        <x:f>="Felicia A Broyard"</x:f>
      </x:c>
      <x:c r="B357" t="str" s="2">
        <x:v>Heritage Housing Marble Falls</x:v>
      </x:c>
      <x:c r="C357" t="str" s="2">
        <x:v/>
      </x:c>
      <x:c r="D357" t="str" s="2">
        <x:v>7372451720</x:v>
      </x:c>
      <x:c r="E357" t="str" s="2">
        <x:v>feliciaann0919@gmail.com</x:v>
      </x:c>
      <x:c r="F357" t="str" s="2">
        <x:v>Landing_BPM</x:v>
      </x:c>
      <x:c r="G357" t="str" s="2">
        <x:v>Garrett Riedesel</x:v>
      </x:c>
      <x:c r="H357" s="6">
        <x:v>46235.58971863426</x:v>
      </x:c>
      <x:c r="I357" s="0"/>
      <x:c r="J357" s="0"/>
      <x:c r="K357" s="6">
        <x:v>46288.8313880787</x:v>
      </x:c>
      <x:c r="L357" t="str" s="2">
        <x:v>Contacted</x:v>
      </x:c>
    </x:row>
    <x:row r="358">
      <x:c r="A358" t="str" s="2">
        <x:f>="Matthew Fox"</x:f>
      </x:c>
      <x:c r="B358" t="str" s="2">
        <x:v>Heritage Housing of Minden</x:v>
      </x:c>
      <x:c r="C358" t="str" s="2">
        <x:v>0/4</x:v>
      </x:c>
      <x:c r="D358" t="str" s="2">
        <x:v>dwain7foxy@yahoo.com</x:v>
      </x:c>
      <x:c r="E358" t="str" s="2">
        <x:v>dwain7foxy@yahoo.com</x:v>
      </x:c>
      <x:c r="F358" t="str" s="2">
        <x:v>Landing_BPM</x:v>
      </x:c>
      <x:c r="G358" t="str" s="2">
        <x:v>Patrick Schuchart</x:v>
      </x:c>
      <x:c r="H358" s="6">
        <x:v>46235.63616119213</x:v>
      </x:c>
      <x:c r="I358" s="0"/>
      <x:c r="J358" s="0"/>
      <x:c r="K358" s="6">
        <x:v>46282.79975046296</x:v>
      </x:c>
      <x:c r="L358" t="str" s="2">
        <x:v>Contacted</x:v>
      </x:c>
    </x:row>
    <x:row r="359">
      <x:c r="A359" t="str" s="2">
        <x:f>="Angela Cureton"</x:f>
      </x:c>
      <x:c r="B359" t="str" s="2">
        <x:v>Heritage Housing of Greenville</x:v>
      </x:c>
      <x:c r="C359" t="str" s="2">
        <x:v>0/1</x:v>
      </x:c>
      <x:c r="D359" t="str" s="2">
        <x:v>5129109151</x:v>
      </x:c>
      <x:c r="E359" t="str" s="2">
        <x:v>angela.cureton512@gmail.com</x:v>
      </x:c>
      <x:c r="F359" t="str" s="2">
        <x:v>Website</x:v>
      </x:c>
      <x:c r="G359" t="str" s="2">
        <x:v>Brooklynn Allen</x:v>
      </x:c>
      <x:c r="H359" s="6">
        <x:v>46235.77151087963</x:v>
      </x:c>
      <x:c r="I359" s="0"/>
      <x:c r="J359" s="0"/>
      <x:c r="K359" s="6">
        <x:v>46253.66129664352</x:v>
      </x:c>
      <x:c r="L359" t="str" s="2">
        <x:v>Contacted</x:v>
      </x:c>
    </x:row>
    <x:row r="360">
      <x:c r="A360" t="str" s="2">
        <x:f>="Jose Paz Paz"</x:f>
      </x:c>
      <x:c r="B360" t="str" s="2">
        <x:v>Heritage Housing of Tulsa</x:v>
      </x:c>
      <x:c r="C360" t="str" s="2">
        <x:v/>
      </x:c>
      <x:c r="D360" t="str" s="2">
        <x:v>9185209773</x:v>
      </x:c>
      <x:c r="E360" t="str" s="2">
        <x:v>chema.paz19@gmail.com</x:v>
      </x:c>
      <x:c r="F360" t="str" s="2">
        <x:v>Landing_BPM</x:v>
      </x:c>
      <x:c r="G360" t="str" s="2">
        <x:v>Jenna Fransisco</x:v>
      </x:c>
      <x:c r="H360" s="6">
        <x:v>46235.78558888889</x:v>
      </x:c>
      <x:c r="I360" s="0"/>
      <x:c r="J360" s="0"/>
      <x:c r="K360" s="6">
        <x:v>46251.93032184028</x:v>
      </x:c>
      <x:c r="L360" t="str" s="2">
        <x:v>Contacted</x:v>
      </x:c>
    </x:row>
    <x:row r="361">
      <x:c r="A361" t="str" s="2">
        <x:f>="Katrina Huddleston"</x:f>
      </x:c>
      <x:c r="B361" t="str" s="2">
        <x:v>Heritage Housing of Tulsa</x:v>
      </x:c>
      <x:c r="C361" t="str" s="2">
        <x:v/>
      </x:c>
      <x:c r="D361" t="str" s="2">
        <x:v>9186360305</x:v>
      </x:c>
      <x:c r="E361" t="str" s="2">
        <x:v>kisam82@gmail.com</x:v>
      </x:c>
      <x:c r="F361" t="str" s="2">
        <x:v>Landing_BPM</x:v>
      </x:c>
      <x:c r="G361" t="str" s="2">
        <x:v>Jenna Fransisco</x:v>
      </x:c>
      <x:c r="H361" s="6">
        <x:v>46235.93568599537</x:v>
      </x:c>
      <x:c r="I361" s="0"/>
      <x:c r="J361" s="0"/>
      <x:c r="K361" s="6">
        <x:v>46251.93126466435</x:v>
      </x:c>
      <x:c r="L361" t="str" s="2">
        <x:v>Contacted</x:v>
      </x:c>
    </x:row>
    <x:row r="362">
      <x:c r="A362" t="str" s="2">
        <x:f>="Marcia Hodges"</x:f>
      </x:c>
      <x:c r="B362" t="str" s="2">
        <x:v>Heritage Housing of Augusta</x:v>
      </x:c>
      <x:c r="C362" t="str" s="2">
        <x:v/>
      </x:c>
      <x:c r="D362" t="str" s="2">
        <x:v>9045867145</x:v>
      </x:c>
      <x:c r="E362" t="str" s="2">
        <x:v>mrhodges1616@gmail.com</x:v>
      </x:c>
      <x:c r="F362" t="str" s="2">
        <x:v>Landing_BPM</x:v>
      </x:c>
      <x:c r="G362" t="str" s="2">
        <x:v>Faye Lively</x:v>
      </x:c>
      <x:c r="H362" s="6">
        <x:v>46235.94389667824</x:v>
      </x:c>
      <x:c r="I362" s="0"/>
      <x:c r="J362" s="0"/>
      <x:c r="K362" s="6">
        <x:v>46277.57798695602</x:v>
      </x:c>
      <x:c r="L362" t="str" s="2">
        <x:v>Contacted</x:v>
      </x:c>
    </x:row>
    <x:row r="363">
      <x:c r="A363" t="str" s="2">
        <x:f>="Zachary Francis"</x:f>
      </x:c>
      <x:c r="B363" t="str" s="2">
        <x:v>Heritage Housing Mt Pleasant</x:v>
      </x:c>
      <x:c r="C363" t="str" s="2">
        <x:v/>
      </x:c>
      <x:c r="D363" t="str" s="2">
        <x:v>9035707255</x:v>
      </x:c>
      <x:c r="E363" t="str" s="2">
        <x:v>zacfran400@gmail.com</x:v>
      </x:c>
      <x:c r="F363" t="str" s="2">
        <x:v>Landing_BPM</x:v>
      </x:c>
      <x:c r="G363" t="str" s="2">
        <x:v>Yarelis Torres</x:v>
      </x:c>
      <x:c r="H363" s="6">
        <x:v>46236.27829019676</x:v>
      </x:c>
      <x:c r="I363" s="0"/>
      <x:c r="J363" s="6">
        <x:v>46242.625</x:v>
      </x:c>
      <x:c r="K363" s="6">
        <x:v>46274.98429247685</x:v>
      </x:c>
      <x:c r="L363" t="str" s="2">
        <x:v>Contacted</x:v>
      </x:c>
    </x:row>
    <x:row r="364">
      <x:c r="A364" t="str" s="2">
        <x:f>="Sydni Arnaud"</x:f>
      </x:c>
      <x:c r="B364" t="str" s="2">
        <x:v>Heritage Housing of Jennings</x:v>
      </x:c>
      <x:c r="C364" t="str" s="2">
        <x:v>0/2</x:v>
      </x:c>
      <x:c r="D364" t="str" s="2">
        <x:v>sydnibrooke20@gmail.com</x:v>
      </x:c>
      <x:c r="E364" t="str" s="2">
        <x:v>sydnibrooke20@gmail.com</x:v>
      </x:c>
      <x:c r="F364" t="str" s="2">
        <x:v>Landing_BPM</x:v>
      </x:c>
      <x:c r="G364" t="str" s="2">
        <x:v>Mervin Leslie Smith</x:v>
      </x:c>
      <x:c r="H364" s="6">
        <x:v>46236.36085405092</x:v>
      </x:c>
      <x:c r="I364" s="0"/>
      <x:c r="J364" s="0"/>
      <x:c r="K364" s="6">
        <x:v>46296.763844016205</x:v>
      </x:c>
      <x:c r="L364" t="str" s="2">
        <x:v>Contacted</x:v>
      </x:c>
    </x:row>
    <x:row r="365">
      <x:c r="A365" t="str" s="2">
        <x:f>="Heather Tucker"</x:f>
      </x:c>
      <x:c r="B365" t="str" s="2">
        <x:v>Heritage Housing of Asheboro</x:v>
      </x:c>
      <x:c r="C365" t="str" s="2">
        <x:v/>
      </x:c>
      <x:c r="D365" t="str" s="2">
        <x:v>3369994760</x:v>
      </x:c>
      <x:c r="E365" t="str" s="2">
        <x:v>sofantastic2011@gmail.com</x:v>
      </x:c>
      <x:c r="F365" t="str" s="2">
        <x:v>Landing_BPM</x:v>
      </x:c>
      <x:c r="G365" t="str" s="2">
        <x:v>Jeremy Jacques</x:v>
      </x:c>
      <x:c r="H365" s="6">
        <x:v>46236.45805011574</x:v>
      </x:c>
      <x:c r="I365" s="0"/>
      <x:c r="J365" s="0"/>
      <x:c r="K365" s="6">
        <x:v>46239.911298113424</x:v>
      </x:c>
      <x:c r="L365" t="str" s="2">
        <x:v>Contacted</x:v>
      </x:c>
    </x:row>
    <x:row r="366">
      <x:c r="A366" t="str" s="2">
        <x:f>="Tina Underwood"</x:f>
      </x:c>
      <x:c r="B366" t="str" s="2">
        <x:v>Heritage Housing of Minden</x:v>
      </x:c>
      <x:c r="C366" t="str" s="2">
        <x:v>0/5</x:v>
      </x:c>
      <x:c r="D366" t="str" s="2">
        <x:v>tinau1935@gmail.com</x:v>
      </x:c>
      <x:c r="E366" t="str" s="2">
        <x:v>tinau1935@gmail.com</x:v>
      </x:c>
      <x:c r="F366" t="str" s="2">
        <x:v>Landing_BPM</x:v>
      </x:c>
      <x:c r="G366" t="str" s="2">
        <x:v>Patrick Schuchart</x:v>
      </x:c>
      <x:c r="H366" s="6">
        <x:v>46236.531270914355</x:v>
      </x:c>
      <x:c r="I366" s="0"/>
      <x:c r="J366" s="0"/>
      <x:c r="K366" s="6">
        <x:v>46282.79914606481</x:v>
      </x:c>
      <x:c r="L366" t="str" s="2">
        <x:v>Contacted</x:v>
      </x:c>
    </x:row>
    <x:row r="367">
      <x:c r="A367" t="str" s="2">
        <x:f>="Robertrer TerryrerGM"</x:f>
      </x:c>
      <x:c r="B367" t="str" s="2">
        <x:v>Heritage Housing of Greenville</x:v>
      </x:c>
      <x:c r="C367" t="str" s="2">
        <x:v/>
      </x:c>
      <x:c r="D367" t="str" s="2">
        <x:v>85398489133</x:v>
      </x:c>
      <x:c r="E367" t="str" s="2">
        <x:v>lldinqo@qwvkwph.hbv</x:v>
      </x:c>
      <x:c r="F367" t="str" s="2">
        <x:v>Website</x:v>
      </x:c>
      <x:c r="G367" t="str" s="2">
        <x:v>Ana Garcia</x:v>
      </x:c>
      <x:c r="H367" s="6">
        <x:v>46236.63237615741</x:v>
      </x:c>
      <x:c r="I367" s="0"/>
      <x:c r="J367" s="0"/>
      <x:c r="K367" s="6">
        <x:v>46238.58187908565</x:v>
      </x:c>
      <x:c r="L367" t="str" s="2">
        <x:v>Contacted</x:v>
      </x:c>
    </x:row>
    <x:row r="368">
      <x:c r="A368" t="str" s="2">
        <x:f>=HYPERLINK("https://rsms.futurehomex.com/lead/38903", "Ricky Bishop")</x:f>
      </x:c>
      <x:c r="B368" t="str" s="2">
        <x:v>Heritage Housing Mt Pleasant</x:v>
      </x:c>
      <x:c r="C368" t="str" s="2">
        <x:v/>
      </x:c>
      <x:c r="D368" t="str" s="2">
        <x:v>9032048390</x:v>
      </x:c>
      <x:c r="E368" t="str" s="2">
        <x:v>9032048390</x:v>
      </x:c>
      <x:c r="F368" t="str" s="2">
        <x:v>Office Hot Calls</x:v>
      </x:c>
      <x:c r="G368" t="str" s="2">
        <x:v>Yarelis Torres</x:v>
      </x:c>
      <x:c r="H368" s="6">
        <x:v>46236.922174074076</x:v>
      </x:c>
      <x:c r="I368" t="str" s="2">
        <x:v>Elias Gallardo</x:v>
      </x:c>
      <x:c r="J368" s="0"/>
      <x:c r="K368" s="6">
        <x:v>46276.96694556713</x:v>
      </x:c>
      <x:c r="L368" t="str" s="2">
        <x:v>Contacted</x:v>
      </x:c>
    </x:row>
    <x:row r="369">
      <x:c r="A369" t="str" s="2">
        <x:f>="Sara Smith"</x:f>
      </x:c>
      <x:c r="B369" t="str" s="2">
        <x:v>Heritage Housing of Augusta</x:v>
      </x:c>
      <x:c r="C369" t="str" s="2">
        <x:v>0/1</x:v>
      </x:c>
      <x:c r="D369" t="str" s="2">
        <x:v>7623584999</x:v>
      </x:c>
      <x:c r="E369" t="str" s="2">
        <x:v>porkchopez22@gmail.com</x:v>
      </x:c>
      <x:c r="F369" t="str" s="2">
        <x:v>Landing_BPM</x:v>
      </x:c>
      <x:c r="G369" t="str" s="2">
        <x:v>Jose Chavez</x:v>
      </x:c>
      <x:c r="H369" s="6">
        <x:v>46236.992773032405</x:v>
      </x:c>
      <x:c r="I369" s="0"/>
      <x:c r="J369" s="0"/>
      <x:c r="K369" s="6">
        <x:v>46295.701697881945</x:v>
      </x:c>
      <x:c r="L369" t="str" s="2">
        <x:v>Contacted</x:v>
      </x:c>
    </x:row>
    <x:row r="370">
      <x:c r="A370" t="str" s="2">
        <x:f>="John edward Latorre gallego"</x:f>
      </x:c>
      <x:c r="B370" t="str" s="2">
        <x:v>Heritage Housing of Athens</x:v>
      </x:c>
      <x:c r="C370" t="str" s="2">
        <x:v/>
      </x:c>
      <x:c r="D370" t="str" s="2">
        <x:v>9432413597</x:v>
      </x:c>
      <x:c r="E370" t="str" s="2">
        <x:v>ltgallego23@gmail.com</x:v>
      </x:c>
      <x:c r="F370" t="str" s="2">
        <x:v>Landing_BPM</x:v>
      </x:c>
      <x:c r="G370" t="str" s="2">
        <x:v>Nathan Bishop</x:v>
      </x:c>
      <x:c r="H370" s="6">
        <x:v>46236.998750810184</x:v>
      </x:c>
      <x:c r="I370" s="0"/>
      <x:c r="J370" s="0"/>
      <x:c r="K370" s="6">
        <x:v>46266.75553611111</x:v>
      </x:c>
      <x:c r="L370" t="str" s="2">
        <x:v>Contacted</x:v>
      </x:c>
    </x:row>
    <x:row r="371">
      <x:c r="A371" t="str" s="2">
        <x:f>="Carmelita Jackson-Dixon"</x:f>
      </x:c>
      <x:c r="B371" t="str" s="2">
        <x:v>Heritage Housing of Tulsa</x:v>
      </x:c>
      <x:c r="C371" t="str" s="2">
        <x:v>0/1</x:v>
      </x:c>
      <x:c r="D371" t="str" s="2">
        <x:v>4052067474</x:v>
      </x:c>
      <x:c r="E371" t="str" s="2">
        <x:v>Misscarman@ymail.com</x:v>
      </x:c>
      <x:c r="F371" t="str" s="2">
        <x:v>Landing_BPM</x:v>
      </x:c>
      <x:c r="G371" t="str" s="2">
        <x:v>Jenna Fransisco</x:v>
      </x:c>
      <x:c r="H371" s="6">
        <x:v>46237.116368090276</x:v>
      </x:c>
      <x:c r="I371" s="0"/>
      <x:c r="J371" s="0"/>
      <x:c r="K371" s="6">
        <x:v>46246.65120069445</x:v>
      </x:c>
      <x:c r="L371" t="str" s="2">
        <x:v>Contacted</x:v>
      </x:c>
    </x:row>
    <x:row r="372">
      <x:c r="A372" t="str" s="2">
        <x:f>="Latrice McKenzie McKenzie"</x:f>
      </x:c>
      <x:c r="B372" t="str" s="2">
        <x:v>Heritage Housing of Augusta</x:v>
      </x:c>
      <x:c r="C372" t="str" s="2">
        <x:v/>
      </x:c>
      <x:c r="D372" t="str" s="2">
        <x:v>6787027415</x:v>
      </x:c>
      <x:c r="E372" t="str" s="2">
        <x:v>lmchandler77@gmail.com</x:v>
      </x:c>
      <x:c r="F372" t="str" s="2">
        <x:v>Landing_BPM</x:v>
      </x:c>
      <x:c r="G372" t="str" s="2">
        <x:v>Faye Lively</x:v>
      </x:c>
      <x:c r="H372" s="6">
        <x:v>46237.1467778125</x:v>
      </x:c>
      <x:c r="I372" s="0"/>
      <x:c r="J372" s="0"/>
      <x:c r="K372" s="6">
        <x:v>46279.63649224537</x:v>
      </x:c>
      <x:c r="L372" t="str" s="2">
        <x:v>Contacted</x:v>
      </x:c>
    </x:row>
    <x:row r="373">
      <x:c r="A373" t="str" s="2">
        <x:f>="Tyonna Garmon"</x:f>
      </x:c>
      <x:c r="B373" t="str" s="2">
        <x:v>Heritage Housing of Albany</x:v>
      </x:c>
      <x:c r="C373" t="str" s="2">
        <x:v>0/1</x:v>
      </x:c>
      <x:c r="D373" t="str" s="2">
        <x:v>2292886700</x:v>
      </x:c>
      <x:c r="E373" t="str" s="2">
        <x:v>tyonnagarmon93@gmail.com</x:v>
      </x:c>
      <x:c r="F373" t="str" s="2">
        <x:v>Landing_BPM</x:v>
      </x:c>
      <x:c r="G373" t="str" s="2">
        <x:v>Yanet Alvarez</x:v>
      </x:c>
      <x:c r="H373" s="6">
        <x:v>46237.171025428244</x:v>
      </x:c>
      <x:c r="I373" s="0"/>
      <x:c r="J373" s="0"/>
      <x:c r="K373" s="6">
        <x:v>46283.89118086806</x:v>
      </x:c>
      <x:c r="L373" t="str" s="2">
        <x:v>Contacted</x:v>
      </x:c>
    </x:row>
    <x:row r="374">
      <x:c r="A374" t="str" s="2">
        <x:f>="Lorena Galindo"</x:f>
      </x:c>
      <x:c r="B374" t="str" s="2">
        <x:v>Heritage Housing Mt Pleasant</x:v>
      </x:c>
      <x:c r="C374" t="str" s="2">
        <x:v/>
      </x:c>
      <x:c r="D374" t="str" s="2">
        <x:v>8175011509</x:v>
      </x:c>
      <x:c r="E374" t="str" s="2">
        <x:v>lorena.c89@yahoo.com</x:v>
      </x:c>
      <x:c r="F374" t="str" s="2">
        <x:v>Landing_BPM</x:v>
      </x:c>
      <x:c r="G374" t="str" s="2">
        <x:v>Yarelis Torres</x:v>
      </x:c>
      <x:c r="H374" s="6">
        <x:v>46237.461485844906</x:v>
      </x:c>
      <x:c r="I374" s="0"/>
      <x:c r="J374" s="0"/>
      <x:c r="K374" s="6">
        <x:v>46276.96674236111</x:v>
      </x:c>
      <x:c r="L374" t="str" s="2">
        <x:v>Contacted</x:v>
      </x:c>
    </x:row>
    <x:row r="375">
      <x:c r="A375" t="str" s="2">
        <x:f>=HYPERLINK("https://rsms.futurehomex.com/lead/38972", "Al-Talaha Stewart")</x:f>
      </x:c>
      <x:c r="B375" t="str" s="2">
        <x:v>Heritage Housing of Athens</x:v>
      </x:c>
      <x:c r="C375" t="str" s="2">
        <x:v/>
      </x:c>
      <x:c r="D375" t="str" s="2">
        <x:v>7627721583</x:v>
      </x:c>
      <x:c r="E375" t="str" s="2">
        <x:v>sassytallie89@yahoo.com</x:v>
      </x:c>
      <x:c r="F375" t="str" s="2">
        <x:v>Website</x:v>
      </x:c>
      <x:c r="G375" t="str" s="2">
        <x:v>Nathan Bishop</x:v>
      </x:c>
      <x:c r="H375" s="6">
        <x:v>46237.53791265046</x:v>
      </x:c>
      <x:c r="I375" t="str" s="2">
        <x:v>Alex Jones</x:v>
      </x:c>
      <x:c r="J375" s="6">
        <x:v>46254.833333333336</x:v>
      </x:c>
      <x:c r="K375" s="6">
        <x:v>46252.6807621875</x:v>
      </x:c>
      <x:c r="L375" t="str" s="2">
        <x:v>Contacted</x:v>
      </x:c>
    </x:row>
    <x:row r="376">
      <x:c r="A376" t="str" s="2">
        <x:f>="Leon Mott"</x:f>
      </x:c>
      <x:c r="B376" t="str" s="2">
        <x:v>Heritage Housing of Albany</x:v>
      </x:c>
      <x:c r="C376" t="str" s="2">
        <x:v>1/2</x:v>
      </x:c>
      <x:c r="D376" t="str" s="2">
        <x:v>2069411389</x:v>
      </x:c>
      <x:c r="E376" t="str" s="2">
        <x:v>allenm30k@outlook.com</x:v>
      </x:c>
      <x:c r="F376" t="str" s="2">
        <x:v>Landing_BPM</x:v>
      </x:c>
      <x:c r="G376" t="str" s="2">
        <x:v>Justin Johnson</x:v>
      </x:c>
      <x:c r="H376" s="6">
        <x:v>46237.547737581015</x:v>
      </x:c>
      <x:c r="I376" s="0"/>
      <x:c r="J376" s="0"/>
      <x:c r="K376" s="6">
        <x:v>46303.8064934375</x:v>
      </x:c>
      <x:c r="L376" t="str" s="2">
        <x:v>Contacted</x:v>
      </x:c>
    </x:row>
    <x:row r="377">
      <x:c r="A377" t="str" s="2">
        <x:f>=HYPERLINK("https://rsms.futurehomex.com/lead/39294", "Ramon Gonzalez")</x:f>
      </x:c>
      <x:c r="B377" t="str" s="2">
        <x:v>Legacy Housing Corp. DBA Americasa</x:v>
      </x:c>
      <x:c r="C377" t="str" s="2">
        <x:v/>
      </x:c>
      <x:c r="D377" t="str" s="2">
        <x:v>8328880328</x:v>
      </x:c>
      <x:c r="E377" t="str" s="2">
        <x:v>gray74130@gmail.com</x:v>
      </x:c>
      <x:c r="F377" t="str" s="2">
        <x:v>Landing_BPM</x:v>
      </x:c>
      <x:c r="G377" t="str" s="2">
        <x:v>Rodrigo Ramirez</x:v>
      </x:c>
      <x:c r="H377" s="6">
        <x:v>46237.570344328706</x:v>
      </x:c>
      <x:c r="I377" t="str" s="2">
        <x:v>Joey Marquez</x:v>
      </x:c>
      <x:c r="J377" s="0"/>
      <x:c r="K377" s="6">
        <x:v>46290.656116701386</x:v>
      </x:c>
      <x:c r="L377" t="str" s="2">
        <x:v>Contacted</x:v>
      </x:c>
    </x:row>
    <x:row r="378">
      <x:c r="A378" t="str" s="2">
        <x:f>=HYPERLINK("https://rsms.futurehomex.com/lead/38907", "John Kelly")</x:f>
      </x:c>
      <x:c r="B378" t="str" s="2">
        <x:v>Heritage Housing Marble Falls</x:v>
      </x:c>
      <x:c r="C378" t="str" s="2">
        <x:v/>
      </x:c>
      <x:c r="D378" t="str" s="2">
        <x:v>5129238149</x:v>
      </x:c>
      <x:c r="E378" t="str" s="2">
        <x:v>5129238149</x:v>
      </x:c>
      <x:c r="F378" t="str" s="2">
        <x:v>Walk-in</x:v>
      </x:c>
      <x:c r="G378" t="str" s="2">
        <x:v>Stephen Sanders</x:v>
      </x:c>
      <x:c r="H378" s="6">
        <x:v>46237.64956689815</x:v>
      </x:c>
      <x:c r="I378" t="str" s="2">
        <x:v>Stephen Sanders</x:v>
      </x:c>
      <x:c r="J378" s="0"/>
      <x:c r="K378" s="6">
        <x:v>46288.67817299769</x:v>
      </x:c>
      <x:c r="L378" t="str" s="2">
        <x:v>Contacted</x:v>
      </x:c>
    </x:row>
    <x:row r="379">
      <x:c r="A379" t="str" s="2">
        <x:f>=HYPERLINK("https://rsms.futurehomex.com/lead/38916", "Brooklyn Childers")</x:f>
      </x:c>
      <x:c r="B379" t="str" s="2">
        <x:v>Heritage Housing of Oklahoma City</x:v>
      </x:c>
      <x:c r="C379" t="str" s="2">
        <x:v/>
      </x:c>
      <x:c r="D379" t="str" s="2">
        <x:v>5803400926</x:v>
      </x:c>
      <x:c r="E379" t="str" s="2">
        <x:v>5803400926</x:v>
      </x:c>
      <x:c r="F379" t="str" s="2">
        <x:v>HH - Oklahoma City</x:v>
      </x:c>
      <x:c r="G379" t="str" s="2">
        <x:v>Steve Castell</x:v>
      </x:c>
      <x:c r="H379" s="6">
        <x:v>46237.75784332176</x:v>
      </x:c>
      <x:c r="I379" t="str" s="2">
        <x:v>Alejandra Calderon</x:v>
      </x:c>
      <x:c r="J379" s="0"/>
      <x:c r="K379" s="6">
        <x:v>46245.83264586805</x:v>
      </x:c>
      <x:c r="L379" t="str" s="2">
        <x:v>Contacted</x:v>
      </x:c>
    </x:row>
    <x:row r="380">
      <x:c r="A380" t="str" s="2">
        <x:f>="Cassie Smith"</x:f>
      </x:c>
      <x:c r="B380" t="str" s="2">
        <x:v>Heritage Housing Mt Pleasant</x:v>
      </x:c>
      <x:c r="C380" t="str" s="2">
        <x:v/>
      </x:c>
      <x:c r="D380" t="str" s="2">
        <x:v>4303186430</x:v>
      </x:c>
      <x:c r="E380" t="str" s="2">
        <x:v>cassie.smith13@yahoo.com</x:v>
      </x:c>
      <x:c r="F380" t="str" s="2">
        <x:v>Financing Form</x:v>
      </x:c>
      <x:c r="G380" t="str" s="2">
        <x:v>Yarelis Torres</x:v>
      </x:c>
      <x:c r="H380" s="6">
        <x:v>46237.780489467594</x:v>
      </x:c>
      <x:c r="I380" s="0"/>
      <x:c r="J380" s="0"/>
      <x:c r="K380" s="6">
        <x:v>46276.96690486111</x:v>
      </x:c>
      <x:c r="L380" t="str" s="2">
        <x:v>Contacted</x:v>
      </x:c>
    </x:row>
    <x:row r="381">
      <x:c r="A381" t="str" s="2">
        <x:f>="Aline S Kemps"</x:f>
      </x:c>
      <x:c r="B381" t="str" s="2">
        <x:v>Heritage Housing of Minden</x:v>
      </x:c>
      <x:c r="C381" t="str" s="2">
        <x:v>0/3</x:v>
      </x:c>
      <x:c r="D381" t="str" s="2">
        <x:v>3189907581</x:v>
      </x:c>
      <x:c r="E381" t="str" s="2">
        <x:v>alineskemps64@gmail.com</x:v>
      </x:c>
      <x:c r="F381" t="str" s="2">
        <x:v>Landing_BPM</x:v>
      </x:c>
      <x:c r="G381" t="str" s="2">
        <x:v>Patrick Schuchart</x:v>
      </x:c>
      <x:c r="H381" s="6">
        <x:v>46237.882939270836</x:v>
      </x:c>
      <x:c r="I381" s="0"/>
      <x:c r="J381" s="0"/>
      <x:c r="K381" s="6">
        <x:v>46282.79836003472</x:v>
      </x:c>
      <x:c r="L381" t="str" s="2">
        <x:v>Contacted</x:v>
      </x:c>
    </x:row>
    <x:row r="382">
      <x:c r="A382" t="str" s="2">
        <x:f>="Emily Davis"</x:f>
      </x:c>
      <x:c r="B382" t="str" s="2">
        <x:v>Heritage Housing of Greenville</x:v>
      </x:c>
      <x:c r="C382" t="str" s="2">
        <x:v>0/1</x:v>
      </x:c>
      <x:c r="D382" t="str" s="2">
        <x:v>4302428196</x:v>
      </x:c>
      <x:c r="E382" t="str" s="2">
        <x:v>ed650149@gmail.com</x:v>
      </x:c>
      <x:c r="F382" t="str" s="2">
        <x:v>LandingPage</x:v>
      </x:c>
      <x:c r="G382" t="str" s="2">
        <x:v>Brooklynn Allen</x:v>
      </x:c>
      <x:c r="H382" s="6">
        <x:v>46237.88588209491</x:v>
      </x:c>
      <x:c r="I382" s="0"/>
      <x:c r="J382" s="0"/>
      <x:c r="K382" s="6">
        <x:v>46254.84850636574</x:v>
      </x:c>
      <x:c r="L382" t="str" s="2">
        <x:v>Contacted</x:v>
      </x:c>
    </x:row>
    <x:row r="383">
      <x:c r="A383" t="str" s="2">
        <x:f>="Victoria Howard"</x:f>
      </x:c>
      <x:c r="B383" t="str" s="2">
        <x:v>Heritage Housing of Augusta</x:v>
      </x:c>
      <x:c r="C383" t="str" s="2">
        <x:v/>
      </x:c>
      <x:c r="D383" t="str" s="2">
        <x:v>7068340959</x:v>
      </x:c>
      <x:c r="E383" t="str" s="2">
        <x:v>howardv04@yahoo.com</x:v>
      </x:c>
      <x:c r="F383" t="str" s="2">
        <x:v>Landing_BPM</x:v>
      </x:c>
      <x:c r="G383" t="str" s="2">
        <x:v>Faye Lively</x:v>
      </x:c>
      <x:c r="H383" s="6">
        <x:v>46237.914585266204</x:v>
      </x:c>
      <x:c r="I383" s="0"/>
      <x:c r="J383" s="0"/>
      <x:c r="K383" s="6">
        <x:v>46277.572355324075</x:v>
      </x:c>
      <x:c r="L383" t="str" s="2">
        <x:v>Contacted</x:v>
      </x:c>
    </x:row>
    <x:row r="384">
      <x:c r="A384" t="str" s="2">
        <x:f>="Robertrer DonaldrerGM"</x:f>
      </x:c>
      <x:c r="B384" t="str" s="2">
        <x:v>Heritage Housing of Greenville</x:v>
      </x:c>
      <x:c r="C384" t="str" s="2">
        <x:v/>
      </x:c>
      <x:c r="D384" t="str" s="2">
        <x:v>86443949857</x:v>
      </x:c>
      <x:c r="E384" t="str" s="2">
        <x:v>dehtwfa@jvctngd.poc</x:v>
      </x:c>
      <x:c r="F384" t="str" s="2">
        <x:v>Website</x:v>
      </x:c>
      <x:c r="G384" t="str" s="2">
        <x:v>Ana Garcia</x:v>
      </x:c>
      <x:c r="H384" s="6">
        <x:v>46237.9405275463</x:v>
      </x:c>
      <x:c r="I384" s="0"/>
      <x:c r="J384" s="0"/>
      <x:c r="K384" s="6">
        <x:v>46238.58247418982</x:v>
      </x:c>
      <x:c r="L384" t="str" s="2">
        <x:v>Contacted</x:v>
      </x:c>
    </x:row>
    <x:row r="385">
      <x:c r="A385" t="str" s="2">
        <x:f>="Josiah Butler"</x:f>
      </x:c>
      <x:c r="B385" t="str" s="2">
        <x:v>Heritage Housing of Minden</x:v>
      </x:c>
      <x:c r="C385" t="str" s="2">
        <x:v>0/3</x:v>
      </x:c>
      <x:c r="D385" t="str" s="2">
        <x:v>4695159750</x:v>
      </x:c>
      <x:c r="E385" t="str" s="2">
        <x:v>taequanrockefeller@gmail.com</x:v>
      </x:c>
      <x:c r="F385" t="str" s="2">
        <x:v>Landing_BPM</x:v>
      </x:c>
      <x:c r="G385" t="str" s="2">
        <x:v>Patrick Schuchart</x:v>
      </x:c>
      <x:c r="H385" s="6">
        <x:v>46237.9568815625</x:v>
      </x:c>
      <x:c r="I385" s="0"/>
      <x:c r="J385" s="0"/>
      <x:c r="K385" s="6">
        <x:v>46282.79757260417</x:v>
      </x:c>
      <x:c r="L385" t="str" s="2">
        <x:v>Contacted</x:v>
      </x:c>
    </x:row>
    <x:row r="386">
      <x:c r="A386" t="str" s="2">
        <x:f>="Emily Grimes"</x:f>
      </x:c>
      <x:c r="B386" t="str" s="2">
        <x:v>Heritage Housing of Albany</x:v>
      </x:c>
      <x:c r="C386" t="str" s="2">
        <x:v/>
      </x:c>
      <x:c r="D386" t="str" s="2">
        <x:v>4788672275</x:v>
      </x:c>
      <x:c r="E386" t="str" s="2">
        <x:v>emilyg2446@gmail.com</x:v>
      </x:c>
      <x:c r="F386" t="str" s="2">
        <x:v>Landing_BPM</x:v>
      </x:c>
      <x:c r="G386" t="str" s="2">
        <x:v>Yanet Alvarez</x:v>
      </x:c>
      <x:c r="H386" s="6">
        <x:v>46237.99004614583</x:v>
      </x:c>
      <x:c r="I386" s="0"/>
      <x:c r="J386" s="0"/>
      <x:c r="K386" s="6">
        <x:v>46289.711081828704</x:v>
      </x:c>
      <x:c r="L386" t="str" s="2">
        <x:v>Contacted</x:v>
      </x:c>
    </x:row>
    <x:row r="387">
      <x:c r="A387" t="str" s="2">
        <x:f>="Joana Tirado"</x:f>
      </x:c>
      <x:c r="B387" t="str" s="2">
        <x:v>Heritage Housing of Greenville</x:v>
      </x:c>
      <x:c r="C387" t="str" s="2">
        <x:v/>
      </x:c>
      <x:c r="D387" t="str" s="2">
        <x:v>4692072797</x:v>
      </x:c>
      <x:c r="E387" t="str" s="2">
        <x:v>joannatirado0704@gmail.com</x:v>
      </x:c>
      <x:c r="F387" t="str" s="2">
        <x:v>Landing_BPM</x:v>
      </x:c>
      <x:c r="G387" t="str" s="2">
        <x:v>Ana Garcia</x:v>
      </x:c>
      <x:c r="H387" s="6">
        <x:v>46238.05087245371</x:v>
      </x:c>
      <x:c r="I387" s="0"/>
      <x:c r="J387" s="0"/>
      <x:c r="K387" s="6">
        <x:v>46265.593011261575</x:v>
      </x:c>
      <x:c r="L387" t="str" s="2">
        <x:v>Contacted</x:v>
      </x:c>
    </x:row>
    <x:row r="388">
      <x:c r="A388" t="str" s="2">
        <x:f>="Alay Rivero"</x:f>
      </x:c>
      <x:c r="B388" t="str" s="2">
        <x:v>Heritage Housing of Canton</x:v>
      </x:c>
      <x:c r="C388" t="str" s="2">
        <x:v/>
      </x:c>
      <x:c r="D388" t="str" s="2">
        <x:v>8069220191</x:v>
      </x:c>
      <x:c r="E388" t="str" s="2">
        <x:v>alayrivero2015@gmail.com</x:v>
      </x:c>
      <x:c r="F388" t="str" s="2">
        <x:v>Financing Form</x:v>
      </x:c>
      <x:c r="G388" t="str" s="2">
        <x:v>Jacob Hatten</x:v>
      </x:c>
      <x:c r="H388" s="6">
        <x:v>46238.13790489583</x:v>
      </x:c>
      <x:c r="I388" s="0"/>
      <x:c r="J388" s="0"/>
      <x:c r="K388" s="6">
        <x:v>46288.861710150464</x:v>
      </x:c>
      <x:c r="L388" t="str" s="2">
        <x:v>Contacted</x:v>
      </x:c>
    </x:row>
    <x:row r="389">
      <x:c r="A389" t="str" s="2">
        <x:f>=HYPERLINK("https://rsms.futurehomex.com/lead/40193", "Taisha Patterson")</x:f>
      </x:c>
      <x:c r="B389" t="str" s="2">
        <x:v>Heritage Housing of Minden</x:v>
      </x:c>
      <x:c r="C389" t="str" s="2">
        <x:v>0/3</x:v>
      </x:c>
      <x:c r="D389" t="str" s="2">
        <x:v>3185726259</x:v>
      </x:c>
      <x:c r="E389" t="str" s="2">
        <x:v>taishapatterson@yahoo.com</x:v>
      </x:c>
      <x:c r="F389" t="str" s="2">
        <x:v>Financing Form</x:v>
      </x:c>
      <x:c r="G389" t="str" s="2">
        <x:v>Patrick Schuchart</x:v>
      </x:c>
      <x:c r="H389" s="6">
        <x:v>46238.16847873843</x:v>
      </x:c>
      <x:c r="I389" t="str" s="2">
        <x:v>Patrick Schuchart</x:v>
      </x:c>
      <x:c r="J389" s="0"/>
      <x:c r="K389" s="6">
        <x:v>46282.79629135416</x:v>
      </x:c>
      <x:c r="L389" t="str" s="2">
        <x:v>Contacted</x:v>
      </x:c>
    </x:row>
    <x:row r="390">
      <x:c r="A390" t="str" s="2">
        <x:f>="Sarah Cathey"</x:f>
      </x:c>
      <x:c r="B390" t="str" s="2">
        <x:v>Heritage Housing of Minden</x:v>
      </x:c>
      <x:c r="C390" t="str" s="2">
        <x:v>0/5</x:v>
      </x:c>
      <x:c r="D390" t="str" s="2">
        <x:v>3182255887</x:v>
      </x:c>
      <x:c r="E390" t="str" s="2">
        <x:v>misfitproud444@gmail.com</x:v>
      </x:c>
      <x:c r="F390" t="str" s="2">
        <x:v>Landing_BPM</x:v>
      </x:c>
      <x:c r="G390" t="str" s="2">
        <x:v>Patrick Schuchart</x:v>
      </x:c>
      <x:c r="H390" s="6">
        <x:v>46238.21171496528</x:v>
      </x:c>
      <x:c r="I390" s="0"/>
      <x:c r="J390" s="0"/>
      <x:c r="K390" s="6">
        <x:v>46282.79538707176</x:v>
      </x:c>
      <x:c r="L390" t="str" s="2">
        <x:v>Contacted</x:v>
      </x:c>
    </x:row>
    <x:row r="391">
      <x:c r="A391" t="str" s="2">
        <x:f>="Aundrelle Edwards"</x:f>
      </x:c>
      <x:c r="B391" t="str" s="2">
        <x:v>Heritage Housing of Greenville</x:v>
      </x:c>
      <x:c r="C391" t="str" s="2">
        <x:v/>
      </x:c>
      <x:c r="D391" t="str" s="2">
        <x:v>4694389287</x:v>
      </x:c>
      <x:c r="E391" t="str" s="2">
        <x:v>drell8t9@gmail.com</x:v>
      </x:c>
      <x:c r="F391" t="str" s="2">
        <x:v>Landing_BPM</x:v>
      </x:c>
      <x:c r="G391" t="str" s="2">
        <x:v>Brooklynn Allen</x:v>
      </x:c>
      <x:c r="H391" s="6">
        <x:v>46238.26888232639</x:v>
      </x:c>
      <x:c r="I391" s="0"/>
      <x:c r="J391" s="0"/>
      <x:c r="K391" s="6">
        <x:v>46253.66349105324</x:v>
      </x:c>
      <x:c r="L391" t="str" s="2">
        <x:v>Contacted</x:v>
      </x:c>
    </x:row>
    <x:row r="392">
      <x:c r="A392" t="str" s="2">
        <x:f>="Jennifer Lilley"</x:f>
      </x:c>
      <x:c r="B392" t="str" s="2">
        <x:v>Heritage Housing Gainesville</x:v>
      </x:c>
      <x:c r="C392" t="str" s="2">
        <x:v/>
      </x:c>
      <x:c r="D392" t="str" s="2">
        <x:v>9407864076</x:v>
      </x:c>
      <x:c r="E392" t="str" s="2">
        <x:v>jaylilley358@gmail.com</x:v>
      </x:c>
      <x:c r="F392" t="str" s="2">
        <x:v>Website</x:v>
      </x:c>
      <x:c r="G392" t="str" s="2">
        <x:v>Jeniffer Arellano</x:v>
      </x:c>
      <x:c r="H392" s="6">
        <x:v>46238.60096362269</x:v>
      </x:c>
      <x:c r="I392" s="0"/>
      <x:c r="J392" s="0"/>
      <x:c r="K392" s="6">
        <x:v>46296.80328144676</x:v>
      </x:c>
      <x:c r="L392" t="str" s="2">
        <x:v>Contacted</x:v>
      </x:c>
    </x:row>
    <x:row r="393">
      <x:c r="A393" t="str" s="2">
        <x:f>="Josue Chaparro Chaparro"</x:f>
      </x:c>
      <x:c r="B393" t="str" s="2">
        <x:v>Heritage Housing of Oklahoma City</x:v>
      </x:c>
      <x:c r="C393" t="str" s="2">
        <x:v>0/2</x:v>
      </x:c>
      <x:c r="D393" t="str" s="2">
        <x:v>5804785859</x:v>
      </x:c>
      <x:c r="E393" t="str" s="2">
        <x:v>josuechaparro06@icloud.com</x:v>
      </x:c>
      <x:c r="F393" t="str" s="2">
        <x:v>Landing_BPM</x:v>
      </x:c>
      <x:c r="G393" t="str" s="2">
        <x:v>Steve Castell</x:v>
      </x:c>
      <x:c r="H393" s="6">
        <x:v>46238.7490209838</x:v>
      </x:c>
      <x:c r="I393" s="0"/>
      <x:c r="J393" s="0"/>
      <x:c r="K393" s="6">
        <x:v>46259.05390960648</x:v>
      </x:c>
      <x:c r="L393" t="str" s="2">
        <x:v>Contacted</x:v>
      </x:c>
    </x:row>
    <x:row r="394">
      <x:c r="A394" t="str" s="2">
        <x:f>="Kedrin King"</x:f>
      </x:c>
      <x:c r="B394" t="str" s="2">
        <x:v>Heritage Housing of Augusta</x:v>
      </x:c>
      <x:c r="C394" t="str" s="2">
        <x:v/>
      </x:c>
      <x:c r="D394" t="str" s="2">
        <x:v>7065283587</x:v>
      </x:c>
      <x:c r="E394" t="str" s="2">
        <x:v>narii.longg@gmail.com</x:v>
      </x:c>
      <x:c r="F394" t="str" s="2">
        <x:v>Financing Form</x:v>
      </x:c>
      <x:c r="G394" t="str" s="2">
        <x:v>Faye Lively</x:v>
      </x:c>
      <x:c r="H394" s="6">
        <x:v>46238.883868784724</x:v>
      </x:c>
      <x:c r="I394" s="0"/>
      <x:c r="J394" s="0"/>
      <x:c r="K394" s="6">
        <x:v>46282.827867210646</x:v>
      </x:c>
      <x:c r="L394" t="str" s="2">
        <x:v>Contacted</x:v>
      </x:c>
    </x:row>
    <x:row r="395">
      <x:c r="A395" t="str" s="2">
        <x:f>="Calvina Wilcox"</x:f>
      </x:c>
      <x:c r="B395" t="str" s="2">
        <x:v>Heritage Housing of Athens</x:v>
      </x:c>
      <x:c r="C395" t="str" s="2">
        <x:v>1/1</x:v>
      </x:c>
      <x:c r="D395" t="str" s="2">
        <x:v>7708833901</x:v>
      </x:c>
      <x:c r="E395" t="str" s="2">
        <x:v>cwilcox4103@gmail.com</x:v>
      </x:c>
      <x:c r="F395" t="str" s="2">
        <x:v>Landing_BPM</x:v>
      </x:c>
      <x:c r="G395" t="str" s="2">
        <x:v>Nathan Bishop</x:v>
      </x:c>
      <x:c r="H395" s="6">
        <x:v>46239.013021493054</x:v>
      </x:c>
      <x:c r="I395" s="0"/>
      <x:c r="J395" s="0"/>
      <x:c r="K395" s="6">
        <x:v>46289.7350565625</x:v>
      </x:c>
      <x:c r="L395" t="str" s="2">
        <x:v>Contacted</x:v>
      </x:c>
    </x:row>
    <x:row r="396">
      <x:c r="A396" t="str" s="2">
        <x:f>="Courtney Burnette"</x:f>
      </x:c>
      <x:c r="B396" t="str" s="2">
        <x:v>Heritage Housing of Tulsa</x:v>
      </x:c>
      <x:c r="C396" t="str" s="2">
        <x:v/>
      </x:c>
      <x:c r="D396" t="str" s="2">
        <x:v>9186001139</x:v>
      </x:c>
      <x:c r="E396" t="str" s="2">
        <x:v>CourtneyBurnette1989@gmail.com</x:v>
      </x:c>
      <x:c r="F396" t="str" s="2">
        <x:v>Landing_BPM</x:v>
      </x:c>
      <x:c r="G396" t="str" s="2">
        <x:v>Jenna Fransisco</x:v>
      </x:c>
      <x:c r="H396" s="6">
        <x:v>46239.0374622338</x:v>
      </x:c>
      <x:c r="I396" s="0"/>
      <x:c r="J396" s="0"/>
      <x:c r="K396" s="6">
        <x:v>46252.95530393519</x:v>
      </x:c>
      <x:c r="L396" t="str" s="2">
        <x:v>Contacted</x:v>
      </x:c>
    </x:row>
    <x:row r="397">
      <x:c r="A397" t="str" s="2">
        <x:f>=HYPERLINK("https://rsms.futurehomex.com/lead/38959", "Chloe White")</x:f>
      </x:c>
      <x:c r="B397" t="str" s="2">
        <x:v>Heritage Housing of Albany</x:v>
      </x:c>
      <x:c r="C397" t="str" s="2">
        <x:v/>
      </x:c>
      <x:c r="D397" t="str" s="2">
        <x:v>2293449988</x:v>
      </x:c>
      <x:c r="E397" t="str" s="2">
        <x:v>chloebwhite16@gmail.com</x:v>
      </x:c>
      <x:c r="F397" t="str" s="2">
        <x:v>Facebook Messenger</x:v>
      </x:c>
      <x:c r="G397" t="str" s="2">
        <x:v>Yanet Alvarez</x:v>
      </x:c>
      <x:c r="H397" s="6">
        <x:v>46239.749749421295</x:v>
      </x:c>
      <x:c r="I397" t="str" s="2">
        <x:v>Alexander Bryant</x:v>
      </x:c>
      <x:c r="J397" s="0"/>
      <x:c r="K397" s="6">
        <x:v>46303.921445486114</x:v>
      </x:c>
      <x:c r="L397" t="str" s="2">
        <x:v>Contacted</x:v>
      </x:c>
    </x:row>
    <x:row r="398">
      <x:c r="A398" t="str" s="2">
        <x:f>="Tonya Wilkerson"</x:f>
      </x:c>
      <x:c r="B398" t="str" s="2">
        <x:v>Heritage Housing of Albany</x:v>
      </x:c>
      <x:c r="C398" t="str" s="2">
        <x:v/>
      </x:c>
      <x:c r="D398" t="str" s="2">
        <x:v>2292162991</x:v>
      </x:c>
      <x:c r="E398" t="str" s="2">
        <x:v>tonyaannwilkerson17@gmail.com</x:v>
      </x:c>
      <x:c r="F398" t="str" s="2">
        <x:v>Financing Form</x:v>
      </x:c>
      <x:c r="G398" t="str" s="2">
        <x:v>Yanet Alvarez</x:v>
      </x:c>
      <x:c r="H398" s="6">
        <x:v>46239.75134918981</x:v>
      </x:c>
      <x:c r="I398" s="0"/>
      <x:c r="J398" s="0"/>
      <x:c r="K398" s="6">
        <x:v>46281.832640625</x:v>
      </x:c>
      <x:c r="L398" t="str" s="2">
        <x:v>Contacted</x:v>
      </x:c>
    </x:row>
    <x:row r="399">
      <x:c r="A399" t="str" s="2">
        <x:f>="Rita Floyd"</x:f>
      </x:c>
      <x:c r="B399" t="str" s="2">
        <x:v>Heritage Housing of Augusta</x:v>
      </x:c>
      <x:c r="C399" t="str" s="2">
        <x:v>0/1</x:v>
      </x:c>
      <x:c r="D399" t="str" s="2">
        <x:v>8037572527</x:v>
      </x:c>
      <x:c r="E399" t="str" s="2">
        <x:v>mush6983@gmail.com</x:v>
      </x:c>
      <x:c r="F399" t="str" s="2">
        <x:v>Landing_BPM</x:v>
      </x:c>
      <x:c r="G399" t="str" s="2">
        <x:v>Jennifer Johnson</x:v>
      </x:c>
      <x:c r="H399" s="6">
        <x:v>46239.77838290509</x:v>
      </x:c>
      <x:c r="I399" s="0"/>
      <x:c r="J399" s="0"/>
      <x:c r="K399" s="6">
        <x:v>46298.58290454861</x:v>
      </x:c>
      <x:c r="L399" t="str" s="2">
        <x:v>Contacted</x:v>
      </x:c>
    </x:row>
    <x:row r="400">
      <x:c r="A400" t="str" s="2">
        <x:f>="Jimmy Lewis"</x:f>
      </x:c>
      <x:c r="B400" t="str" s="2">
        <x:v>Heritage Housing of Jennings</x:v>
      </x:c>
      <x:c r="C400" t="str" s="2">
        <x:v/>
      </x:c>
      <x:c r="D400" t="str" s="2">
        <x:v>3372840355</x:v>
      </x:c>
      <x:c r="E400" t="str" s="2">
        <x:v>lewisjimmy437@gmail.com</x:v>
      </x:c>
      <x:c r="F400" t="str" s="2">
        <x:v>Landing_BPM</x:v>
      </x:c>
      <x:c r="G400" t="str" s="2">
        <x:v>Clint O'Neal</x:v>
      </x:c>
      <x:c r="H400" s="6">
        <x:v>46239.802773414354</x:v>
      </x:c>
      <x:c r="I400" s="0"/>
      <x:c r="J400" s="0"/>
      <x:c r="K400" s="6">
        <x:v>46289.62198445602</x:v>
      </x:c>
      <x:c r="L400" t="str" s="2">
        <x:v>Contacted</x:v>
      </x:c>
    </x:row>
    <x:row r="401">
      <x:c r="A401" t="str" s="2">
        <x:f>=HYPERLINK("https://rsms.futurehomex.com/lead/38966", "Juanita Council")</x:f>
      </x:c>
      <x:c r="B401" t="str" s="2">
        <x:v>Legacy Housing Corp. DBA Americasa</x:v>
      </x:c>
      <x:c r="C401" t="str" s="2">
        <x:v/>
      </x:c>
      <x:c r="D401" t="str" s="2">
        <x:v>3462069482</x:v>
      </x:c>
      <x:c r="E401" t="str" s="2">
        <x:v>Juaajuaa03@gmail.com</x:v>
      </x:c>
      <x:c r="F401" t="str" s="2">
        <x:v>Landing_BPM</x:v>
      </x:c>
      <x:c r="G401" t="str" s="2">
        <x:v>Rodrigo Ramirez</x:v>
      </x:c>
      <x:c r="H401" s="6">
        <x:v>46239.8331715625</x:v>
      </x:c>
      <x:c r="I401" t="str" s="2">
        <x:v>Jose Parada</x:v>
      </x:c>
      <x:c r="J401" s="0"/>
      <x:c r="K401" s="6">
        <x:v>46239.88411859954</x:v>
      </x:c>
      <x:c r="L401" t="str" s="2">
        <x:v>Contacted</x:v>
      </x:c>
    </x:row>
    <x:row r="402">
      <x:c r="A402" t="str" s="2">
        <x:f>=HYPERLINK("https://rsms.futurehomex.com/lead/38970", "Jessica Samford")</x:f>
      </x:c>
      <x:c r="B402" t="str" s="2">
        <x:v>Heritage Housing of Minden</x:v>
      </x:c>
      <x:c r="C402" t="str" s="2">
        <x:v>0/2</x:v>
      </x:c>
      <x:c r="D402" t="str" s="2">
        <x:v>3185781111</x:v>
      </x:c>
      <x:c r="E402" t="str" s="2">
        <x:v>JSanford1949.jas@gmail.com</x:v>
      </x:c>
      <x:c r="F402" t="str" s="2">
        <x:v>Google Ads</x:v>
      </x:c>
      <x:c r="G402" t="str" s="2">
        <x:v>Patrick Schuchart</x:v>
      </x:c>
      <x:c r="H402" s="6">
        <x:v>46239.92861585648</x:v>
      </x:c>
      <x:c r="I402" t="str" s="2">
        <x:v>Patrick Schuchart</x:v>
      </x:c>
      <x:c r="J402" s="0"/>
      <x:c r="K402" s="6">
        <x:v>46245.71371200232</x:v>
      </x:c>
      <x:c r="L402" t="str" s="2">
        <x:v>Contacted</x:v>
      </x:c>
    </x:row>
    <x:row r="403">
      <x:c r="A403" t="str" s="2">
        <x:f>="Dorothy White"</x:f>
      </x:c>
      <x:c r="B403" t="str" s="2">
        <x:v>Heritage Housing of Augusta</x:v>
      </x:c>
      <x:c r="C403" t="str" s="2">
        <x:v>1/3</x:v>
      </x:c>
      <x:c r="D403" t="str" s="2">
        <x:v>7622420046</x:v>
      </x:c>
      <x:c r="E403" t="str" s="2">
        <x:v>peeweerecee@yahoo.com</x:v>
      </x:c>
      <x:c r="F403" t="str" s="2">
        <x:v>Website</x:v>
      </x:c>
      <x:c r="G403" t="str" s="2">
        <x:v>Faye Lively</x:v>
      </x:c>
      <x:c r="H403" s="6">
        <x:v>46239.99686866898</x:v>
      </x:c>
      <x:c r="I403" s="0"/>
      <x:c r="J403" s="0"/>
      <x:c r="K403" s="6">
        <x:v>46275.91188854167</x:v>
      </x:c>
      <x:c r="L403" t="str" s="2">
        <x:v>Contacted</x:v>
      </x:c>
    </x:row>
    <x:row r="404">
      <x:c r="A404" t="str" s="2">
        <x:f>="Meagan Baxter"</x:f>
      </x:c>
      <x:c r="B404" t="str" s="2">
        <x:v>Heritage Housing of Albany</x:v>
      </x:c>
      <x:c r="C404" t="str" s="2">
        <x:v/>
      </x:c>
      <x:c r="D404" t="str" s="2">
        <x:v>7755010234</x:v>
      </x:c>
      <x:c r="E404" t="str" s="2">
        <x:v>megrbaxter@gmail.com</x:v>
      </x:c>
      <x:c r="F404" t="str" s="2">
        <x:v>Landing_BPM</x:v>
      </x:c>
      <x:c r="G404" t="str" s="2">
        <x:v>Yanet Alvarez</x:v>
      </x:c>
      <x:c r="H404" s="6">
        <x:v>46240.04801107639</x:v>
      </x:c>
      <x:c r="I404" s="0"/>
      <x:c r="J404" s="0"/>
      <x:c r="K404" s="6">
        <x:v>46289.80897604167</x:v>
      </x:c>
      <x:c r="L404" t="str" s="2">
        <x:v>Contacted</x:v>
      </x:c>
    </x:row>
    <x:row r="405">
      <x:c r="A405" t="str" s="2">
        <x:f>="Abigail Miller"</x:f>
      </x:c>
      <x:c r="B405" t="str" s="2">
        <x:v>Heritage Housing of Minden</x:v>
      </x:c>
      <x:c r="C405" t="str" s="2">
        <x:v>0/3</x:v>
      </x:c>
      <x:c r="D405" t="str" s="2">
        <x:v>3185409539</x:v>
      </x:c>
      <x:c r="E405" t="str" s="2">
        <x:v>abbyabberz1212@gmail.com</x:v>
      </x:c>
      <x:c r="F405" t="str" s="2">
        <x:v>Landing_BPM</x:v>
      </x:c>
      <x:c r="G405" t="str" s="2">
        <x:v>Patrick Schuchart</x:v>
      </x:c>
      <x:c r="H405" s="6">
        <x:v>46240.058105324075</x:v>
      </x:c>
      <x:c r="I405" s="0"/>
      <x:c r="J405" s="0"/>
      <x:c r="K405" s="6">
        <x:v>46261.919321608795</x:v>
      </x:c>
      <x:c r="L405" t="str" s="2">
        <x:v>Contacted</x:v>
      </x:c>
    </x:row>
    <x:row r="406">
      <x:c r="A406" t="str" s="2">
        <x:f>=HYPERLINK("https://rsms.futurehomex.com/lead/38978", "Jose Vergara")</x:f>
      </x:c>
      <x:c r="B406" t="str" s="2">
        <x:v>Legacy Housing Corp. DBA Americasa</x:v>
      </x:c>
      <x:c r="C406" t="str" s="2">
        <x:v/>
      </x:c>
      <x:c r="D406" t="str" s="2">
        <x:v>8327554444</x:v>
      </x:c>
      <x:c r="E406" t="str" s="2">
        <x:v>beroma3@yahoo.com</x:v>
      </x:c>
      <x:c r="F406" t="str" s="2">
        <x:v>Landing_BPM</x:v>
      </x:c>
      <x:c r="G406" t="str" s="2">
        <x:v>Rodrigo Ramirez</x:v>
      </x:c>
      <x:c r="H406" s="6">
        <x:v>46240.07400609954</x:v>
      </x:c>
      <x:c r="I406" t="str" s="2">
        <x:v>Jose Parada</x:v>
      </x:c>
      <x:c r="J406" s="0"/>
      <x:c r="K406" s="6">
        <x:v>46240.77132399305</x:v>
      </x:c>
      <x:c r="L406" t="str" s="2">
        <x:v>Contacted</x:v>
      </x:c>
    </x:row>
    <x:row r="407">
      <x:c r="A407" t="str" s="2">
        <x:f>="Miranda Watler-Diaz"</x:f>
      </x:c>
      <x:c r="B407" t="str" s="2">
        <x:v>Heritage Housing of Tulsa</x:v>
      </x:c>
      <x:c r="C407" t="str" s="2">
        <x:v/>
      </x:c>
      <x:c r="D407" t="str" s="2">
        <x:v>7192212811</x:v>
      </x:c>
      <x:c r="E407" t="str" s="2">
        <x:v>Mirandawatler@yahoo.com</x:v>
      </x:c>
      <x:c r="F407" t="str" s="2">
        <x:v>Website</x:v>
      </x:c>
      <x:c r="G407" t="str" s="2">
        <x:v>Jenna Fransisco</x:v>
      </x:c>
      <x:c r="H407" s="6">
        <x:v>46240.12278834491</x:v>
      </x:c>
      <x:c r="I407" s="0"/>
      <x:c r="J407" s="0"/>
      <x:c r="K407" s="6">
        <x:v>46251.93334340278</x:v>
      </x:c>
      <x:c r="L407" t="str" s="2">
        <x:v>Contacted</x:v>
      </x:c>
    </x:row>
    <x:row r="408">
      <x:c r="A408" t="str" s="2">
        <x:f>="Robertrer RyanrerGM"</x:f>
      </x:c>
      <x:c r="B408" t="str" s="2">
        <x:v>Heritage Housing of Greenville</x:v>
      </x:c>
      <x:c r="C408" t="str" s="2">
        <x:v/>
      </x:c>
      <x:c r="D408" t="str" s="2">
        <x:v>87795225481</x:v>
      </x:c>
      <x:c r="E408" t="str" s="2">
        <x:v>dbnpaod@ujgwtlc.lgd</x:v>
      </x:c>
      <x:c r="F408" t="str" s="2">
        <x:v>Website</x:v>
      </x:c>
      <x:c r="G408" t="str" s="2">
        <x:v>Brooklynn Allen</x:v>
      </x:c>
      <x:c r="H408" s="6">
        <x:v>46240.1967724537</x:v>
      </x:c>
      <x:c r="I408" s="0"/>
      <x:c r="J408" s="0"/>
      <x:c r="K408" s="6">
        <x:v>46253.64917596065</x:v>
      </x:c>
      <x:c r="L408" t="str" s="2">
        <x:v>Contacted</x:v>
      </x:c>
    </x:row>
    <x:row r="409">
      <x:c r="A409" t="str" s="2">
        <x:f>="Savanah Wood"</x:f>
      </x:c>
      <x:c r="B409" t="str" s="2">
        <x:v>Heritage Housing of Tulsa</x:v>
      </x:c>
      <x:c r="C409" t="str" s="2">
        <x:v/>
      </x:c>
      <x:c r="D409" t="str" s="2">
        <x:v>9188073014</x:v>
      </x:c>
      <x:c r="E409" t="str" s="2">
        <x:v>savrainejessup33@gmail.com</x:v>
      </x:c>
      <x:c r="F409" t="str" s="2">
        <x:v>Landing_BPM</x:v>
      </x:c>
      <x:c r="G409" t="str" s="2">
        <x:v>Jenna Fransisco</x:v>
      </x:c>
      <x:c r="H409" s="6">
        <x:v>46240.64995586806</x:v>
      </x:c>
      <x:c r="I409" s="0"/>
      <x:c r="J409" s="0"/>
      <x:c r="K409" s="6">
        <x:v>46254.6660477662</x:v>
      </x:c>
      <x:c r="L409" t="str" s="2">
        <x:v>Contacted</x:v>
      </x:c>
    </x:row>
    <x:row r="410">
      <x:c r="A410" t="str" s="2">
        <x:f>=HYPERLINK("https://rsms.futurehomex.com/lead/39553", "Julio C Gallardo")</x:f>
      </x:c>
      <x:c r="B410" t="str" s="2">
        <x:v>Legacy Housing Corp. DBA Americasa</x:v>
      </x:c>
      <x:c r="C410" t="str" s="2">
        <x:v/>
      </x:c>
      <x:c r="D410" t="str" s="2">
        <x:v>6025172429</x:v>
      </x:c>
      <x:c r="E410" t="str" s="2">
        <x:v>csjcg2007@gmail.com</x:v>
      </x:c>
      <x:c r="F410" t="str" s="2">
        <x:v>Referrals</x:v>
      </x:c>
      <x:c r="G410" t="str" s="2">
        <x:v>Rodrigo Ramirez</x:v>
      </x:c>
      <x:c r="H410" s="6">
        <x:v>46240.675251423614</x:v>
      </x:c>
      <x:c r="I410" t="str" s="2">
        <x:v>Joey Marquez</x:v>
      </x:c>
      <x:c r="J410" s="6">
        <x:v>46263.666666666664</x:v>
      </x:c>
      <x:c r="K410" s="6">
        <x:v>46266.94682295139</x:v>
      </x:c>
      <x:c r="L410" t="str" s="2">
        <x:v>Contacted</x:v>
      </x:c>
    </x:row>
    <x:row r="411">
      <x:c r="A411" t="str" s="2">
        <x:f>=HYPERLINK("https://rsms.futurehomex.com/lead/38982", "Mack Myles")</x:f>
      </x:c>
      <x:c r="B411" t="str" s="2">
        <x:v>Heritage Housing of Minden</x:v>
      </x:c>
      <x:c r="C411" t="str" s="2">
        <x:v>0/2</x:v>
      </x:c>
      <x:c r="D411" t="str" s="2">
        <x:v>3185369827</x:v>
      </x:c>
      <x:c r="E411" t="str" s="2">
        <x:v>3185369827</x:v>
      </x:c>
      <x:c r="F411" t="str" s="2">
        <x:v>Walk-in</x:v>
      </x:c>
      <x:c r="G411" t="str" s="2">
        <x:v>Kyla Brown</x:v>
      </x:c>
      <x:c r="H411" s="6">
        <x:v>46240.8816366088</x:v>
      </x:c>
      <x:c r="I411" t="str" s="2">
        <x:v>Kyla Brown</x:v>
      </x:c>
      <x:c r="J411" s="0"/>
      <x:c r="K411" s="6">
        <x:v>46256.70061420139</x:v>
      </x:c>
      <x:c r="L411" t="str" s="2">
        <x:v>Contacted</x:v>
      </x:c>
    </x:row>
    <x:row r="412">
      <x:c r="A412" t="str" s="2">
        <x:f>="Alexis Sanchez"</x:f>
      </x:c>
      <x:c r="B412" t="str" s="2">
        <x:v>Heritage Housing of Albany</x:v>
      </x:c>
      <x:c r="C412" t="str" s="2">
        <x:v/>
      </x:c>
      <x:c r="D412" t="str" s="2">
        <x:v>4076184951</x:v>
      </x:c>
      <x:c r="E412" t="str" s="2">
        <x:v>luckster1990@gmail.com</x:v>
      </x:c>
      <x:c r="F412" t="str" s="2">
        <x:v>Landing_BPM</x:v>
      </x:c>
      <x:c r="G412" t="str" s="2">
        <x:v>Yanet Alvarez</x:v>
      </x:c>
      <x:c r="H412" s="6">
        <x:v>46240.889850810185</x:v>
      </x:c>
      <x:c r="I412" s="0"/>
      <x:c r="J412" s="0"/>
      <x:c r="K412" s="6">
        <x:v>46281.722775381946</x:v>
      </x:c>
      <x:c r="L412" t="str" s="2">
        <x:v>Contacted</x:v>
      </x:c>
    </x:row>
    <x:row r="413">
      <x:c r="A413" t="str" s="2">
        <x:f>="Juan Miguel"</x:f>
      </x:c>
      <x:c r="B413" t="str" s="2">
        <x:v>Heritage Housing Gainesville</x:v>
      </x:c>
      <x:c r="C413" t="str" s="2">
        <x:v/>
      </x:c>
      <x:c r="D413" t="str" s="2">
        <x:v>6786301308</x:v>
      </x:c>
      <x:c r="E413" t="str" s="2">
        <x:v>juangavito79@gmail.com</x:v>
      </x:c>
      <x:c r="F413" t="str" s="2">
        <x:v>Landing_BPM</x:v>
      </x:c>
      <x:c r="G413" t="str" s="2">
        <x:v>Jeniffer Arellano</x:v>
      </x:c>
      <x:c r="H413" s="6">
        <x:v>46241.142819872686</x:v>
      </x:c>
      <x:c r="I413" s="0"/>
      <x:c r="J413" s="0"/>
      <x:c r="K413" s="6">
        <x:v>46296.788551238424</x:v>
      </x:c>
      <x:c r="L413" t="str" s="2">
        <x:v>Contacted</x:v>
      </x:c>
    </x:row>
    <x:row r="414">
      <x:c r="A414" t="str" s="2">
        <x:f>="Chasity Thompson"</x:f>
      </x:c>
      <x:c r="B414" t="str" s="2">
        <x:v>Heritage Housing of Minden</x:v>
      </x:c>
      <x:c r="C414" t="str" s="2">
        <x:v>0/3</x:v>
      </x:c>
      <x:c r="D414" t="str" s="2">
        <x:v>3185921345</x:v>
      </x:c>
      <x:c r="E414" t="str" s="2">
        <x:v>leanne19873t@gmail.com</x:v>
      </x:c>
      <x:c r="F414" t="str" s="2">
        <x:v>Landing_BPM</x:v>
      </x:c>
      <x:c r="G414" t="str" s="2">
        <x:v>Kyla Brown</x:v>
      </x:c>
      <x:c r="H414" s="6">
        <x:v>46241.27978429398</x:v>
      </x:c>
      <x:c r="I414" s="0"/>
      <x:c r="J414" s="0"/>
      <x:c r="K414" s="6">
        <x:v>46282.79457091435</x:v>
      </x:c>
      <x:c r="L414" t="str" s="2">
        <x:v>Contacted</x:v>
      </x:c>
    </x:row>
    <x:row r="415">
      <x:c r="A415" t="str" s="2">
        <x:f>="Justin Huggins"</x:f>
      </x:c>
      <x:c r="B415" t="str" s="2">
        <x:v>Heritage Housing of Tulsa</x:v>
      </x:c>
      <x:c r="C415" t="str" s="2">
        <x:v>0/1</x:v>
      </x:c>
      <x:c r="D415" t="str" s="2">
        <x:v>9185655890</x:v>
      </x:c>
      <x:c r="E415" t="str" s="2">
        <x:v>justinlhuggins@gmail.com</x:v>
      </x:c>
      <x:c r="F415" t="str" s="2">
        <x:v>LandingPage</x:v>
      </x:c>
      <x:c r="G415" t="str" s="2">
        <x:v>Jenna Fransisco</x:v>
      </x:c>
      <x:c r="H415" s="6">
        <x:v>46241.62284884259</x:v>
      </x:c>
      <x:c r="I415" s="0"/>
      <x:c r="J415" s="0"/>
      <x:c r="K415" s="6">
        <x:v>46251.89271982639</x:v>
      </x:c>
      <x:c r="L415" t="str" s="2">
        <x:v>Contacted</x:v>
      </x:c>
    </x:row>
    <x:row r="416">
      <x:c r="A416" t="str" s="2">
        <x:f>="Freddy Wilson"</x:f>
      </x:c>
      <x:c r="B416" t="str" s="2">
        <x:v>Heritage Housing of Minden</x:v>
      </x:c>
      <x:c r="C416" t="str" s="2">
        <x:v>0/3</x:v>
      </x:c>
      <x:c r="D416" t="str" s="2">
        <x:v>3187168920</x:v>
      </x:c>
      <x:c r="E416" t="str" s="2">
        <x:v>3187168920</x:v>
      </x:c>
      <x:c r="F416" t="str" s="2">
        <x:v>HH - Minden</x:v>
      </x:c>
      <x:c r="G416" t="str" s="2">
        <x:v>Patrick Schuchart</x:v>
      </x:c>
      <x:c r="H416" s="6">
        <x:v>46241.637419479164</x:v>
      </x:c>
      <x:c r="I416" s="0"/>
      <x:c r="J416" s="6">
        <x:v>46241.791666666664</x:v>
      </x:c>
      <x:c r="K416" s="6">
        <x:v>46248.8361659375</x:v>
      </x:c>
      <x:c r="L416" t="str" s="2">
        <x:v>Contacted</x:v>
      </x:c>
    </x:row>
    <x:row r="417">
      <x:c r="A417" t="str" s="2">
        <x:f>="Angela Thomas"</x:f>
      </x:c>
      <x:c r="B417" t="str" s="2">
        <x:v>Heritage Housing of Athens</x:v>
      </x:c>
      <x:c r="C417" t="str" s="2">
        <x:v/>
      </x:c>
      <x:c r="D417" t="str" s="2">
        <x:v>4042774237</x:v>
      </x:c>
      <x:c r="E417" t="str" s="2">
        <x:v>jdorthy92@gmail.com</x:v>
      </x:c>
      <x:c r="F417" t="str" s="2">
        <x:v>Landing_BPM</x:v>
      </x:c>
      <x:c r="G417" t="str" s="2">
        <x:v>Nathan Bishop</x:v>
      </x:c>
      <x:c r="H417" s="6">
        <x:v>46241.67195023148</x:v>
      </x:c>
      <x:c r="I417" s="0"/>
      <x:c r="J417" s="0"/>
      <x:c r="K417" s="6">
        <x:v>46289.632715775464</x:v>
      </x:c>
      <x:c r="L417" t="str" s="2">
        <x:v>Contacted</x:v>
      </x:c>
    </x:row>
    <x:row r="418">
      <x:c r="A418" t="str" s="2">
        <x:f>="Larry Pace"</x:f>
      </x:c>
      <x:c r="B418" t="str" s="2">
        <x:v>Heritage Housing of Albany</x:v>
      </x:c>
      <x:c r="C418" t="str" s="2">
        <x:v>0/1</x:v>
      </x:c>
      <x:c r="D418" t="str" s="2">
        <x:v>4064396316</x:v>
      </x:c>
      <x:c r="E418" t="str" s="2">
        <x:v>larrypace46@gmail.com</x:v>
      </x:c>
      <x:c r="F418" t="str" s="2">
        <x:v>Financing Form</x:v>
      </x:c>
      <x:c r="G418" t="str" s="2">
        <x:v>Yanet Alvarez</x:v>
      </x:c>
      <x:c r="H418" s="6">
        <x:v>46241.8767196412</x:v>
      </x:c>
      <x:c r="I418" s="0"/>
      <x:c r="J418" s="0"/>
      <x:c r="K418" s="6">
        <x:v>46288.61445107639</x:v>
      </x:c>
      <x:c r="L418" t="str" s="2">
        <x:v>Contacted</x:v>
      </x:c>
    </x:row>
    <x:row r="419">
      <x:c r="A419" t="str" s="2">
        <x:f>="Tara Volpe"</x:f>
      </x:c>
      <x:c r="B419" t="str" s="2">
        <x:v>Heritage Housing of Greenville</x:v>
      </x:c>
      <x:c r="C419" t="str" s="2">
        <x:v/>
      </x:c>
      <x:c r="D419" t="str" s="2">
        <x:v>2148757117</x:v>
      </x:c>
      <x:c r="E419" t="str" s="2">
        <x:v>taramvolpe@yahoo.com</x:v>
      </x:c>
      <x:c r="F419" t="str" s="2">
        <x:v>Website</x:v>
      </x:c>
      <x:c r="G419" t="str" s="2">
        <x:v>Brooklynn Allen</x:v>
      </x:c>
      <x:c r="H419" s="6">
        <x:v>46242.27539116898</x:v>
      </x:c>
      <x:c r="I419" s="0"/>
      <x:c r="J419" s="0"/>
      <x:c r="K419" s="6">
        <x:v>46253.645882094905</x:v>
      </x:c>
      <x:c r="L419" t="str" s="2">
        <x:v>Contacted</x:v>
      </x:c>
    </x:row>
    <x:row r="420">
      <x:c r="A420" t="str" s="2">
        <x:f>="Patrick Langley"</x:f>
      </x:c>
      <x:c r="B420" t="str" s="2">
        <x:v>Heritage Housing of Minden</x:v>
      </x:c>
      <x:c r="C420" t="str" s="2">
        <x:v>0/4</x:v>
      </x:c>
      <x:c r="D420" t="str" s="2">
        <x:v>31829476097</x:v>
      </x:c>
      <x:c r="E420" t="str" s="2">
        <x:v>patricklang1973@gmail.com</x:v>
      </x:c>
      <x:c r="F420" t="str" s="2">
        <x:v>Landing_BPM</x:v>
      </x:c>
      <x:c r="G420" t="str" s="2">
        <x:v>Patrick Schuchart</x:v>
      </x:c>
      <x:c r="H420" s="6">
        <x:v>46242.39798217593</x:v>
      </x:c>
      <x:c r="I420" s="0"/>
      <x:c r="J420" s="0"/>
      <x:c r="K420" s="6">
        <x:v>46282.793877511576</x:v>
      </x:c>
      <x:c r="L420" t="str" s="2">
        <x:v>Contacted</x:v>
      </x:c>
    </x:row>
    <x:row r="421">
      <x:c r="A421" t="str" s="2">
        <x:f>="Gloria Tinson"</x:f>
      </x:c>
      <x:c r="B421" t="str" s="2">
        <x:v>Heritage Housing of Albany</x:v>
      </x:c>
      <x:c r="C421" t="str" s="2">
        <x:v/>
      </x:c>
      <x:c r="D421" t="str" s="2">
        <x:v>2292909591</x:v>
      </x:c>
      <x:c r="E421" t="str" s="2">
        <x:v>gloroatinson22023@gmail.com</x:v>
      </x:c>
      <x:c r="F421" t="str" s="2">
        <x:v>Landing_BPM</x:v>
      </x:c>
      <x:c r="G421" t="str" s="2">
        <x:v>Yanet Alvarez</x:v>
      </x:c>
      <x:c r="H421" s="6">
        <x:v>46242.488306099534</x:v>
      </x:c>
      <x:c r="I421" s="0"/>
      <x:c r="J421" s="0"/>
      <x:c r="K421" s="6">
        <x:v>46293.58805917824</x:v>
      </x:c>
      <x:c r="L421" t="str" s="2">
        <x:v>Contacted</x:v>
      </x:c>
    </x:row>
    <x:row r="422">
      <x:c r="A422" t="str" s="2">
        <x:f>="Paul Ellis"</x:f>
      </x:c>
      <x:c r="B422" t="str" s="2">
        <x:v>Heritage Housing Mt Pleasant</x:v>
      </x:c>
      <x:c r="C422" t="str" s="2">
        <x:v/>
      </x:c>
      <x:c r="D422" t="str" s="2">
        <x:v>9032637889</x:v>
      </x:c>
      <x:c r="E422" t="str" s="2">
        <x:v>bossellis72@gmail.com</x:v>
      </x:c>
      <x:c r="F422" t="str" s="2">
        <x:v>Landing_BPM</x:v>
      </x:c>
      <x:c r="G422" t="str" s="2">
        <x:v>Yarelis Torres</x:v>
      </x:c>
      <x:c r="H422" s="6">
        <x:v>46242.58299618056</x:v>
      </x:c>
      <x:c r="I422" s="0"/>
      <x:c r="J422" s="0"/>
      <x:c r="K422" s="6">
        <x:v>46266.937396724534</x:v>
      </x:c>
      <x:c r="L422" t="str" s="2">
        <x:v>Contacted</x:v>
      </x:c>
    </x:row>
    <x:row r="423">
      <x:c r="A423" t="str" s="2">
        <x:f>="Jason borden"</x:f>
      </x:c>
      <x:c r="B423" t="str" s="2">
        <x:v>Heritage Housing of Albany</x:v>
      </x:c>
      <x:c r="C423" t="str" s="2">
        <x:v/>
      </x:c>
      <x:c r="D423" t="str" s="2">
        <x:v>9038011019</x:v>
      </x:c>
      <x:c r="E423" t="str" s="2">
        <x:v>jasonnorden12@gmail.com</x:v>
      </x:c>
      <x:c r="F423" t="str" s="2">
        <x:v>Financing Form</x:v>
      </x:c>
      <x:c r="G423" t="str" s="2">
        <x:v>Yanet Alvarez</x:v>
      </x:c>
      <x:c r="H423" s="6">
        <x:v>46242.597604166665</x:v>
      </x:c>
      <x:c r="I423" s="0"/>
      <x:c r="J423" s="0"/>
      <x:c r="K423" s="6">
        <x:v>46280.895632141204</x:v>
      </x:c>
      <x:c r="L423" t="str" s="2">
        <x:v>Contacted</x:v>
      </x:c>
    </x:row>
    <x:row r="424">
      <x:c r="A424" t="str" s="2">
        <x:f>="Derrell Lewis"</x:f>
      </x:c>
      <x:c r="B424" t="str" s="2">
        <x:v>Heritage Housing of Augusta</x:v>
      </x:c>
      <x:c r="C424" t="str" s="2">
        <x:v/>
      </x:c>
      <x:c r="D424" t="str" s="2">
        <x:v>9123347785</x:v>
      </x:c>
      <x:c r="E424" t="str" s="2">
        <x:v>derrell.lewis8@gmail.com</x:v>
      </x:c>
      <x:c r="F424" t="str" s="2">
        <x:v>Landing_BPM</x:v>
      </x:c>
      <x:c r="G424" t="str" s="2">
        <x:v>Jennifer Johnson</x:v>
      </x:c>
      <x:c r="H424" s="6">
        <x:v>46242.646217511574</x:v>
      </x:c>
      <x:c r="I424" s="0"/>
      <x:c r="J424" s="0"/>
      <x:c r="K424" s="6">
        <x:v>46300.82709247685</x:v>
      </x:c>
      <x:c r="L424" t="str" s="2">
        <x:v>Contacted</x:v>
      </x:c>
    </x:row>
    <x:row r="425">
      <x:c r="A425" t="str" s="2">
        <x:f>="Tasha Granier"</x:f>
      </x:c>
      <x:c r="B425" t="str" s="2">
        <x:v>Heritage Housing of Minden</x:v>
      </x:c>
      <x:c r="C425" t="str" s="2">
        <x:v>0/3</x:v>
      </x:c>
      <x:c r="D425" t="str" s="2">
        <x:v>2253321325</x:v>
      </x:c>
      <x:c r="E425" t="str" s="2">
        <x:v>tggranier@gmail.com</x:v>
      </x:c>
      <x:c r="F425" t="str" s="2">
        <x:v>Landing_BPM</x:v>
      </x:c>
      <x:c r="G425" t="str" s="2">
        <x:v>Kyla Brown</x:v>
      </x:c>
      <x:c r="H425" s="6">
        <x:v>46242.828453587965</x:v>
      </x:c>
      <x:c r="I425" s="0"/>
      <x:c r="J425" s="0"/>
      <x:c r="K425" s="6">
        <x:v>46282.793110844905</x:v>
      </x:c>
      <x:c r="L425" t="str" s="2">
        <x:v>Contacted</x:v>
      </x:c>
    </x:row>
    <x:row r="426">
      <x:c r="A426" t="str" s="2">
        <x:f>="Samora Porter"</x:f>
      </x:c>
      <x:c r="B426" t="str" s="2">
        <x:v>Heritage Housing of Minden</x:v>
      </x:c>
      <x:c r="C426" t="str" s="2">
        <x:v>1/7</x:v>
      </x:c>
      <x:c r="D426" t="str" s="2">
        <x:v>8184780376</x:v>
      </x:c>
      <x:c r="E426" t="str" s="2">
        <x:v>portsam1004@gmail.com</x:v>
      </x:c>
      <x:c r="F426" t="str" s="2">
        <x:v>Landing_BPM</x:v>
      </x:c>
      <x:c r="G426" t="str" s="2">
        <x:v>Patrick Schuchart</x:v>
      </x:c>
      <x:c r="H426" s="6">
        <x:v>46243.07282519676</x:v>
      </x:c>
      <x:c r="I426" s="0"/>
      <x:c r="J426" s="0"/>
      <x:c r="K426" s="6">
        <x:v>46269.78189846065</x:v>
      </x:c>
      <x:c r="L426" t="str" s="2">
        <x:v>Contacted</x:v>
      </x:c>
    </x:row>
    <x:row r="427">
      <x:c r="A427" t="str" s="2">
        <x:f>="Jewelle Houston"</x:f>
      </x:c>
      <x:c r="B427" t="str" s="2">
        <x:v>Heritage Housing of Minden</x:v>
      </x:c>
      <x:c r="C427" t="str" s="2">
        <x:v>0/2</x:v>
      </x:c>
      <x:c r="D427" t="str" s="2">
        <x:v>3185135353</x:v>
      </x:c>
      <x:c r="E427" t="str" s="2">
        <x:v>jewelleannalise@gmail.com</x:v>
      </x:c>
      <x:c r="F427" t="str" s="2">
        <x:v>Landing_BPM</x:v>
      </x:c>
      <x:c r="G427" t="str" s="2">
        <x:v>Kyla Brown</x:v>
      </x:c>
      <x:c r="H427" s="6">
        <x:v>46243.573932060186</x:v>
      </x:c>
      <x:c r="I427" s="0"/>
      <x:c r="J427" s="0"/>
      <x:c r="K427" s="6">
        <x:v>46261.915</x:v>
      </x:c>
      <x:c r="L427" t="str" s="2">
        <x:v>Contacted</x:v>
      </x:c>
    </x:row>
    <x:row r="428">
      <x:c r="A428" t="str" s="2">
        <x:f>="helen lee lee"</x:f>
      </x:c>
      <x:c r="B428" t="str" s="2">
        <x:v>Heritage Housing of Minden</x:v>
      </x:c>
      <x:c r="C428" t="str" s="2">
        <x:v>0/2</x:v>
      </x:c>
      <x:c r="D428" t="str" s="2">
        <x:v>3184134285</x:v>
      </x:c>
      <x:c r="E428" t="str" s="2">
        <x:v>helenannettel33@gmail.com</x:v>
      </x:c>
      <x:c r="F428" t="str" s="2">
        <x:v>LandingPage</x:v>
      </x:c>
      <x:c r="G428" t="str" s="2">
        <x:v>Patrick Schuchart</x:v>
      </x:c>
      <x:c r="H428" s="6">
        <x:v>46243.82498333333</x:v>
      </x:c>
      <x:c r="I428" s="0"/>
      <x:c r="J428" s="0"/>
      <x:c r="K428" s="6">
        <x:v>46261.914296296294</x:v>
      </x:c>
      <x:c r="L428" t="str" s="2">
        <x:v>Contacted</x:v>
      </x:c>
    </x:row>
    <x:row r="429">
      <x:c r="A429" t="str" s="2">
        <x:f>="Korea Harris"</x:f>
      </x:c>
      <x:c r="B429" t="str" s="2">
        <x:v>Heritage Housing of Albany</x:v>
      </x:c>
      <x:c r="C429" t="str" s="2">
        <x:v/>
      </x:c>
      <x:c r="D429" t="str" s="2">
        <x:v>4093642329</x:v>
      </x:c>
      <x:c r="E429" t="str" s="2">
        <x:v>klharris3712@gmail.com</x:v>
      </x:c>
      <x:c r="F429" t="str" s="2">
        <x:v>Landing_BPM</x:v>
      </x:c>
      <x:c r="G429" t="str" s="2">
        <x:v>Yanet Alvarez</x:v>
      </x:c>
      <x:c r="H429" s="6">
        <x:v>46243.904641284724</x:v>
      </x:c>
      <x:c r="I429" s="0"/>
      <x:c r="J429" s="0"/>
      <x:c r="K429" s="6">
        <x:v>46280.8972971875</x:v>
      </x:c>
      <x:c r="L429" t="str" s="2">
        <x:v>Contacted</x:v>
      </x:c>
    </x:row>
    <x:row r="430">
      <x:c r="A430" t="str" s="2">
        <x:f>="James Rachal"</x:f>
      </x:c>
      <x:c r="B430" t="str" s="2">
        <x:v>Heritage Housing of Minden</x:v>
      </x:c>
      <x:c r="C430" t="str" s="2">
        <x:v>0/2</x:v>
      </x:c>
      <x:c r="D430" t="str" s="2">
        <x:v>3182090220</x:v>
      </x:c>
      <x:c r="E430" t="str" s="2">
        <x:v>jderachal1955@gmail.com</x:v>
      </x:c>
      <x:c r="F430" t="str" s="2">
        <x:v>Financing Form</x:v>
      </x:c>
      <x:c r="G430" t="str" s="2">
        <x:v>Kyla Brown</x:v>
      </x:c>
      <x:c r="H430" s="6">
        <x:v>46244.70018684028</x:v>
      </x:c>
      <x:c r="I430" s="0"/>
      <x:c r="J430" s="0"/>
      <x:c r="K430" s="6">
        <x:v>46261.913409375</x:v>
      </x:c>
      <x:c r="L430" t="str" s="2">
        <x:v>Contacted</x:v>
      </x:c>
    </x:row>
    <x:row r="431">
      <x:c r="A431" t="str" s="2">
        <x:f>=HYPERLINK("https://rsms.futurehomex.com/lead/40369", "Therese Howell")</x:f>
      </x:c>
      <x:c r="B431" t="str" s="2">
        <x:v>Heritage Housing Gainesville</x:v>
      </x:c>
      <x:c r="C431" t="str" s="2">
        <x:v/>
      </x:c>
      <x:c r="D431" t="str" s="2">
        <x:v>9039210622</x:v>
      </x:c>
      <x:c r="E431" t="str" s="2">
        <x:v>howelltherese576@gmail.com</x:v>
      </x:c>
      <x:c r="F431" t="str" s="2">
        <x:v>Website</x:v>
      </x:c>
      <x:c r="G431" t="str" s="2">
        <x:v>Jeniffer Arellano</x:v>
      </x:c>
      <x:c r="H431" s="6">
        <x:v>46244.794333101854</x:v>
      </x:c>
      <x:c r="I431" t="str" s="2">
        <x:v>Kelly Ford</x:v>
      </x:c>
      <x:c r="J431" s="6">
        <x:v>46290.791666666664</x:v>
      </x:c>
      <x:c r="K431" s="6">
        <x:v>46303.81971971065</x:v>
      </x:c>
      <x:c r="L431" t="str" s="2">
        <x:v>Contacted</x:v>
      </x:c>
    </x:row>
    <x:row r="432">
      <x:c r="A432" t="str" s="2">
        <x:f>="Lekyla Carter"</x:f>
      </x:c>
      <x:c r="B432" t="str" s="2">
        <x:v>Heritage Housing Gainesville</x:v>
      </x:c>
      <x:c r="C432" t="str" s="2">
        <x:v/>
      </x:c>
      <x:c r="D432" t="str" s="2">
        <x:v>4705043079</x:v>
      </x:c>
      <x:c r="E432" t="str" s="2">
        <x:v>carterlekyla33@gmail.com</x:v>
      </x:c>
      <x:c r="F432" t="str" s="2">
        <x:v>Landing_BPM</x:v>
      </x:c>
      <x:c r="G432" t="str" s="2">
        <x:v>Jeniffer Arellano</x:v>
      </x:c>
      <x:c r="H432" s="6">
        <x:v>46244.825377546294</x:v>
      </x:c>
      <x:c r="I432" s="0"/>
      <x:c r="J432" s="0"/>
      <x:c r="K432" s="6">
        <x:v>46303.698403738425</x:v>
      </x:c>
      <x:c r="L432" t="str" s="2">
        <x:v>Contacted</x:v>
      </x:c>
    </x:row>
    <x:row r="433">
      <x:c r="A433" t="str" s="2">
        <x:f>="Crystal Jones"</x:f>
      </x:c>
      <x:c r="B433" t="str" s="2">
        <x:v>Heritage Housing of Albany</x:v>
      </x:c>
      <x:c r="C433" t="str" s="2">
        <x:v/>
      </x:c>
      <x:c r="D433" t="str" s="2">
        <x:v>2293293347</x:v>
      </x:c>
      <x:c r="E433" t="str" s="2">
        <x:v>crystalk0329@gmail.com</x:v>
      </x:c>
      <x:c r="F433" t="str" s="2">
        <x:v>Landing_BPM</x:v>
      </x:c>
      <x:c r="G433" t="str" s="2">
        <x:v>Yanet Alvarez</x:v>
      </x:c>
      <x:c r="H433" s="6">
        <x:v>46244.93041049768</x:v>
      </x:c>
      <x:c r="I433" s="0"/>
      <x:c r="J433" s="0"/>
      <x:c r="K433" s="6">
        <x:v>46302.558033761576</x:v>
      </x:c>
      <x:c r="L433" t="str" s="2">
        <x:v>Contacted</x:v>
      </x:c>
    </x:row>
    <x:row r="434">
      <x:c r="A434" t="str" s="2">
        <x:f>="Larry Smith"</x:f>
      </x:c>
      <x:c r="B434" t="str" s="2">
        <x:v>Heritage Housing of Minden</x:v>
      </x:c>
      <x:c r="C434" t="str" s="2">
        <x:v>0/2</x:v>
      </x:c>
      <x:c r="D434" t="str" s="2">
        <x:v>3184980328</x:v>
      </x:c>
      <x:c r="E434" t="str" s="2">
        <x:v>llillove2@aol.com</x:v>
      </x:c>
      <x:c r="F434" t="str" s="2">
        <x:v>Landing_BPM</x:v>
      </x:c>
      <x:c r="G434" t="str" s="2">
        <x:v>Patrick Schuchart</x:v>
      </x:c>
      <x:c r="H434" s="6">
        <x:v>46245.117831793985</x:v>
      </x:c>
      <x:c r="I434" s="0"/>
      <x:c r="J434" s="0"/>
      <x:c r="K434" s="6">
        <x:v>46265.90948854166</x:v>
      </x:c>
      <x:c r="L434" t="str" s="2">
        <x:v>Contacted</x:v>
      </x:c>
    </x:row>
    <x:row r="435">
      <x:c r="A435" t="str" s="2">
        <x:f>="Shannon Detrie"</x:f>
      </x:c>
      <x:c r="B435" t="str" s="2">
        <x:v>Heritage Housing of Asheboro</x:v>
      </x:c>
      <x:c r="C435" t="str" s="2">
        <x:v/>
      </x:c>
      <x:c r="D435" t="str" s="2">
        <x:v>8285791256</x:v>
      </x:c>
      <x:c r="E435" t="str" s="2">
        <x:v>shaeleywilkins@gmail.com</x:v>
      </x:c>
      <x:c r="F435" t="str" s="2">
        <x:v>Landing_BPM</x:v>
      </x:c>
      <x:c r="G435" t="str" s="2">
        <x:v>Joe Lopez</x:v>
      </x:c>
      <x:c r="H435" s="6">
        <x:v>46245.16447364583</x:v>
      </x:c>
      <x:c r="I435" s="0"/>
      <x:c r="J435" s="0"/>
      <x:c r="K435" s="6">
        <x:v>46296.59838769676</x:v>
      </x:c>
      <x:c r="L435" t="str" s="2">
        <x:v>Contacted</x:v>
      </x:c>
    </x:row>
    <x:row r="436">
      <x:c r="A436" t="str" s="2">
        <x:f>="Daniel Williams"</x:f>
      </x:c>
      <x:c r="B436" t="str" s="2">
        <x:v>Heritage Housing of Tulsa</x:v>
      </x:c>
      <x:c r="C436" t="str" s="2">
        <x:v/>
      </x:c>
      <x:c r="D436" t="str" s="2">
        <x:v>4175049589</x:v>
      </x:c>
      <x:c r="E436" t="str" s="2">
        <x:v>williamsdan.1991@yahoo.com</x:v>
      </x:c>
      <x:c r="F436" t="str" s="2">
        <x:v>Financing Form</x:v>
      </x:c>
      <x:c r="G436" t="str" s="2">
        <x:v>Jenna Fransisco</x:v>
      </x:c>
      <x:c r="H436" s="6">
        <x:v>46245.320132789355</x:v>
      </x:c>
      <x:c r="I436" s="0"/>
      <x:c r="J436" s="0"/>
      <x:c r="K436" s="6">
        <x:v>46251.91538394676</x:v>
      </x:c>
      <x:c r="L436" t="str" s="2">
        <x:v>Contacted</x:v>
      </x:c>
    </x:row>
    <x:row r="437">
      <x:c r="A437" t="str" s="2">
        <x:f>="Chaelena Kidd"</x:f>
      </x:c>
      <x:c r="B437" t="str" s="2">
        <x:v>Heritage Housing of Albany</x:v>
      </x:c>
      <x:c r="C437" t="str" s="2">
        <x:v/>
      </x:c>
      <x:c r="D437" t="str" s="2">
        <x:v>7065361678</x:v>
      </x:c>
      <x:c r="E437" t="str" s="2">
        <x:v>charlenakidd1961@gmail.com</x:v>
      </x:c>
      <x:c r="F437" t="str" s="2">
        <x:v>Financing Form</x:v>
      </x:c>
      <x:c r="G437" t="str" s="2">
        <x:v>Justin Johnson</x:v>
      </x:c>
      <x:c r="H437" s="6">
        <x:v>46245.46470474537</x:v>
      </x:c>
      <x:c r="I437" s="0"/>
      <x:c r="J437" s="0"/>
      <x:c r="K437" s="6">
        <x:v>46282.778039386576</x:v>
      </x:c>
      <x:c r="L437" t="str" s="2">
        <x:v>Contacted</x:v>
      </x:c>
    </x:row>
    <x:row r="438">
      <x:c r="A438" t="str" s="2">
        <x:f>="James Harris"</x:f>
      </x:c>
      <x:c r="B438" t="str" s="2">
        <x:v>Heritage Housing of Tulsa</x:v>
      </x:c>
      <x:c r="C438" t="str" s="2">
        <x:v>0/1</x:v>
      </x:c>
      <x:c r="D438" t="str" s="2">
        <x:v>4796522201</x:v>
      </x:c>
      <x:c r="E438" t="str" s="2">
        <x:v>tynaiam74@yahoo.com</x:v>
      </x:c>
      <x:c r="F438" t="str" s="2">
        <x:v>Financing Form</x:v>
      </x:c>
      <x:c r="G438" t="str" s="2">
        <x:v>Jenna Fransisco</x:v>
      </x:c>
      <x:c r="H438" s="6">
        <x:v>46245.51882075232</x:v>
      </x:c>
      <x:c r="I438" s="0"/>
      <x:c r="J438" s="0"/>
      <x:c r="K438" s="6">
        <x:v>46251.89383414352</x:v>
      </x:c>
      <x:c r="L438" t="str" s="2">
        <x:v>Contacted</x:v>
      </x:c>
    </x:row>
    <x:row r="439">
      <x:c r="A439" t="str" s="2">
        <x:f>="Molly Kennedy"</x:f>
      </x:c>
      <x:c r="B439" t="str" s="2">
        <x:v>Heritage Housing of Albany</x:v>
      </x:c>
      <x:c r="C439" t="str" s="2">
        <x:v/>
      </x:c>
      <x:c r="D439" t="str" s="2">
        <x:v>2294561202</x:v>
      </x:c>
      <x:c r="E439" t="str" s="2">
        <x:v>kennedymolly@yahoo.com</x:v>
      </x:c>
      <x:c r="F439" t="str" s="2">
        <x:v>Financing Form</x:v>
      </x:c>
      <x:c r="G439" t="str" s="2">
        <x:v>Yanet Alvarez</x:v>
      </x:c>
      <x:c r="H439" s="6">
        <x:v>46245.83265783565</x:v>
      </x:c>
      <x:c r="I439" s="0"/>
      <x:c r="J439" s="0"/>
      <x:c r="K439" s="6">
        <x:v>46303.86467704861</x:v>
      </x:c>
      <x:c r="L439" t="str" s="2">
        <x:v>Contacted</x:v>
      </x:c>
    </x:row>
    <x:row r="440">
      <x:c r="A440" t="str" s="2">
        <x:f>="Rachael Langston"</x:f>
      </x:c>
      <x:c r="B440" t="str" s="2">
        <x:v>Heritage Housing Gainesville</x:v>
      </x:c>
      <x:c r="C440" t="str" s="2">
        <x:v/>
      </x:c>
      <x:c r="D440" t="str" s="2">
        <x:v>9405395403</x:v>
      </x:c>
      <x:c r="E440" t="str" s="2">
        <x:v>rlangston3232@gmail.com</x:v>
      </x:c>
      <x:c r="F440" t="str" s="2">
        <x:v>Website</x:v>
      </x:c>
      <x:c r="G440" t="str" s="2">
        <x:v>Jeniffer Arellano</x:v>
      </x:c>
      <x:c r="H440" s="6">
        <x:v>46245.86992815972</x:v>
      </x:c>
      <x:c r="I440" s="0"/>
      <x:c r="J440" s="0"/>
      <x:c r="K440" s="6">
        <x:v>46303.69847982639</x:v>
      </x:c>
      <x:c r="L440" t="str" s="2">
        <x:v>Contacted</x:v>
      </x:c>
    </x:row>
    <x:row r="441">
      <x:c r="A441" t="str" s="2">
        <x:f>="Reba Cannon"</x:f>
      </x:c>
      <x:c r="B441" t="str" s="2">
        <x:v>Heritage Housing of Minden</x:v>
      </x:c>
      <x:c r="C441" t="str" s="2">
        <x:v>0/2</x:v>
      </x:c>
      <x:c r="D441" t="str" s="2">
        <x:v>3185787028</x:v>
      </x:c>
      <x:c r="E441" t="str" s="2">
        <x:v>rebacannon042024@gmail.com</x:v>
      </x:c>
      <x:c r="F441" t="str" s="2">
        <x:v>Landing_BPM</x:v>
      </x:c>
      <x:c r="G441" t="str" s="2">
        <x:v>Kyla Brown</x:v>
      </x:c>
      <x:c r="H441" s="6">
        <x:v>46246.7428284375</x:v>
      </x:c>
      <x:c r="I441" s="0"/>
      <x:c r="J441" s="0"/>
      <x:c r="K441" s="6">
        <x:v>46260.85887619213</x:v>
      </x:c>
      <x:c r="L441" t="str" s="2">
        <x:v>Contacted</x:v>
      </x:c>
    </x:row>
    <x:row r="442">
      <x:c r="A442" t="str" s="2">
        <x:f>="CHARLES LOVE"</x:f>
      </x:c>
      <x:c r="B442" t="str" s="2">
        <x:v>Heritage Housing Gainesville</x:v>
      </x:c>
      <x:c r="C442" t="str" s="2">
        <x:v/>
      </x:c>
      <x:c r="D442" t="str" s="2">
        <x:v>9402845044</x:v>
      </x:c>
      <x:c r="E442" t="str" s="2">
        <x:v>charlielove34x@gmail.com</x:v>
      </x:c>
      <x:c r="F442" t="str" s="2">
        <x:v>Website</x:v>
      </x:c>
      <x:c r="G442" t="str" s="2">
        <x:v>Jeniffer Arellano</x:v>
      </x:c>
      <x:c r="H442" s="6">
        <x:v>46246.86706878472</x:v>
      </x:c>
      <x:c r="I442" s="0"/>
      <x:c r="J442" s="0"/>
      <x:c r="K442" s="6">
        <x:v>46303.698811539354</x:v>
      </x:c>
      <x:c r="L442" t="str" s="2">
        <x:v>Contacted</x:v>
      </x:c>
    </x:row>
    <x:row r="443">
      <x:c r="A443" t="str" s="2">
        <x:f>=HYPERLINK("https://rsms.futurehomex.com/lead/39612", "SHERRY RUDD")</x:f>
      </x:c>
      <x:c r="B443" t="str" s="2">
        <x:v>Heritage Housing of Tulsa</x:v>
      </x:c>
      <x:c r="C443" t="str" s="2">
        <x:v/>
      </x:c>
      <x:c r="D443" t="str" s="2">
        <x:v>9185392292</x:v>
      </x:c>
      <x:c r="E443" t="str" s="2">
        <x:v>kbates65@yahoo.com</x:v>
      </x:c>
      <x:c r="F443" t="str" s="2">
        <x:v>Landing_BPM</x:v>
      </x:c>
      <x:c r="G443" t="str" s="2">
        <x:v>Jenna Fransisco</x:v>
      </x:c>
      <x:c r="H443" s="6">
        <x:v>46247.534140972224</x:v>
      </x:c>
      <x:c r="I443" t="str" s="2">
        <x:v>Trey Rixleben</x:v>
      </x:c>
      <x:c r="J443" s="0"/>
      <x:c r="K443" s="6">
        <x:v>46260.61186597222</x:v>
      </x:c>
      <x:c r="L443" t="str" s="2">
        <x:v>Contacted</x:v>
      </x:c>
    </x:row>
    <x:row r="444">
      <x:c r="A444" t="str" s="2">
        <x:f>=HYPERLINK("https://rsms.futurehomex.com/lead/39124", "Racheal Lott")</x:f>
      </x:c>
      <x:c r="B444" t="str" s="2">
        <x:v>Heritage Housing of Augusta</x:v>
      </x:c>
      <x:c r="C444" t="str" s="2">
        <x:v/>
      </x:c>
      <x:c r="D444" t="str" s="2">
        <x:v>8036453807</x:v>
      </x:c>
      <x:c r="E444" t="str" s="2">
        <x:v>lottracheal62@gmail.com</x:v>
      </x:c>
      <x:c r="F444" t="str" s="2">
        <x:v>Walk-in</x:v>
      </x:c>
      <x:c r="G444" t="str" s="2">
        <x:v>Faye Lively</x:v>
      </x:c>
      <x:c r="H444" s="6">
        <x:v>46247.64931461806</x:v>
      </x:c>
      <x:c r="I444" t="str" s="2">
        <x:v>Faye Lively</x:v>
      </x:c>
      <x:c r="J444" s="0"/>
      <x:c r="K444" s="6">
        <x:v>46248.57937688658</x:v>
      </x:c>
      <x:c r="L444" t="str" s="2">
        <x:v>Contacted</x:v>
      </x:c>
    </x:row>
    <x:row r="445">
      <x:c r="A445" t="str" s="2">
        <x:f>="Heath Smith"</x:f>
      </x:c>
      <x:c r="B445" t="str" s="2">
        <x:v>Heritage Housing of Albany</x:v>
      </x:c>
      <x:c r="C445" t="str" s="2">
        <x:v>0/2</x:v>
      </x:c>
      <x:c r="D445" t="str" s="2">
        <x:v>2054954478</x:v>
      </x:c>
      <x:c r="E445" t="str" s="2">
        <x:v>Heath_209@hotmail.com</x:v>
      </x:c>
      <x:c r="F445" t="str" s="2">
        <x:v>Financing Form</x:v>
      </x:c>
      <x:c r="G445" t="str" s="2">
        <x:v>Yanet Alvarez</x:v>
      </x:c>
      <x:c r="H445" s="6">
        <x:v>46247.6650559375</x:v>
      </x:c>
      <x:c r="I445" s="0"/>
      <x:c r="J445" s="0"/>
      <x:c r="K445" s="6">
        <x:v>46286.937964502315</x:v>
      </x:c>
      <x:c r="L445" t="str" s="2">
        <x:v>Contacted</x:v>
      </x:c>
    </x:row>
    <x:row r="446">
      <x:c r="A446" t="str" s="2">
        <x:f>="Aliesha Still"</x:f>
      </x:c>
      <x:c r="B446" t="str" s="2">
        <x:v>Heritage Housing of Minden</x:v>
      </x:c>
      <x:c r="C446" t="str" s="2">
        <x:v>1/8</x:v>
      </x:c>
      <x:c r="D446" t="str" s="2">
        <x:v>9034909032</x:v>
      </x:c>
      <x:c r="E446" t="str" s="2">
        <x:v>baliesha533@gmail.com</x:v>
      </x:c>
      <x:c r="F446" t="str" s="2">
        <x:v>Landing_BPM</x:v>
      </x:c>
      <x:c r="G446" t="str" s="2">
        <x:v>Patrick Schuchart</x:v>
      </x:c>
      <x:c r="H446" s="6">
        <x:v>46247.67661253472</x:v>
      </x:c>
      <x:c r="I446" s="0"/>
      <x:c r="J446" s="6">
        <x:v>46256.666666666664</x:v>
      </x:c>
      <x:c r="K446" s="6">
        <x:v>46297.9115940625</x:v>
      </x:c>
      <x:c r="L446" t="str" s="2">
        <x:v>Contacted</x:v>
      </x:c>
    </x:row>
    <x:row r="447">
      <x:c r="A447" t="str" s="2">
        <x:f>="JOSEFA Morris"</x:f>
      </x:c>
      <x:c r="B447" t="str" s="2">
        <x:v>Heritage Housing of Oklahoma City</x:v>
      </x:c>
      <x:c r="C447" t="str" s="2">
        <x:v/>
      </x:c>
      <x:c r="D447" t="str" s="2">
        <x:v>2393841780</x:v>
      </x:c>
      <x:c r="E447" t="str" s="2">
        <x:v>jmoraprida@gmail.com</x:v>
      </x:c>
      <x:c r="F447" t="str" s="2">
        <x:v>Landing_BPM</x:v>
      </x:c>
      <x:c r="G447" t="str" s="2">
        <x:v>Steve Castell</x:v>
      </x:c>
      <x:c r="H447" s="6">
        <x:v>46247.700821527775</x:v>
      </x:c>
      <x:c r="I447" s="0"/>
      <x:c r="J447" s="0"/>
      <x:c r="K447" s="6">
        <x:v>46247.89632954861</x:v>
      </x:c>
      <x:c r="L447" t="str" s="2">
        <x:v>Contacted</x:v>
      </x:c>
    </x:row>
    <x:row r="448">
      <x:c r="A448" t="str" s="2">
        <x:f>=HYPERLINK("https://rsms.futurehomex.com/lead/39136", "JENNY O'CONNOR")</x:f>
      </x:c>
      <x:c r="B448" t="str" s="2">
        <x:v>Heritage Housing of Augusta</x:v>
      </x:c>
      <x:c r="C448" t="str" s="2">
        <x:v/>
      </x:c>
      <x:c r="D448" t="str" s="2">
        <x:v>7705194126</x:v>
      </x:c>
      <x:c r="E448" t="str" s="2">
        <x:v>7705194126</x:v>
      </x:c>
      <x:c r="F448" t="str" s="2">
        <x:v>Walk-in</x:v>
      </x:c>
      <x:c r="G448" t="str" s="2">
        <x:v>Faye Lively</x:v>
      </x:c>
      <x:c r="H448" s="6">
        <x:v>46247.76554594907</x:v>
      </x:c>
      <x:c r="I448" t="str" s="2">
        <x:v>Faye Lively</x:v>
      </x:c>
      <x:c r="J448" s="0"/>
      <x:c r="K448" s="6">
        <x:v>46282.82903981482</x:v>
      </x:c>
      <x:c r="L448" t="str" s="2">
        <x:v>Contacted</x:v>
      </x:c>
    </x:row>
    <x:row r="449">
      <x:c r="A449" t="str" s="2">
        <x:f>=HYPERLINK("https://rsms.futurehomex.com/lead/39267", "Sylvia Ayers")</x:f>
      </x:c>
      <x:c r="B449" t="str" s="2">
        <x:v>Heritage Housing of Greenville</x:v>
      </x:c>
      <x:c r="C449" t="str" s="2">
        <x:v/>
      </x:c>
      <x:c r="D449" t="str" s="2">
        <x:v>4692545228</x:v>
      </x:c>
      <x:c r="E449" t="str" s="2">
        <x:v>sylviaayers2@gmail.com</x:v>
      </x:c>
      <x:c r="F449" t="str" s="2">
        <x:v>Financing Form</x:v>
      </x:c>
      <x:c r="G449" t="str" s="2">
        <x:v>Brooklynn Allen</x:v>
      </x:c>
      <x:c r="H449" s="6">
        <x:v>46247.77252896991</x:v>
      </x:c>
      <x:c r="I449" t="str" s="2">
        <x:v>Brooklynn Allen</x:v>
      </x:c>
      <x:c r="J449" s="0"/>
      <x:c r="K449" s="6">
        <x:v>46253.65777265046</x:v>
      </x:c>
      <x:c r="L449" t="str" s="2">
        <x:v>Contacted</x:v>
      </x:c>
    </x:row>
    <x:row r="450">
      <x:c r="A450" t="str" s="2">
        <x:f>="Jackie Daniels"</x:f>
      </x:c>
      <x:c r="B450" t="str" s="2">
        <x:v>Heritage Housing of Albany</x:v>
      </x:c>
      <x:c r="C450" t="str" s="2">
        <x:v>0/3</x:v>
      </x:c>
      <x:c r="D450" t="str" s="2">
        <x:v>2294004734</x:v>
      </x:c>
      <x:c r="E450" t="str" s="2">
        <x:v>pinkyjacki@yahoo.com</x:v>
      </x:c>
      <x:c r="F450" t="str" s="2">
        <x:v>Landing_BPM</x:v>
      </x:c>
      <x:c r="G450" t="str" s="2">
        <x:v>Yanet Alvarez</x:v>
      </x:c>
      <x:c r="H450" s="6">
        <x:v>46247.911558761574</x:v>
      </x:c>
      <x:c r="I450" s="0"/>
      <x:c r="J450" s="0"/>
      <x:c r="K450" s="6">
        <x:v>46302.6129212963</x:v>
      </x:c>
      <x:c r="L450" t="str" s="2">
        <x:v>Contacted</x:v>
      </x:c>
    </x:row>
    <x:row r="451">
      <x:c r="A451" t="str" s="2">
        <x:f>="sherrea williams"</x:f>
      </x:c>
      <x:c r="B451" t="str" s="2">
        <x:v>Heritage Housing of Augusta</x:v>
      </x:c>
      <x:c r="C451" t="str" s="2">
        <x:v/>
      </x:c>
      <x:c r="D451" t="str" s="2">
        <x:v>8038690518</x:v>
      </x:c>
      <x:c r="E451" t="str" s="2">
        <x:v>nubianboss7@gmail.com</x:v>
      </x:c>
      <x:c r="F451" t="str" s="2">
        <x:v>Landing_BPM</x:v>
      </x:c>
      <x:c r="G451" t="str" s="2">
        <x:v>Faye Lively</x:v>
      </x:c>
      <x:c r="H451" s="6">
        <x:v>46247.95464181713</x:v>
      </x:c>
      <x:c r="I451" s="0"/>
      <x:c r="J451" s="0"/>
      <x:c r="K451" s="6">
        <x:v>46282.82957954861</x:v>
      </x:c>
      <x:c r="L451" t="str" s="2">
        <x:v>Contacted</x:v>
      </x:c>
    </x:row>
    <x:row r="452">
      <x:c r="A452" t="str" s="2">
        <x:f>="Faronda Johnson"</x:f>
      </x:c>
      <x:c r="B452" t="str" s="2">
        <x:v>Heritage Housing Mt Pleasant</x:v>
      </x:c>
      <x:c r="C452" t="str" s="2">
        <x:v/>
      </x:c>
      <x:c r="D452" t="str" s="2">
        <x:v>9037901466</x:v>
      </x:c>
      <x:c r="E452" t="str" s="2">
        <x:v>fejohnson2@gmail.com</x:v>
      </x:c>
      <x:c r="F452" t="str" s="2">
        <x:v>Website</x:v>
      </x:c>
      <x:c r="G452" t="str" s="2">
        <x:v>Yarelis Torres</x:v>
      </x:c>
      <x:c r="H452" s="6">
        <x:v>46248.02157716435</x:v>
      </x:c>
      <x:c r="I452" s="0"/>
      <x:c r="J452" s="0"/>
      <x:c r="K452" s="6">
        <x:v>46266.92740775463</x:v>
      </x:c>
      <x:c r="L452" t="str" s="2">
        <x:v>Contacted</x:v>
      </x:c>
    </x:row>
    <x:row r="453">
      <x:c r="A453" t="str" s="2">
        <x:f>="Tammy Ouzts"</x:f>
      </x:c>
      <x:c r="B453" t="str" s="2">
        <x:v>Heritage Housing of Minden</x:v>
      </x:c>
      <x:c r="C453" t="str" s="2">
        <x:v>0/3</x:v>
      </x:c>
      <x:c r="D453" t="str" s="2">
        <x:v>3183440977</x:v>
      </x:c>
      <x:c r="E453" t="str" s="2">
        <x:v>tdo1226@yahoo.co</x:v>
      </x:c>
      <x:c r="F453" t="str" s="2">
        <x:v>Landing_BPM</x:v>
      </x:c>
      <x:c r="G453" t="str" s="2">
        <x:v>Kyla Brown</x:v>
      </x:c>
      <x:c r="H453" s="6">
        <x:v>46248.02161840278</x:v>
      </x:c>
      <x:c r="I453" s="0"/>
      <x:c r="J453" s="0"/>
      <x:c r="K453" s="6">
        <x:v>46251.926264201385</x:v>
      </x:c>
      <x:c r="L453" t="str" s="2">
        <x:v>Contacted</x:v>
      </x:c>
    </x:row>
    <x:row r="454">
      <x:c r="A454" t="str" s="2">
        <x:f>="Patricia Johnson"</x:f>
      </x:c>
      <x:c r="B454" t="str" s="2">
        <x:v>Heritage Housing of Minden</x:v>
      </x:c>
      <x:c r="C454" t="str" s="2">
        <x:v>0/3</x:v>
      </x:c>
      <x:c r="D454" t="str" s="2">
        <x:v>3184132740</x:v>
      </x:c>
      <x:c r="E454" t="str" s="2">
        <x:v>parduepatricia22@gmail.com</x:v>
      </x:c>
      <x:c r="F454" t="str" s="2">
        <x:v>Landing_BPM</x:v>
      </x:c>
      <x:c r="G454" t="str" s="2">
        <x:v>Patrick Schuchart</x:v>
      </x:c>
      <x:c r="H454" s="6">
        <x:v>46248.234195717596</x:v>
      </x:c>
      <x:c r="I454" s="0"/>
      <x:c r="J454" s="0"/>
      <x:c r="K454" s="6">
        <x:v>46261.90946246528</x:v>
      </x:c>
      <x:c r="L454" t="str" s="2">
        <x:v>Contacted</x:v>
      </x:c>
    </x:row>
    <x:row r="455">
      <x:c r="A455" t="str" s="2">
        <x:f>="Shannon Millwood"</x:f>
      </x:c>
      <x:c r="B455" t="str" s="2">
        <x:v>Heritage Housing of Athens</x:v>
      </x:c>
      <x:c r="C455" t="str" s="2">
        <x:v/>
      </x:c>
      <x:c r="D455" t="str" s="2">
        <x:v>7708859295</x:v>
      </x:c>
      <x:c r="E455" t="str" s="2">
        <x:v>shirlsullens420@gmail.com</x:v>
      </x:c>
      <x:c r="F455" t="str" s="2">
        <x:v>Financing Form</x:v>
      </x:c>
      <x:c r="G455" t="str" s="2">
        <x:v>Nathan Bishop</x:v>
      </x:c>
      <x:c r="H455" s="6">
        <x:v>46248.757627349536</x:v>
      </x:c>
      <x:c r="I455" s="0"/>
      <x:c r="J455" s="0"/>
      <x:c r="K455" s="6">
        <x:v>46282.71210532408</x:v>
      </x:c>
      <x:c r="L455" t="str" s="2">
        <x:v>Contacted</x:v>
      </x:c>
    </x:row>
    <x:row r="456">
      <x:c r="A456" t="str" s="2">
        <x:f>=HYPERLINK("https://rsms.futurehomex.com/lead/39157", "Sawyer Martin")</x:f>
      </x:c>
      <x:c r="B456" t="str" s="2">
        <x:v>Heritage Housing of Jennings</x:v>
      </x:c>
      <x:c r="C456" t="str" s="2">
        <x:v/>
      </x:c>
      <x:c r="D456" t="str" s="2">
        <x:v>3377852443</x:v>
      </x:c>
      <x:c r="E456" t="str" s="2">
        <x:v>sawyermartin2399@gmail.com</x:v>
      </x:c>
      <x:c r="F456" t="str" s="2">
        <x:v>Other</x:v>
      </x:c>
      <x:c r="G456" t="str" s="2">
        <x:v>Mervin Leslie Smith</x:v>
      </x:c>
      <x:c r="H456" s="6">
        <x:v>46248.83168125</x:v>
      </x:c>
      <x:c r="I456" t="str" s="2">
        <x:v>Mervin Leslie Smith</x:v>
      </x:c>
      <x:c r="J456" s="0"/>
      <x:c r="K456" s="6">
        <x:v>46259.72939366898</x:v>
      </x:c>
      <x:c r="L456" t="str" s="2">
        <x:v>Contacted</x:v>
      </x:c>
    </x:row>
    <x:row r="457">
      <x:c r="A457" t="str" s="2">
        <x:f>="Ashley Starnes"</x:f>
      </x:c>
      <x:c r="B457" t="str" s="2">
        <x:v>Heritage Housing Mt Pleasant</x:v>
      </x:c>
      <x:c r="C457" t="str" s="2">
        <x:v/>
      </x:c>
      <x:c r="D457" t="str" s="2">
        <x:v>9036383081</x:v>
      </x:c>
      <x:c r="E457" t="str" s="2">
        <x:v>starneswood14@gmail.com</x:v>
      </x:c>
      <x:c r="F457" t="str" s="2">
        <x:v>Landing_BPM</x:v>
      </x:c>
      <x:c r="G457" t="str" s="2">
        <x:v>Yarelis Torres</x:v>
      </x:c>
      <x:c r="H457" s="6">
        <x:v>46249.83761084491</x:v>
      </x:c>
      <x:c r="I457" s="0"/>
      <x:c r="J457" s="0"/>
      <x:c r="K457" s="6">
        <x:v>46274.99234359954</x:v>
      </x:c>
      <x:c r="L457" t="str" s="2">
        <x:v>Contacted</x:v>
      </x:c>
    </x:row>
    <x:row r="458">
      <x:c r="A458" t="str" s="2">
        <x:f>="rebecca Mayer"</x:f>
      </x:c>
      <x:c r="B458" t="str" s="2">
        <x:v>Heritage Housing Gainesville</x:v>
      </x:c>
      <x:c r="C458" t="str" s="2">
        <x:v/>
      </x:c>
      <x:c r="D458" t="str" s="2">
        <x:v>9407363306</x:v>
      </x:c>
      <x:c r="E458" t="str" s="2">
        <x:v>mommybecky76@outlook.com</x:v>
      </x:c>
      <x:c r="F458" t="str" s="2">
        <x:v>Website</x:v>
      </x:c>
      <x:c r="G458" t="str" s="2">
        <x:v>Jeniffer Arellano</x:v>
      </x:c>
      <x:c r="H458" s="6">
        <x:v>46250.20171466435</x:v>
      </x:c>
      <x:c r="I458" s="0"/>
      <x:c r="J458" s="0"/>
      <x:c r="K458" s="6">
        <x:v>46303.698909872684</x:v>
      </x:c>
      <x:c r="L458" t="str" s="2">
        <x:v>Contacted</x:v>
      </x:c>
    </x:row>
    <x:row r="459">
      <x:c r="A459" t="str" s="2">
        <x:f>="Laura Washington"</x:f>
      </x:c>
      <x:c r="B459" t="str" s="2">
        <x:v>Heritage Housing of Albany</x:v>
      </x:c>
      <x:c r="C459" t="str" s="2">
        <x:v/>
      </x:c>
      <x:c r="D459" t="str" s="2">
        <x:v>4707768385</x:v>
      </x:c>
      <x:c r="E459" t="str" s="2">
        <x:v>washingtons20145@gmail.com</x:v>
      </x:c>
      <x:c r="F459" t="str" s="2">
        <x:v>Landing_BPM</x:v>
      </x:c>
      <x:c r="G459" t="str" s="2">
        <x:v>Yanet Alvarez</x:v>
      </x:c>
      <x:c r="H459" s="6">
        <x:v>46250.293034456015</x:v>
      </x:c>
      <x:c r="I459" s="0"/>
      <x:c r="J459" s="0"/>
      <x:c r="K459" s="6">
        <x:v>46302.55932037037</x:v>
      </x:c>
      <x:c r="L459" t="str" s="2">
        <x:v>Contacted</x:v>
      </x:c>
    </x:row>
    <x:row r="460">
      <x:c r="A460" t="str" s="2">
        <x:f>="Deniece Ndow"</x:f>
      </x:c>
      <x:c r="B460" t="str" s="2">
        <x:v>Heritage Housing of Albany</x:v>
      </x:c>
      <x:c r="C460" t="str" s="2">
        <x:v>0/2</x:v>
      </x:c>
      <x:c r="D460" t="str" s="2">
        <x:v>6786849966</x:v>
      </x:c>
      <x:c r="E460" t="str" s="2">
        <x:v>stevensdeniece@gmail.com</x:v>
      </x:c>
      <x:c r="F460" t="str" s="2">
        <x:v>Landing_BPM</x:v>
      </x:c>
      <x:c r="G460" t="str" s="2">
        <x:v>Yanet Alvarez</x:v>
      </x:c>
      <x:c r="H460" s="6">
        <x:v>46250.46685077546</x:v>
      </x:c>
      <x:c r="I460" s="0"/>
      <x:c r="J460" s="0"/>
      <x:c r="K460" s="6">
        <x:v>46303.86007766204</x:v>
      </x:c>
      <x:c r="L460" t="str" s="2">
        <x:v>Contacted</x:v>
      </x:c>
    </x:row>
    <x:row r="461">
      <x:c r="A461" t="str" s="2">
        <x:f>="Charles Hilton Onyegbulam"</x:f>
      </x:c>
      <x:c r="B461" t="str" s="2">
        <x:v>Heritage Housing of Greenville</x:v>
      </x:c>
      <x:c r="C461" t="str" s="2">
        <x:v/>
      </x:c>
      <x:c r="D461" t="str" s="2">
        <x:v>8622185595</x:v>
      </x:c>
      <x:c r="E461" t="str" s="2">
        <x:v>Charleshilton700@gmail.com</x:v>
      </x:c>
      <x:c r="F461" t="str" s="2">
        <x:v>Landing_BPM</x:v>
      </x:c>
      <x:c r="G461" t="str" s="2">
        <x:v>Brooklynn Allen</x:v>
      </x:c>
      <x:c r="H461" s="6">
        <x:v>46250.51078179398</x:v>
      </x:c>
      <x:c r="I461" s="0"/>
      <x:c r="J461" s="0"/>
      <x:c r="K461" s="6">
        <x:v>46251.602155671295</x:v>
      </x:c>
      <x:c r="L461" t="str" s="2">
        <x:v>Contacted</x:v>
      </x:c>
    </x:row>
    <x:row r="462">
      <x:c r="A462" t="str" s="2">
        <x:f>="Ellanor Allen"</x:f>
      </x:c>
      <x:c r="B462" t="str" s="2">
        <x:v>Heritage Housing Gainesville</x:v>
      </x:c>
      <x:c r="C462" t="str" s="2">
        <x:v/>
      </x:c>
      <x:c r="D462" t="str" s="2">
        <x:v>4697947605</x:v>
      </x:c>
      <x:c r="E462" t="str" s="2">
        <x:v>ellanorallen38@gmail.com</x:v>
      </x:c>
      <x:c r="F462" t="str" s="2">
        <x:v>Landing_BPM</x:v>
      </x:c>
      <x:c r="G462" t="str" s="2">
        <x:v>Jeniffer Arellano</x:v>
      </x:c>
      <x:c r="H462" s="6">
        <x:v>46250.752280555556</x:v>
      </x:c>
      <x:c r="I462" s="0"/>
      <x:c r="J462" s="0"/>
      <x:c r="K462" s="6">
        <x:v>46303.69901793981</x:v>
      </x:c>
      <x:c r="L462" t="str" s="2">
        <x:v>Contacted</x:v>
      </x:c>
    </x:row>
    <x:row r="463">
      <x:c r="A463" t="str" s="2">
        <x:f>="Joshua Gearren"</x:f>
      </x:c>
      <x:c r="B463" t="str" s="2">
        <x:v>Heritage Housing of Asheboro</x:v>
      </x:c>
      <x:c r="C463" t="str" s="2">
        <x:v/>
      </x:c>
      <x:c r="D463" t="str" s="2">
        <x:v>3363026842</x:v>
      </x:c>
      <x:c r="E463" t="str" s="2">
        <x:v>dodge_neon05@yahoo.com</x:v>
      </x:c>
      <x:c r="F463" t="str" s="2">
        <x:v>Website</x:v>
      </x:c>
      <x:c r="G463" t="str" s="2">
        <x:v>Jeremy Jacques</x:v>
      </x:c>
      <x:c r="H463" s="6">
        <x:v>46250.8044846412</x:v>
      </x:c>
      <x:c r="I463" s="0"/>
      <x:c r="J463" s="0"/>
      <x:c r="K463" s="6">
        <x:v>46257.71692488426</x:v>
      </x:c>
      <x:c r="L463" t="str" s="2">
        <x:v>Contacted</x:v>
      </x:c>
    </x:row>
    <x:row r="464">
      <x:c r="A464" t="str" s="2">
        <x:f>="Favian Castellano"</x:f>
      </x:c>
      <x:c r="B464" t="str" s="2">
        <x:v>Heritage Housing Mt Pleasant</x:v>
      </x:c>
      <x:c r="C464" t="str" s="2">
        <x:v/>
      </x:c>
      <x:c r="D464" t="str" s="2">
        <x:v>9032042517</x:v>
      </x:c>
      <x:c r="E464" t="str" s="2">
        <x:v>castellanofavian4@gmail.com</x:v>
      </x:c>
      <x:c r="F464" t="str" s="2">
        <x:v>Financing Form</x:v>
      </x:c>
      <x:c r="G464" t="str" s="2">
        <x:v>Yarelis Torres</x:v>
      </x:c>
      <x:c r="H464" s="6">
        <x:v>46250.91162207176</x:v>
      </x:c>
      <x:c r="I464" s="0"/>
      <x:c r="J464" s="0"/>
      <x:c r="K464" s="6">
        <x:v>46274.90092040509</x:v>
      </x:c>
      <x:c r="L464" t="str" s="2">
        <x:v>Contacted</x:v>
      </x:c>
    </x:row>
    <x:row r="465">
      <x:c r="A465" t="str" s="2">
        <x:f>="Arianny Chavez"</x:f>
      </x:c>
      <x:c r="B465" t="str" s="2">
        <x:v>Heritage Housing of Albany</x:v>
      </x:c>
      <x:c r="C465" t="str" s="2">
        <x:v/>
      </x:c>
      <x:c r="D465" t="str" s="2">
        <x:v>9122771559</x:v>
      </x:c>
      <x:c r="E465" t="str" s="2">
        <x:v>rennyramirezmor30@gmail.com</x:v>
      </x:c>
      <x:c r="F465" t="str" s="2">
        <x:v>Landing_BPM</x:v>
      </x:c>
      <x:c r="G465" t="str" s="2">
        <x:v>Yanet Alvarez</x:v>
      </x:c>
      <x:c r="H465" s="6">
        <x:v>46250.953293287035</x:v>
      </x:c>
      <x:c r="I465" s="0"/>
      <x:c r="J465" s="0"/>
      <x:c r="K465" s="6">
        <x:v>46281.960894131946</x:v>
      </x:c>
      <x:c r="L465" t="str" s="2">
        <x:v>Contacted</x:v>
      </x:c>
    </x:row>
    <x:row r="466">
      <x:c r="A466" t="str" s="2">
        <x:f>="Katie Edmiston"</x:f>
      </x:c>
      <x:c r="B466" t="str" s="2">
        <x:v>Heritage Housing of Oklahoma City</x:v>
      </x:c>
      <x:c r="C466" t="str" s="2">
        <x:v>0/1</x:v>
      </x:c>
      <x:c r="D466" t="str" s="2">
        <x:v>4058731686</x:v>
      </x:c>
      <x:c r="E466" t="str" s="2">
        <x:v>edmiston0313@gmail.com</x:v>
      </x:c>
      <x:c r="F466" t="str" s="2">
        <x:v>Landing_BPM</x:v>
      </x:c>
      <x:c r="G466" t="str" s="2">
        <x:v>Steve Castell</x:v>
      </x:c>
      <x:c r="H466" s="6">
        <x:v>46251.001557523145</x:v>
      </x:c>
      <x:c r="I466" s="0"/>
      <x:c r="J466" s="0"/>
      <x:c r="K466" s="6">
        <x:v>46251.599867627316</x:v>
      </x:c>
      <x:c r="L466" t="str" s="2">
        <x:v>Contacted</x:v>
      </x:c>
    </x:row>
    <x:row r="467">
      <x:c r="A467" t="str" s="2">
        <x:f>="Marsha Gillia"</x:f>
      </x:c>
      <x:c r="B467" t="str" s="2">
        <x:v>Heritage Housing of Albany</x:v>
      </x:c>
      <x:c r="C467" t="str" s="2">
        <x:v>1/3</x:v>
      </x:c>
      <x:c r="D467" t="str" s="2">
        <x:v>2292556221</x:v>
      </x:c>
      <x:c r="E467" t="str" s="2">
        <x:v>chicabonita102086@gmail.com</x:v>
      </x:c>
      <x:c r="F467" t="str" s="2">
        <x:v>Financing Form</x:v>
      </x:c>
      <x:c r="G467" t="str" s="2">
        <x:v>Yanet Alvarez</x:v>
      </x:c>
      <x:c r="H467" s="6">
        <x:v>46251.04779355324</x:v>
      </x:c>
      <x:c r="I467" s="0"/>
      <x:c r="J467" s="0"/>
      <x:c r="K467" s="6">
        <x:v>46303.95555373843</x:v>
      </x:c>
      <x:c r="L467" t="str" s="2">
        <x:v>Contacted</x:v>
      </x:c>
    </x:row>
    <x:row r="468">
      <x:c r="A468" t="str" s="2">
        <x:f>="Kimberly Walker"</x:f>
      </x:c>
      <x:c r="B468" t="str" s="2">
        <x:v>Heritage Housing of Minden</x:v>
      </x:c>
      <x:c r="C468" t="str" s="2">
        <x:v>0/2</x:v>
      </x:c>
      <x:c r="D468" t="str" s="2">
        <x:v>3184752292</x:v>
      </x:c>
      <x:c r="E468" t="str" s="2">
        <x:v>kimw6220@gmail.com</x:v>
      </x:c>
      <x:c r="F468" t="str" s="2">
        <x:v>Landing_BPM</x:v>
      </x:c>
      <x:c r="G468" t="str" s="2">
        <x:v>Kyla Brown</x:v>
      </x:c>
      <x:c r="H468" s="6">
        <x:v>46251.33172233796</x:v>
      </x:c>
      <x:c r="I468" s="0"/>
      <x:c r="J468" s="0"/>
      <x:c r="K468" s="6">
        <x:v>46261.91271473379</x:v>
      </x:c>
      <x:c r="L468" t="str" s="2">
        <x:v>Contacted</x:v>
      </x:c>
    </x:row>
    <x:row r="469">
      <x:c r="A469" t="str" s="2">
        <x:f>="Michael Mason"</x:f>
      </x:c>
      <x:c r="B469" t="str" s="2">
        <x:v>Heritage Housing of Oklahoma City</x:v>
      </x:c>
      <x:c r="C469" t="str" s="2">
        <x:v/>
      </x:c>
      <x:c r="D469" t="str" s="2">
        <x:v>4054390572</x:v>
      </x:c>
      <x:c r="E469" t="str" s="2">
        <x:v>Themasons0807@gmail.com</x:v>
      </x:c>
      <x:c r="F469" t="str" s="2">
        <x:v>Landing_BPM</x:v>
      </x:c>
      <x:c r="G469" t="str" s="2">
        <x:v>Steve Castell</x:v>
      </x:c>
      <x:c r="H469" s="6">
        <x:v>46251.565071412035</x:v>
      </x:c>
      <x:c r="I469" s="0"/>
      <x:c r="J469" s="0"/>
      <x:c r="K469" s="6">
        <x:v>46251.86870436343</x:v>
      </x:c>
      <x:c r="L469" t="str" s="2">
        <x:v>Contacted</x:v>
      </x:c>
    </x:row>
    <x:row r="470">
      <x:c r="A470" t="str" s="2">
        <x:f>="Shayron Hill"</x:f>
      </x:c>
      <x:c r="B470" t="str" s="2">
        <x:v>Heritage Housing of Greenville</x:v>
      </x:c>
      <x:c r="C470" t="str" s="2">
        <x:v/>
      </x:c>
      <x:c r="D470" t="str" s="2">
        <x:v>9729720624</x:v>
      </x:c>
      <x:c r="E470" t="str" s="2">
        <x:v>hillshayron9@gmail.com</x:v>
      </x:c>
      <x:c r="F470" t="str" s="2">
        <x:v>Landing_BPM</x:v>
      </x:c>
      <x:c r="G470" t="str" s="2">
        <x:v>Brooklynn Allen</x:v>
      </x:c>
      <x:c r="H470" s="6">
        <x:v>46251.60059984954</x:v>
      </x:c>
      <x:c r="I470" s="0"/>
      <x:c r="J470" s="0"/>
      <x:c r="K470" s="6">
        <x:v>46251.792694675925</x:v>
      </x:c>
      <x:c r="L470" t="str" s="2">
        <x:v>Contacted</x:v>
      </x:c>
    </x:row>
    <x:row r="471">
      <x:c r="A471" t="str" s="2">
        <x:f>="Corryn Lemons"</x:f>
      </x:c>
      <x:c r="B471" t="str" s="2">
        <x:v>Heritage Housing Gainesville</x:v>
      </x:c>
      <x:c r="C471" t="str" s="2">
        <x:v/>
      </x:c>
      <x:c r="D471" t="str" s="2">
        <x:v>9034218800</x:v>
      </x:c>
      <x:c r="E471" t="str" s="2">
        <x:v>corrynlyric444@gmail.com</x:v>
      </x:c>
      <x:c r="F471" t="str" s="2">
        <x:v>Landing_BPM</x:v>
      </x:c>
      <x:c r="G471" t="str" s="2">
        <x:v>Jeniffer Arellano</x:v>
      </x:c>
      <x:c r="H471" s="6">
        <x:v>46251.62853715278</x:v>
      </x:c>
      <x:c r="I471" s="0"/>
      <x:c r="J471" s="0"/>
      <x:c r="K471" s="6">
        <x:v>46303.699120405094</x:v>
      </x:c>
      <x:c r="L471" t="str" s="2">
        <x:v>Contacted</x:v>
      </x:c>
    </x:row>
    <x:row r="472">
      <x:c r="A472" t="str" s="2">
        <x:f>=HYPERLINK("https://rsms.futurehomex.com/lead/39223", "Tony Fleming")</x:f>
      </x:c>
      <x:c r="B472" t="str" s="2">
        <x:v>Heritage Housing Gainesville</x:v>
      </x:c>
      <x:c r="C472" t="str" s="2">
        <x:v/>
      </x:c>
      <x:c r="D472" t="str" s="2">
        <x:v>7372405004</x:v>
      </x:c>
      <x:c r="E472" t="str" s="2">
        <x:v>bayscooldad@yahoo.com</x:v>
      </x:c>
      <x:c r="F472" t="str" s="2">
        <x:v>Meta Marketplace</x:v>
      </x:c>
      <x:c r="G472" t="str" s="2">
        <x:v>Jeniffer Arellano</x:v>
      </x:c>
      <x:c r="H472" s="6">
        <x:v>46251.878976851855</x:v>
      </x:c>
      <x:c r="I472" t="str" s="2">
        <x:v>John Schwichtenberg</x:v>
      </x:c>
      <x:c r="J472" s="0"/>
      <x:c r="K472" s="6">
        <x:v>46307.88171091435</x:v>
      </x:c>
      <x:c r="L472" t="str" s="2">
        <x:v>Contacted</x:v>
      </x:c>
    </x:row>
    <x:row r="473">
      <x:c r="A473" t="str" s="2">
        <x:f>=HYPERLINK("https://rsms.futurehomex.com/lead/39345", "Alfredo Hechavarria Abreu")</x:f>
      </x:c>
      <x:c r="B473" t="str" s="2">
        <x:v>Legacy Housing Corp. DBA Americasa</x:v>
      </x:c>
      <x:c r="C473" t="str" s="2">
        <x:v/>
      </x:c>
      <x:c r="D473" t="str" s="2">
        <x:v>5163051506</x:v>
      </x:c>
      <x:c r="E473" t="str" s="2">
        <x:v>Alfredohechavarriaabreu@gmail.com</x:v>
      </x:c>
      <x:c r="F473" t="str" s="2">
        <x:v>Referrals</x:v>
      </x:c>
      <x:c r="G473" t="str" s="2">
        <x:v>Rodrigo Ramirez</x:v>
      </x:c>
      <x:c r="H473" s="6">
        <x:v>46251.94237017361</x:v>
      </x:c>
      <x:c r="I473" t="str" s="2">
        <x:v>Joey Marquez</x:v>
      </x:c>
      <x:c r="J473" s="6">
        <x:v>46256.833333333336</x:v>
      </x:c>
      <x:c r="K473" s="6">
        <x:v>46291.77629270833</x:v>
      </x:c>
      <x:c r="L473" t="str" s="2">
        <x:v>Contacted</x:v>
      </x:c>
    </x:row>
    <x:row r="474">
      <x:c r="A474" t="str" s="2">
        <x:f>="Robertrer SeanrerGM"</x:f>
      </x:c>
      <x:c r="B474" t="str" s="2">
        <x:v>Heritage Housing of Greenville</x:v>
      </x:c>
      <x:c r="C474" t="str" s="2">
        <x:v/>
      </x:c>
      <x:c r="D474" t="str" s="2">
        <x:v>86485277374</x:v>
      </x:c>
      <x:c r="E474" t="str" s="2">
        <x:v>drmmfgt@vvdncth.mcd</x:v>
      </x:c>
      <x:c r="F474" t="str" s="2">
        <x:v>Website</x:v>
      </x:c>
      <x:c r="G474" t="str" s="2">
        <x:v>Brooklynn Allen</x:v>
      </x:c>
      <x:c r="H474" s="6">
        <x:v>46251.96209803241</x:v>
      </x:c>
      <x:c r="I474" s="0"/>
      <x:c r="J474" s="0"/>
      <x:c r="K474" s="6">
        <x:v>46253.57721200232</x:v>
      </x:c>
      <x:c r="L474" t="str" s="2">
        <x:v>Contacted</x:v>
      </x:c>
    </x:row>
    <x:row r="475">
      <x:c r="A475" t="str" s="2">
        <x:f>="MarvinMig MarvinMigWE"</x:f>
      </x:c>
      <x:c r="B475" t="str" s="2">
        <x:v>Heritage Housing of Greenville</x:v>
      </x:c>
      <x:c r="C475" t="str" s="2">
        <x:v/>
      </x:c>
      <x:c r="D475" t="str" s="2">
        <x:v>83995185846</x:v>
      </x:c>
      <x:c r="E475" t="str" s="2">
        <x:v>gqiqvcu@vasacie.ehk</x:v>
      </x:c>
      <x:c r="F475" t="str" s="2">
        <x:v>Website</x:v>
      </x:c>
      <x:c r="G475" t="str" s="2">
        <x:v>Ana Garcia</x:v>
      </x:c>
      <x:c r="H475" s="6">
        <x:v>46252.09890524305</x:v>
      </x:c>
      <x:c r="I475" s="0"/>
      <x:c r="J475" s="0"/>
      <x:c r="K475" s="6">
        <x:v>46252.68908700231</x:v>
      </x:c>
      <x:c r="L475" t="str" s="2">
        <x:v>Contacted</x:v>
      </x:c>
    </x:row>
    <x:row r="476">
      <x:c r="A476" t="str" s="2">
        <x:f>="Chaquisha Spears"</x:f>
      </x:c>
      <x:c r="B476" t="str" s="2">
        <x:v>Heritage Housing of Albany</x:v>
      </x:c>
      <x:c r="C476" t="str" s="2">
        <x:v/>
      </x:c>
      <x:c r="D476" t="str" s="2">
        <x:v>8503170265</x:v>
      </x:c>
      <x:c r="E476" t="str" s="2">
        <x:v>chaquishaspears8@gmail.com</x:v>
      </x:c>
      <x:c r="F476" t="str" s="2">
        <x:v>Landing_BPM</x:v>
      </x:c>
      <x:c r="G476" t="str" s="2">
        <x:v>Yanet Alvarez</x:v>
      </x:c>
      <x:c r="H476" s="6">
        <x:v>46252.58785957176</x:v>
      </x:c>
      <x:c r="I476" s="0"/>
      <x:c r="J476" s="0"/>
      <x:c r="K476" s="6">
        <x:v>46282.66988271991</x:v>
      </x:c>
      <x:c r="L476" t="str" s="2">
        <x:v>Contacted</x:v>
      </x:c>
    </x:row>
    <x:row r="477">
      <x:c r="A477" t="str" s="2">
        <x:f>="Lisa Taylor"</x:f>
      </x:c>
      <x:c r="B477" t="str" s="2">
        <x:v>Heritage Housing of Greenville</x:v>
      </x:c>
      <x:c r="C477" t="str" s="2">
        <x:v/>
      </x:c>
      <x:c r="D477" t="str" s="2">
        <x:v>2144164590</x:v>
      </x:c>
      <x:c r="E477" t="str" s="2">
        <x:v>lynettegarrett26@gmail.com</x:v>
      </x:c>
      <x:c r="F477" t="str" s="2">
        <x:v>Landing_BPM</x:v>
      </x:c>
      <x:c r="G477" t="str" s="2">
        <x:v>Brooklynn Allen</x:v>
      </x:c>
      <x:c r="H477" s="6">
        <x:v>46252.81198298611</x:v>
      </x:c>
      <x:c r="I477" s="0"/>
      <x:c r="J477" s="0"/>
      <x:c r="K477" s="6">
        <x:v>46253.57870914352</x:v>
      </x:c>
      <x:c r="L477" t="str" s="2">
        <x:v>Contacted</x:v>
      </x:c>
    </x:row>
    <x:row r="478">
      <x:c r="A478" t="str" s="2">
        <x:f>="Shetierrenny Edwards"</x:f>
      </x:c>
      <x:c r="B478" t="str" s="2">
        <x:v>Heritage Housing of Albany</x:v>
      </x:c>
      <x:c r="C478" t="str" s="2">
        <x:v>0/1</x:v>
      </x:c>
      <x:c r="D478" t="str" s="2">
        <x:v>2295891079</x:v>
      </x:c>
      <x:c r="E478" t="str" s="2">
        <x:v>shetierrenny34@yahoo.com</x:v>
      </x:c>
      <x:c r="F478" t="str" s="2">
        <x:v>Landing_BPM</x:v>
      </x:c>
      <x:c r="G478" t="str" s="2">
        <x:v>Yanet Alvarez</x:v>
      </x:c>
      <x:c r="H478" s="6">
        <x:v>46252.8215022338</x:v>
      </x:c>
      <x:c r="I478" s="0"/>
      <x:c r="J478" s="0"/>
      <x:c r="K478" s="6">
        <x:v>46302.729022025465</x:v>
      </x:c>
      <x:c r="L478" t="str" s="2">
        <x:v>Contacted</x:v>
      </x:c>
    </x:row>
    <x:row r="479">
      <x:c r="A479" t="str" s="2">
        <x:f>="Trina Greene"</x:f>
      </x:c>
      <x:c r="B479" t="str" s="2">
        <x:v>Heritage Housing of Albany</x:v>
      </x:c>
      <x:c r="C479" t="str" s="2">
        <x:v/>
      </x:c>
      <x:c r="D479" t="str" s="2">
        <x:v>2293280996</x:v>
      </x:c>
      <x:c r="E479" t="str" s="2">
        <x:v>tgreene048@yahoo.com</x:v>
      </x:c>
      <x:c r="F479" t="str" s="2">
        <x:v>Landing_BPM</x:v>
      </x:c>
      <x:c r="G479" t="str" s="2">
        <x:v>Yanet Alvarez</x:v>
      </x:c>
      <x:c r="H479" s="6">
        <x:v>46252.83510563657</x:v>
      </x:c>
      <x:c r="I479" s="0"/>
      <x:c r="J479" s="0"/>
      <x:c r="K479" s="6">
        <x:v>46302.56193376157</x:v>
      </x:c>
      <x:c r="L479" t="str" s="2">
        <x:v>Contacted</x:v>
      </x:c>
    </x:row>
    <x:row r="480">
      <x:c r="A480" t="str" s="2">
        <x:f>="Carlice Huey Huey"</x:f>
      </x:c>
      <x:c r="B480" t="str" s="2">
        <x:v>Heritage Housing of Minden</x:v>
      </x:c>
      <x:c r="C480" t="str" s="2">
        <x:v>0/3</x:v>
      </x:c>
      <x:c r="D480" t="str" s="2">
        <x:v>3187621999</x:v>
      </x:c>
      <x:c r="E480" t="str" s="2">
        <x:v>carlicegirard12@gmail.com</x:v>
      </x:c>
      <x:c r="F480" t="str" s="2">
        <x:v>Landing_BPM</x:v>
      </x:c>
      <x:c r="G480" t="str" s="2">
        <x:v>Patrick Schuchart</x:v>
      </x:c>
      <x:c r="H480" s="6">
        <x:v>46252.84872364583</x:v>
      </x:c>
      <x:c r="I480" s="0"/>
      <x:c r="J480" s="0"/>
      <x:c r="K480" s="6">
        <x:v>46289.93043515046</x:v>
      </x:c>
      <x:c r="L480" t="str" s="2">
        <x:v>Contacted</x:v>
      </x:c>
    </x:row>
    <x:row r="481">
      <x:c r="A481" t="str" s="2">
        <x:f>="JaNaya Houston"</x:f>
      </x:c>
      <x:c r="B481" t="str" s="2">
        <x:v>Heritage Housing Marble Falls</x:v>
      </x:c>
      <x:c r="C481" t="str" s="2">
        <x:v/>
      </x:c>
      <x:c r="D481" t="str" s="2">
        <x:v>7374093909</x:v>
      </x:c>
      <x:c r="E481" t="str" s="2">
        <x:v>janayah7702@gmail.com</x:v>
      </x:c>
      <x:c r="F481" t="str" s="2">
        <x:v>Landing_BPM</x:v>
      </x:c>
      <x:c r="G481" t="str" s="2">
        <x:v>Garrett Riedesel</x:v>
      </x:c>
      <x:c r="H481" s="6">
        <x:v>46252.916593553244</x:v>
      </x:c>
      <x:c r="I481" s="0"/>
      <x:c r="J481" s="0"/>
      <x:c r="K481" s="6">
        <x:v>46289.67455054398</x:v>
      </x:c>
      <x:c r="L481" t="str" s="2">
        <x:v>Contacted</x:v>
      </x:c>
    </x:row>
    <x:row r="482">
      <x:c r="A482" t="str" s="2">
        <x:f>=HYPERLINK("https://rsms.futurehomex.com/lead/39245", "Roberto Garcia Aguirre")</x:f>
      </x:c>
      <x:c r="B482" t="str" s="2">
        <x:v>Legacy Housing Corp. DBA Americasa</x:v>
      </x:c>
      <x:c r="C482" t="str" s="2">
        <x:v/>
      </x:c>
      <x:c r="D482" t="str" s="2">
        <x:v>3467572742</x:v>
      </x:c>
      <x:c r="E482" t="str" s="2">
        <x:v>3467572742</x:v>
      </x:c>
      <x:c r="F482" t="str" s="2">
        <x:v>Referrals</x:v>
      </x:c>
      <x:c r="G482" t="str" s="2">
        <x:v>Rodrigo Ramirez</x:v>
      </x:c>
      <x:c r="H482" s="6">
        <x:v>46252.92837184028</x:v>
      </x:c>
      <x:c r="I482" t="str" s="2">
        <x:v>Joey Marquez</x:v>
      </x:c>
      <x:c r="J482" s="0"/>
      <x:c r="K482" s="6">
        <x:v>46308.596117361114</x:v>
      </x:c>
      <x:c r="L482" t="str" s="2">
        <x:v>Contacted</x:v>
      </x:c>
    </x:row>
    <x:row r="483">
      <x:c r="A483" t="str" s="2">
        <x:f>="Owen McManus"</x:f>
      </x:c>
      <x:c r="B483" t="str" s="2">
        <x:v>Heritage Housing of Minden</x:v>
      </x:c>
      <x:c r="C483" t="str" s="2">
        <x:v>0/1</x:v>
      </x:c>
      <x:c r="D483" t="str" s="2">
        <x:v>8708203787</x:v>
      </x:c>
      <x:c r="E483" t="str" s="2">
        <x:v>owen.mcmanus02@gmail.com</x:v>
      </x:c>
      <x:c r="F483" t="str" s="2">
        <x:v>Landing_BPM</x:v>
      </x:c>
      <x:c r="G483" t="str" s="2">
        <x:v>Kyla Brown</x:v>
      </x:c>
      <x:c r="H483" s="6">
        <x:v>46252.93118248843</x:v>
      </x:c>
      <x:c r="I483" s="0"/>
      <x:c r="J483" s="0"/>
      <x:c r="K483" s="6">
        <x:v>46253.820675613424</x:v>
      </x:c>
      <x:c r="L483" t="str" s="2">
        <x:v>Contacted</x:v>
      </x:c>
    </x:row>
    <x:row r="484">
      <x:c r="A484" t="str" s="2">
        <x:f>="Michelle Tolbert"</x:f>
      </x:c>
      <x:c r="B484" t="str" s="2">
        <x:v>Heritage Housing of Augusta</x:v>
      </x:c>
      <x:c r="C484" t="str" s="2">
        <x:v>1/1</x:v>
      </x:c>
      <x:c r="D484" t="str" s="2">
        <x:v>7575971745</x:v>
      </x:c>
      <x:c r="E484" t="str" s="2">
        <x:v>girls4mom00@gmail.com</x:v>
      </x:c>
      <x:c r="F484" t="str" s="2">
        <x:v>Landing_BPM</x:v>
      </x:c>
      <x:c r="G484" t="str" s="2">
        <x:v>Faye Lively</x:v>
      </x:c>
      <x:c r="H484" s="6">
        <x:v>46252.95831646991</x:v>
      </x:c>
      <x:c r="I484" s="0"/>
      <x:c r="J484" s="0"/>
      <x:c r="K484" s="6">
        <x:v>46282.83083614583</x:v>
      </x:c>
      <x:c r="L484" t="str" s="2">
        <x:v>Contacted</x:v>
      </x:c>
    </x:row>
    <x:row r="485">
      <x:c r="A485" t="str" s="2">
        <x:f>="Nereida Marrufo"</x:f>
      </x:c>
      <x:c r="B485" t="str" s="2">
        <x:v>Heritage Housing Mt Pleasant</x:v>
      </x:c>
      <x:c r="C485" t="str" s="2">
        <x:v/>
      </x:c>
      <x:c r="D485" t="str" s="2">
        <x:v>8705821465</x:v>
      </x:c>
      <x:c r="E485" t="str" s="2">
        <x:v>officialneryii@gmail.com</x:v>
      </x:c>
      <x:c r="F485" t="str" s="2">
        <x:v>Financing Form</x:v>
      </x:c>
      <x:c r="G485" t="str" s="2">
        <x:v>Yarelis Torres</x:v>
      </x:c>
      <x:c r="H485" s="6">
        <x:v>46252.98217445602</x:v>
      </x:c>
      <x:c r="I485" s="0"/>
      <x:c r="J485" s="0"/>
      <x:c r="K485" s="6">
        <x:v>46274.9002403125</x:v>
      </x:c>
      <x:c r="L485" t="str" s="2">
        <x:v>Contacted</x:v>
      </x:c>
    </x:row>
    <x:row r="486">
      <x:c r="A486" t="str" s="2">
        <x:f>="Lorenzocrese LorenzocreseQE"</x:f>
      </x:c>
      <x:c r="B486" t="str" s="2">
        <x:v>Heritage Housing of Greenville</x:v>
      </x:c>
      <x:c r="C486" t="str" s="2">
        <x:v/>
      </x:c>
      <x:c r="D486" t="str" s="2">
        <x:v>85852342766</x:v>
      </x:c>
      <x:c r="E486" t="str" s="2">
        <x:v>rtjfsdd@rdgxibx.xvq</x:v>
      </x:c>
      <x:c r="F486" t="str" s="2">
        <x:v>Website</x:v>
      </x:c>
      <x:c r="G486" t="str" s="2">
        <x:v>Brooklynn Allen</x:v>
      </x:c>
      <x:c r="H486" s="6">
        <x:v>46252.993841585645</x:v>
      </x:c>
      <x:c r="I486" s="0"/>
      <x:c r="J486" s="0"/>
      <x:c r="K486" s="6">
        <x:v>46253.57753908565</x:v>
      </x:c>
      <x:c r="L486" t="str" s="2">
        <x:v>Contacted</x:v>
      </x:c>
    </x:row>
    <x:row r="487">
      <x:c r="A487" t="str" s="2">
        <x:f>="James Smith"</x:f>
      </x:c>
      <x:c r="B487" t="str" s="2">
        <x:v>Heritage Housing of Greenville</x:v>
      </x:c>
      <x:c r="C487" t="str" s="2">
        <x:v/>
      </x:c>
      <x:c r="D487" t="str" s="2">
        <x:v>9032848655</x:v>
      </x:c>
      <x:c r="E487" t="str" s="2">
        <x:v>jquansmith84@gmail.com</x:v>
      </x:c>
      <x:c r="F487" t="str" s="2">
        <x:v>Landing_BPM</x:v>
      </x:c>
      <x:c r="G487" t="str" s="2">
        <x:v>Brooklynn Allen</x:v>
      </x:c>
      <x:c r="H487" s="6">
        <x:v>46253.37687688658</x:v>
      </x:c>
      <x:c r="I487" s="0"/>
      <x:c r="J487" s="0"/>
      <x:c r="K487" s="6">
        <x:v>46254.67767280093</x:v>
      </x:c>
      <x:c r="L487" t="str" s="2">
        <x:v>Contacted</x:v>
      </x:c>
    </x:row>
    <x:row r="488">
      <x:c r="A488" t="str" s="2">
        <x:f>="Michelle Anderson"</x:f>
      </x:c>
      <x:c r="B488" t="str" s="2">
        <x:v>Heritage Housing of Minden</x:v>
      </x:c>
      <x:c r="C488" t="str" s="2">
        <x:v>0/3</x:v>
      </x:c>
      <x:c r="D488" t="str" s="2">
        <x:v>3183495087</x:v>
      </x:c>
      <x:c r="E488" t="str" s="2">
        <x:v>michelleanderson1077@gmail.com</x:v>
      </x:c>
      <x:c r="F488" t="str" s="2">
        <x:v>Landing_BPM</x:v>
      </x:c>
      <x:c r="G488" t="str" s="2">
        <x:v>Patrick Schuchart</x:v>
      </x:c>
      <x:c r="H488" s="6">
        <x:v>46253.37953491898</x:v>
      </x:c>
      <x:c r="I488" s="0"/>
      <x:c r="J488" s="0"/>
      <x:c r="K488" s="6">
        <x:v>46296.95185648148</x:v>
      </x:c>
      <x:c r="L488" t="str" s="2">
        <x:v>Contacted</x:v>
      </x:c>
    </x:row>
    <x:row r="489">
      <x:c r="A489" t="str" s="2">
        <x:f>="April Morris"</x:f>
      </x:c>
      <x:c r="B489" t="str" s="2">
        <x:v>Heritage Housing of Augusta</x:v>
      </x:c>
      <x:c r="C489" t="str" s="2">
        <x:v/>
      </x:c>
      <x:c r="D489" t="str" s="2">
        <x:v>7069980783</x:v>
      </x:c>
      <x:c r="E489" t="str" s="2">
        <x:v>aprilmorris479@gmail.com</x:v>
      </x:c>
      <x:c r="F489" t="str" s="2">
        <x:v>Landing_BPM</x:v>
      </x:c>
      <x:c r="G489" t="str" s="2">
        <x:v>Faye Lively</x:v>
      </x:c>
      <x:c r="H489" s="6">
        <x:v>46253.524789965275</x:v>
      </x:c>
      <x:c r="I489" s="0"/>
      <x:c r="J489" s="0"/>
      <x:c r="K489" s="6">
        <x:v>46282.83127696759</x:v>
      </x:c>
      <x:c r="L489" t="str" s="2">
        <x:v>Contacted</x:v>
      </x:c>
    </x:row>
    <x:row r="490">
      <x:c r="A490" t="str" s="2">
        <x:f>="Brianna Covarrubio"</x:f>
      </x:c>
      <x:c r="B490" t="str" s="2">
        <x:v>Heritage Housing Gainesville</x:v>
      </x:c>
      <x:c r="C490" t="str" s="2">
        <x:v/>
      </x:c>
      <x:c r="D490" t="str" s="2">
        <x:v>9404353098</x:v>
      </x:c>
      <x:c r="E490" t="str" s="2">
        <x:v>brianna.covarrubio27@gmail.com</x:v>
      </x:c>
      <x:c r="F490" t="str" s="2">
        <x:v>Landing_BPM</x:v>
      </x:c>
      <x:c r="G490" t="str" s="2">
        <x:v>Jeniffer Arellano</x:v>
      </x:c>
      <x:c r="H490" s="6">
        <x:v>46253.81630586806</x:v>
      </x:c>
      <x:c r="I490" s="0"/>
      <x:c r="J490" s="0"/>
      <x:c r="K490" s="6">
        <x:v>46302.690888969904</x:v>
      </x:c>
      <x:c r="L490" t="str" s="2">
        <x:v>Contacted</x:v>
      </x:c>
    </x:row>
    <x:row r="491">
      <x:c r="A491" t="str" s="2">
        <x:f>=HYPERLINK("https://rsms.futurehomex.com/lead/39268", "Michael Heath")</x:f>
      </x:c>
      <x:c r="B491" t="str" s="2">
        <x:v>Heritage Housing of Athens</x:v>
      </x:c>
      <x:c r="C491" t="str" s="2">
        <x:v/>
      </x:c>
      <x:c r="D491" t="str" s="2">
        <x:v>7069900512</x:v>
      </x:c>
      <x:c r="E491" t="str" s="2">
        <x:v>7069900512</x:v>
      </x:c>
      <x:c r="F491" t="str" s="2">
        <x:v>Facebook Messenger</x:v>
      </x:c>
      <x:c r="G491" t="str" s="2">
        <x:v>Nathan Bishop</x:v>
      </x:c>
      <x:c r="H491" s="6">
        <x:v>46253.88769664352</x:v>
      </x:c>
      <x:c r="I491" t="str" s="2">
        <x:v>Nathan Bishop</x:v>
      </x:c>
      <x:c r="J491" s="0"/>
      <x:c r="K491" s="6">
        <x:v>46266.731967974534</x:v>
      </x:c>
      <x:c r="L491" t="str" s="2">
        <x:v>Contacted</x:v>
      </x:c>
    </x:row>
    <x:row r="492">
      <x:c r="A492" t="str" s="2">
        <x:f>="Renee Odums"</x:f>
      </x:c>
      <x:c r="B492" t="str" s="2">
        <x:v>Heritage Housing of Minden</x:v>
      </x:c>
      <x:c r="C492" t="str" s="2">
        <x:v>0/3</x:v>
      </x:c>
      <x:c r="D492" t="str" s="2">
        <x:v>3188950292</x:v>
      </x:c>
      <x:c r="E492" t="str" s="2">
        <x:v>rodums9@gmail.com</x:v>
      </x:c>
      <x:c r="F492" t="str" s="2">
        <x:v>Landing_BPM</x:v>
      </x:c>
      <x:c r="G492" t="str" s="2">
        <x:v>Patrick Schuchart</x:v>
      </x:c>
      <x:c r="H492" s="6">
        <x:v>46253.943564699075</x:v>
      </x:c>
      <x:c r="I492" s="0"/>
      <x:c r="J492" s="0"/>
      <x:c r="K492" s="6">
        <x:v>46296.95021744213</x:v>
      </x:c>
      <x:c r="L492" t="str" s="2">
        <x:v>Contacted</x:v>
      </x:c>
    </x:row>
    <x:row r="493">
      <x:c r="A493" t="str" s="2">
        <x:f>="Celisa Hammonds"</x:f>
      </x:c>
      <x:c r="B493" t="str" s="2">
        <x:v>Heritage Housing of Oklahoma City</x:v>
      </x:c>
      <x:c r="C493" t="str" s="2">
        <x:v>0/1</x:v>
      </x:c>
      <x:c r="D493" t="str" s="2">
        <x:v>9035131722</x:v>
      </x:c>
      <x:c r="E493" t="str" s="2">
        <x:v>celisahammonds@yahoo.com</x:v>
      </x:c>
      <x:c r="F493" t="str" s="2">
        <x:v>LandingPage</x:v>
      </x:c>
      <x:c r="G493" t="str" s="2">
        <x:v>Steve Castell</x:v>
      </x:c>
      <x:c r="H493" s="6">
        <x:v>46254.06367534722</x:v>
      </x:c>
      <x:c r="I493" s="0"/>
      <x:c r="J493" s="0"/>
      <x:c r="K493" s="6">
        <x:v>46254.95334447917</x:v>
      </x:c>
      <x:c r="L493" t="str" s="2">
        <x:v>Contacted</x:v>
      </x:c>
    </x:row>
    <x:row r="494">
      <x:c r="A494" t="str" s="2">
        <x:f>="Roberto Perez"</x:f>
      </x:c>
      <x:c r="B494" t="str" s="2">
        <x:v>Heritage Housing of Asheboro</x:v>
      </x:c>
      <x:c r="C494" t="str" s="2">
        <x:v/>
      </x:c>
      <x:c r="D494" t="str" s="2">
        <x:v>9842279908</x:v>
      </x:c>
      <x:c r="E494" t="str" s="2">
        <x:v>pereztorresroberto58@gmail.com</x:v>
      </x:c>
      <x:c r="F494" t="str" s="2">
        <x:v>Landing_BPM</x:v>
      </x:c>
      <x:c r="G494" t="str" s="2">
        <x:v>Jeremy Jacques</x:v>
      </x:c>
      <x:c r="H494" s="6">
        <x:v>46254.16648769676</x:v>
      </x:c>
      <x:c r="I494" s="0"/>
      <x:c r="J494" s="0"/>
      <x:c r="K494" s="6">
        <x:v>46259.59992908565</x:v>
      </x:c>
      <x:c r="L494" t="str" s="2">
        <x:v>Contacted</x:v>
      </x:c>
    </x:row>
    <x:row r="495">
      <x:c r="A495" t="str" s="2">
        <x:f>="Robert fuentes fuentes"</x:f>
      </x:c>
      <x:c r="B495" t="str" s="2">
        <x:v>Heritage Housing of Greenville</x:v>
      </x:c>
      <x:c r="C495" t="str" s="2">
        <x:v/>
      </x:c>
      <x:c r="D495" t="str" s="2">
        <x:v>4693150264</x:v>
      </x:c>
      <x:c r="E495" t="str" s="2">
        <x:v>marisolsaldana23@gmail.com</x:v>
      </x:c>
      <x:c r="F495" t="str" s="2">
        <x:v>Landing_BPM</x:v>
      </x:c>
      <x:c r="G495" t="str" s="2">
        <x:v>Brooklynn Allen</x:v>
      </x:c>
      <x:c r="H495" s="6">
        <x:v>46254.59702835648</x:v>
      </x:c>
      <x:c r="I495" s="0"/>
      <x:c r="J495" s="0"/>
      <x:c r="K495" s="6">
        <x:v>46255.65146380787</x:v>
      </x:c>
      <x:c r="L495" t="str" s="2">
        <x:v>Contacted</x:v>
      </x:c>
    </x:row>
    <x:row r="496">
      <x:c r="A496" t="str" s="2">
        <x:f>="Robert Lawrence"</x:f>
      </x:c>
      <x:c r="B496" t="str" s="2">
        <x:v>Heritage Housing Gainesville</x:v>
      </x:c>
      <x:c r="C496" t="str" s="2">
        <x:v/>
      </x:c>
      <x:c r="D496" t="str" s="2">
        <x:v>9404655334</x:v>
      </x:c>
      <x:c r="E496" t="str" s="2">
        <x:v>rololaw420@gmail.com</x:v>
      </x:c>
      <x:c r="F496" t="str" s="2">
        <x:v>Youtube</x:v>
      </x:c>
      <x:c r="G496" t="str" s="2">
        <x:v>Jeniffer Arellano</x:v>
      </x:c>
      <x:c r="H496" s="6">
        <x:v>46254.657967743056</x:v>
      </x:c>
      <x:c r="I496" s="0"/>
      <x:c r="J496" s="0"/>
      <x:c r="K496" s="6">
        <x:v>46303.699197650465</x:v>
      </x:c>
      <x:c r="L496" t="str" s="2">
        <x:v>Contacted</x:v>
      </x:c>
    </x:row>
    <x:row r="497">
      <x:c r="A497" t="str" s="2">
        <x:f>="John Moss"</x:f>
      </x:c>
      <x:c r="B497" t="str" s="2">
        <x:v>Heritage Housing Marble Falls</x:v>
      </x:c>
      <x:c r="C497" t="str" s="2">
        <x:v>1/2</x:v>
      </x:c>
      <x:c r="D497" t="str" s="2">
        <x:v>3614959245</x:v>
      </x:c>
      <x:c r="E497" t="str" s="2">
        <x:v>johnmoss369@gmail.com</x:v>
      </x:c>
      <x:c r="F497" t="str" s="2">
        <x:v>Landing_BPM</x:v>
      </x:c>
      <x:c r="G497" t="str" s="2">
        <x:v>Stephen Sanders</x:v>
      </x:c>
      <x:c r="H497" s="6">
        <x:v>46254.69845081019</x:v>
      </x:c>
      <x:c r="I497" s="0"/>
      <x:c r="J497" s="0"/>
      <x:c r="K497" s="6">
        <x:v>46288.60556091435</x:v>
      </x:c>
      <x:c r="L497" t="str" s="2">
        <x:v>Contacted</x:v>
      </x:c>
    </x:row>
    <x:row r="498">
      <x:c r="A498" t="str" s="2">
        <x:f>="Wanda Welch"</x:f>
      </x:c>
      <x:c r="B498" t="str" s="2">
        <x:v>Heritage Housing of Asheboro</x:v>
      </x:c>
      <x:c r="C498" t="str" s="2">
        <x:v/>
      </x:c>
      <x:c r="D498" t="str" s="2">
        <x:v>3362398382</x:v>
      </x:c>
      <x:c r="E498" t="str" s="2">
        <x:v>wandasmall292@gmail.com</x:v>
      </x:c>
      <x:c r="F498" t="str" s="2">
        <x:v>Financing Form</x:v>
      </x:c>
      <x:c r="G498" t="str" s="2">
        <x:v>Jeremy Jacques</x:v>
      </x:c>
      <x:c r="H498" s="6">
        <x:v>46254.738815543984</x:v>
      </x:c>
      <x:c r="I498" s="0"/>
      <x:c r="J498" s="0"/>
      <x:c r="K498" s="6">
        <x:v>46254.8306375</x:v>
      </x:c>
      <x:c r="L498" t="str" s="2">
        <x:v>Contacted</x:v>
      </x:c>
    </x:row>
    <x:row r="499">
      <x:c r="A499" t="str" s="2">
        <x:f>="Amber Stephenson"</x:f>
      </x:c>
      <x:c r="B499" t="str" s="2">
        <x:v>Heritage Housing Mt Pleasant</x:v>
      </x:c>
      <x:c r="C499" t="str" s="2">
        <x:v/>
      </x:c>
      <x:c r="D499" t="str" s="2">
        <x:v>9039217608</x:v>
      </x:c>
      <x:c r="E499" t="str" s="2">
        <x:v>amber4cody@gmail.com</x:v>
      </x:c>
      <x:c r="F499" t="str" s="2">
        <x:v>Landing_BPM</x:v>
      </x:c>
      <x:c r="G499" t="str" s="2">
        <x:v>Yarelis Torres</x:v>
      </x:c>
      <x:c r="H499" s="6">
        <x:v>46254.98760876158</x:v>
      </x:c>
      <x:c r="I499" s="0"/>
      <x:c r="J499" s="0"/>
      <x:c r="K499" s="6">
        <x:v>46274.89610859954</x:v>
      </x:c>
      <x:c r="L499" t="str" s="2">
        <x:v>Contacted</x:v>
      </x:c>
    </x:row>
    <x:row r="500">
      <x:c r="A500" t="str" s="2">
        <x:f>=HYPERLINK("https://rsms.futurehomex.com/lead/39292", "Decedrick Crosby")</x:f>
      </x:c>
      <x:c r="B500" t="str" s="2">
        <x:v>Heritage Housing of Minden</x:v>
      </x:c>
      <x:c r="C500" t="str" s="2">
        <x:v>1/2</x:v>
      </x:c>
      <x:c r="D500" t="str" s="2">
        <x:v>3182453874</x:v>
      </x:c>
      <x:c r="E500" t="str" s="2">
        <x:v>3182453874</x:v>
      </x:c>
      <x:c r="F500" t="str" s="2">
        <x:v>Walk-in</x:v>
      </x:c>
      <x:c r="G500" t="str" s="2">
        <x:v>Patrick Schuchart</x:v>
      </x:c>
      <x:c r="H500" s="6">
        <x:v>46255.59364348379</x:v>
      </x:c>
      <x:c r="I500" t="str" s="2">
        <x:v>Patrick Schuchart</x:v>
      </x:c>
      <x:c r="J500" s="0"/>
      <x:c r="K500" s="6">
        <x:v>46296.94941678241</x:v>
      </x:c>
      <x:c r="L500" t="str" s="2">
        <x:v>Contacted</x:v>
      </x:c>
    </x:row>
    <x:row r="501">
      <x:c r="A501" t="str" s="2">
        <x:f>="Derrick Taylor"</x:f>
      </x:c>
      <x:c r="B501" t="str" s="2">
        <x:v>Heritage Housing Gainesville</x:v>
      </x:c>
      <x:c r="C501" t="str" s="2">
        <x:v/>
      </x:c>
      <x:c r="D501" t="str" s="2">
        <x:v>4694455384</x:v>
      </x:c>
      <x:c r="E501" t="str" s="2">
        <x:v>derricktaylor2324@gmail.com</x:v>
      </x:c>
      <x:c r="F501" t="str" s="2">
        <x:v>Financing Form</x:v>
      </x:c>
      <x:c r="G501" t="str" s="2">
        <x:v>Jeniffer Arellano</x:v>
      </x:c>
      <x:c r="H501" s="6">
        <x:v>46256.15719803241</x:v>
      </x:c>
      <x:c r="I501" s="0"/>
      <x:c r="J501" s="0"/>
      <x:c r="K501" s="6">
        <x:v>46303.69965474537</x:v>
      </x:c>
      <x:c r="L501" t="str" s="2">
        <x:v>Contacted</x:v>
      </x:c>
    </x:row>
    <x:row r="502">
      <x:c r="A502" t="str" s="2">
        <x:f>="Desirae Culbertson"</x:f>
      </x:c>
      <x:c r="B502" t="str" s="2">
        <x:v>Heritage Housing of Asheboro</x:v>
      </x:c>
      <x:c r="C502" t="str" s="2">
        <x:v/>
      </x:c>
      <x:c r="D502" t="str" s="2">
        <x:v>9806358453</x:v>
      </x:c>
      <x:c r="E502" t="str" s="2">
        <x:v>dac3305@gmail.com</x:v>
      </x:c>
      <x:c r="F502" t="str" s="2">
        <x:v>Landing_BPM</x:v>
      </x:c>
      <x:c r="G502" t="str" s="2">
        <x:v>Maria Lopez</x:v>
      </x:c>
      <x:c r="H502" s="6">
        <x:v>46256.54834826389</x:v>
      </x:c>
      <x:c r="I502" s="0"/>
      <x:c r="J502" s="0"/>
      <x:c r="K502" s="6">
        <x:v>46307.864394675926</x:v>
      </x:c>
      <x:c r="L502" t="str" s="2">
        <x:v>Contacted</x:v>
      </x:c>
    </x:row>
    <x:row r="503">
      <x:c r="A503" t="str" s="2">
        <x:f>="Terryedifs TerryedifsIG"</x:f>
      </x:c>
      <x:c r="B503" t="str" s="2">
        <x:v>Heritage Housing of Greenville</x:v>
      </x:c>
      <x:c r="C503" t="str" s="2">
        <x:v/>
      </x:c>
      <x:c r="D503" t="str" s="2">
        <x:v>84353344557</x:v>
      </x:c>
      <x:c r="E503" t="str" s="2">
        <x:v>aacgxbm@lqbwtlc.ebl</x:v>
      </x:c>
      <x:c r="F503" t="str" s="2">
        <x:v>Website</x:v>
      </x:c>
      <x:c r="G503" t="str" s="2">
        <x:v>Brooklynn Allen</x:v>
      </x:c>
      <x:c r="H503" s="6">
        <x:v>46256.56430196759</x:v>
      </x:c>
      <x:c r="I503" s="0"/>
      <x:c r="J503" s="0"/>
      <x:c r="K503" s="6">
        <x:v>46267.76473630787</x:v>
      </x:c>
      <x:c r="L503" t="str" s="2">
        <x:v>Contacted</x:v>
      </x:c>
    </x:row>
    <x:row r="504">
      <x:c r="A504" t="str" s="2">
        <x:f>="Stephen Demorest"</x:f>
      </x:c>
      <x:c r="B504" t="str" s="2">
        <x:v>Heritage Housing of Augusta</x:v>
      </x:c>
      <x:c r="C504" t="str" s="2">
        <x:v/>
      </x:c>
      <x:c r="D504" t="str" s="2">
        <x:v>7622258304</x:v>
      </x:c>
      <x:c r="E504" t="str" s="2">
        <x:v>stephendemorest@hotmail.com</x:v>
      </x:c>
      <x:c r="F504" t="str" s="2">
        <x:v>Financing Form</x:v>
      </x:c>
      <x:c r="G504" t="str" s="2">
        <x:v>Faye Lively</x:v>
      </x:c>
      <x:c r="H504" s="6">
        <x:v>46257.04003614583</x:v>
      </x:c>
      <x:c r="I504" s="0"/>
      <x:c r="J504" s="0"/>
      <x:c r="K504" s="6">
        <x:v>46279.75810497685</x:v>
      </x:c>
      <x:c r="L504" t="str" s="2">
        <x:v>Contacted</x:v>
      </x:c>
    </x:row>
    <x:row r="505">
      <x:c r="A505" t="str" s="2">
        <x:f>="Michelle Rosenburgh"</x:f>
      </x:c>
      <x:c r="B505" t="str" s="2">
        <x:v>Heritage Housing Gainesville</x:v>
      </x:c>
      <x:c r="C505" t="str" s="2">
        <x:v/>
      </x:c>
      <x:c r="D505" t="str" s="2">
        <x:v>8174559649</x:v>
      </x:c>
      <x:c r="E505" t="str" s="2">
        <x:v>thatgirlmimi39@gmail.com</x:v>
      </x:c>
      <x:c r="F505" t="str" s="2">
        <x:v>Landing_BPM</x:v>
      </x:c>
      <x:c r="G505" t="str" s="2">
        <x:v>Jeniffer Arellano</x:v>
      </x:c>
      <x:c r="H505" s="6">
        <x:v>46257.050715474536</x:v>
      </x:c>
      <x:c r="I505" s="0"/>
      <x:c r="J505" s="0"/>
      <x:c r="K505" s="6">
        <x:v>46303.69940887731</x:v>
      </x:c>
      <x:c r="L505" t="str" s="2">
        <x:v>Contacted</x:v>
      </x:c>
    </x:row>
    <x:row r="506">
      <x:c r="A506" t="str" s="2">
        <x:f>="Makenzie Keener"</x:f>
      </x:c>
      <x:c r="B506" t="str" s="2">
        <x:v>Heritage Housing Mt Pleasant</x:v>
      </x:c>
      <x:c r="C506" t="str" s="2">
        <x:v/>
      </x:c>
      <x:c r="D506" t="str" s="2">
        <x:v>9037331146</x:v>
      </x:c>
      <x:c r="E506" t="str" s="2">
        <x:v>makenziecallaway@gmail.com</x:v>
      </x:c>
      <x:c r="F506" t="str" s="2">
        <x:v>Landing_BPM</x:v>
      </x:c>
      <x:c r="G506" t="str" s="2">
        <x:v>Yarelis Torres</x:v>
      </x:c>
      <x:c r="H506" s="6">
        <x:v>46257.16576744213</x:v>
      </x:c>
      <x:c r="I506" s="0"/>
      <x:c r="J506" s="0"/>
      <x:c r="K506" s="6">
        <x:v>46276.966778738424</x:v>
      </x:c>
      <x:c r="L506" t="str" s="2">
        <x:v>Contacted</x:v>
      </x:c>
    </x:row>
    <x:row r="507">
      <x:c r="A507" t="str" s="2">
        <x:f>="Tamekia McBeath"</x:f>
      </x:c>
      <x:c r="B507" t="str" s="2">
        <x:v>Heritage Housing Marble Falls</x:v>
      </x:c>
      <x:c r="C507" t="str" s="2">
        <x:v>0/2</x:v>
      </x:c>
      <x:c r="D507" t="str" s="2">
        <x:v>5126792988</x:v>
      </x:c>
      <x:c r="E507" t="str" s="2">
        <x:v>mcbeathtamekia@gmail.com</x:v>
      </x:c>
      <x:c r="F507" t="str" s="2">
        <x:v>Landing_BPM</x:v>
      </x:c>
      <x:c r="G507" t="str" s="2">
        <x:v>Stephen Sanders</x:v>
      </x:c>
      <x:c r="H507" s="6">
        <x:v>46257.28751516204</x:v>
      </x:c>
      <x:c r="I507" s="0"/>
      <x:c r="J507" s="0"/>
      <x:c r="K507" s="6">
        <x:v>46281.899829710645</x:v>
      </x:c>
      <x:c r="L507" t="str" s="2">
        <x:v>Contacted</x:v>
      </x:c>
    </x:row>
    <x:row r="508">
      <x:c r="A508" t="str" s="2">
        <x:f>="Jeri Everett"</x:f>
      </x:c>
      <x:c r="B508" t="str" s="2">
        <x:v>Heritage Housing Mt Pleasant</x:v>
      </x:c>
      <x:c r="C508" t="str" s="2">
        <x:v/>
      </x:c>
      <x:c r="D508" t="str" s="2">
        <x:v>9729240768</x:v>
      </x:c>
      <x:c r="E508" t="str" s="2">
        <x:v>lilrwrunner@gmail.com</x:v>
      </x:c>
      <x:c r="F508" t="str" s="2">
        <x:v>Landing_BPM</x:v>
      </x:c>
      <x:c r="G508" t="str" s="2">
        <x:v>Yarelis Torres</x:v>
      </x:c>
      <x:c r="H508" s="6">
        <x:v>46257.29471585648</x:v>
      </x:c>
      <x:c r="I508" s="0"/>
      <x:c r="J508" s="0"/>
      <x:c r="K508" s="6">
        <x:v>46274.88892954861</x:v>
      </x:c>
      <x:c r="L508" t="str" s="2">
        <x:v>Contacted</x:v>
      </x:c>
    </x:row>
    <x:row r="509">
      <x:c r="A509" t="str" s="2">
        <x:f>="Amanda Mcgrew"</x:f>
      </x:c>
      <x:c r="B509" t="str" s="2">
        <x:v>Heritage Housing of Minden</x:v>
      </x:c>
      <x:c r="C509" t="str" s="2">
        <x:v>0/3</x:v>
      </x:c>
      <x:c r="D509" t="str" s="2">
        <x:v>3183492520</x:v>
      </x:c>
      <x:c r="E509" t="str" s="2">
        <x:v>amandamcgrew3@gmail.com</x:v>
      </x:c>
      <x:c r="F509" t="str" s="2">
        <x:v>Landing_BPM</x:v>
      </x:c>
      <x:c r="G509" t="str" s="2">
        <x:v>Kyla Brown</x:v>
      </x:c>
      <x:c r="H509" s="6">
        <x:v>46257.3246465625</x:v>
      </x:c>
      <x:c r="I509" s="0"/>
      <x:c r="J509" s="0"/>
      <x:c r="K509" s="6">
        <x:v>46296.948585729166</x:v>
      </x:c>
      <x:c r="L509" t="str" s="2">
        <x:v>Contacted</x:v>
      </x:c>
    </x:row>
    <x:row r="510">
      <x:c r="A510" t="str" s="2">
        <x:f>="Precious Harrison"</x:f>
      </x:c>
      <x:c r="B510" t="str" s="2">
        <x:v>Heritage Housing of Greenville</x:v>
      </x:c>
      <x:c r="C510" t="str" s="2">
        <x:v/>
      </x:c>
      <x:c r="D510" t="str" s="2">
        <x:v>2145351406</x:v>
      </x:c>
      <x:c r="E510" t="str" s="2">
        <x:v>divinelydisturbedllc@gmail.com</x:v>
      </x:c>
      <x:c r="F510" t="str" s="2">
        <x:v>Landing_BPM</x:v>
      </x:c>
      <x:c r="G510" t="str" s="2">
        <x:v>Brooklynn Allen</x:v>
      </x:c>
      <x:c r="H510" s="6">
        <x:v>46257.84801913195</x:v>
      </x:c>
      <x:c r="I510" s="0"/>
      <x:c r="J510" s="0"/>
      <x:c r="K510" s="6">
        <x:v>46267.76745876158</x:v>
      </x:c>
      <x:c r="L510" t="str" s="2">
        <x:v>Contacted</x:v>
      </x:c>
    </x:row>
    <x:row r="511">
      <x:c r="A511" t="str" s="2">
        <x:f>=HYPERLINK("https://rsms.futurehomex.com/lead/39350", "Angelic Burleyson")</x:f>
      </x:c>
      <x:c r="B511" t="str" s="2">
        <x:v>Heritage Housing of Athens</x:v>
      </x:c>
      <x:c r="C511" t="str" s="2">
        <x:v>1/2</x:v>
      </x:c>
      <x:c r="D511" t="str" s="2">
        <x:v>7065514782</x:v>
      </x:c>
      <x:c r="E511" t="str" s="2">
        <x:v>angelicnicole1993@gmail.com</x:v>
      </x:c>
      <x:c r="F511" t="str" s="2">
        <x:v>Facebook Messenger</x:v>
      </x:c>
      <x:c r="G511" t="str" s="2">
        <x:v>Nathan Bishop</x:v>
      </x:c>
      <x:c r="H511" s="6">
        <x:v>46258.68128055555</x:v>
      </x:c>
      <x:c r="I511" t="str" s="2">
        <x:v>Nathan Bishop</x:v>
      </x:c>
      <x:c r="J511" s="0"/>
      <x:c r="K511" s="6">
        <x:v>46288.567471064816</x:v>
      </x:c>
      <x:c r="L511" t="str" s="2">
        <x:v>Contacted</x:v>
      </x:c>
    </x:row>
    <x:row r="512">
      <x:c r="A512" t="str" s="2">
        <x:f>="Herson Dormen"</x:f>
      </x:c>
      <x:c r="B512" t="str" s="2">
        <x:v>Heritage Housing Mt Pleasant</x:v>
      </x:c>
      <x:c r="C512" t="str" s="2">
        <x:v/>
      </x:c>
      <x:c r="D512" t="str" s="2">
        <x:v>9039314863</x:v>
      </x:c>
      <x:c r="E512" t="str" s="2">
        <x:v>9039314863</x:v>
      </x:c>
      <x:c r="F512" t="str" s="2">
        <x:v>Facebook Messenger</x:v>
      </x:c>
      <x:c r="G512" t="str" s="2">
        <x:v>Yarelis Torres</x:v>
      </x:c>
      <x:c r="H512" s="6">
        <x:v>46258.71707604167</x:v>
      </x:c>
      <x:c r="I512" s="0"/>
      <x:c r="J512" s="6">
        <x:v>46258.75</x:v>
      </x:c>
      <x:c r="K512" s="6">
        <x:v>46276.96681215278</x:v>
      </x:c>
      <x:c r="L512" t="str" s="2">
        <x:v>Contacted</x:v>
      </x:c>
    </x:row>
    <x:row r="513">
      <x:c r="A513" t="str" s="2">
        <x:f>="Skotchkierria Smart"</x:f>
      </x:c>
      <x:c r="B513" t="str" s="2">
        <x:v>Heritage Housing of Minden</x:v>
      </x:c>
      <x:c r="C513" t="str" s="2">
        <x:v>0/3</x:v>
      </x:c>
      <x:c r="D513" t="str" s="2">
        <x:v>3183153214</x:v>
      </x:c>
      <x:c r="E513" t="str" s="2">
        <x:v>skyesmart39@gmail.com</x:v>
      </x:c>
      <x:c r="F513" t="str" s="2">
        <x:v>Landing_BPM</x:v>
      </x:c>
      <x:c r="G513" t="str" s="2">
        <x:v>Patrick Schuchart</x:v>
      </x:c>
      <x:c r="H513" s="6">
        <x:v>46258.72734146991</x:v>
      </x:c>
      <x:c r="I513" s="0"/>
      <x:c r="J513" s="0"/>
      <x:c r="K513" s="6">
        <x:v>46296.94774019676</x:v>
      </x:c>
      <x:c r="L513" t="str" s="2">
        <x:v>Contacted</x:v>
      </x:c>
    </x:row>
    <x:row r="514">
      <x:c r="A514" t="str" s="2">
        <x:f>="Erica Erickson"</x:f>
      </x:c>
      <x:c r="B514" t="str" s="2">
        <x:v>Heritage Housing Gainesville</x:v>
      </x:c>
      <x:c r="C514" t="str" s="2">
        <x:v/>
      </x:c>
      <x:c r="D514" t="str" s="2">
        <x:v>2147250968</x:v>
      </x:c>
      <x:c r="E514" t="str" s="2">
        <x:v>erica110581@gmail.com</x:v>
      </x:c>
      <x:c r="F514" t="str" s="2">
        <x:v>Landing_BPM</x:v>
      </x:c>
      <x:c r="G514" t="str" s="2">
        <x:v>Jeniffer Arellano</x:v>
      </x:c>
      <x:c r="H514" s="6">
        <x:v>46258.78321350695</x:v>
      </x:c>
      <x:c r="I514" s="0"/>
      <x:c r="J514" s="0"/>
      <x:c r="K514" s="6">
        <x:v>46303.69977612269</x:v>
      </x:c>
      <x:c r="L514" t="str" s="2">
        <x:v>Contacted</x:v>
      </x:c>
    </x:row>
    <x:row r="515">
      <x:c r="A515" t="str" s="2">
        <x:f>="Cody Allison"</x:f>
      </x:c>
      <x:c r="B515" t="str" s="2">
        <x:v>Heritage Housing Mt Pleasant</x:v>
      </x:c>
      <x:c r="C515" t="str" s="2">
        <x:v/>
      </x:c>
      <x:c r="D515" t="str" s="2">
        <x:v>9033148072</x:v>
      </x:c>
      <x:c r="E515" t="str" s="2">
        <x:v>codyja01@gmail.com</x:v>
      </x:c>
      <x:c r="F515" t="str" s="2">
        <x:v>Landing_BPM</x:v>
      </x:c>
      <x:c r="G515" t="str" s="2">
        <x:v>Yarelis Torres</x:v>
      </x:c>
      <x:c r="H515" s="6">
        <x:v>46258.787726539354</x:v>
      </x:c>
      <x:c r="I515" s="0"/>
      <x:c r="J515" s="0"/>
      <x:c r="K515" s="6">
        <x:v>46276.966697222226</x:v>
      </x:c>
      <x:c r="L515" t="str" s="2">
        <x:v>Contacted</x:v>
      </x:c>
    </x:row>
    <x:row r="516">
      <x:c r="A516" t="str" s="2">
        <x:f>="erica eckles"</x:f>
      </x:c>
      <x:c r="B516" t="str" s="2">
        <x:v>Heritage Housing of Albany</x:v>
      </x:c>
      <x:c r="C516" t="str" s="2">
        <x:v/>
      </x:c>
      <x:c r="D516" t="str" s="2">
        <x:v>2542058967</x:v>
      </x:c>
      <x:c r="E516" t="str" s="2">
        <x:v>eeckles08@gmail.com</x:v>
      </x:c>
      <x:c r="F516" t="str" s="2">
        <x:v>Financing Form</x:v>
      </x:c>
      <x:c r="G516" t="str" s="2">
        <x:v>Yanet Alvarez</x:v>
      </x:c>
      <x:c r="H516" s="6">
        <x:v>46258.822649849535</x:v>
      </x:c>
      <x:c r="I516" s="0"/>
      <x:c r="J516" s="0"/>
      <x:c r="K516" s="6">
        <x:v>46302.56467769676</x:v>
      </x:c>
      <x:c r="L516" t="str" s="2">
        <x:v>Contacted</x:v>
      </x:c>
    </x:row>
    <x:row r="517">
      <x:c r="A517" t="str" s="2">
        <x:f>="John Jenkins"</x:f>
      </x:c>
      <x:c r="B517" t="str" s="2">
        <x:v>Heritage Housing Gainesville</x:v>
      </x:c>
      <x:c r="C517" t="str" s="2">
        <x:v/>
      </x:c>
      <x:c r="D517" t="str" s="2">
        <x:v>7063608102</x:v>
      </x:c>
      <x:c r="E517" t="str" s="2">
        <x:v>JohnJenkins706@icloud.com</x:v>
      </x:c>
      <x:c r="F517" t="str" s="2">
        <x:v>Landing_BPM</x:v>
      </x:c>
      <x:c r="G517" t="str" s="2">
        <x:v>Kelly Ford</x:v>
      </x:c>
      <x:c r="H517" s="6">
        <x:v>46259.14485196759</x:v>
      </x:c>
      <x:c r="I517" s="0"/>
      <x:c r="J517" s="0"/>
      <x:c r="K517" s="6">
        <x:v>46300.80243221065</x:v>
      </x:c>
      <x:c r="L517" t="str" s="2">
        <x:v>Contacted</x:v>
      </x:c>
    </x:row>
    <x:row r="518">
      <x:c r="A518" t="str" s="2">
        <x:f>="Jimmy Parker"</x:f>
      </x:c>
      <x:c r="B518" t="str" s="2">
        <x:v>Heritage Housing of Minden</x:v>
      </x:c>
      <x:c r="C518" t="str" s="2">
        <x:v>1/3</x:v>
      </x:c>
      <x:c r="D518" t="str" s="2">
        <x:v>2546834241</x:v>
      </x:c>
      <x:c r="E518" t="str" s="2">
        <x:v>parkerjimmy2222@gmail.com</x:v>
      </x:c>
      <x:c r="F518" t="str" s="2">
        <x:v>Landing_BPM</x:v>
      </x:c>
      <x:c r="G518" t="str" s="2">
        <x:v>Patrick Schuchart</x:v>
      </x:c>
      <x:c r="H518" s="6">
        <x:v>46259.73645015046</x:v>
      </x:c>
      <x:c r="I518" s="0"/>
      <x:c r="J518" s="0"/>
      <x:c r="K518" s="6">
        <x:v>46296.94419440972</x:v>
      </x:c>
      <x:c r="L518" t="str" s="2">
        <x:v>Contacted</x:v>
      </x:c>
    </x:row>
    <x:row r="519">
      <x:c r="A519" t="str" s="2">
        <x:f>="Sarah Towery"</x:f>
      </x:c>
      <x:c r="B519" t="str" s="2">
        <x:v>Heritage Housing Marble Falls</x:v>
      </x:c>
      <x:c r="C519" t="str" s="2">
        <x:v>1/5</x:v>
      </x:c>
      <x:c r="D519" t="str" s="2">
        <x:v>5124292488</x:v>
      </x:c>
      <x:c r="E519" t="str" s="2">
        <x:v>kylereyes2017@gmail.com</x:v>
      </x:c>
      <x:c r="F519" t="str" s="2">
        <x:v>Landing_BPM</x:v>
      </x:c>
      <x:c r="G519" t="str" s="2">
        <x:v>Stephen Sanders</x:v>
      </x:c>
      <x:c r="H519" s="6">
        <x:v>46259.78610320602</x:v>
      </x:c>
      <x:c r="I519" s="0"/>
      <x:c r="J519" s="0"/>
      <x:c r="K519" s="6">
        <x:v>46281.90163179398</x:v>
      </x:c>
      <x:c r="L519" t="str" s="2">
        <x:v>Contacted</x:v>
      </x:c>
    </x:row>
    <x:row r="520">
      <x:c r="A520" t="str" s="2">
        <x:f>="Willie Coverson"</x:f>
      </x:c>
      <x:c r="B520" t="str" s="2">
        <x:v>Heritage Housing of Greenville</x:v>
      </x:c>
      <x:c r="C520" t="str" s="2">
        <x:v/>
      </x:c>
      <x:c r="D520" t="str" s="2">
        <x:v>9035769860</x:v>
      </x:c>
      <x:c r="E520" t="str" s="2">
        <x:v>williegeromecoverson@gmail.com</x:v>
      </x:c>
      <x:c r="F520" t="str" s="2">
        <x:v>Landing_BPM</x:v>
      </x:c>
      <x:c r="G520" t="str" s="2">
        <x:v>Yarelis Torres</x:v>
      </x:c>
      <x:c r="H520" s="6">
        <x:v>46260.01298831018</x:v>
      </x:c>
      <x:c r="I520" s="0"/>
      <x:c r="J520" s="0"/>
      <x:c r="K520" s="6">
        <x:v>46274.87876871528</x:v>
      </x:c>
      <x:c r="L520" t="str" s="2">
        <x:v>Contacted</x:v>
      </x:c>
    </x:row>
    <x:row r="521">
      <x:c r="A521" t="str" s="2">
        <x:f>="Kellishia Ferguson"</x:f>
      </x:c>
      <x:c r="B521" t="str" s="2">
        <x:v>Heritage Housing of Minden</x:v>
      </x:c>
      <x:c r="C521" t="str" s="2">
        <x:v>0/2</x:v>
      </x:c>
      <x:c r="D521" t="str" s="2">
        <x:v>4692657091</x:v>
      </x:c>
      <x:c r="E521" t="str" s="2">
        <x:v>kellishiaferguson031@gmail.com</x:v>
      </x:c>
      <x:c r="F521" t="str" s="2">
        <x:v>Landing_BPM</x:v>
      </x:c>
      <x:c r="G521" t="str" s="2">
        <x:v>Kyla Brown</x:v>
      </x:c>
      <x:c r="H521" s="6">
        <x:v>46260.18395980324</x:v>
      </x:c>
      <x:c r="I521" s="0"/>
      <x:c r="J521" s="0"/>
      <x:c r="K521" s="6">
        <x:v>46266.838236840274</x:v>
      </x:c>
      <x:c r="L521" t="str" s="2">
        <x:v>Contacted</x:v>
      </x:c>
    </x:row>
    <x:row r="522">
      <x:c r="A522" t="str" s="2">
        <x:f>="Keshon Huntley"</x:f>
      </x:c>
      <x:c r="B522" t="str" s="2">
        <x:v>Heritage Housing of Asheboro</x:v>
      </x:c>
      <x:c r="C522" t="str" s="2">
        <x:v/>
      </x:c>
      <x:c r="D522" t="str" s="2">
        <x:v>7045726141</x:v>
      </x:c>
      <x:c r="E522" t="str" s="2">
        <x:v>keshonhuntley15@gmail.com</x:v>
      </x:c>
      <x:c r="F522" t="str" s="2">
        <x:v>Landing_BPM</x:v>
      </x:c>
      <x:c r="G522" t="str" s="2">
        <x:v>Jeremy Jacques</x:v>
      </x:c>
      <x:c r="H522" s="6">
        <x:v>46260.218934108794</x:v>
      </x:c>
      <x:c r="I522" s="0"/>
      <x:c r="J522" s="0"/>
      <x:c r="K522" s="6">
        <x:v>46260.893015775466</x:v>
      </x:c>
      <x:c r="L522" t="str" s="2">
        <x:v>Contacted</x:v>
      </x:c>
    </x:row>
    <x:row r="523">
      <x:c r="A523" t="str" s="2">
        <x:f>="MarvinMig MarvinMigWE"</x:f>
      </x:c>
      <x:c r="B523" t="str" s="2">
        <x:v>Heritage Housing of Greenville</x:v>
      </x:c>
      <x:c r="C523" t="str" s="2">
        <x:v/>
      </x:c>
      <x:c r="D523" t="str" s="2">
        <x:v>84924166954</x:v>
      </x:c>
      <x:c r="E523" t="str" s="2">
        <x:v>mhftkva@qdvquuj.vqk</x:v>
      </x:c>
      <x:c r="F523" t="str" s="2">
        <x:v>Website</x:v>
      </x:c>
      <x:c r="G523" t="str" s="2">
        <x:v>Brooklynn Allen</x:v>
      </x:c>
      <x:c r="H523" s="6">
        <x:v>46260.48496018518</x:v>
      </x:c>
      <x:c r="I523" s="0"/>
      <x:c r="J523" s="0"/>
      <x:c r="K523" s="6">
        <x:v>46260.59589996528</x:v>
      </x:c>
      <x:c r="L523" t="str" s="2">
        <x:v>Contacted</x:v>
      </x:c>
    </x:row>
    <x:row r="524">
      <x:c r="A524" t="str" s="2">
        <x:f>="Satangela Taylor"</x:f>
      </x:c>
      <x:c r="B524" t="str" s="2">
        <x:v>Heritage Housing of Minden</x:v>
      </x:c>
      <x:c r="C524" t="str" s="2">
        <x:v>0/1</x:v>
      </x:c>
      <x:c r="D524" t="str" s="2">
        <x:v>3182869664</x:v>
      </x:c>
      <x:c r="E524" t="str" s="2">
        <x:v>satangelajones@yahoo.com</x:v>
      </x:c>
      <x:c r="F524" t="str" s="2">
        <x:v>Website</x:v>
      </x:c>
      <x:c r="G524" t="str" s="2">
        <x:v>Patrick Schuchart</x:v>
      </x:c>
      <x:c r="H524" s="6">
        <x:v>46260.556449270836</x:v>
      </x:c>
      <x:c r="I524" s="0"/>
      <x:c r="J524" s="0"/>
      <x:c r="K524" s="6">
        <x:v>46260.84148746528</x:v>
      </x:c>
      <x:c r="L524" t="str" s="2">
        <x:v>Contacted</x:v>
      </x:c>
    </x:row>
    <x:row r="525">
      <x:c r="A525" t="str" s="2">
        <x:f>="Rashunda Walter"</x:f>
      </x:c>
      <x:c r="B525" t="str" s="2">
        <x:v>Heritage Housing of Minden</x:v>
      </x:c>
      <x:c r="C525" t="str" s="2">
        <x:v>0/1</x:v>
      </x:c>
      <x:c r="D525" t="str" s="2">
        <x:v>3185251103</x:v>
      </x:c>
      <x:c r="E525" t="str" s="2">
        <x:v>Rashundawalter7@gmail.com</x:v>
      </x:c>
      <x:c r="F525" t="str" s="2">
        <x:v>Landing_BPM</x:v>
      </x:c>
      <x:c r="G525" t="str" s="2">
        <x:v>Kyla Brown</x:v>
      </x:c>
      <x:c r="H525" s="6">
        <x:v>46260.60701674769</x:v>
      </x:c>
      <x:c r="I525" s="0"/>
      <x:c r="J525" s="0"/>
      <x:c r="K525" s="6">
        <x:v>46260.83974001157</x:v>
      </x:c>
      <x:c r="L525" t="str" s="2">
        <x:v>Contacted</x:v>
      </x:c>
    </x:row>
    <x:row r="526">
      <x:c r="A526" t="str" s="2">
        <x:f>="Pam Ward"</x:f>
      </x:c>
      <x:c r="B526" t="str" s="2">
        <x:v>Heritage Housing of Minden</x:v>
      </x:c>
      <x:c r="C526" t="str" s="2">
        <x:v>0/3</x:v>
      </x:c>
      <x:c r="D526" t="str" s="2">
        <x:v>8504861304</x:v>
      </x:c>
      <x:c r="E526" t="str" s="2">
        <x:v>pamelaward1968@gmail.com</x:v>
      </x:c>
      <x:c r="F526" t="str" s="2">
        <x:v>Landing_BPM</x:v>
      </x:c>
      <x:c r="G526" t="str" s="2">
        <x:v>Patrick Schuchart</x:v>
      </x:c>
      <x:c r="H526" s="6">
        <x:v>46260.637975578706</x:v>
      </x:c>
      <x:c r="I526" s="0"/>
      <x:c r="J526" s="0"/>
      <x:c r="K526" s="6">
        <x:v>46291.757313344904</x:v>
      </x:c>
      <x:c r="L526" t="str" s="2">
        <x:v>Contacted</x:v>
      </x:c>
    </x:row>
    <x:row r="527">
      <x:c r="A527" t="str" s="2">
        <x:f>="Shakela McBride"</x:f>
      </x:c>
      <x:c r="B527" t="str" s="2">
        <x:v>Heritage Housing of Augusta</x:v>
      </x:c>
      <x:c r="C527" t="str" s="2">
        <x:v/>
      </x:c>
      <x:c r="D527" t="str" s="2">
        <x:v>4782063504</x:v>
      </x:c>
      <x:c r="E527" t="str" s="2">
        <x:v>shakela429@gmail.com</x:v>
      </x:c>
      <x:c r="F527" t="str" s="2">
        <x:v>Landing_BPM</x:v>
      </x:c>
      <x:c r="G527" t="str" s="2">
        <x:v>Faye Lively</x:v>
      </x:c>
      <x:c r="H527" s="6">
        <x:v>46260.757761886576</x:v>
      </x:c>
      <x:c r="I527" s="0"/>
      <x:c r="J527" s="0"/>
      <x:c r="K527" s="6">
        <x:v>46282.83210497685</x:v>
      </x:c>
      <x:c r="L527" t="str" s="2">
        <x:v>Contacted</x:v>
      </x:c>
    </x:row>
    <x:row r="528">
      <x:c r="A528" t="str" s="2">
        <x:f>="Robertrer CharlesrerGM"</x:f>
      </x:c>
      <x:c r="B528" t="str" s="2">
        <x:v>Heritage Housing of Greenville</x:v>
      </x:c>
      <x:c r="C528" t="str" s="2">
        <x:v/>
      </x:c>
      <x:c r="D528" t="str" s="2">
        <x:v>86598462669</x:v>
      </x:c>
      <x:c r="E528" t="str" s="2">
        <x:v>hafwfiv@pdcwwre.ssp</x:v>
      </x:c>
      <x:c r="F528" t="str" s="2">
        <x:v>Website</x:v>
      </x:c>
      <x:c r="G528" t="str" s="2">
        <x:v>Brooklynn Allen</x:v>
      </x:c>
      <x:c r="H528" s="6">
        <x:v>46260.814762002316</x:v>
      </x:c>
      <x:c r="I528" s="0"/>
      <x:c r="J528" s="0"/>
      <x:c r="K528" s="6">
        <x:v>46260.846783912035</x:v>
      </x:c>
      <x:c r="L528" t="str" s="2">
        <x:v>Contacted</x:v>
      </x:c>
    </x:row>
    <x:row r="529">
      <x:c r="A529" t="str" s="2">
        <x:f>="Ashley Steward"</x:f>
      </x:c>
      <x:c r="B529" t="str" s="2">
        <x:v>Heritage Housing of Asheboro</x:v>
      </x:c>
      <x:c r="C529" t="str" s="2">
        <x:v/>
      </x:c>
      <x:c r="D529" t="str" s="2">
        <x:v>3364063902</x:v>
      </x:c>
      <x:c r="E529" t="str" s="2">
        <x:v>luvintheskingodputmein@gmail.com</x:v>
      </x:c>
      <x:c r="F529" t="str" s="2">
        <x:v>Landing_BPM</x:v>
      </x:c>
      <x:c r="G529" t="str" s="2">
        <x:v>Jeremy Jacques</x:v>
      </x:c>
      <x:c r="H529" s="6">
        <x:v>46260.8376681713</x:v>
      </x:c>
      <x:c r="I529" s="0"/>
      <x:c r="J529" s="0"/>
      <x:c r="K529" s="6">
        <x:v>46260.880277199074</x:v>
      </x:c>
      <x:c r="L529" t="str" s="2">
        <x:v>Contacted</x:v>
      </x:c>
    </x:row>
    <x:row r="530">
      <x:c r="A530" t="str" s="2">
        <x:f>="Hailey Tanner"</x:f>
      </x:c>
      <x:c r="B530" t="str" s="2">
        <x:v>Heritage Housing of Tulsa</x:v>
      </x:c>
      <x:c r="C530" t="str" s="2">
        <x:v/>
      </x:c>
      <x:c r="D530" t="str" s="2">
        <x:v>9185260955</x:v>
      </x:c>
      <x:c r="E530" t="str" s="2">
        <x:v>haileytanner67@gmail.com</x:v>
      </x:c>
      <x:c r="F530" t="str" s="2">
        <x:v>Landing_BPM</x:v>
      </x:c>
      <x:c r="G530" t="str" s="2">
        <x:v>Jenna Fransisco</x:v>
      </x:c>
      <x:c r="H530" s="6">
        <x:v>46260.84579236111</x:v>
      </x:c>
      <x:c r="I530" s="0"/>
      <x:c r="J530" s="0"/>
      <x:c r="K530" s="6">
        <x:v>46261.69749795139</x:v>
      </x:c>
      <x:c r="L530" t="str" s="2">
        <x:v>Contacted</x:v>
      </x:c>
    </x:row>
    <x:row r="531">
      <x:c r="A531" t="str" s="2">
        <x:f>="Jami Martinez"</x:f>
      </x:c>
      <x:c r="B531" t="str" s="2">
        <x:v>Heritage Housing of Minden</x:v>
      </x:c>
      <x:c r="C531" t="str" s="2">
        <x:v>0/3</x:v>
      </x:c>
      <x:c r="D531" t="str" s="2">
        <x:v>3072053110</x:v>
      </x:c>
      <x:c r="E531" t="str" s="2">
        <x:v>55jemarti@gmail.com</x:v>
      </x:c>
      <x:c r="F531" t="str" s="2">
        <x:v>Landing_BPM</x:v>
      </x:c>
      <x:c r="G531" t="str" s="2">
        <x:v>Kyla Brown</x:v>
      </x:c>
      <x:c r="H531" s="6">
        <x:v>46260.889278622686</x:v>
      </x:c>
      <x:c r="I531" s="0"/>
      <x:c r="J531" s="0"/>
      <x:c r="K531" s="6">
        <x:v>46291.756757256946</x:v>
      </x:c>
      <x:c r="L531" t="str" s="2">
        <x:v>Contacted</x:v>
      </x:c>
    </x:row>
    <x:row r="532">
      <x:c r="A532" t="str" s="2">
        <x:f>=HYPERLINK("https://rsms.futurehomex.com/lead/39412", "Leon Harris")</x:f>
      </x:c>
      <x:c r="B532" t="str" s="2">
        <x:v>Heritage Housing of Minden</x:v>
      </x:c>
      <x:c r="C532" t="str" s="2">
        <x:v>1/2</x:v>
      </x:c>
      <x:c r="D532" t="str" s="2">
        <x:v>8704892048</x:v>
      </x:c>
      <x:c r="E532" t="str" s="2">
        <x:v>8704892048</x:v>
      </x:c>
      <x:c r="F532" t="str" s="2">
        <x:v>Walk-in</x:v>
      </x:c>
      <x:c r="G532" t="str" s="2">
        <x:v>Patrick Schuchart</x:v>
      </x:c>
      <x:c r="H532" s="6">
        <x:v>46260.894265625</x:v>
      </x:c>
      <x:c r="I532" t="str" s="2">
        <x:v>Patrick Schuchart</x:v>
      </x:c>
      <x:c r="J532" s="0"/>
      <x:c r="K532" s="6">
        <x:v>46302.85249826389</x:v>
      </x:c>
      <x:c r="L532" t="str" s="2">
        <x:v>Contacted</x:v>
      </x:c>
    </x:row>
    <x:row r="533">
      <x:c r="A533" t="str" s="2">
        <x:f>="Amanda White"</x:f>
      </x:c>
      <x:c r="B533" t="str" s="2">
        <x:v>Heritage Housing Gainesville</x:v>
      </x:c>
      <x:c r="C533" t="str" s="2">
        <x:v/>
      </x:c>
      <x:c r="D533" t="str" s="2">
        <x:v>9405970238</x:v>
      </x:c>
      <x:c r="E533" t="str" s="2">
        <x:v>amandadwhite@gmail.com</x:v>
      </x:c>
      <x:c r="F533" t="str" s="2">
        <x:v>Landing_BPM</x:v>
      </x:c>
      <x:c r="G533" t="str" s="2">
        <x:v>Jeniffer Arellano</x:v>
      </x:c>
      <x:c r="H533" s="6">
        <x:v>46260.912527430555</x:v>
      </x:c>
      <x:c r="I533" s="0"/>
      <x:c r="J533" s="0"/>
      <x:c r="K533" s="6">
        <x:v>46302.6808787037</x:v>
      </x:c>
      <x:c r="L533" t="str" s="2">
        <x:v>Contacted</x:v>
      </x:c>
    </x:row>
    <x:row r="534">
      <x:c r="A534" t="str" s="2">
        <x:f>="Stephanie Vowell"</x:f>
      </x:c>
      <x:c r="B534" t="str" s="2">
        <x:v>Heritage Housing of Greenville</x:v>
      </x:c>
      <x:c r="C534" t="str" s="2">
        <x:v/>
      </x:c>
      <x:c r="D534" t="str" s="2">
        <x:v>9402314934</x:v>
      </x:c>
      <x:c r="E534" t="str" s="2">
        <x:v>svowell@topspeedenergy.com</x:v>
      </x:c>
      <x:c r="F534" t="str" s="2">
        <x:v>LandingPage</x:v>
      </x:c>
      <x:c r="G534" t="str" s="2">
        <x:v>Ana Garcia</x:v>
      </x:c>
      <x:c r="H534" s="6">
        <x:v>46260.91895980324</x:v>
      </x:c>
      <x:c r="I534" s="0"/>
      <x:c r="J534" s="0"/>
      <x:c r="K534" s="6">
        <x:v>46261.56159980324</x:v>
      </x:c>
      <x:c r="L534" t="str" s="2">
        <x:v>Contacted</x:v>
      </x:c>
    </x:row>
    <x:row r="535">
      <x:c r="A535" t="str" s="2">
        <x:f>="Nery gonzalez"</x:f>
      </x:c>
      <x:c r="B535" t="str" s="2">
        <x:v>Heritage Housing of Greenville</x:v>
      </x:c>
      <x:c r="C535" t="str" s="2">
        <x:v/>
      </x:c>
      <x:c r="D535" t="str" s="2">
        <x:v>5204479944</x:v>
      </x:c>
      <x:c r="E535" t="str" s="2">
        <x:v>Nerygonzalez5412@gmail.com</x:v>
      </x:c>
      <x:c r="F535" t="str" s="2">
        <x:v>Landing_BPM</x:v>
      </x:c>
      <x:c r="G535" t="str" s="2">
        <x:v>Ana Garcia</x:v>
      </x:c>
      <x:c r="H535" s="6">
        <x:v>46261.02316493056</x:v>
      </x:c>
      <x:c r="I535" s="0"/>
      <x:c r="J535" s="0"/>
      <x:c r="K535" s="6">
        <x:v>46261.56052442129</x:v>
      </x:c>
      <x:c r="L535" t="str" s="2">
        <x:v>Contacted</x:v>
      </x:c>
    </x:row>
    <x:row r="536">
      <x:c r="A536" t="str" s="2">
        <x:f>="Edwin Mateo"</x:f>
      </x:c>
      <x:c r="B536" t="str" s="2">
        <x:v>Heritage Housing of Greenville</x:v>
      </x:c>
      <x:c r="C536" t="str" s="2">
        <x:v/>
      </x:c>
      <x:c r="D536" t="str" s="2">
        <x:v>9142802226</x:v>
      </x:c>
      <x:c r="E536" t="str" s="2">
        <x:v>eddiemateo1967@gmail.com</x:v>
      </x:c>
      <x:c r="F536" t="str" s="2">
        <x:v>Bing - Search</x:v>
      </x:c>
      <x:c r="G536" t="str" s="2">
        <x:v>Ana Garcia</x:v>
      </x:c>
      <x:c r="H536" s="6">
        <x:v>46261.04505385417</x:v>
      </x:c>
      <x:c r="I536" s="0"/>
      <x:c r="J536" s="0"/>
      <x:c r="K536" s="6">
        <x:v>46261.560078553244</x:v>
      </x:c>
      <x:c r="L536" t="str" s="2">
        <x:v>Contacted</x:v>
      </x:c>
    </x:row>
    <x:row r="537">
      <x:c r="A537" t="str" s="2">
        <x:f>="Cynthia Martine"</x:f>
      </x:c>
      <x:c r="B537" t="str" s="2">
        <x:v>Heritage Housing of Greenville</x:v>
      </x:c>
      <x:c r="C537" t="str" s="2">
        <x:v/>
      </x:c>
      <x:c r="D537" t="str" s="2">
        <x:v>6828020117</x:v>
      </x:c>
      <x:c r="E537" t="str" s="2">
        <x:v>cynthiarubimartinez@icloud.com</x:v>
      </x:c>
      <x:c r="F537" t="str" s="2">
        <x:v>Landing_BPM</x:v>
      </x:c>
      <x:c r="G537" t="str" s="2">
        <x:v>Ana Garcia</x:v>
      </x:c>
      <x:c r="H537" s="6">
        <x:v>46261.079645798614</x:v>
      </x:c>
      <x:c r="I537" s="0"/>
      <x:c r="J537" s="0"/>
      <x:c r="K537" s="6">
        <x:v>46261.55887596065</x:v>
      </x:c>
      <x:c r="L537" t="str" s="2">
        <x:v>Contacted</x:v>
      </x:c>
    </x:row>
    <x:row r="538">
      <x:c r="A538" t="str" s="2">
        <x:f>="Robertrer RoyrerGM"</x:f>
      </x:c>
      <x:c r="B538" t="str" s="2">
        <x:v>Heritage Housing of Greenville</x:v>
      </x:c>
      <x:c r="C538" t="str" s="2">
        <x:v/>
      </x:c>
      <x:c r="D538" t="str" s="2">
        <x:v>81747123919</x:v>
      </x:c>
      <x:c r="E538" t="str" s="2">
        <x:v>uuujklt@pmlwvqf.dtj</x:v>
      </x:c>
      <x:c r="F538" t="str" s="2">
        <x:v>Website</x:v>
      </x:c>
      <x:c r="G538" t="str" s="2">
        <x:v>Ana Garcia</x:v>
      </x:c>
      <x:c r="H538" s="6">
        <x:v>46261.08486030093</x:v>
      </x:c>
      <x:c r="I538" s="0"/>
      <x:c r="J538" s="0"/>
      <x:c r="K538" s="6">
        <x:v>46261.56131975695</x:v>
      </x:c>
      <x:c r="L538" t="str" s="2">
        <x:v>Contacted</x:v>
      </x:c>
    </x:row>
    <x:row r="539">
      <x:c r="A539" t="str" s="2">
        <x:f>="Britney Black"</x:f>
      </x:c>
      <x:c r="B539" t="str" s="2">
        <x:v>Heritage Housing of Minden</x:v>
      </x:c>
      <x:c r="C539" t="str" s="2">
        <x:v>0/1</x:v>
      </x:c>
      <x:c r="D539" t="str" s="2">
        <x:v>8702061147</x:v>
      </x:c>
      <x:c r="E539" t="str" s="2">
        <x:v>britneyblack818@gmail.com</x:v>
      </x:c>
      <x:c r="F539" t="str" s="2">
        <x:v>Financing Form</x:v>
      </x:c>
      <x:c r="G539" t="str" s="2">
        <x:v>Patrick Schuchart</x:v>
      </x:c>
      <x:c r="H539" s="6">
        <x:v>46261.155758946756</x:v>
      </x:c>
      <x:c r="I539" s="0"/>
      <x:c r="J539" s="0"/>
      <x:c r="K539" s="6">
        <x:v>46261.818089085646</x:v>
      </x:c>
      <x:c r="L539" t="str" s="2">
        <x:v>Contacted</x:v>
      </x:c>
    </x:row>
    <x:row r="540">
      <x:c r="A540" t="str" s="2">
        <x:f>="MarvinMig MarvinMigWE"</x:f>
      </x:c>
      <x:c r="B540" t="str" s="2">
        <x:v>Heritage Housing of Greenville</x:v>
      </x:c>
      <x:c r="C540" t="str" s="2">
        <x:v/>
      </x:c>
      <x:c r="D540" t="str" s="2">
        <x:v>84399829315</x:v>
      </x:c>
      <x:c r="E540" t="str" s="2">
        <x:v>aecwjok@llicsss.vuf</x:v>
      </x:c>
      <x:c r="F540" t="str" s="2">
        <x:v>Website</x:v>
      </x:c>
      <x:c r="G540" t="str" s="2">
        <x:v>Ana Garcia</x:v>
      </x:c>
      <x:c r="H540" s="6">
        <x:v>46261.21009001158</x:v>
      </x:c>
      <x:c r="I540" s="0"/>
      <x:c r="J540" s="0"/>
      <x:c r="K540" s="6">
        <x:v>46261.56090859954</x:v>
      </x:c>
      <x:c r="L540" t="str" s="2">
        <x:v>Contacted</x:v>
      </x:c>
    </x:row>
    <x:row r="541">
      <x:c r="A541" t="str" s="2">
        <x:f>="MarvinMig MarvinMigWE"</x:f>
      </x:c>
      <x:c r="B541" t="str" s="2">
        <x:v>Heritage Housing of Greenville</x:v>
      </x:c>
      <x:c r="C541" t="str" s="2">
        <x:v/>
      </x:c>
      <x:c r="D541" t="str" s="2">
        <x:v>84393838261</x:v>
      </x:c>
      <x:c r="E541" t="str" s="2">
        <x:v>hswrlfa@gsnmwvf.xpi</x:v>
      </x:c>
      <x:c r="F541" t="str" s="2">
        <x:v>Website</x:v>
      </x:c>
      <x:c r="G541" t="str" s="2">
        <x:v>Ana Garcia</x:v>
      </x:c>
      <x:c r="H541" s="6">
        <x:v>46261.36619826389</x:v>
      </x:c>
      <x:c r="I541" s="0"/>
      <x:c r="J541" s="0"/>
      <x:c r="K541" s="6">
        <x:v>46261.56171944444</x:v>
      </x:c>
      <x:c r="L541" t="str" s="2">
        <x:v>Contacted</x:v>
      </x:c>
    </x:row>
    <x:row r="542">
      <x:c r="A542" t="str" s="2">
        <x:f>="William Brown"</x:f>
      </x:c>
      <x:c r="B542" t="str" s="2">
        <x:v>Heritage Housing of Minden</x:v>
      </x:c>
      <x:c r="C542" t="str" s="2">
        <x:v>1/4</x:v>
      </x:c>
      <x:c r="D542" t="str" s="2">
        <x:v>3185642176</x:v>
      </x:c>
      <x:c r="E542" t="str" s="2">
        <x:v>speakupaboit1@gmail.com</x:v>
      </x:c>
      <x:c r="F542" t="str" s="2">
        <x:v>Bing - Search</x:v>
      </x:c>
      <x:c r="G542" t="str" s="2">
        <x:v>Kyla Brown</x:v>
      </x:c>
      <x:c r="H542" s="6">
        <x:v>46261.38165674768</x:v>
      </x:c>
      <x:c r="I542" s="0"/>
      <x:c r="J542" s="0"/>
      <x:c r="K542" s="6">
        <x:v>46296.94342357639</x:v>
      </x:c>
      <x:c r="L542" t="str" s="2">
        <x:v>Contacted</x:v>
      </x:c>
    </x:row>
    <x:row r="543">
      <x:c r="A543" t="str" s="2">
        <x:f>="William Brown"</x:f>
      </x:c>
      <x:c r="B543" t="str" s="2">
        <x:v>Heritage Housing of Minden</x:v>
      </x:c>
      <x:c r="C543" t="str" s="2">
        <x:v>1/3</x:v>
      </x:c>
      <x:c r="D543" t="str" s="2">
        <x:v>31856421766</x:v>
      </x:c>
      <x:c r="E543" t="str" s="2">
        <x:v>speakupabout1@gmail.com</x:v>
      </x:c>
      <x:c r="F543" t="str" s="2">
        <x:v>Financing Form</x:v>
      </x:c>
      <x:c r="G543" t="str" s="2">
        <x:v>Patrick Schuchart</x:v>
      </x:c>
      <x:c r="H543" s="6">
        <x:v>46261.385777662035</x:v>
      </x:c>
      <x:c r="I543" s="0"/>
      <x:c r="J543" s="0"/>
      <x:c r="K543" s="6">
        <x:v>46296.942682789355</x:v>
      </x:c>
      <x:c r="L543" t="str" s="2">
        <x:v>Contacted</x:v>
      </x:c>
    </x:row>
    <x:row r="544">
      <x:c r="A544" t="str" s="2">
        <x:f>="ISSAC WOODALL"</x:f>
      </x:c>
      <x:c r="B544" t="str" s="2">
        <x:v>Heritage Housing of Greenville</x:v>
      </x:c>
      <x:c r="C544" t="str" s="2">
        <x:v/>
      </x:c>
      <x:c r="D544" t="str" s="2">
        <x:v>4323020013</x:v>
      </x:c>
      <x:c r="E544" t="str" s="2">
        <x:v>woodallissac255@gmail.com</x:v>
      </x:c>
      <x:c r="F544" t="str" s="2">
        <x:v>Financing Form</x:v>
      </x:c>
      <x:c r="G544" t="str" s="2">
        <x:v>Ana Garcia</x:v>
      </x:c>
      <x:c r="H544" s="6">
        <x:v>46261.50224545139</x:v>
      </x:c>
      <x:c r="I544" s="0"/>
      <x:c r="J544" s="0"/>
      <x:c r="K544" s="6">
        <x:v>46261.56116265046</x:v>
      </x:c>
      <x:c r="L544" t="str" s="2">
        <x:v>Contacted</x:v>
      </x:c>
    </x:row>
    <x:row r="545">
      <x:c r="A545" t="str" s="2">
        <x:f>=HYPERLINK("https://rsms.futurehomex.com/lead/39419", "Amy Parker")</x:f>
      </x:c>
      <x:c r="B545" t="str" s="2">
        <x:v>Heritage Housing of Minden</x:v>
      </x:c>
      <x:c r="C545" t="str" s="2">
        <x:v>0/1</x:v>
      </x:c>
      <x:c r="D545" t="str" s="2">
        <x:v>3185570116</x:v>
      </x:c>
      <x:c r="E545" t="str" s="2">
        <x:v>3185570116</x:v>
      </x:c>
      <x:c r="F545" t="str" s="2">
        <x:v>Walk-in</x:v>
      </x:c>
      <x:c r="G545" t="str" s="2">
        <x:v>Patrick Schuchart</x:v>
      </x:c>
      <x:c r="H545" s="6">
        <x:v>46261.5996721875</x:v>
      </x:c>
      <x:c r="I545" t="str" s="2">
        <x:v>Patrick Schuchart</x:v>
      </x:c>
      <x:c r="J545" s="0"/>
      <x:c r="K545" s="6">
        <x:v>46261.66633969908</x:v>
      </x:c>
      <x:c r="L545" t="str" s="2">
        <x:v>Contacted</x:v>
      </x:c>
    </x:row>
    <x:row r="546">
      <x:c r="A546" t="str" s="2">
        <x:f>="Virginia Goodwin"</x:f>
      </x:c>
      <x:c r="B546" t="str" s="2">
        <x:v>Heritage Housing of Greenville</x:v>
      </x:c>
      <x:c r="C546" t="str" s="2">
        <x:v/>
      </x:c>
      <x:c r="D546" t="str" s="2">
        <x:v>9034582098</x:v>
      </x:c>
      <x:c r="E546" t="str" s="2">
        <x:v>goodwinginny7@gmail.com</x:v>
      </x:c>
      <x:c r="F546" t="str" s="2">
        <x:v>Landing_BPM</x:v>
      </x:c>
      <x:c r="G546" t="str" s="2">
        <x:v>Brooklynn Allen</x:v>
      </x:c>
      <x:c r="H546" s="6">
        <x:v>46261.627806909724</x:v>
      </x:c>
      <x:c r="I546" s="0"/>
      <x:c r="J546" s="0"/>
      <x:c r="K546" s="6">
        <x:v>46267.772494363424</x:v>
      </x:c>
      <x:c r="L546" t="str" s="2">
        <x:v>Contacted</x:v>
      </x:c>
    </x:row>
    <x:row r="547">
      <x:c r="A547" t="str" s="2">
        <x:f>="Charlotte Nance Nance"</x:f>
      </x:c>
      <x:c r="B547" t="str" s="2">
        <x:v>Heritage Housing of Minden</x:v>
      </x:c>
      <x:c r="C547" t="str" s="2">
        <x:v>0/2</x:v>
      </x:c>
      <x:c r="D547" t="str" s="2">
        <x:v>3183555577</x:v>
      </x:c>
      <x:c r="E547" t="str" s="2">
        <x:v>nance.charlotte@icloud.com</x:v>
      </x:c>
      <x:c r="F547" t="str" s="2">
        <x:v>Landing_BPM</x:v>
      </x:c>
      <x:c r="G547" t="str" s="2">
        <x:v>Kyla Brown</x:v>
      </x:c>
      <x:c r="H547" s="6">
        <x:v>46261.70387380787</x:v>
      </x:c>
      <x:c r="I547" s="0"/>
      <x:c r="J547" s="0"/>
      <x:c r="K547" s="6">
        <x:v>46296.94140570602</x:v>
      </x:c>
      <x:c r="L547" t="str" s="2">
        <x:v>Contacted</x:v>
      </x:c>
    </x:row>
    <x:row r="548">
      <x:c r="A548" t="str" s="2">
        <x:f>="Samaria Nelson"</x:f>
      </x:c>
      <x:c r="B548" t="str" s="2">
        <x:v>Heritage Housing of Albany</x:v>
      </x:c>
      <x:c r="C548" t="str" s="2">
        <x:v/>
      </x:c>
      <x:c r="D548" t="str" s="2">
        <x:v>8436804551</x:v>
      </x:c>
      <x:c r="E548" t="str" s="2">
        <x:v>Queenofmaids14@gmail.com</x:v>
      </x:c>
      <x:c r="F548" t="str" s="2">
        <x:v>Landing_BPM</x:v>
      </x:c>
      <x:c r="G548" t="str" s="2">
        <x:v>Justin Johnson</x:v>
      </x:c>
      <x:c r="H548" s="6">
        <x:v>46261.81745825231</x:v>
      </x:c>
      <x:c r="I548" s="0"/>
      <x:c r="J548" s="0"/>
      <x:c r="K548" s="6">
        <x:v>46261.85974155093</x:v>
      </x:c>
      <x:c r="L548" t="str" s="2">
        <x:v>Contacted</x:v>
      </x:c>
    </x:row>
    <x:row r="549">
      <x:c r="A549" t="str" s="2">
        <x:f>="Quintara Crawford"</x:f>
      </x:c>
      <x:c r="B549" t="str" s="2">
        <x:v>Heritage Housing of Minden</x:v>
      </x:c>
      <x:c r="C549" t="str" s="2">
        <x:v>0/1</x:v>
      </x:c>
      <x:c r="D549" t="str" s="2">
        <x:v>3185709518</x:v>
      </x:c>
      <x:c r="E549" t="str" s="2">
        <x:v>crawfordqs07@yahoo.com</x:v>
      </x:c>
      <x:c r="F549" t="str" s="2">
        <x:v>Landing_BPM</x:v>
      </x:c>
      <x:c r="G549" t="str" s="2">
        <x:v>Patrick Schuchart</x:v>
      </x:c>
      <x:c r="H549" s="6">
        <x:v>46261.843924305555</x:v>
      </x:c>
      <x:c r="I549" s="0"/>
      <x:c r="J549" s="0"/>
      <x:c r="K549" s="6">
        <x:v>46261.903725729164</x:v>
      </x:c>
      <x:c r="L549" t="str" s="2">
        <x:v>Contacted</x:v>
      </x:c>
    </x:row>
    <x:row r="550">
      <x:c r="A550" t="str" s="2">
        <x:f>="Curtis Daugherty"</x:f>
      </x:c>
      <x:c r="B550" t="str" s="2">
        <x:v>Heritage Housing of Tulsa</x:v>
      </x:c>
      <x:c r="C550" t="str" s="2">
        <x:v/>
      </x:c>
      <x:c r="D550" t="str" s="2">
        <x:v>9183443808</x:v>
      </x:c>
      <x:c r="E550" t="str" s="2">
        <x:v>livestrong1384@gmail.com</x:v>
      </x:c>
      <x:c r="F550" t="str" s="2">
        <x:v>Landing_BPM</x:v>
      </x:c>
      <x:c r="G550" t="str" s="2">
        <x:v>Jenna Fransisco</x:v>
      </x:c>
      <x:c r="H550" s="6">
        <x:v>46261.905560266205</x:v>
      </x:c>
      <x:c r="I550" s="0"/>
      <x:c r="J550" s="0"/>
      <x:c r="K550" s="6">
        <x:v>46261.90705810185</x:v>
      </x:c>
      <x:c r="L550" t="str" s="2">
        <x:v>Contacted</x:v>
      </x:c>
    </x:row>
    <x:row r="551">
      <x:c r="A551" t="str" s="2">
        <x:f>="Kendra Mason"</x:f>
      </x:c>
      <x:c r="B551" t="str" s="2">
        <x:v>Heritage Housing of Tulsa</x:v>
      </x:c>
      <x:c r="C551" t="str" s="2">
        <x:v/>
      </x:c>
      <x:c r="D551" t="str" s="2">
        <x:v>9186881902</x:v>
      </x:c>
      <x:c r="E551" t="str" s="2">
        <x:v>arshell25@yahoo.com</x:v>
      </x:c>
      <x:c r="F551" t="str" s="2">
        <x:v>Landing_BPM</x:v>
      </x:c>
      <x:c r="G551" t="str" s="2">
        <x:v>Jenna Fransisco</x:v>
      </x:c>
      <x:c r="H551" s="6">
        <x:v>46261.95249591435</x:v>
      </x:c>
      <x:c r="I551" s="0"/>
      <x:c r="J551" s="0"/>
      <x:c r="K551" s="6">
        <x:v>46262.622485266205</x:v>
      </x:c>
      <x:c r="L551" t="str" s="2">
        <x:v>Contacted</x:v>
      </x:c>
    </x:row>
    <x:row r="552">
      <x:c r="A552" t="str" s="2">
        <x:f>="Carlos Vela"</x:f>
      </x:c>
      <x:c r="B552" t="str" s="2">
        <x:v>Heritage Housing of Athens</x:v>
      </x:c>
      <x:c r="C552" t="str" s="2">
        <x:v>1/1</x:v>
      </x:c>
      <x:c r="D552" t="str" s="2">
        <x:v>4047915435</x:v>
      </x:c>
      <x:c r="E552" t="str" s="2">
        <x:v>carlos.vela.583234@gmail.com</x:v>
      </x:c>
      <x:c r="F552" t="str" s="2">
        <x:v>Landing_BPM</x:v>
      </x:c>
      <x:c r="G552" t="str" s="2">
        <x:v>Nathan Bishop</x:v>
      </x:c>
      <x:c r="H552" s="6">
        <x:v>46262.085375925926</x:v>
      </x:c>
      <x:c r="I552" s="0"/>
      <x:c r="J552" s="0"/>
      <x:c r="K552" s="6">
        <x:v>46302.67074806713</x:v>
      </x:c>
      <x:c r="L552" t="str" s="2">
        <x:v>Contacted</x:v>
      </x:c>
    </x:row>
    <x:row r="553">
      <x:c r="A553" t="str" s="2">
        <x:f>="Terrie St John"</x:f>
      </x:c>
      <x:c r="B553" t="str" s="2">
        <x:v>Heritage Housing Gainesville</x:v>
      </x:c>
      <x:c r="C553" t="str" s="2">
        <x:v/>
      </x:c>
      <x:c r="D553" t="str" s="2">
        <x:v>8176920000</x:v>
      </x:c>
      <x:c r="E553" t="str" s="2">
        <x:v>terriestjohn17@gmail.com</x:v>
      </x:c>
      <x:c r="F553" t="str" s="2">
        <x:v>Landing_BPM</x:v>
      </x:c>
      <x:c r="G553" t="str" s="2">
        <x:v>Jeniffer Arellano</x:v>
      </x:c>
      <x:c r="H553" s="6">
        <x:v>46262.13429001157</x:v>
      </x:c>
      <x:c r="I553" s="0"/>
      <x:c r="J553" s="0"/>
      <x:c r="K553" s="6">
        <x:v>46302.682281678244</x:v>
      </x:c>
      <x:c r="L553" t="str" s="2">
        <x:v>Contacted</x:v>
      </x:c>
    </x:row>
    <x:row r="554">
      <x:c r="A554" t="str" s="2">
        <x:f>="Sheryl Hiner"</x:f>
      </x:c>
      <x:c r="B554" t="str" s="2">
        <x:v>Heritage Housing of Tulsa</x:v>
      </x:c>
      <x:c r="C554" t="str" s="2">
        <x:v/>
      </x:c>
      <x:c r="D554" t="str" s="2">
        <x:v>9188459376</x:v>
      </x:c>
      <x:c r="E554" t="str" s="2">
        <x:v>sheryl.hiner@gmail.com</x:v>
      </x:c>
      <x:c r="F554" t="str" s="2">
        <x:v>Landing_BPM</x:v>
      </x:c>
      <x:c r="G554" t="str" s="2">
        <x:v>Jenna Fransisco</x:v>
      </x:c>
      <x:c r="H554" s="6">
        <x:v>46262.1438412037</x:v>
      </x:c>
      <x:c r="I554" s="0"/>
      <x:c r="J554" s="0"/>
      <x:c r="K554" s="6">
        <x:v>46262.622104201386</x:v>
      </x:c>
      <x:c r="L554" t="str" s="2">
        <x:v>Contacted</x:v>
      </x:c>
    </x:row>
    <x:row r="555">
      <x:c r="A555" t="str" s="2">
        <x:f>="Wendy Clark"</x:f>
      </x:c>
      <x:c r="B555" t="str" s="2">
        <x:v>Heritage Housing of Tulsa</x:v>
      </x:c>
      <x:c r="C555" t="str" s="2">
        <x:v/>
      </x:c>
      <x:c r="D555" t="str" s="2">
        <x:v>5804656984</x:v>
      </x:c>
      <x:c r="E555" t="str" s="2">
        <x:v>nrisunshines4@gmail.com</x:v>
      </x:c>
      <x:c r="F555" t="str" s="2">
        <x:v>Landing_BPM</x:v>
      </x:c>
      <x:c r="G555" t="str" s="2">
        <x:v>Jenna Fransisco</x:v>
      </x:c>
      <x:c r="H555" s="6">
        <x:v>46262.214991782406</x:v>
      </x:c>
      <x:c r="I555" s="0"/>
      <x:c r="J555" s="0"/>
      <x:c r="K555" s="6">
        <x:v>46262.620614618056</x:v>
      </x:c>
      <x:c r="L555" t="str" s="2">
        <x:v>Contacted</x:v>
      </x:c>
    </x:row>
    <x:row r="556">
      <x:c r="A556" t="str" s="2">
        <x:f>="Laura Goines"</x:f>
      </x:c>
      <x:c r="B556" t="str" s="2">
        <x:v>Heritage Housing of Tulsa</x:v>
      </x:c>
      <x:c r="C556" t="str" s="2">
        <x:v/>
      </x:c>
      <x:c r="D556" t="str" s="2">
        <x:v>9183325840</x:v>
      </x:c>
      <x:c r="E556" t="str" s="2">
        <x:v>badnbougie918@gmail.com</x:v>
      </x:c>
      <x:c r="F556" t="str" s="2">
        <x:v>Landing_BPM</x:v>
      </x:c>
      <x:c r="G556" t="str" s="2">
        <x:v>Jenna Fransisco</x:v>
      </x:c>
      <x:c r="H556" s="6">
        <x:v>46262.24528792824</x:v>
      </x:c>
      <x:c r="I556" s="0"/>
      <x:c r="J556" s="0"/>
      <x:c r="K556" s="6">
        <x:v>46262.62015605324</x:v>
      </x:c>
      <x:c r="L556" t="str" s="2">
        <x:v>Contacted</x:v>
      </x:c>
    </x:row>
    <x:row r="557">
      <x:c r="A557" t="str" s="2">
        <x:f>="ShTyra Cudjo"</x:f>
      </x:c>
      <x:c r="B557" t="str" s="2">
        <x:v>Heritage Housing of Tulsa</x:v>
      </x:c>
      <x:c r="C557" t="str" s="2">
        <x:v/>
      </x:c>
      <x:c r="D557" t="str" s="2">
        <x:v>9182107687</x:v>
      </x:c>
      <x:c r="E557" t="str" s="2">
        <x:v>shtyracudjo34@gmail.com</x:v>
      </x:c>
      <x:c r="F557" t="str" s="2">
        <x:v>Landing_BPM</x:v>
      </x:c>
      <x:c r="G557" t="str" s="2">
        <x:v>Jenna Fransisco</x:v>
      </x:c>
      <x:c r="H557" s="6">
        <x:v>46262.25836299769</x:v>
      </x:c>
      <x:c r="I557" s="0"/>
      <x:c r="J557" s="0"/>
      <x:c r="K557" s="6">
        <x:v>46262.61961836806</x:v>
      </x:c>
      <x:c r="L557" t="str" s="2">
        <x:v>Contacted</x:v>
      </x:c>
    </x:row>
    <x:row r="558">
      <x:c r="A558" t="str" s="2">
        <x:f>="Mike White"</x:f>
      </x:c>
      <x:c r="B558" t="str" s="2">
        <x:v>Heritage Housing of Albany</x:v>
      </x:c>
      <x:c r="C558" t="str" s="2">
        <x:v/>
      </x:c>
      <x:c r="D558" t="str" s="2">
        <x:v>7755602542</x:v>
      </x:c>
      <x:c r="E558" t="str" s="2">
        <x:v>meinsparks@gmail.com</x:v>
      </x:c>
      <x:c r="F558" t="str" s="2">
        <x:v>LandingPage</x:v>
      </x:c>
      <x:c r="G558" t="str" s="2">
        <x:v>Justin Johnson</x:v>
      </x:c>
      <x:c r="H558" s="6">
        <x:v>46262.37383295139</x:v>
      </x:c>
      <x:c r="I558" s="0"/>
      <x:c r="J558" s="0"/>
      <x:c r="K558" s="6">
        <x:v>46262.606877893515</x:v>
      </x:c>
      <x:c r="L558" t="str" s="2">
        <x:v>Contacted</x:v>
      </x:c>
    </x:row>
    <x:row r="559">
      <x:c r="A559" t="str" s="2">
        <x:f>="Daniel Johnson"</x:f>
      </x:c>
      <x:c r="B559" t="str" s="2">
        <x:v>Heritage Housing of Augusta</x:v>
      </x:c>
      <x:c r="C559" t="str" s="2">
        <x:v/>
      </x:c>
      <x:c r="D559" t="str" s="2">
        <x:v>8035468262</x:v>
      </x:c>
      <x:c r="E559" t="str" s="2">
        <x:v>bigbarber@ymail.com</x:v>
      </x:c>
      <x:c r="F559" t="str" s="2">
        <x:v>Bing - Search</x:v>
      </x:c>
      <x:c r="G559" t="str" s="2">
        <x:v>Faye Lively</x:v>
      </x:c>
      <x:c r="H559" s="6">
        <x:v>46262.556109641206</x:v>
      </x:c>
      <x:c r="I559" s="0"/>
      <x:c r="J559" s="0"/>
      <x:c r="K559" s="6">
        <x:v>46279.63318946759</x:v>
      </x:c>
      <x:c r="L559" t="str" s="2">
        <x:v>Contacted</x:v>
      </x:c>
    </x:row>
    <x:row r="560">
      <x:c r="A560" t="str" s="2">
        <x:f>="Laura Carvajal"</x:f>
      </x:c>
      <x:c r="B560" t="str" s="2">
        <x:v>Heritage Housing Gainesville</x:v>
      </x:c>
      <x:c r="C560" t="str" s="2">
        <x:v/>
      </x:c>
      <x:c r="D560" t="str" s="2">
        <x:v>4046109111</x:v>
      </x:c>
      <x:c r="E560" t="str" s="2">
        <x:v>noemifox1979@gmail.com</x:v>
      </x:c>
      <x:c r="F560" t="str" s="2">
        <x:v>Landing_BPM</x:v>
      </x:c>
      <x:c r="G560" t="str" s="2">
        <x:v>Jeniffer Arellano</x:v>
      </x:c>
      <x:c r="H560" s="6">
        <x:v>46262.59810289352</x:v>
      </x:c>
      <x:c r="I560" s="0"/>
      <x:c r="J560" s="0"/>
      <x:c r="K560" s="6">
        <x:v>46302.68240474537</x:v>
      </x:c>
      <x:c r="L560" t="str" s="2">
        <x:v>Contacted</x:v>
      </x:c>
    </x:row>
    <x:row r="561">
      <x:c r="A561" t="str" s="2">
        <x:f>=HYPERLINK("https://rsms.futurehomex.com/lead/39447", "Yovani Ochoa")</x:f>
      </x:c>
      <x:c r="B561" t="str" s="2">
        <x:v>Heritage Housing Mt Pleasant</x:v>
      </x:c>
      <x:c r="C561" t="str" s="2">
        <x:v/>
      </x:c>
      <x:c r="D561" t="str" s="2">
        <x:v>9039522968</x:v>
      </x:c>
      <x:c r="E561" t="str" s="2">
        <x:v>9039522968</x:v>
      </x:c>
      <x:c r="F561" t="str" s="2">
        <x:v>Meta Marketplace</x:v>
      </x:c>
      <x:c r="G561" t="str" s="2">
        <x:v>Elias Gallardo</x:v>
      </x:c>
      <x:c r="H561" s="6">
        <x:v>46262.72669012732</x:v>
      </x:c>
      <x:c r="I561" t="str" s="2">
        <x:v>Elias Gallardo</x:v>
      </x:c>
      <x:c r="J561" s="0"/>
      <x:c r="K561" s="6">
        <x:v>46279.92340054398</x:v>
      </x:c>
      <x:c r="L561" t="str" s="2">
        <x:v>Contacted</x:v>
      </x:c>
    </x:row>
    <x:row r="562">
      <x:c r="A562" t="str" s="2">
        <x:f>="Marie Vogel"</x:f>
      </x:c>
      <x:c r="B562" t="str" s="2">
        <x:v>Heritage Housing of Augusta</x:v>
      </x:c>
      <x:c r="C562" t="str" s="2">
        <x:v/>
      </x:c>
      <x:c r="D562" t="str" s="2">
        <x:v>2512237944</x:v>
      </x:c>
      <x:c r="E562" t="str" s="2">
        <x:v>trikas300065@gmail.com</x:v>
      </x:c>
      <x:c r="F562" t="str" s="2">
        <x:v>Landing_BPM</x:v>
      </x:c>
      <x:c r="G562" t="str" s="2">
        <x:v>Faye Lively</x:v>
      </x:c>
      <x:c r="H562" s="6">
        <x:v>46262.74352172454</x:v>
      </x:c>
      <x:c r="I562" s="0"/>
      <x:c r="J562" s="0"/>
      <x:c r="K562" s="6">
        <x:v>46277.56369756944</x:v>
      </x:c>
      <x:c r="L562" t="str" s="2">
        <x:v>Contacted</x:v>
      </x:c>
    </x:row>
    <x:row r="563">
      <x:c r="A563" t="str" s="2">
        <x:f>="Cynthia Williams"</x:f>
      </x:c>
      <x:c r="B563" t="str" s="2">
        <x:v>Heritage Housing of Augusta</x:v>
      </x:c>
      <x:c r="C563" t="str" s="2">
        <x:v/>
      </x:c>
      <x:c r="D563" t="str" s="2">
        <x:v>8033086624</x:v>
      </x:c>
      <x:c r="E563" t="str" s="2">
        <x:v>craftsdenise1966@gmail.com</x:v>
      </x:c>
      <x:c r="F563" t="str" s="2">
        <x:v>Landing_BPM</x:v>
      </x:c>
      <x:c r="G563" t="str" s="2">
        <x:v>Faye Lively</x:v>
      </x:c>
      <x:c r="H563" s="6">
        <x:v>46262.843739930555</x:v>
      </x:c>
      <x:c r="I563" s="0"/>
      <x:c r="J563" s="0"/>
      <x:c r="K563" s="6">
        <x:v>46279.63522820602</x:v>
      </x:c>
      <x:c r="L563" t="str" s="2">
        <x:v>Contacted</x:v>
      </x:c>
    </x:row>
    <x:row r="564">
      <x:c r="A564" t="str" s="2">
        <x:f>="esdrr asad"</x:f>
      </x:c>
      <x:c r="B564" t="str" s="2">
        <x:v>Heritage Housing of Minden</x:v>
      </x:c>
      <x:c r="C564" t="str" s="2">
        <x:v>0/1</x:v>
      </x:c>
      <x:c r="D564" t="str" s="2">
        <x:v>4526125632</x:v>
      </x:c>
      <x:c r="E564" t="str" s="2">
        <x:v>cdm@gmail.com</x:v>
      </x:c>
      <x:c r="F564" t="str" s="2">
        <x:v>Youtube</x:v>
      </x:c>
      <x:c r="G564" t="str" s="2">
        <x:v>Kyla Brown</x:v>
      </x:c>
      <x:c r="H564" s="6">
        <x:v>46262.93253622685</x:v>
      </x:c>
      <x:c r="I564" s="0"/>
      <x:c r="J564" s="0"/>
      <x:c r="K564" s="6">
        <x:v>46263.682979895835</x:v>
      </x:c>
      <x:c r="L564" t="str" s="2">
        <x:v>Contacted</x:v>
      </x:c>
    </x:row>
    <x:row r="565">
      <x:c r="A565" t="str" s="2">
        <x:f>="Ashley Salvino"</x:f>
      </x:c>
      <x:c r="B565" t="str" s="2">
        <x:v>Heritage Housing of Augusta</x:v>
      </x:c>
      <x:c r="C565" t="str" s="2">
        <x:v>2/3</x:v>
      </x:c>
      <x:c r="D565" t="str" s="2">
        <x:v>5189295136</x:v>
      </x:c>
      <x:c r="E565" t="str" s="2">
        <x:v>riseabovetheashes2025@gmail.com</x:v>
      </x:c>
      <x:c r="F565" t="str" s="2">
        <x:v>Landing_BPM</x:v>
      </x:c>
      <x:c r="G565" t="str" s="2">
        <x:v>Jose Chavez</x:v>
      </x:c>
      <x:c r="H565" s="6">
        <x:v>46263.08591292824</x:v>
      </x:c>
      <x:c r="I565" s="0"/>
      <x:c r="J565" s="0"/>
      <x:c r="K565" s="6">
        <x:v>46296.84229552083</x:v>
      </x:c>
      <x:c r="L565" t="str" s="2">
        <x:v>Contacted</x:v>
      </x:c>
    </x:row>
    <x:row r="566">
      <x:c r="A566" t="str" s="2">
        <x:f>="MarvinMig MarvinMigWE"</x:f>
      </x:c>
      <x:c r="B566" t="str" s="2">
        <x:v>Heritage Housing of Greenville</x:v>
      </x:c>
      <x:c r="C566" t="str" s="2">
        <x:v/>
      </x:c>
      <x:c r="D566" t="str" s="2">
        <x:v>84918449729</x:v>
      </x:c>
      <x:c r="E566" t="str" s="2">
        <x:v>phjsthf@jqetiol.fnn</x:v>
      </x:c>
      <x:c r="F566" t="str" s="2">
        <x:v>Website</x:v>
      </x:c>
      <x:c r="G566" t="str" s="2">
        <x:v>Brooklynn Allen</x:v>
      </x:c>
      <x:c r="H566" s="6">
        <x:v>46263.14420304398</x:v>
      </x:c>
      <x:c r="I566" s="0"/>
      <x:c r="J566" s="0"/>
      <x:c r="K566" s="6">
        <x:v>46265.60565466435</x:v>
      </x:c>
      <x:c r="L566" t="str" s="2">
        <x:v>Contacted</x:v>
      </x:c>
    </x:row>
    <x:row r="567">
      <x:c r="A567" t="str" s="2">
        <x:f>="Brandi Dorsett"</x:f>
      </x:c>
      <x:c r="B567" t="str" s="2">
        <x:v>Heritage Housing of Tulsa</x:v>
      </x:c>
      <x:c r="C567" t="str" s="2">
        <x:v/>
      </x:c>
      <x:c r="D567" t="str" s="2">
        <x:v>67601</x:v>
      </x:c>
      <x:c r="E567" t="str" s="2">
        <x:v>bmtdorsett1982@gmail.com</x:v>
      </x:c>
      <x:c r="F567" t="str" s="2">
        <x:v>Landing_BPM</x:v>
      </x:c>
      <x:c r="G567" t="str" s="2">
        <x:v>Jenna Fransisco</x:v>
      </x:c>
      <x:c r="H567" s="6">
        <x:v>46263.45737928241</x:v>
      </x:c>
      <x:c r="I567" s="0"/>
      <x:c r="J567" s="0"/>
      <x:c r="K567" s="6">
        <x:v>46265.59889228009</x:v>
      </x:c>
      <x:c r="L567" t="str" s="2">
        <x:v>Contacted</x:v>
      </x:c>
    </x:row>
    <x:row r="568">
      <x:c r="A568" t="str" s="2">
        <x:f>="Heather Lovett"</x:f>
      </x:c>
      <x:c r="B568" t="str" s="2">
        <x:v>Heritage Housing of Minden</x:v>
      </x:c>
      <x:c r="C568" t="str" s="2">
        <x:v>0/1</x:v>
      </x:c>
      <x:c r="D568" t="str" s="2">
        <x:v>3185172455</x:v>
      </x:c>
      <x:c r="E568" t="str" s="2">
        <x:v>lovetth@gmail.com</x:v>
      </x:c>
      <x:c r="F568" t="str" s="2">
        <x:v>Youtube</x:v>
      </x:c>
      <x:c r="G568" t="str" s="2">
        <x:v>Patrick Schuchart</x:v>
      </x:c>
      <x:c r="H568" s="6">
        <x:v>46263.5123005787</x:v>
      </x:c>
      <x:c r="I568" s="0"/>
      <x:c r="J568" s="0"/>
      <x:c r="K568" s="6">
        <x:v>46289.70951570602</x:v>
      </x:c>
      <x:c r="L568" t="str" s="2">
        <x:v>Contacted</x:v>
      </x:c>
    </x:row>
    <x:row r="569">
      <x:c r="A569" t="str" s="2">
        <x:f>="Desmond White"</x:f>
      </x:c>
      <x:c r="B569" t="str" s="2">
        <x:v>Heritage Housing of Athens</x:v>
      </x:c>
      <x:c r="C569" t="str" s="2">
        <x:v>1/1</x:v>
      </x:c>
      <x:c r="D569" t="str" s="2">
        <x:v>4707439344</x:v>
      </x:c>
      <x:c r="E569" t="str" s="2">
        <x:v>desmondwhite1985@gmail.com</x:v>
      </x:c>
      <x:c r="F569" t="str" s="2">
        <x:v>Landing_BPM</x:v>
      </x:c>
      <x:c r="G569" t="str" s="2">
        <x:v>Nathan Bishop</x:v>
      </x:c>
      <x:c r="H569" s="6">
        <x:v>46263.54155393518</x:v>
      </x:c>
      <x:c r="I569" s="0"/>
      <x:c r="J569" s="0"/>
      <x:c r="K569" s="6">
        <x:v>46279.91532357639</x:v>
      </x:c>
      <x:c r="L569" t="str" s="2">
        <x:v>Contacted</x:v>
      </x:c>
    </x:row>
    <x:row r="570">
      <x:c r="A570" t="str" s="2">
        <x:f>="Tyrone Williams"</x:f>
      </x:c>
      <x:c r="B570" t="str" s="2">
        <x:v>Heritage Housing of Albany</x:v>
      </x:c>
      <x:c r="C570" t="str" s="2">
        <x:v/>
      </x:c>
      <x:c r="D570" t="str" s="2">
        <x:v>6783879455</x:v>
      </x:c>
      <x:c r="E570" t="str" s="2">
        <x:v>williamstyrone882@gmail.com</x:v>
      </x:c>
      <x:c r="F570" t="str" s="2">
        <x:v>Youtube</x:v>
      </x:c>
      <x:c r="G570" t="str" s="2">
        <x:v>Justin Johnson</x:v>
      </x:c>
      <x:c r="H570" s="6">
        <x:v>46263.55196585648</x:v>
      </x:c>
      <x:c r="I570" s="0"/>
      <x:c r="J570" s="0"/>
      <x:c r="K570" s="6">
        <x:v>46286.933909988424</x:v>
      </x:c>
      <x:c r="L570" t="str" s="2">
        <x:v>Contacted</x:v>
      </x:c>
    </x:row>
    <x:row r="571">
      <x:c r="A571" t="str" s="2">
        <x:f>=HYPERLINK("https://rsms.futurehomex.com/lead/39470", "Scott Hunter")</x:f>
      </x:c>
      <x:c r="B571" t="str" s="2">
        <x:v>Heritage Housing of Athens</x:v>
      </x:c>
      <x:c r="C571" t="str" s="2">
        <x:v>0/1</x:v>
      </x:c>
      <x:c r="D571" t="str" s="2">
        <x:v>7067165784</x:v>
      </x:c>
      <x:c r="E571" t="str" s="2">
        <x:v>7067165784</x:v>
      </x:c>
      <x:c r="F571" t="str" s="2">
        <x:v>Facebook Messenger</x:v>
      </x:c>
      <x:c r="G571" t="str" s="2">
        <x:v>Nathan Bishop</x:v>
      </x:c>
      <x:c r="H571" s="6">
        <x:v>46263.561903587964</x:v>
      </x:c>
      <x:c r="I571" t="str" s="2">
        <x:v>Nathan Bishop</x:v>
      </x:c>
      <x:c r="J571" s="0"/>
      <x:c r="K571" s="6">
        <x:v>46265.597756828705</x:v>
      </x:c>
      <x:c r="L571" t="str" s="2">
        <x:v>Contacted</x:v>
      </x:c>
    </x:row>
    <x:row r="572">
      <x:c r="A572" t="str" s="2">
        <x:f>="Charlotte Parkhurst"</x:f>
      </x:c>
      <x:c r="B572" t="str" s="2">
        <x:v>Heritage Housing Gainesville</x:v>
      </x:c>
      <x:c r="C572" t="str" s="2">
        <x:v/>
      </x:c>
      <x:c r="D572" t="str" s="2">
        <x:v>4694042181</x:v>
      </x:c>
      <x:c r="E572" t="str" s="2">
        <x:v>clparkhurst50@gmail.com</x:v>
      </x:c>
      <x:c r="F572" t="str" s="2">
        <x:v>Youtube</x:v>
      </x:c>
      <x:c r="G572" t="str" s="2">
        <x:v>Jeniffer Arellano</x:v>
      </x:c>
      <x:c r="H572" s="6">
        <x:v>46263.61513626157</x:v>
      </x:c>
      <x:c r="I572" s="0"/>
      <x:c r="J572" s="0"/>
      <x:c r="K572" s="6">
        <x:v>46302.68255459491</x:v>
      </x:c>
      <x:c r="L572" t="str" s="2">
        <x:v>Contacted</x:v>
      </x:c>
    </x:row>
    <x:row r="573">
      <x:c r="A573" t="str" s="2">
        <x:f>="Genary Richardson"</x:f>
      </x:c>
      <x:c r="B573" t="str" s="2">
        <x:v>Heritage Housing of Minden</x:v>
      </x:c>
      <x:c r="C573" t="str" s="2">
        <x:v>0/1</x:v>
      </x:c>
      <x:c r="D573" t="str" s="2">
        <x:v>3185790927</x:v>
      </x:c>
      <x:c r="E573" t="str" s="2">
        <x:v>genary34@icloud.com</x:v>
      </x:c>
      <x:c r="F573" t="str" s="2">
        <x:v>Landing_BPM</x:v>
      </x:c>
      <x:c r="G573" t="str" s="2">
        <x:v>Kyla Brown</x:v>
      </x:c>
      <x:c r="H573" s="6">
        <x:v>46263.668831828705</x:v>
      </x:c>
      <x:c r="I573" s="0"/>
      <x:c r="J573" s="0"/>
      <x:c r="K573" s="6">
        <x:v>46263.67226871528</x:v>
      </x:c>
      <x:c r="L573" t="str" s="2">
        <x:v>Contacted</x:v>
      </x:c>
    </x:row>
    <x:row r="574">
      <x:c r="A574" t="str" s="2">
        <x:f>="Mae Teemer"</x:f>
      </x:c>
      <x:c r="B574" t="str" s="2">
        <x:v>Heritage Housing of Albany</x:v>
      </x:c>
      <x:c r="C574" t="str" s="2">
        <x:v/>
      </x:c>
      <x:c r="D574" t="str" s="2">
        <x:v>2295000361</x:v>
      </x:c>
      <x:c r="E574" t="str" s="2">
        <x:v>teemer318@gmail.com</x:v>
      </x:c>
      <x:c r="F574" t="str" s="2">
        <x:v>Financing Form</x:v>
      </x:c>
      <x:c r="G574" t="str" s="2">
        <x:v>Yanet Alvarez</x:v>
      </x:c>
      <x:c r="H574" s="6">
        <x:v>46263.84220112269</x:v>
      </x:c>
      <x:c r="I574" s="0"/>
      <x:c r="J574" s="0"/>
      <x:c r="K574" s="6">
        <x:v>46303.85429490741</x:v>
      </x:c>
      <x:c r="L574" t="str" s="2">
        <x:v>Contacted</x:v>
      </x:c>
    </x:row>
    <x:row r="575">
      <x:c r="A575" t="str" s="2">
        <x:f>="Joseph Cleaves"</x:f>
      </x:c>
      <x:c r="B575" t="str" s="2">
        <x:v>Heritage Housing of Tulsa</x:v>
      </x:c>
      <x:c r="C575" t="str" s="2">
        <x:v/>
      </x:c>
      <x:c r="D575" t="str" s="2">
        <x:v>9188838977</x:v>
      </x:c>
      <x:c r="E575" t="str" s="2">
        <x:v>josephcleaves35@gmail.com</x:v>
      </x:c>
      <x:c r="F575" t="str" s="2">
        <x:v>Landing_BPM</x:v>
      </x:c>
      <x:c r="G575" t="str" s="2">
        <x:v>Jenna Fransisco</x:v>
      </x:c>
      <x:c r="H575" s="6">
        <x:v>46263.900138923615</x:v>
      </x:c>
      <x:c r="I575" s="0"/>
      <x:c r="J575" s="0"/>
      <x:c r="K575" s="6">
        <x:v>46265.59901883102</x:v>
      </x:c>
      <x:c r="L575" t="str" s="2">
        <x:v>Contacted</x:v>
      </x:c>
    </x:row>
    <x:row r="576">
      <x:c r="A576" t="str" s="2">
        <x:f>="Kirstie Davidson"</x:f>
      </x:c>
      <x:c r="B576" t="str" s="2">
        <x:v>Heritage Housing of Tulsa</x:v>
      </x:c>
      <x:c r="C576" t="str" s="2">
        <x:v/>
      </x:c>
      <x:c r="D576" t="str" s="2">
        <x:v>9183306022</x:v>
      </x:c>
      <x:c r="E576" t="str" s="2">
        <x:v>kdd8869@outlook.com</x:v>
      </x:c>
      <x:c r="F576" t="str" s="2">
        <x:v>Landing_BPM</x:v>
      </x:c>
      <x:c r="G576" t="str" s="2">
        <x:v>Jenna Fransisco</x:v>
      </x:c>
      <x:c r="H576" s="6">
        <x:v>46263.91621304398</x:v>
      </x:c>
      <x:c r="I576" s="0"/>
      <x:c r="J576" s="0"/>
      <x:c r="K576" s="6">
        <x:v>46265.59907966435</x:v>
      </x:c>
      <x:c r="L576" t="str" s="2">
        <x:v>Contacted</x:v>
      </x:c>
    </x:row>
    <x:row r="577">
      <x:c r="A577" t="str" s="2">
        <x:f>="Lateasha Ward"</x:f>
      </x:c>
      <x:c r="B577" t="str" s="2">
        <x:v>Heritage Housing of Tulsa</x:v>
      </x:c>
      <x:c r="C577" t="str" s="2">
        <x:v/>
      </x:c>
      <x:c r="D577" t="str" s="2">
        <x:v>9186132272</x:v>
      </x:c>
      <x:c r="E577" t="str" s="2">
        <x:v>lateachaward@gmail.com</x:v>
      </x:c>
      <x:c r="F577" t="str" s="2">
        <x:v>Landing_BPM</x:v>
      </x:c>
      <x:c r="G577" t="str" s="2">
        <x:v>Jenna Fransisco</x:v>
      </x:c>
      <x:c r="H577" s="6">
        <x:v>46264.049780787034</x:v>
      </x:c>
      <x:c r="I577" s="0"/>
      <x:c r="J577" s="0"/>
      <x:c r="K577" s="6">
        <x:v>46265.5989121875</x:v>
      </x:c>
      <x:c r="L577" t="str" s="2">
        <x:v>Contacted</x:v>
      </x:c>
    </x:row>
    <x:row r="578">
      <x:c r="A578" t="str" s="2">
        <x:f>="Andrea Walker"</x:f>
      </x:c>
      <x:c r="B578" t="str" s="2">
        <x:v>Heritage Housing of Albany</x:v>
      </x:c>
      <x:c r="C578" t="str" s="2">
        <x:v>0/3</x:v>
      </x:c>
      <x:c r="D578" t="str" s="2">
        <x:v>4782448781</x:v>
      </x:c>
      <x:c r="E578" t="str" s="2">
        <x:v>punkinpie31068@gmail.com</x:v>
      </x:c>
      <x:c r="F578" t="str" s="2">
        <x:v>Financing Form</x:v>
      </x:c>
      <x:c r="G578" t="str" s="2">
        <x:v>Yanet Alvarez</x:v>
      </x:c>
      <x:c r="H578" s="6">
        <x:v>46264.05907175926</x:v>
      </x:c>
      <x:c r="I578" s="0"/>
      <x:c r="J578" s="0"/>
      <x:c r="K578" s="6">
        <x:v>46288.94043329861</x:v>
      </x:c>
      <x:c r="L578" t="str" s="2">
        <x:v>Contacted</x:v>
      </x:c>
    </x:row>
    <x:row r="579">
      <x:c r="A579" t="str" s="2">
        <x:f>="Tammy Dunn"</x:f>
      </x:c>
      <x:c r="B579" t="str" s="2">
        <x:v>Heritage Housing Gainesville</x:v>
      </x:c>
      <x:c r="C579" t="str" s="2">
        <x:v/>
      </x:c>
      <x:c r="D579" t="str" s="2">
        <x:v>9034218596</x:v>
      </x:c>
      <x:c r="E579" t="str" s="2">
        <x:v>dunntk@gmail.com</x:v>
      </x:c>
      <x:c r="F579" t="str" s="2">
        <x:v>Landing_BPM</x:v>
      </x:c>
      <x:c r="G579" t="str" s="2">
        <x:v>Jeniffer Arellano</x:v>
      </x:c>
      <x:c r="H579" s="6">
        <x:v>46264.183842094906</x:v>
      </x:c>
      <x:c r="I579" s="0"/>
      <x:c r="J579" s="0"/>
      <x:c r="K579" s="6">
        <x:v>46302.68345871528</x:v>
      </x:c>
      <x:c r="L579" t="str" s="2">
        <x:v>Contacted</x:v>
      </x:c>
    </x:row>
    <x:row r="580">
      <x:c r="A580" t="str" s="2">
        <x:f>="Kayla Lujan"</x:f>
      </x:c>
      <x:c r="B580" t="str" s="2">
        <x:v>Heritage Housing of Tulsa</x:v>
      </x:c>
      <x:c r="C580" t="str" s="2">
        <x:v/>
      </x:c>
      <x:c r="D580" t="str" s="2">
        <x:v>6206604274</x:v>
      </x:c>
      <x:c r="E580" t="str" s="2">
        <x:v>Knkwilliams2@gmail.com</x:v>
      </x:c>
      <x:c r="F580" t="str" s="2">
        <x:v>Landing_BPM</x:v>
      </x:c>
      <x:c r="G580" t="str" s="2">
        <x:v>Jenna Fransisco</x:v>
      </x:c>
      <x:c r="H580" s="6">
        <x:v>46264.33668460648</x:v>
      </x:c>
      <x:c r="I580" s="0"/>
      <x:c r="J580" s="0"/>
      <x:c r="K580" s="6">
        <x:v>46265.5988696412</x:v>
      </x:c>
      <x:c r="L580" t="str" s="2">
        <x:v>Contacted</x:v>
      </x:c>
    </x:row>
    <x:row r="581">
      <x:c r="A581" t="str" s="2">
        <x:f>="Anya187Si Anya187SiBR"</x:f>
      </x:c>
      <x:c r="B581" t="str" s="2">
        <x:v>Heritage Housing of Greenville</x:v>
      </x:c>
      <x:c r="C581" t="str" s="2">
        <x:v/>
      </x:c>
      <x:c r="D581" t="str" s="2">
        <x:v>45741474255</x:v>
      </x:c>
      <x:c r="E581" t="str" s="2">
        <x:v>dpimfef@tcphflj.cmg</x:v>
      </x:c>
      <x:c r="F581" t="str" s="2">
        <x:v>Website</x:v>
      </x:c>
      <x:c r="G581" t="str" s="2">
        <x:v>Ana Garcia</x:v>
      </x:c>
      <x:c r="H581" s="6">
        <x:v>46264.37179690972</x:v>
      </x:c>
      <x:c r="I581" s="0"/>
      <x:c r="J581" s="0"/>
      <x:c r="K581" s="6">
        <x:v>46265.59285775463</x:v>
      </x:c>
      <x:c r="L581" t="str" s="2">
        <x:v>Contacted</x:v>
      </x:c>
    </x:row>
    <x:row r="582">
      <x:c r="A582" t="str" s="2">
        <x:f>="Elizabeth Bell"</x:f>
      </x:c>
      <x:c r="B582" t="str" s="2">
        <x:v>Heritage Housing of Albany</x:v>
      </x:c>
      <x:c r="C582" t="str" s="2">
        <x:v/>
      </x:c>
      <x:c r="D582" t="str" s="2">
        <x:v>2292004452</x:v>
      </x:c>
      <x:c r="E582" t="str" s="2">
        <x:v>cripbell082@gmail.com</x:v>
      </x:c>
      <x:c r="F582" t="str" s="2">
        <x:v>Landing_BPM</x:v>
      </x:c>
      <x:c r="G582" t="str" s="2">
        <x:v>Justin Johnson</x:v>
      </x:c>
      <x:c r="H582" s="6">
        <x:v>46264.44835266204</x:v>
      </x:c>
      <x:c r="I582" s="0"/>
      <x:c r="J582" s="0"/>
      <x:c r="K582" s="6">
        <x:v>46283.736475115744</x:v>
      </x:c>
      <x:c r="L582" t="str" s="2">
        <x:v>Contacted</x:v>
      </x:c>
    </x:row>
    <x:row r="583">
      <x:c r="A583" t="str" s="2">
        <x:f>="Latonia Holbrooks"</x:f>
      </x:c>
      <x:c r="B583" t="str" s="2">
        <x:v>Heritage Housing of Asheboro</x:v>
      </x:c>
      <x:c r="C583" t="str" s="2">
        <x:v/>
      </x:c>
      <x:c r="D583" t="str" s="2">
        <x:v>9806898911</x:v>
      </x:c>
      <x:c r="E583" t="str" s="2">
        <x:v>holbrookslatonia@gmail.com</x:v>
      </x:c>
      <x:c r="F583" t="str" s="2">
        <x:v>Youtube</x:v>
      </x:c>
      <x:c r="G583" t="str" s="2">
        <x:v>Maria Lopez</x:v>
      </x:c>
      <x:c r="H583" s="6">
        <x:v>46264.62285582176</x:v>
      </x:c>
      <x:c r="I583" s="0"/>
      <x:c r="J583" s="0"/>
      <x:c r="K583" s="6">
        <x:v>46288.72861041666</x:v>
      </x:c>
      <x:c r="L583" t="str" s="2">
        <x:v>Contacted</x:v>
      </x:c>
    </x:row>
    <x:row r="584">
      <x:c r="A584" t="str" s="2">
        <x:f>="Rebecca Fuller"</x:f>
      </x:c>
      <x:c r="B584" t="str" s="2">
        <x:v>Heritage Housing of Minden</x:v>
      </x:c>
      <x:c r="C584" t="str" s="2">
        <x:v>0/1</x:v>
      </x:c>
      <x:c r="D584" t="str" s="2">
        <x:v>3185661829</x:v>
      </x:c>
      <x:c r="E584" t="str" s="2">
        <x:v>beccafuller9@gmail.com</x:v>
      </x:c>
      <x:c r="F584" t="str" s="2">
        <x:v>Landing_BPM</x:v>
      </x:c>
      <x:c r="G584" t="str" s="2">
        <x:v>Patrick Schuchart</x:v>
      </x:c>
      <x:c r="H584" s="6">
        <x:v>46264.65919528935</x:v>
      </x:c>
      <x:c r="I584" s="0"/>
      <x:c r="J584" s="0"/>
      <x:c r="K584" s="6">
        <x:v>46265.78280778935</x:v>
      </x:c>
      <x:c r="L584" t="str" s="2">
        <x:v>Contacted</x:v>
      </x:c>
    </x:row>
    <x:row r="585">
      <x:c r="A585" t="str" s="2">
        <x:f>="Raymond Johnson"</x:f>
      </x:c>
      <x:c r="B585" t="str" s="2">
        <x:v>Heritage Housing of Asheboro</x:v>
      </x:c>
      <x:c r="C585" t="str" s="2">
        <x:v/>
      </x:c>
      <x:c r="D585" t="str" s="2">
        <x:v>8637320400</x:v>
      </x:c>
      <x:c r="E585" t="str" s="2">
        <x:v>raymondjohnson420@gmail.com</x:v>
      </x:c>
      <x:c r="F585" t="str" s="2">
        <x:v>Landing_BPM</x:v>
      </x:c>
      <x:c r="G585" t="str" s="2">
        <x:v>Jeremy Jacques</x:v>
      </x:c>
      <x:c r="H585" s="6">
        <x:v>46264.69668680555</x:v>
      </x:c>
      <x:c r="I585" s="0"/>
      <x:c r="J585" s="0"/>
      <x:c r="K585" s="6">
        <x:v>46266.85372638889</x:v>
      </x:c>
      <x:c r="L585" t="str" s="2">
        <x:v>Contacted</x:v>
      </x:c>
    </x:row>
    <x:row r="586">
      <x:c r="A586" t="str" s="2">
        <x:f>="Katie Welch"</x:f>
      </x:c>
      <x:c r="B586" t="str" s="2">
        <x:v>Heritage Housing of Minden</x:v>
      </x:c>
      <x:c r="C586" t="str" s="2">
        <x:v>0/1</x:v>
      </x:c>
      <x:c r="D586" t="str" s="2">
        <x:v>8709142083</x:v>
      </x:c>
      <x:c r="E586" t="str" s="2">
        <x:v>katiemduke00@gmail.com</x:v>
      </x:c>
      <x:c r="F586" t="str" s="2">
        <x:v>Website</x:v>
      </x:c>
      <x:c r="G586" t="str" s="2">
        <x:v>Kyla Brown</x:v>
      </x:c>
      <x:c r="H586" s="6">
        <x:v>46264.7684028125</x:v>
      </x:c>
      <x:c r="I586" s="0"/>
      <x:c r="J586" s="0"/>
      <x:c r="K586" s="6">
        <x:v>46265.781663043985</x:v>
      </x:c>
      <x:c r="L586" t="str" s="2">
        <x:v>Contacted</x:v>
      </x:c>
    </x:row>
    <x:row r="587">
      <x:c r="A587" t="str" s="2">
        <x:f>="Hailey Phillips"</x:f>
      </x:c>
      <x:c r="B587" t="str" s="2">
        <x:v>Heritage Housing of Tulsa</x:v>
      </x:c>
      <x:c r="C587" t="str" s="2">
        <x:v/>
      </x:c>
      <x:c r="D587" t="str" s="2">
        <x:v>3166003389</x:v>
      </x:c>
      <x:c r="E587" t="str" s="2">
        <x:v>Haileyjewel2455@gmail.com</x:v>
      </x:c>
      <x:c r="F587" t="str" s="2">
        <x:v>Website</x:v>
      </x:c>
      <x:c r="G587" t="str" s="2">
        <x:v>Jenna Fransisco</x:v>
      </x:c>
      <x:c r="H587" s="6">
        <x:v>46264.88029621528</x:v>
      </x:c>
      <x:c r="I587" s="0"/>
      <x:c r="J587" s="0"/>
      <x:c r="K587" s="6">
        <x:v>46265.59899748843</x:v>
      </x:c>
      <x:c r="L587" t="str" s="2">
        <x:v>Contacted</x:v>
      </x:c>
    </x:row>
    <x:row r="588">
      <x:c r="A588" t="str" s="2">
        <x:f>="Samantha Badger"</x:f>
      </x:c>
      <x:c r="B588" t="str" s="2">
        <x:v>Heritage Housing of Minden</x:v>
      </x:c>
      <x:c r="C588" t="str" s="2">
        <x:v>0/1</x:v>
      </x:c>
      <x:c r="D588" t="str" s="2">
        <x:v>3185166723</x:v>
      </x:c>
      <x:c r="E588" t="str" s="2">
        <x:v>sambadd0105@gmail.com</x:v>
      </x:c>
      <x:c r="F588" t="str" s="2">
        <x:v>Financing Form</x:v>
      </x:c>
      <x:c r="G588" t="str" s="2">
        <x:v>Patrick Schuchart</x:v>
      </x:c>
      <x:c r="H588" s="6">
        <x:v>46264.91145501158</x:v>
      </x:c>
      <x:c r="I588" s="0"/>
      <x:c r="J588" s="0"/>
      <x:c r="K588" s="6">
        <x:v>46265.78087920139</x:v>
      </x:c>
      <x:c r="L588" t="str" s="2">
        <x:v>Contacted</x:v>
      </x:c>
    </x:row>
    <x:row r="589">
      <x:c r="A589" t="str" s="2">
        <x:f>="Russ Eubanks"</x:f>
      </x:c>
      <x:c r="B589" t="str" s="2">
        <x:v>Heritage Housing of Augusta</x:v>
      </x:c>
      <x:c r="C589" t="str" s="2">
        <x:v>1/1</x:v>
      </x:c>
      <x:c r="D589" t="str" s="2">
        <x:v>8035070792</x:v>
      </x:c>
      <x:c r="E589" t="str" s="2">
        <x:v>j345602@gmail.com</x:v>
      </x:c>
      <x:c r="F589" t="str" s="2">
        <x:v>Landing_BPM</x:v>
      </x:c>
      <x:c r="G589" t="str" s="2">
        <x:v>Faye Lively</x:v>
      </x:c>
      <x:c r="H589" s="6">
        <x:v>46264.92481292824</x:v>
      </x:c>
      <x:c r="I589" s="0"/>
      <x:c r="J589" s="0"/>
      <x:c r="K589" s="6">
        <x:v>46282.83374340278</x:v>
      </x:c>
      <x:c r="L589" t="str" s="2">
        <x:v>Contacted</x:v>
      </x:c>
    </x:row>
    <x:row r="590">
      <x:c r="A590" t="str" s="2">
        <x:f>="Stephanie Walker"</x:f>
      </x:c>
      <x:c r="B590" t="str" s="2">
        <x:v>Heritage Housing of Minden</x:v>
      </x:c>
      <x:c r="C590" t="str" s="2">
        <x:v>0/1</x:v>
      </x:c>
      <x:c r="D590" t="str" s="2">
        <x:v>14697612591</x:v>
      </x:c>
      <x:c r="E590" t="str" s="2">
        <x:v>spennington677@gmail.com</x:v>
      </x:c>
      <x:c r="F590" t="str" s="2">
        <x:v>Youtube</x:v>
      </x:c>
      <x:c r="G590" t="str" s="2">
        <x:v>Kyla Brown</x:v>
      </x:c>
      <x:c r="H590" s="6">
        <x:v>46264.96609050926</x:v>
      </x:c>
      <x:c r="I590" s="0"/>
      <x:c r="J590" s="0"/>
      <x:c r="K590" s="6">
        <x:v>46265.779838344904</x:v>
      </x:c>
      <x:c r="L590" t="str" s="2">
        <x:v>Contacted</x:v>
      </x:c>
    </x:row>
    <x:row r="591">
      <x:c r="A591" t="str" s="2">
        <x:f>="Daniel Hardy"</x:f>
      </x:c>
      <x:c r="B591" t="str" s="2">
        <x:v>Heritage Housing of Albany</x:v>
      </x:c>
      <x:c r="C591" t="str" s="2">
        <x:v/>
      </x:c>
      <x:c r="D591" t="str" s="2">
        <x:v>9432348752</x:v>
      </x:c>
      <x:c r="E591" t="str" s="2">
        <x:v>dhhhandymanservices709@gmail.com</x:v>
      </x:c>
      <x:c r="F591" t="str" s="2">
        <x:v>Youtube</x:v>
      </x:c>
      <x:c r="G591" t="str" s="2">
        <x:v>Yanet Alvarez</x:v>
      </x:c>
      <x:c r="H591" s="6">
        <x:v>46264.99040767361</x:v>
      </x:c>
      <x:c r="I591" s="0"/>
      <x:c r="J591" s="0"/>
      <x:c r="K591" s="6">
        <x:v>46307.63582728009</x:v>
      </x:c>
      <x:c r="L591" t="str" s="2">
        <x:v>Contacted</x:v>
      </x:c>
    </x:row>
    <x:row r="592">
      <x:c r="A592" t="str" s="2">
        <x:f>="Donald Haulcy"</x:f>
      </x:c>
      <x:c r="B592" t="str" s="2">
        <x:v>Heritage Housing of Minden</x:v>
      </x:c>
      <x:c r="C592" t="str" s="2">
        <x:v>0/1</x:v>
      </x:c>
      <x:c r="D592" t="str" s="2">
        <x:v>3185790565</x:v>
      </x:c>
      <x:c r="E592" t="str" s="2">
        <x:v>donaldhaulcy739@gmail.com</x:v>
      </x:c>
      <x:c r="F592" t="str" s="2">
        <x:v>Landing_BPM</x:v>
      </x:c>
      <x:c r="G592" t="str" s="2">
        <x:v>Patrick Schuchart</x:v>
      </x:c>
      <x:c r="H592" s="6">
        <x:v>46265.01526064815</x:v>
      </x:c>
      <x:c r="I592" s="0"/>
      <x:c r="J592" s="0"/>
      <x:c r="K592" s="6">
        <x:v>46265.7790852662</x:v>
      </x:c>
      <x:c r="L592" t="str" s="2">
        <x:v>Contacted</x:v>
      </x:c>
    </x:row>
    <x:row r="593">
      <x:c r="A593" t="str" s="2">
        <x:f>="Mildred Brown"</x:f>
      </x:c>
      <x:c r="B593" t="str" s="2">
        <x:v>Heritage Housing of Albany</x:v>
      </x:c>
      <x:c r="C593" t="str" s="2">
        <x:v>1/2</x:v>
      </x:c>
      <x:c r="D593" t="str" s="2">
        <x:v>2292791638</x:v>
      </x:c>
      <x:c r="E593" t="str" s="2">
        <x:v>dogmom2057@gmail.com</x:v>
      </x:c>
      <x:c r="F593" t="str" s="2">
        <x:v>Landing_BPM</x:v>
      </x:c>
      <x:c r="G593" t="str" s="2">
        <x:v>Justin Johnson</x:v>
      </x:c>
      <x:c r="H593" s="6">
        <x:v>46265.03946119213</x:v>
      </x:c>
      <x:c r="I593" s="0"/>
      <x:c r="J593" s="0"/>
      <x:c r="K593" s="6">
        <x:v>46281.86625181713</x:v>
      </x:c>
      <x:c r="L593" t="str" s="2">
        <x:v>Contacted</x:v>
      </x:c>
    </x:row>
    <x:row r="594">
      <x:c r="A594" t="str" s="2">
        <x:f>="Robert Litzinger"</x:f>
      </x:c>
      <x:c r="B594" t="str" s="2">
        <x:v>Heritage Housing of Asheboro</x:v>
      </x:c>
      <x:c r="C594" t="str" s="2">
        <x:v/>
      </x:c>
      <x:c r="D594" t="str" s="2">
        <x:v>7049179151</x:v>
      </x:c>
      <x:c r="E594" t="str" s="2">
        <x:v>robertlitz01@gmail.com</x:v>
      </x:c>
      <x:c r="F594" t="str" s="2">
        <x:v>Landing_BPM</x:v>
      </x:c>
      <x:c r="G594" t="str" s="2">
        <x:v>Jeremy Jacques</x:v>
      </x:c>
      <x:c r="H594" s="6">
        <x:v>46265.047269131945</x:v>
      </x:c>
      <x:c r="I594" s="0"/>
      <x:c r="J594" s="0"/>
      <x:c r="K594" s="6">
        <x:v>46266.85517920139</x:v>
      </x:c>
      <x:c r="L594" t="str" s="2">
        <x:v>Contacted</x:v>
      </x:c>
    </x:row>
    <x:row r="595">
      <x:c r="A595" t="str" s="2">
        <x:f>="Henretta Scarver"</x:f>
      </x:c>
      <x:c r="B595" t="str" s="2">
        <x:v>Heritage Housing of Albany</x:v>
      </x:c>
      <x:c r="C595" t="str" s="2">
        <x:v/>
      </x:c>
      <x:c r="D595" t="str" s="2">
        <x:v>8639342398</x:v>
      </x:c>
      <x:c r="E595" t="str" s="2">
        <x:v>henretta56@icloud.com</x:v>
      </x:c>
      <x:c r="F595" t="str" s="2">
        <x:v>LandingPage</x:v>
      </x:c>
      <x:c r="G595" t="str" s="2">
        <x:v>Yanet Alvarez</x:v>
      </x:c>
      <x:c r="H595" s="6">
        <x:v>46265.069392164354</x:v>
      </x:c>
      <x:c r="I595" s="0"/>
      <x:c r="J595" s="0"/>
      <x:c r="K595" s="6">
        <x:v>46283.68882638889</x:v>
      </x:c>
      <x:c r="L595" t="str" s="2">
        <x:v>Contacted</x:v>
      </x:c>
    </x:row>
    <x:row r="596">
      <x:c r="A596" t="str" s="2">
        <x:f>="Christopher Ward"</x:f>
      </x:c>
      <x:c r="B596" t="str" s="2">
        <x:v>Heritage Housing of Asheboro</x:v>
      </x:c>
      <x:c r="C596" t="str" s="2">
        <x:v/>
      </x:c>
      <x:c r="D596" t="str" s="2">
        <x:v>3364917220</x:v>
      </x:c>
      <x:c r="E596" t="str" s="2">
        <x:v>demonw4rd@gmail.com</x:v>
      </x:c>
      <x:c r="F596" t="str" s="2">
        <x:v>Landing_BPM</x:v>
      </x:c>
      <x:c r="G596" t="str" s="2">
        <x:v>Jeremy Jacques</x:v>
      </x:c>
      <x:c r="H596" s="6">
        <x:v>46265.09830922454</x:v>
      </x:c>
      <x:c r="I596" s="0"/>
      <x:c r="J596" s="0"/>
      <x:c r="K596" s="6">
        <x:v>46266.854842974535</x:v>
      </x:c>
      <x:c r="L596" t="str" s="2">
        <x:v>Contacted</x:v>
      </x:c>
    </x:row>
    <x:row r="597">
      <x:c r="A597" t="str" s="2">
        <x:f>="Noreen Ojeda"</x:f>
      </x:c>
      <x:c r="B597" t="str" s="2">
        <x:v>Heritage Housing Gainesville</x:v>
      </x:c>
      <x:c r="C597" t="str" s="2">
        <x:v/>
      </x:c>
      <x:c r="D597" t="str" s="2">
        <x:v>2542455086</x:v>
      </x:c>
      <x:c r="E597" t="str" s="2">
        <x:v>ojedanv40@gmail.com</x:v>
      </x:c>
      <x:c r="F597" t="str" s="2">
        <x:v>Landing_BPM</x:v>
      </x:c>
      <x:c r="G597" t="str" s="2">
        <x:v>Jeniffer Arellano</x:v>
      </x:c>
      <x:c r="H597" s="6">
        <x:v>46265.101454131946</x:v>
      </x:c>
      <x:c r="I597" s="0"/>
      <x:c r="J597" s="0"/>
      <x:c r="K597" s="6">
        <x:v>46302.68322665509</x:v>
      </x:c>
      <x:c r="L597" t="str" s="2">
        <x:v>Contacted</x:v>
      </x:c>
    </x:row>
    <x:row r="598">
      <x:c r="A598" t="str" s="2">
        <x:f>="James Colbert"</x:f>
      </x:c>
      <x:c r="B598" t="str" s="2">
        <x:v>Heritage Housing of Minden</x:v>
      </x:c>
      <x:c r="C598" t="str" s="2">
        <x:v>0/1</x:v>
      </x:c>
      <x:c r="D598" t="str" s="2">
        <x:v>3188953190</x:v>
      </x:c>
      <x:c r="E598" t="str" s="2">
        <x:v>ogcolbertjames25@gmail.com</x:v>
      </x:c>
      <x:c r="F598" t="str" s="2">
        <x:v>Youtube</x:v>
      </x:c>
      <x:c r="G598" t="str" s="2">
        <x:v>Kyla Brown</x:v>
      </x:c>
      <x:c r="H598" s="6">
        <x:v>46265.15766276621</x:v>
      </x:c>
      <x:c r="I598" s="0"/>
      <x:c r="J598" s="0"/>
      <x:c r="K598" s="6">
        <x:v>46265.77710478009</x:v>
      </x:c>
      <x:c r="L598" t="str" s="2">
        <x:v>Contacted</x:v>
      </x:c>
    </x:row>
    <x:row r="599">
      <x:c r="A599" t="str" s="2">
        <x:f>="Leonard Jacobs"</x:f>
      </x:c>
      <x:c r="B599" t="str" s="2">
        <x:v>Heritage Housing of Albany</x:v>
      </x:c>
      <x:c r="C599" t="str" s="2">
        <x:v>1/2</x:v>
      </x:c>
      <x:c r="D599" t="str" s="2">
        <x:v>6197311330</x:v>
      </x:c>
      <x:c r="E599" t="str" s="2">
        <x:v>leonard3j@gmail.com</x:v>
      </x:c>
      <x:c r="F599" t="str" s="2">
        <x:v>Landing_BPM</x:v>
      </x:c>
      <x:c r="G599" t="str" s="2">
        <x:v>Justin Johnson</x:v>
      </x:c>
      <x:c r="H599" s="6">
        <x:v>46265.168243831016</x:v>
      </x:c>
      <x:c r="I599" s="0"/>
      <x:c r="J599" s="0"/>
      <x:c r="K599" s="6">
        <x:v>46281.86465783565</x:v>
      </x:c>
      <x:c r="L599" t="str" s="2">
        <x:v>Contacted</x:v>
      </x:c>
    </x:row>
    <x:row r="600">
      <x:c r="A600" t="str" s="2">
        <x:f>="harmony trujillo"</x:f>
      </x:c>
      <x:c r="B600" t="str" s="2">
        <x:v>Heritage Housing of Greenville</x:v>
      </x:c>
      <x:c r="C600" t="str" s="2">
        <x:v/>
      </x:c>
      <x:c r="D600" t="str" s="2">
        <x:v>4699333229</x:v>
      </x:c>
      <x:c r="E600" t="str" s="2">
        <x:v>hmptrujillo465@gmail.com</x:v>
      </x:c>
      <x:c r="F600" t="str" s="2">
        <x:v>Bing - Search</x:v>
      </x:c>
      <x:c r="G600" t="str" s="2">
        <x:v>Ana Garcia</x:v>
      </x:c>
      <x:c r="H600" s="6">
        <x:v>46265.36499649306</x:v>
      </x:c>
      <x:c r="I600" s="0"/>
      <x:c r="J600" s="0"/>
      <x:c r="K600" s="6">
        <x:v>46265.59269375</x:v>
      </x:c>
      <x:c r="L600" t="str" s="2">
        <x:v>Contacted</x:v>
      </x:c>
    </x:row>
    <x:row r="601">
      <x:c r="A601" t="str" s="2">
        <x:f>="CHRISTA Mackey"</x:f>
      </x:c>
      <x:c r="B601" t="str" s="2">
        <x:v>Heritage Housing Gainesville</x:v>
      </x:c>
      <x:c r="C601" t="str" s="2">
        <x:v/>
      </x:c>
      <x:c r="D601" t="str" s="2">
        <x:v>9033276846</x:v>
      </x:c>
      <x:c r="E601" t="str" s="2">
        <x:v>cmackey8778@gmail.com</x:v>
      </x:c>
      <x:c r="F601" t="str" s="2">
        <x:v>Landing_BPM</x:v>
      </x:c>
      <x:c r="G601" t="str" s="2">
        <x:v>Jeniffer Arellano</x:v>
      </x:c>
      <x:c r="H601" s="6">
        <x:v>46265.51028229167</x:v>
      </x:c>
      <x:c r="I601" s="0"/>
      <x:c r="J601" s="0"/>
      <x:c r="K601" s="6">
        <x:v>46302.68288530093</x:v>
      </x:c>
      <x:c r="L601" t="str" s="2">
        <x:v>Contacted</x:v>
      </x:c>
    </x:row>
    <x:row r="602">
      <x:c r="A602" t="str" s="2">
        <x:f>="Daisy Jackson"</x:f>
      </x:c>
      <x:c r="B602" t="str" s="2">
        <x:v>Heritage Housing of Asheboro</x:v>
      </x:c>
      <x:c r="C602" t="str" s="2">
        <x:v/>
      </x:c>
      <x:c r="D602" t="str" s="2">
        <x:v>704835382723</x:v>
      </x:c>
      <x:c r="E602" t="str" s="2">
        <x:v>daisyjackson015@gmail.com</x:v>
      </x:c>
      <x:c r="F602" t="str" s="2">
        <x:v>Youtube</x:v>
      </x:c>
      <x:c r="G602" t="str" s="2">
        <x:v>Jeremy Jacques</x:v>
      </x:c>
      <x:c r="H602" s="6">
        <x:v>46265.52381825232</x:v>
      </x:c>
      <x:c r="I602" s="0"/>
      <x:c r="J602" s="0"/>
      <x:c r="K602" s="6">
        <x:v>46266.85468255787</x:v>
      </x:c>
      <x:c r="L602" t="str" s="2">
        <x:v>Contacted</x:v>
      </x:c>
    </x:row>
    <x:row r="603">
      <x:c r="A603" t="str" s="2">
        <x:f>="Coretta Thomas"</x:f>
      </x:c>
      <x:c r="B603" t="str" s="2">
        <x:v>Heritage Housing of Minden</x:v>
      </x:c>
      <x:c r="C603" t="str" s="2">
        <x:v>0/1</x:v>
      </x:c>
      <x:c r="D603" t="str" s="2">
        <x:v>3185175270</x:v>
      </x:c>
      <x:c r="E603" t="str" s="2">
        <x:v>corettathomas98@gmail.com</x:v>
      </x:c>
      <x:c r="F603" t="str" s="2">
        <x:v>Financing Form</x:v>
      </x:c>
      <x:c r="G603" t="str" s="2">
        <x:v>Patrick Schuchart</x:v>
      </x:c>
      <x:c r="H603" s="6">
        <x:v>46265.60049725694</x:v>
      </x:c>
      <x:c r="I603" s="0"/>
      <x:c r="J603" s="0"/>
      <x:c r="K603" s="6">
        <x:v>46265.77607600694</x:v>
      </x:c>
      <x:c r="L603" t="str" s="2">
        <x:v>Contacted</x:v>
      </x:c>
    </x:row>
    <x:row r="604">
      <x:c r="A604" t="str" s="2">
        <x:f>="Latasha Alford"</x:f>
      </x:c>
      <x:c r="B604" t="str" s="2">
        <x:v>Heritage Housing of Albany</x:v>
      </x:c>
      <x:c r="C604" t="str" s="2">
        <x:v/>
      </x:c>
      <x:c r="D604" t="str" s="2">
        <x:v>2292068237</x:v>
      </x:c>
      <x:c r="E604" t="str" s="2">
        <x:v>latashaalford043@gmail.com</x:v>
      </x:c>
      <x:c r="F604" t="str" s="2">
        <x:v>Walk-in</x:v>
      </x:c>
      <x:c r="G604" s="0"/>
      <x:c r="H604" s="6">
        <x:v>46265.6822977662</x:v>
      </x:c>
      <x:c r="I604" s="0"/>
      <x:c r="J604" s="0"/>
      <x:c r="K604" s="6">
        <x:v>46280.8152753125</x:v>
      </x:c>
      <x:c r="L604" t="str" s="2">
        <x:v>Contacted</x:v>
      </x:c>
    </x:row>
    <x:row r="605">
      <x:c r="A605" t="str" s="2">
        <x:f>="KAREN GARRICK"</x:f>
      </x:c>
      <x:c r="B605" t="str" s="2">
        <x:v>Heritage Housing of Augusta</x:v>
      </x:c>
      <x:c r="C605" t="str" s="2">
        <x:v/>
      </x:c>
      <x:c r="D605" t="str" s="2">
        <x:v>8033093362</x:v>
      </x:c>
      <x:c r="E605" t="str" s="2">
        <x:v>KAREN.GARRICK@RICHLANDONE.ORG</x:v>
      </x:c>
      <x:c r="F605" t="str" s="2">
        <x:v>LandingPage</x:v>
      </x:c>
      <x:c r="G605" t="str" s="2">
        <x:v>Faye Lively</x:v>
      </x:c>
      <x:c r="H605" s="6">
        <x:v>46265.693157835645</x:v>
      </x:c>
      <x:c r="I605" s="0"/>
      <x:c r="J605" s="0"/>
      <x:c r="K605" s="6">
        <x:v>46277.57309699074</x:v>
      </x:c>
      <x:c r="L605" t="str" s="2">
        <x:v>Contacted</x:v>
      </x:c>
    </x:row>
    <x:row r="606">
      <x:c r="A606" t="str" s="2">
        <x:f>="GARY BREWER"</x:f>
      </x:c>
      <x:c r="B606" t="str" s="2">
        <x:v>Heritage Housing of Minden</x:v>
      </x:c>
      <x:c r="C606" t="str" s="2">
        <x:v>0/1</x:v>
      </x:c>
      <x:c r="D606" t="str" s="2">
        <x:v>214-466-9706</x:v>
      </x:c>
      <x:c r="E606" t="str" s="2">
        <x:v>BREWERGARY94@YAHOO.COM</x:v>
      </x:c>
      <x:c r="F606" t="str" s="2">
        <x:v>Website</x:v>
      </x:c>
      <x:c r="G606" t="str" s="2">
        <x:v>Justin Johnson</x:v>
      </x:c>
      <x:c r="H606" s="6">
        <x:v>46265.73699085648</x:v>
      </x:c>
      <x:c r="I606" s="0"/>
      <x:c r="J606" s="0"/>
      <x:c r="K606" s="6">
        <x:v>46265.84843564815</x:v>
      </x:c>
      <x:c r="L606" t="str" s="2">
        <x:v>Contacted</x:v>
      </x:c>
    </x:row>
    <x:row r="607">
      <x:c r="A607" t="str" s="2">
        <x:f>="Alexis Adams"</x:f>
      </x:c>
      <x:c r="B607" t="str" s="2">
        <x:v>Heritage Housing of Augusta</x:v>
      </x:c>
      <x:c r="C607" t="str" s="2">
        <x:v>0/2</x:v>
      </x:c>
      <x:c r="D607" t="str" s="2">
        <x:v>8649011275</x:v>
      </x:c>
      <x:c r="E607" t="str" s="2">
        <x:v>aadams111@yahoo.com</x:v>
      </x:c>
      <x:c r="F607" t="str" s="2">
        <x:v>Landing_BPM</x:v>
      </x:c>
      <x:c r="G607" t="str" s="2">
        <x:v>Alex Jones</x:v>
      </x:c>
      <x:c r="H607" s="6">
        <x:v>46265.741561724535</x:v>
      </x:c>
      <x:c r="I607" s="0"/>
      <x:c r="J607" s="0"/>
      <x:c r="K607" s="6">
        <x:v>46296.824224965276</x:v>
      </x:c>
      <x:c r="L607" t="str" s="2">
        <x:v>Contacted</x:v>
      </x:c>
    </x:row>
    <x:row r="608">
      <x:c r="A608" t="str" s="2">
        <x:f>=HYPERLINK("https://rsms.futurehomex.com/lead/39545", "ANNETTE CARTER")</x:f>
      </x:c>
      <x:c r="B608" t="str" s="2">
        <x:v>Heritage Housing of Augusta</x:v>
      </x:c>
      <x:c r="C608" t="str" s="2">
        <x:v/>
      </x:c>
      <x:c r="D608" t="str" s="2">
        <x:v>9736412974</x:v>
      </x:c>
      <x:c r="E608" t="str" s="2">
        <x:v>ANNANNETTEC189@GMAIL.COM</x:v>
      </x:c>
      <x:c r="F608" t="str" s="2">
        <x:v>Walk-in</x:v>
      </x:c>
      <x:c r="G608" t="str" s="2">
        <x:v>Faye Lively</x:v>
      </x:c>
      <x:c r="H608" s="6">
        <x:v>46265.82487322917</x:v>
      </x:c>
      <x:c r="I608" t="str" s="2">
        <x:v>Faye Lively</x:v>
      </x:c>
      <x:c r="J608" s="0"/>
      <x:c r="K608" s="6">
        <x:v>46277.81753703704</x:v>
      </x:c>
      <x:c r="L608" t="str" s="2">
        <x:v>Contacted</x:v>
      </x:c>
    </x:row>
    <x:row r="609">
      <x:c r="A609" t="str" s="2">
        <x:f>="Jonathan Daniel"</x:f>
      </x:c>
      <x:c r="B609" t="str" s="2">
        <x:v>Heritage Housing of Greenville</x:v>
      </x:c>
      <x:c r="C609" t="str" s="2">
        <x:v/>
      </x:c>
      <x:c r="D609" t="str" s="2">
        <x:v>4302803584</x:v>
      </x:c>
      <x:c r="E609" t="str" s="2">
        <x:v>lordmajora210033@gmail.com</x:v>
      </x:c>
      <x:c r="F609" t="str" s="2">
        <x:v>Financing Form</x:v>
      </x:c>
      <x:c r="G609" t="str" s="2">
        <x:v>Ana Garcia</x:v>
      </x:c>
      <x:c r="H609" s="6">
        <x:v>46265.91659583333</x:v>
      </x:c>
      <x:c r="I609" s="0"/>
      <x:c r="J609" s="0"/>
      <x:c r="K609" s="6">
        <x:v>46279.777382175926</x:v>
      </x:c>
      <x:c r="L609" t="str" s="2">
        <x:v>Contacted</x:v>
      </x:c>
    </x:row>
    <x:row r="610">
      <x:c r="A610" t="str" s="2">
        <x:f>="Todd Gilmore"</x:f>
      </x:c>
      <x:c r="B610" t="str" s="2">
        <x:v>Heritage Housing Mt Pleasant</x:v>
      </x:c>
      <x:c r="C610" t="str" s="2">
        <x:v/>
      </x:c>
      <x:c r="D610" t="str" s="2">
        <x:v>9033053500</x:v>
      </x:c>
      <x:c r="E610" t="str" s="2">
        <x:v>toddgilmore@icloud.com</x:v>
      </x:c>
      <x:c r="F610" t="str" s="2">
        <x:v>Financing Form</x:v>
      </x:c>
      <x:c r="G610" t="str" s="2">
        <x:v>Elias Gallardo</x:v>
      </x:c>
      <x:c r="H610" s="6">
        <x:v>46265.928300196756</x:v>
      </x:c>
      <x:c r="I610" s="0"/>
      <x:c r="J610" s="0"/>
      <x:c r="K610" s="6">
        <x:v>46279.91519351852</x:v>
      </x:c>
      <x:c r="L610" t="str" s="2">
        <x:v>Contacted</x:v>
      </x:c>
    </x:row>
    <x:row r="611">
      <x:c r="A611" t="str" s="2">
        <x:f>="Tina Murray"</x:f>
      </x:c>
      <x:c r="B611" t="str" s="2">
        <x:v>Heritage Housing of Albany</x:v>
      </x:c>
      <x:c r="C611" t="str" s="2">
        <x:v/>
      </x:c>
      <x:c r="D611" t="str" s="2">
        <x:v>7432386158</x:v>
      </x:c>
      <x:c r="E611" t="str" s="2">
        <x:v>mj8718947@gmail.com</x:v>
      </x:c>
      <x:c r="F611" t="str" s="2">
        <x:v>Financing Form</x:v>
      </x:c>
      <x:c r="G611" t="str" s="2">
        <x:v>Justin Johnson</x:v>
      </x:c>
      <x:c r="H611" s="6">
        <x:v>46266.060182719906</x:v>
      </x:c>
      <x:c r="I611" s="0"/>
      <x:c r="J611" s="0"/>
      <x:c r="K611" s="6">
        <x:v>46273.76595061342</x:v>
      </x:c>
      <x:c r="L611" t="str" s="2">
        <x:v>Contacted</x:v>
      </x:c>
    </x:row>
    <x:row r="612">
      <x:c r="A612" t="str" s="2">
        <x:f>="MarvinMig MarvinMigWE"</x:f>
      </x:c>
      <x:c r="B612" t="str" s="2">
        <x:v>Heritage Housing of Greenville</x:v>
      </x:c>
      <x:c r="C612" t="str" s="2">
        <x:v/>
      </x:c>
      <x:c r="D612" t="str" s="2">
        <x:v>83535988169</x:v>
      </x:c>
      <x:c r="E612" t="str" s="2">
        <x:v>gomclfl@liixfwu.foi</x:v>
      </x:c>
      <x:c r="F612" t="str" s="2">
        <x:v>Website</x:v>
      </x:c>
      <x:c r="G612" t="str" s="2">
        <x:v>Brooklynn Allen</x:v>
      </x:c>
      <x:c r="H612" s="6">
        <x:v>46266.06408240741</x:v>
      </x:c>
      <x:c r="I612" s="0"/>
      <x:c r="J612" s="0"/>
      <x:c r="K612" s="6">
        <x:v>46268.59022653935</x:v>
      </x:c>
      <x:c r="L612" t="str" s="2">
        <x:v>Contacted</x:v>
      </x:c>
    </x:row>
    <x:row r="613">
      <x:c r="A613" t="str" s="2">
        <x:f>="Tamika Braggs"</x:f>
      </x:c>
      <x:c r="B613" t="str" s="2">
        <x:v>Heritage Housing of Minden</x:v>
      </x:c>
      <x:c r="C613" t="str" s="2">
        <x:v>0/1</x:v>
      </x:c>
      <x:c r="D613" t="str" s="2">
        <x:v>3183728736</x:v>
      </x:c>
      <x:c r="E613" t="str" s="2">
        <x:v>braggstamika47@gmail.com</x:v>
      </x:c>
      <x:c r="F613" t="str" s="2">
        <x:v>Youtube</x:v>
      </x:c>
      <x:c r="G613" t="str" s="2">
        <x:v>Kyla Brown</x:v>
      </x:c>
      <x:c r="H613" s="6">
        <x:v>46266.10262427083</x:v>
      </x:c>
      <x:c r="I613" s="0"/>
      <x:c r="J613" s="0"/>
      <x:c r="K613" s="6">
        <x:v>46289.82161288195</x:v>
      </x:c>
      <x:c r="L613" t="str" s="2">
        <x:v>Contacted</x:v>
      </x:c>
    </x:row>
    <x:row r="614">
      <x:c r="A614" t="str" s="2">
        <x:f>="MarvinMig MarvinMigWE"</x:f>
      </x:c>
      <x:c r="B614" t="str" s="2">
        <x:v>Heritage Housing of Greenville</x:v>
      </x:c>
      <x:c r="C614" t="str" s="2">
        <x:v/>
      </x:c>
      <x:c r="D614" t="str" s="2">
        <x:v>82453837752</x:v>
      </x:c>
      <x:c r="E614" t="str" s="2">
        <x:v>wnhnjkc@umchcgn.tpp</x:v>
      </x:c>
      <x:c r="F614" t="str" s="2">
        <x:v>Website</x:v>
      </x:c>
      <x:c r="G614" t="str" s="2">
        <x:v>Brooklynn Allen</x:v>
      </x:c>
      <x:c r="H614" s="6">
        <x:v>46266.25315069444</x:v>
      </x:c>
      <x:c r="I614" s="0"/>
      <x:c r="J614" s="0"/>
      <x:c r="K614" s="6">
        <x:v>46268.59001122685</x:v>
      </x:c>
      <x:c r="L614" t="str" s="2">
        <x:v>Contacted</x:v>
      </x:c>
    </x:row>
    <x:row r="615">
      <x:c r="A615" t="str" s="2">
        <x:f>="Alneisa Jones"</x:f>
      </x:c>
      <x:c r="B615" t="str" s="2">
        <x:v>Heritage Housing of Asheboro</x:v>
      </x:c>
      <x:c r="C615" t="str" s="2">
        <x:v/>
      </x:c>
      <x:c r="D615" t="str" s="2">
        <x:v>9733360101</x:v>
      </x:c>
      <x:c r="E615" t="str" s="2">
        <x:v>alneisaj@gmail.com</x:v>
      </x:c>
      <x:c r="F615" t="str" s="2">
        <x:v>Landing_BPM</x:v>
      </x:c>
      <x:c r="G615" t="str" s="2">
        <x:v>Jeremy Jacques</x:v>
      </x:c>
      <x:c r="H615" s="6">
        <x:v>46266.70385767361</x:v>
      </x:c>
      <x:c r="I615" s="0"/>
      <x:c r="J615" s="0"/>
      <x:c r="K615" s="6">
        <x:v>46266.851900381946</x:v>
      </x:c>
      <x:c r="L615" t="str" s="2">
        <x:v>Contacted</x:v>
      </x:c>
    </x:row>
    <x:row r="616">
      <x:c r="A616" t="str" s="2">
        <x:f>="jakeria watson"</x:f>
      </x:c>
      <x:c r="B616" t="str" s="2">
        <x:v>Heritage Housing of Albany</x:v>
      </x:c>
      <x:c r="C616" t="str" s="2">
        <x:v/>
      </x:c>
      <x:c r="D616" t="str" s="2">
        <x:v>7063259383</x:v>
      </x:c>
      <x:c r="E616" t="str" s="2">
        <x:v>jwatson14@stallions.abac.edu</x:v>
      </x:c>
      <x:c r="F616" t="str" s="2">
        <x:v>Landing_BPM</x:v>
      </x:c>
      <x:c r="G616" t="str" s="2">
        <x:v>Justin Johnson</x:v>
      </x:c>
      <x:c r="H616" s="6">
        <x:v>46266.714357060184</x:v>
      </x:c>
      <x:c r="I616" s="0"/>
      <x:c r="J616" s="0"/>
      <x:c r="K616" s="6">
        <x:v>46273.76697916666</x:v>
      </x:c>
      <x:c r="L616" t="str" s="2">
        <x:v>Contacted</x:v>
      </x:c>
    </x:row>
    <x:row r="617">
      <x:c r="A617" t="str" s="2">
        <x:f>="Nakrutka_jhSi N_beSiO"</x:f>
      </x:c>
      <x:c r="B617" t="str" s="2">
        <x:v>Heritage Housing of Greenville</x:v>
      </x:c>
      <x:c r="C617" t="str" s="2">
        <x:v/>
      </x:c>
      <x:c r="D617" t="str" s="2">
        <x:v>5127216</x:v>
      </x:c>
      <x:c r="E617" t="str" s="2">
        <x:v>eqjuusu@mdupukt.fvu</x:v>
      </x:c>
      <x:c r="F617" t="str" s="2">
        <x:v>Website</x:v>
      </x:c>
      <x:c r="G617" t="str" s="2">
        <x:v>Brooklynn Allen</x:v>
      </x:c>
      <x:c r="H617" s="6">
        <x:v>46266.73150378472</x:v>
      </x:c>
      <x:c r="I617" s="0"/>
      <x:c r="J617" s="0"/>
      <x:c r="K617" s="6">
        <x:v>46267.616007523146</x:v>
      </x:c>
      <x:c r="L617" t="str" s="2">
        <x:v>Contacted</x:v>
      </x:c>
    </x:row>
    <x:row r="618">
      <x:c r="A618" t="str" s="2">
        <x:f>="Charlene Tice"</x:f>
      </x:c>
      <x:c r="B618" t="str" s="2">
        <x:v>Heritage Housing of Augusta</x:v>
      </x:c>
      <x:c r="C618" t="str" s="2">
        <x:v>1/1</x:v>
      </x:c>
      <x:c r="D618" t="str" s="2">
        <x:v>4704291359</x:v>
      </x:c>
      <x:c r="E618" t="str" s="2">
        <x:v>michelle010124@icloud.com</x:v>
      </x:c>
      <x:c r="F618" t="str" s="2">
        <x:v>Landing_BPM</x:v>
      </x:c>
      <x:c r="G618" t="str" s="2">
        <x:v>Faye Lively</x:v>
      </x:c>
      <x:c r="H618" s="6">
        <x:v>46266.785406793984</x:v>
      </x:c>
      <x:c r="I618" s="0"/>
      <x:c r="J618" s="0"/>
      <x:c r="K618" s="6">
        <x:v>46282.832582407405</x:v>
      </x:c>
      <x:c r="L618" t="str" s="2">
        <x:v>Contacted</x:v>
      </x:c>
    </x:row>
    <x:row r="619">
      <x:c r="A619" t="str" s="2">
        <x:f>="Larryguict LarryguictPA"</x:f>
      </x:c>
      <x:c r="B619" t="str" s="2">
        <x:v>Heritage Housing of Greenville</x:v>
      </x:c>
      <x:c r="C619" t="str" s="2">
        <x:v/>
      </x:c>
      <x:c r="D619" t="str" s="2">
        <x:v>88952338585</x:v>
      </x:c>
      <x:c r="E619" t="str" s="2">
        <x:v>ixbngbm@kkvkugf.ihl</x:v>
      </x:c>
      <x:c r="F619" t="str" s="2">
        <x:v>Website</x:v>
      </x:c>
      <x:c r="G619" t="str" s="2">
        <x:v>Brooklynn Allen</x:v>
      </x:c>
      <x:c r="H619" s="6">
        <x:v>46266.82475547454</x:v>
      </x:c>
      <x:c r="I619" s="0"/>
      <x:c r="J619" s="0"/>
      <x:c r="K619" s="6">
        <x:v>46267.61582002315</x:v>
      </x:c>
      <x:c r="L619" t="str" s="2">
        <x:v>Contacted</x:v>
      </x:c>
    </x:row>
    <x:row r="620">
      <x:c r="A620" t="str" s="2">
        <x:f>=HYPERLINK("https://rsms.futurehomex.com/lead/39594", "Josh Lee")</x:f>
      </x:c>
      <x:c r="B620" t="str" s="2">
        <x:v>Heritage Housing of Minden</x:v>
      </x:c>
      <x:c r="C620" t="str" s="2">
        <x:v>0/1</x:v>
      </x:c>
      <x:c r="D620" t="str" s="2">
        <x:v>3184971926</x:v>
      </x:c>
      <x:c r="E620" t="str" s="2">
        <x:v>3184971926</x:v>
      </x:c>
      <x:c r="F620" t="str" s="2">
        <x:v>Walk-in</x:v>
      </x:c>
      <x:c r="G620" t="str" s="2">
        <x:v>Patrick Schuchart</x:v>
      </x:c>
      <x:c r="H620" s="6">
        <x:v>46266.90349675926</x:v>
      </x:c>
      <x:c r="I620" t="str" s="2">
        <x:v>Patrick Schuchart</x:v>
      </x:c>
      <x:c r="J620" s="0"/>
      <x:c r="K620" s="6">
        <x:v>46289.823156018516</x:v>
      </x:c>
      <x:c r="L620" t="str" s="2">
        <x:v>Contacted</x:v>
      </x:c>
    </x:row>
    <x:row r="621">
      <x:c r="A621" t="str" s="2">
        <x:f>="A A"</x:f>
      </x:c>
      <x:c r="B621" t="str" s="2">
        <x:v>Heritage Housing of Greenville</x:v>
      </x:c>
      <x:c r="C621" t="str" s="2">
        <x:v/>
      </x:c>
      <x:c r="D621" t="str" s="2">
        <x:v>9039946682</x:v>
      </x:c>
      <x:c r="E621" t="str" s="2">
        <x:v>bn132313@gmail.com</x:v>
      </x:c>
      <x:c r="F621" t="str" s="2">
        <x:v>Website</x:v>
      </x:c>
      <x:c r="G621" t="str" s="2">
        <x:v>Brooklynn Allen</x:v>
      </x:c>
      <x:c r="H621" s="6">
        <x:v>46267.04149105324</x:v>
      </x:c>
      <x:c r="I621" s="0"/>
      <x:c r="J621" s="0"/>
      <x:c r="K621" s="6">
        <x:v>46268.589640081016</x:v>
      </x:c>
      <x:c r="L621" t="str" s="2">
        <x:v>Contacted</x:v>
      </x:c>
    </x:row>
    <x:row r="622">
      <x:c r="A622" t="str" s="2">
        <x:f>="Sean Rose"</x:f>
      </x:c>
      <x:c r="B622" t="str" s="2">
        <x:v>Heritage Housing Marble Falls</x:v>
      </x:c>
      <x:c r="C622" t="str" s="2">
        <x:v/>
      </x:c>
      <x:c r="D622" t="str" s="2">
        <x:v>9033883559</x:v>
      </x:c>
      <x:c r="E622" t="str" s="2">
        <x:v>dieseldodge31@gmail.com</x:v>
      </x:c>
      <x:c r="F622" t="str" s="2">
        <x:v>Landing_BPM</x:v>
      </x:c>
      <x:c r="G622" t="str" s="2">
        <x:v>Stephen Sanders</x:v>
      </x:c>
      <x:c r="H622" s="6">
        <x:v>46267.099904710645</x:v>
      </x:c>
      <x:c r="I622" s="0"/>
      <x:c r="J622" s="0"/>
      <x:c r="K622" s="6">
        <x:v>46267.82651096065</x:v>
      </x:c>
      <x:c r="L622" t="str" s="2">
        <x:v>Contacted</x:v>
      </x:c>
    </x:row>
    <x:row r="623">
      <x:c r="A623" t="str" s="2">
        <x:f>="Jesseplany JesseplanyTS"</x:f>
      </x:c>
      <x:c r="B623" t="str" s="2">
        <x:v>Heritage Housing of Greenville</x:v>
      </x:c>
      <x:c r="C623" t="str" s="2">
        <x:v/>
      </x:c>
      <x:c r="D623" t="str" s="2">
        <x:v>86727685467</x:v>
      </x:c>
      <x:c r="E623" t="str" s="2">
        <x:v>vfqtrbh@rxcmboe.hwn</x:v>
      </x:c>
      <x:c r="F623" t="str" s="2">
        <x:v>Website</x:v>
      </x:c>
      <x:c r="G623" t="str" s="2">
        <x:v>Brooklynn Allen</x:v>
      </x:c>
      <x:c r="H623" s="6">
        <x:v>46267.28694945602</x:v>
      </x:c>
      <x:c r="I623" s="0"/>
      <x:c r="J623" s="0"/>
      <x:c r="K623" s="6">
        <x:v>46269.63037665509</x:v>
      </x:c>
      <x:c r="L623" t="str" s="2">
        <x:v>Contacted</x:v>
      </x:c>
    </x:row>
    <x:row r="624">
      <x:c r="A624" t="str" s="2">
        <x:f>="Edwardawaiz EdwardawaizNR"</x:f>
      </x:c>
      <x:c r="B624" t="str" s="2">
        <x:v>Heritage Housing of Greenville</x:v>
      </x:c>
      <x:c r="C624" t="str" s="2">
        <x:v/>
      </x:c>
      <x:c r="D624" t="str" s="2">
        <x:v>87272868667</x:v>
      </x:c>
      <x:c r="E624" t="str" s="2">
        <x:v>slciubv@vudgmvx.vsw</x:v>
      </x:c>
      <x:c r="F624" t="str" s="2">
        <x:v>Website</x:v>
      </x:c>
      <x:c r="G624" t="str" s="2">
        <x:v>Brooklynn Allen</x:v>
      </x:c>
      <x:c r="H624" s="6">
        <x:v>46267.299969872685</x:v>
      </x:c>
      <x:c r="I624" s="0"/>
      <x:c r="J624" s="0"/>
      <x:c r="K624" s="6">
        <x:v>46269.62839039352</x:v>
      </x:c>
      <x:c r="L624" t="str" s="2">
        <x:v>Contacted</x:v>
      </x:c>
    </x:row>
    <x:row r="625">
      <x:c r="A625" t="str" s="2">
        <x:f>="MarvinMig MarvinMigWE"</x:f>
      </x:c>
      <x:c r="B625" t="str" s="2">
        <x:v>Heritage Housing of Greenville</x:v>
      </x:c>
      <x:c r="C625" t="str" s="2">
        <x:v/>
      </x:c>
      <x:c r="D625" t="str" s="2">
        <x:v>89874184416</x:v>
      </x:c>
      <x:c r="E625" t="str" s="2">
        <x:v>lehhpjv@fatscbm.hcp</x:v>
      </x:c>
      <x:c r="F625" t="str" s="2">
        <x:v>Website</x:v>
      </x:c>
      <x:c r="G625" t="str" s="2">
        <x:v>Brooklynn Allen</x:v>
      </x:c>
      <x:c r="H625" s="6">
        <x:v>46267.35475667824</x:v>
      </x:c>
      <x:c r="I625" s="0"/>
      <x:c r="J625" s="0"/>
      <x:c r="K625" s="6">
        <x:v>46267.61660940972</x:v>
      </x:c>
      <x:c r="L625" t="str" s="2">
        <x:v>Contacted</x:v>
      </x:c>
    </x:row>
    <x:row r="626">
      <x:c r="A626" t="str" s="2">
        <x:f>="Willie Sheats"</x:f>
      </x:c>
      <x:c r="B626" t="str" s="2">
        <x:v>Heritage Housing of Athens</x:v>
      </x:c>
      <x:c r="C626" t="str" s="2">
        <x:v>1/1</x:v>
      </x:c>
      <x:c r="D626" t="str" s="2">
        <x:v>6786027656</x:v>
      </x:c>
      <x:c r="E626" t="str" s="2">
        <x:v>w***********@gmail.com</x:v>
      </x:c>
      <x:c r="F626" t="str" s="2">
        <x:v>Landing_BPM</x:v>
      </x:c>
      <x:c r="G626" t="str" s="2">
        <x:v>Nathan Bishop</x:v>
      </x:c>
      <x:c r="H626" s="6">
        <x:v>46267.4523815162</x:v>
      </x:c>
      <x:c r="I626" s="0"/>
      <x:c r="J626" s="0"/>
      <x:c r="K626" s="6">
        <x:v>46282.73983032408</x:v>
      </x:c>
      <x:c r="L626" t="str" s="2">
        <x:v>Contacted</x:v>
      </x:c>
    </x:row>
    <x:row r="627">
      <x:c r="A627" t="str" s="2">
        <x:f>="Benjamin Williamson"</x:f>
      </x:c>
      <x:c r="B627" t="str" s="2">
        <x:v>Heritage Housing of Augusta</x:v>
      </x:c>
      <x:c r="C627" t="str" s="2">
        <x:v/>
      </x:c>
      <x:c r="D627" t="str" s="2">
        <x:v>8035918499</x:v>
      </x:c>
      <x:c r="E627" t="str" s="2">
        <x:v>ben922602012@icloud.com</x:v>
      </x:c>
      <x:c r="F627" t="str" s="2">
        <x:v>Landing_BPM</x:v>
      </x:c>
      <x:c r="G627" t="str" s="2">
        <x:v>Faye Lively</x:v>
      </x:c>
      <x:c r="H627" s="6">
        <x:v>46267.48405818287</x:v>
      </x:c>
      <x:c r="I627" s="0"/>
      <x:c r="J627" s="0"/>
      <x:c r="K627" s="6">
        <x:v>46282.83703796296</x:v>
      </x:c>
      <x:c r="L627" t="str" s="2">
        <x:v>Contacted</x:v>
      </x:c>
    </x:row>
    <x:row r="628">
      <x:c r="A628" t="str" s="2">
        <x:f>="Crystal Sanders"</x:f>
      </x:c>
      <x:c r="B628" t="str" s="2">
        <x:v>Heritage Housing of Minden</x:v>
      </x:c>
      <x:c r="C628" t="str" s="2">
        <x:v>0/4</x:v>
      </x:c>
      <x:c r="D628" t="str" s="2">
        <x:v>3186398711</x:v>
      </x:c>
      <x:c r="E628" t="str" s="2">
        <x:v>crystalsanders387@gmail.com</x:v>
      </x:c>
      <x:c r="F628" t="str" s="2">
        <x:v>Financing Form</x:v>
      </x:c>
      <x:c r="G628" t="str" s="2">
        <x:v>Kyla Brown</x:v>
      </x:c>
      <x:c r="H628" s="6">
        <x:v>46267.52994105324</x:v>
      </x:c>
      <x:c r="I628" s="0"/>
      <x:c r="J628" s="6">
        <x:v>46276.791666666664</x:v>
      </x:c>
      <x:c r="K628" s="6">
        <x:v>46289.93542079861</x:v>
      </x:c>
      <x:c r="L628" t="str" s="2">
        <x:v>Contacted</x:v>
      </x:c>
    </x:row>
    <x:row r="629">
      <x:c r="A629" t="str" s="2">
        <x:f>=HYPERLINK("https://rsms.futurehomex.com/lead/40269", "Anya Gilmore")</x:f>
      </x:c>
      <x:c r="B629" t="str" s="2">
        <x:v>Heritage Housing of Minden</x:v>
      </x:c>
      <x:c r="C629" t="str" s="2">
        <x:v>0/1</x:v>
      </x:c>
      <x:c r="D629" t="str" s="2">
        <x:v>3184643612</x:v>
      </x:c>
      <x:c r="E629" t="str" s="2">
        <x:v>ag4336229@gmail.com</x:v>
      </x:c>
      <x:c r="F629" t="str" s="2">
        <x:v>Landing_BPM</x:v>
      </x:c>
      <x:c r="G629" t="str" s="2">
        <x:v>Patrick Schuchart</x:v>
      </x:c>
      <x:c r="H629" s="6">
        <x:v>46267.56570115741</x:v>
      </x:c>
      <x:c r="I629" t="str" s="2">
        <x:v>Patrick Schuchart</x:v>
      </x:c>
      <x:c r="J629" s="0"/>
      <x:c r="K629" s="6">
        <x:v>46267.927205011576</x:v>
      </x:c>
      <x:c r="L629" t="str" s="2">
        <x:v>Contacted</x:v>
      </x:c>
    </x:row>
    <x:row r="630">
      <x:c r="A630" t="str" s="2">
        <x:f>="Tina Darlin"</x:f>
      </x:c>
      <x:c r="B630" t="str" s="2">
        <x:v>Heritage Housing of Greenville</x:v>
      </x:c>
      <x:c r="C630" t="str" s="2">
        <x:v/>
      </x:c>
      <x:c r="D630" t="str" s="2">
        <x:v>2142840928</x:v>
      </x:c>
      <x:c r="E630" t="str" s="2">
        <x:v>tinadarlin1@gmail.com</x:v>
      </x:c>
      <x:c r="F630" t="str" s="2">
        <x:v>Youtube</x:v>
      </x:c>
      <x:c r="G630" t="str" s="2">
        <x:v>Brooklynn Allen</x:v>
      </x:c>
      <x:c r="H630" s="6">
        <x:v>46267.57615011574</x:v>
      </x:c>
      <x:c r="I630" s="0"/>
      <x:c r="J630" s="0"/>
      <x:c r="K630" s="6">
        <x:v>46268.58781357639</x:v>
      </x:c>
      <x:c r="L630" t="str" s="2">
        <x:v>Contacted</x:v>
      </x:c>
    </x:row>
    <x:row r="631">
      <x:c r="A631" t="str" s="2">
        <x:f>="Joyce ROBINSON"</x:f>
      </x:c>
      <x:c r="B631" t="str" s="2">
        <x:v>Heritage Housing of Albany</x:v>
      </x:c>
      <x:c r="C631" t="str" s="2">
        <x:v>0/1</x:v>
      </x:c>
      <x:c r="D631" t="str" s="2">
        <x:v>7708738347</x:v>
      </x:c>
      <x:c r="E631" t="str" s="2">
        <x:v>joycerobinson63@yahoo.com</x:v>
      </x:c>
      <x:c r="F631" t="str" s="2">
        <x:v>Landing_BPM</x:v>
      </x:c>
      <x:c r="G631" t="str" s="2">
        <x:v>Justin Johnson</x:v>
      </x:c>
      <x:c r="H631" s="6">
        <x:v>46267.669310335645</x:v>
      </x:c>
      <x:c r="I631" s="0"/>
      <x:c r="J631" s="0"/>
      <x:c r="K631" s="6">
        <x:v>46277.77677635416</x:v>
      </x:c>
      <x:c r="L631" t="str" s="2">
        <x:v>Contacted</x:v>
      </x:c>
    </x:row>
    <x:row r="632">
      <x:c r="A632" t="str" s="2">
        <x:f>="Amy Switzer"</x:f>
      </x:c>
      <x:c r="B632" t="str" s="2">
        <x:v>Heritage Housing of Minden</x:v>
      </x:c>
      <x:c r="C632" t="str" s="2">
        <x:v>0/2</x:v>
      </x:c>
      <x:c r="D632" t="str" s="2">
        <x:v>9289160202</x:v>
      </x:c>
      <x:c r="E632" t="str" s="2">
        <x:v>info4fairygodmother@gmail.com</x:v>
      </x:c>
      <x:c r="F632" t="str" s="2">
        <x:v>Youtube</x:v>
      </x:c>
      <x:c r="G632" t="str" s="2">
        <x:v>Kyla Brown</x:v>
      </x:c>
      <x:c r="H632" s="6">
        <x:v>46267.73690806713</x:v>
      </x:c>
      <x:c r="I632" s="0"/>
      <x:c r="J632" s="0"/>
      <x:c r="K632" s="6">
        <x:v>46289.818794293984</x:v>
      </x:c>
      <x:c r="L632" t="str" s="2">
        <x:v>Contacted</x:v>
      </x:c>
    </x:row>
    <x:row r="633">
      <x:c r="A633" t="str" s="2">
        <x:f>="Debra Gonzales"</x:f>
      </x:c>
      <x:c r="B633" t="str" s="2">
        <x:v>Heritage Housing Marble Falls</x:v>
      </x:c>
      <x:c r="C633" t="str" s="2">
        <x:v/>
      </x:c>
      <x:c r="D633" t="str" s="2">
        <x:v>8066908972</x:v>
      </x:c>
      <x:c r="E633" t="str" s="2">
        <x:v>debracgonzales@hotmail.com</x:v>
      </x:c>
      <x:c r="F633" t="str" s="2">
        <x:v>Financing Form</x:v>
      </x:c>
      <x:c r="G633" t="str" s="2">
        <x:v>Garrett Riedesel</x:v>
      </x:c>
      <x:c r="H633" s="6">
        <x:v>46267.74359244213</x:v>
      </x:c>
      <x:c r="I633" s="0"/>
      <x:c r="J633" s="0"/>
      <x:c r="K633" s="6">
        <x:v>46289.673087152776</x:v>
      </x:c>
      <x:c r="L633" t="str" s="2">
        <x:v>Contacted</x:v>
      </x:c>
    </x:row>
    <x:row r="634">
      <x:c r="A634" t="str" s="2">
        <x:f>="Teresa Smith"</x:f>
      </x:c>
      <x:c r="B634" t="str" s="2">
        <x:v>Heritage Housing of Asheboro</x:v>
      </x:c>
      <x:c r="C634" t="str" s="2">
        <x:v/>
      </x:c>
      <x:c r="D634" t="str" s="2">
        <x:v>3364794863</x:v>
      </x:c>
      <x:c r="E634" t="str" s="2">
        <x:v>tjanesmith1972@gmail.com</x:v>
      </x:c>
      <x:c r="F634" t="str" s="2">
        <x:v>Landing_BPM</x:v>
      </x:c>
      <x:c r="G634" t="str" s="2">
        <x:v>Kate Gutierrez</x:v>
      </x:c>
      <x:c r="H634" s="6">
        <x:v>46267.75073402778</x:v>
      </x:c>
      <x:c r="I634" s="0"/>
      <x:c r="J634" s="0"/>
      <x:c r="K634" s="6">
        <x:v>46293.675899305556</x:v>
      </x:c>
      <x:c r="L634" t="str" s="2">
        <x:v>Contacted</x:v>
      </x:c>
    </x:row>
    <x:row r="635">
      <x:c r="A635" t="str" s="2">
        <x:f>="Tamie Blakeney"</x:f>
      </x:c>
      <x:c r="B635" t="str" s="2">
        <x:v>Heritage Housing Gainesville</x:v>
      </x:c>
      <x:c r="C635" t="str" s="2">
        <x:v/>
      </x:c>
      <x:c r="D635" t="str" s="2">
        <x:v>9708935041</x:v>
      </x:c>
      <x:c r="E635" t="str" s="2">
        <x:v>blakeneytamie58@gmail.com</x:v>
      </x:c>
      <x:c r="F635" t="str" s="2">
        <x:v>Landing_BPM</x:v>
      </x:c>
      <x:c r="G635" t="str" s="2">
        <x:v>Jeniffer Arellano</x:v>
      </x:c>
      <x:c r="H635" s="6">
        <x:v>46267.80888202546</x:v>
      </x:c>
      <x:c r="I635" s="0"/>
      <x:c r="J635" s="0"/>
      <x:c r="K635" s="6">
        <x:v>46302.68711747685</x:v>
      </x:c>
      <x:c r="L635" t="str" s="2">
        <x:v>Contacted</x:v>
      </x:c>
    </x:row>
    <x:row r="636">
      <x:c r="A636" t="str" s="2">
        <x:f>="Kimberly Salmon"</x:f>
      </x:c>
      <x:c r="B636" t="str" s="2">
        <x:v>Heritage Housing of Augusta</x:v>
      </x:c>
      <x:c r="C636" t="str" s="2">
        <x:v/>
      </x:c>
      <x:c r="D636" t="str" s="2">
        <x:v>9126753063</x:v>
      </x:c>
      <x:c r="E636" t="str" s="2">
        <x:v>charnita_babygirl1@yahoo.com</x:v>
      </x:c>
      <x:c r="F636" t="str" s="2">
        <x:v>Landing_BPM</x:v>
      </x:c>
      <x:c r="G636" t="str" s="2">
        <x:v>Faye Lively</x:v>
      </x:c>
      <x:c r="H636" s="6">
        <x:v>46267.9236471875</x:v>
      </x:c>
      <x:c r="I636" s="0"/>
      <x:c r="J636" s="0"/>
      <x:c r="K636" s="6">
        <x:v>46279.62629568287</x:v>
      </x:c>
      <x:c r="L636" t="str" s="2">
        <x:v>Contacted</x:v>
      </x:c>
    </x:row>
    <x:row r="637">
      <x:c r="A637" t="str" s="2">
        <x:f>="Linda Lane"</x:f>
      </x:c>
      <x:c r="B637" t="str" s="2">
        <x:v>Heritage Housing of Minden</x:v>
      </x:c>
      <x:c r="C637" t="str" s="2">
        <x:v>0/1</x:v>
      </x:c>
      <x:c r="D637" t="str" s="2">
        <x:v>6828162833</x:v>
      </x:c>
      <x:c r="E637" t="str" s="2">
        <x:v>laneroxy11@gmail.com</x:v>
      </x:c>
      <x:c r="F637" t="str" s="2">
        <x:v>Landing_BPM</x:v>
      </x:c>
      <x:c r="G637" t="str" s="2">
        <x:v>Patrick Schuchart</x:v>
      </x:c>
      <x:c r="H637" s="6">
        <x:v>46267.99163568287</x:v>
      </x:c>
      <x:c r="I637" s="0"/>
      <x:c r="J637" s="0"/>
      <x:c r="K637" s="6">
        <x:v>46268.72477291667</x:v>
      </x:c>
      <x:c r="L637" t="str" s="2">
        <x:v>Contacted</x:v>
      </x:c>
    </x:row>
    <x:row r="638">
      <x:c r="A638" t="str" s="2">
        <x:f>="Nathaniel Gantt"</x:f>
      </x:c>
      <x:c r="B638" t="str" s="2">
        <x:v>Heritage Housing of Albany</x:v>
      </x:c>
      <x:c r="C638" t="str" s="2">
        <x:v/>
      </x:c>
      <x:c r="D638" t="str" s="2">
        <x:v>6789142950</x:v>
      </x:c>
      <x:c r="E638" t="str" s="2">
        <x:v>mrgantt15@gmail.com</x:v>
      </x:c>
      <x:c r="F638" t="str" s="2">
        <x:v>Financing Form</x:v>
      </x:c>
      <x:c r="G638" t="str" s="2">
        <x:v>Justin Johnson</x:v>
      </x:c>
      <x:c r="H638" s="6">
        <x:v>46268.02441600694</x:v>
      </x:c>
      <x:c r="I638" s="0"/>
      <x:c r="J638" s="0"/>
      <x:c r="K638" s="6">
        <x:v>46280.6809596875</x:v>
      </x:c>
      <x:c r="L638" t="str" s="2">
        <x:v>Contacted</x:v>
      </x:c>
    </x:row>
    <x:row r="639">
      <x:c r="A639" t="str" s="2">
        <x:f>="Dwight Faison"</x:f>
      </x:c>
      <x:c r="B639" t="str" s="2">
        <x:v>Legacy Housing Corp. DBA Americasa</x:v>
      </x:c>
      <x:c r="C639" t="str" s="2">
        <x:v/>
      </x:c>
      <x:c r="D639" t="str" s="2">
        <x:v>7027872470</x:v>
      </x:c>
      <x:c r="E639" t="str" s="2">
        <x:v>dwightfaison56@gmail.com</x:v>
      </x:c>
      <x:c r="F639" t="str" s="2">
        <x:v>Landing_BPM</x:v>
      </x:c>
      <x:c r="G639" t="str" s="2">
        <x:v>Rodrigo Ramirez</x:v>
      </x:c>
      <x:c r="H639" s="6">
        <x:v>46268.07072804398</x:v>
      </x:c>
      <x:c r="I639" s="0"/>
      <x:c r="J639" s="0"/>
      <x:c r="K639" s="6">
        <x:v>46273.935296724536</x:v>
      </x:c>
      <x:c r="L639" t="str" s="2">
        <x:v>Contacted</x:v>
      </x:c>
    </x:row>
    <x:row r="640">
      <x:c r="A640" t="str" s="2">
        <x:f>="alisha hewett"</x:f>
      </x:c>
      <x:c r="B640" t="str" s="2">
        <x:v>Heritage Housing of Minden</x:v>
      </x:c>
      <x:c r="C640" t="str" s="2">
        <x:v>0/2</x:v>
      </x:c>
      <x:c r="D640" t="str" s="2">
        <x:v>918-839-4823</x:v>
      </x:c>
      <x:c r="E640" t="str" s="2">
        <x:v>michaelshayla2027@gmail.com</x:v>
      </x:c>
      <x:c r="F640" t="str" s="2">
        <x:v>Bing - Search</x:v>
      </x:c>
      <x:c r="G640" t="str" s="2">
        <x:v>Kyla Brown</x:v>
      </x:c>
      <x:c r="H640" s="6">
        <x:v>46268.07275366898</x:v>
      </x:c>
      <x:c r="I640" s="0"/>
      <x:c r="J640" s="0"/>
      <x:c r="K640" s="6">
        <x:v>46289.81766940972</x:v>
      </x:c>
      <x:c r="L640" t="str" s="2">
        <x:v>Contacted</x:v>
      </x:c>
    </x:row>
    <x:row r="641">
      <x:c r="A641" t="str" s="2">
        <x:f>="Amanda Handy"</x:f>
      </x:c>
      <x:c r="B641" t="str" s="2">
        <x:v>Heritage Housing of Asheboro</x:v>
      </x:c>
      <x:c r="C641" t="str" s="2">
        <x:v/>
      </x:c>
      <x:c r="D641" t="str" s="2">
        <x:v>8039716102</x:v>
      </x:c>
      <x:c r="E641" t="str" s="2">
        <x:v>amandahandy36@gmail.com</x:v>
      </x:c>
      <x:c r="F641" t="str" s="2">
        <x:v>Landing_BPM</x:v>
      </x:c>
      <x:c r="G641" t="str" s="2">
        <x:v>Kate Gutierrez</x:v>
      </x:c>
      <x:c r="H641" s="6">
        <x:v>46268.135719907405</x:v>
      </x:c>
      <x:c r="I641" s="0"/>
      <x:c r="J641" s="0"/>
      <x:c r="K641" s="6">
        <x:v>46293.67627017361</x:v>
      </x:c>
      <x:c r="L641" t="str" s="2">
        <x:v>Contacted</x:v>
      </x:c>
    </x:row>
    <x:row r="642">
      <x:c r="A642" t="str" s="2">
        <x:f>=HYPERLINK("https://rsms.futurehomex.com/lead/40067", "Johnnie Walker")</x:f>
      </x:c>
      <x:c r="B642" t="str" s="2">
        <x:v>Heritage Housing of Albany</x:v>
      </x:c>
      <x:c r="C642" t="str" s="2">
        <x:v/>
      </x:c>
      <x:c r="D642" t="str" s="2">
        <x:v>2294259799</x:v>
      </x:c>
      <x:c r="E642" t="str" s="2">
        <x:v>jonnielane4950@gmail.com</x:v>
      </x:c>
      <x:c r="F642" t="str" s="2">
        <x:v>Landing_BPM</x:v>
      </x:c>
      <x:c r="G642" t="str" s="2">
        <x:v>Yanet Alvarez</x:v>
      </x:c>
      <x:c r="H642" s="6">
        <x:v>46268.524734375</x:v>
      </x:c>
      <x:c r="I642" t="str" s="2">
        <x:v>Alexander Bryant</x:v>
      </x:c>
      <x:c r="J642" s="0"/>
      <x:c r="K642" s="6">
        <x:v>46286.81500628472</x:v>
      </x:c>
      <x:c r="L642" t="str" s="2">
        <x:v>Contacted</x:v>
      </x:c>
    </x:row>
    <x:row r="643">
      <x:c r="A643" t="str" s="2">
        <x:f>="Amanda Shirey"</x:f>
      </x:c>
      <x:c r="B643" t="str" s="2">
        <x:v>Heritage Housing of Minden</x:v>
      </x:c>
      <x:c r="C643" t="str" s="2">
        <x:v>0/1</x:v>
      </x:c>
      <x:c r="D643" t="str" s="2">
        <x:v>3182681509</x:v>
      </x:c>
      <x:c r="E643" t="str" s="2">
        <x:v>amandalshirey@gmail.com</x:v>
      </x:c>
      <x:c r="F643" t="str" s="2">
        <x:v>Landing_BPM</x:v>
      </x:c>
      <x:c r="G643" t="str" s="2">
        <x:v>Kyla Brown</x:v>
      </x:c>
      <x:c r="H643" s="6">
        <x:v>46268.55139065972</x:v>
      </x:c>
      <x:c r="I643" s="0"/>
      <x:c r="J643" s="0"/>
      <x:c r="K643" s="6">
        <x:v>46268.71485462963</x:v>
      </x:c>
      <x:c r="L643" t="str" s="2">
        <x:v>Contacted</x:v>
      </x:c>
    </x:row>
    <x:row r="644">
      <x:c r="A644" t="str" s="2">
        <x:f>="Tina Gomez"</x:f>
      </x:c>
      <x:c r="B644" t="str" s="2">
        <x:v>Heritage Housing Mt Pleasant</x:v>
      </x:c>
      <x:c r="C644" t="str" s="2">
        <x:v>1/1</x:v>
      </x:c>
      <x:c r="D644" t="str" s="2">
        <x:v>2109876711</x:v>
      </x:c>
      <x:c r="E644" t="str" s="2">
        <x:v>gtina1622@gmail.com</x:v>
      </x:c>
      <x:c r="F644" t="str" s="2">
        <x:v>Website</x:v>
      </x:c>
      <x:c r="G644" t="str" s="2">
        <x:v>Elias Gallardo</x:v>
      </x:c>
      <x:c r="H644" s="6">
        <x:v>46268.58875408565</x:v>
      </x:c>
      <x:c r="I644" s="0"/>
      <x:c r="J644" s="0"/>
      <x:c r="K644" s="6">
        <x:v>46279.91512762731</x:v>
      </x:c>
      <x:c r="L644" t="str" s="2">
        <x:v>Contacted</x:v>
      </x:c>
    </x:row>
    <x:row r="645">
      <x:c r="A645" t="str" s="2">
        <x:f>="Johnnie Clark"</x:f>
      </x:c>
      <x:c r="B645" t="str" s="2">
        <x:v>Heritage Housing of Asheboro</x:v>
      </x:c>
      <x:c r="C645" t="str" s="2">
        <x:v/>
      </x:c>
      <x:c r="D645" t="str" s="2">
        <x:v>9805158855</x:v>
      </x:c>
      <x:c r="E645" t="str" s="2">
        <x:v>mariejclark41@gmail.com</x:v>
      </x:c>
      <x:c r="F645" t="str" s="2">
        <x:v>Landing_BPM</x:v>
      </x:c>
      <x:c r="G645" t="str" s="2">
        <x:v>Kate Gutierrez</x:v>
      </x:c>
      <x:c r="H645" s="6">
        <x:v>46268.601138391205</x:v>
      </x:c>
      <x:c r="I645" s="0"/>
      <x:c r="J645" s="0"/>
      <x:c r="K645" s="6">
        <x:v>46270.61959753472</x:v>
      </x:c>
      <x:c r="L645" t="str" s="2">
        <x:v>Contacted</x:v>
      </x:c>
    </x:row>
    <x:row r="646">
      <x:c r="A646" t="str" s="2">
        <x:f>="James Boren"</x:f>
      </x:c>
      <x:c r="B646" t="str" s="2">
        <x:v>Legacy Housing Corp. DBA Americasa</x:v>
      </x:c>
      <x:c r="C646" t="str" s="2">
        <x:v/>
      </x:c>
      <x:c r="D646" t="str" s="2">
        <x:v>7134787631</x:v>
      </x:c>
      <x:c r="E646" t="str" s="2">
        <x:v>jamesboren@gmail.com</x:v>
      </x:c>
      <x:c r="F646" t="str" s="2">
        <x:v>Website</x:v>
      </x:c>
      <x:c r="G646" t="str" s="2">
        <x:v>Rodrigo Ramirez</x:v>
      </x:c>
      <x:c r="H646" s="6">
        <x:v>46268.632927893515</x:v>
      </x:c>
      <x:c r="I646" s="0"/>
      <x:c r="J646" s="0"/>
      <x:c r="K646" s="6">
        <x:v>46273.93565802083</x:v>
      </x:c>
      <x:c r="L646" t="str" s="2">
        <x:v>Contacted</x:v>
      </x:c>
    </x:row>
    <x:row r="647">
      <x:c r="A647" t="str" s="2">
        <x:f>="Debra Little"</x:f>
      </x:c>
      <x:c r="B647" t="str" s="2">
        <x:v>Heritage Housing of Minden</x:v>
      </x:c>
      <x:c r="C647" t="str" s="2">
        <x:v>0/1</x:v>
      </x:c>
      <x:c r="D647" t="str" s="2">
        <x:v>3187731397</x:v>
      </x:c>
      <x:c r="E647" t="str" s="2">
        <x:v>driskill213@yahoo.com</x:v>
      </x:c>
      <x:c r="F647" t="str" s="2">
        <x:v>Youtube</x:v>
      </x:c>
      <x:c r="G647" t="str" s="2">
        <x:v>Kyla Brown</x:v>
      </x:c>
      <x:c r="H647" s="6">
        <x:v>46268.725647534724</x:v>
      </x:c>
      <x:c r="I647" s="0"/>
      <x:c r="J647" s="0"/>
      <x:c r="K647" s="6">
        <x:v>46289.71023680556</x:v>
      </x:c>
      <x:c r="L647" t="str" s="2">
        <x:v>Contacted</x:v>
      </x:c>
    </x:row>
    <x:row r="648">
      <x:c r="A648" t="str" s="2">
        <x:f>="Brian Brown"</x:f>
      </x:c>
      <x:c r="B648" t="str" s="2">
        <x:v>Heritage Housing Gainesville</x:v>
      </x:c>
      <x:c r="C648" t="str" s="2">
        <x:v/>
      </x:c>
      <x:c r="D648" t="str" s="2">
        <x:v>4695044360</x:v>
      </x:c>
      <x:c r="E648" t="str" s="2">
        <x:v>maxinelee8663@gmail.com</x:v>
      </x:c>
      <x:c r="F648" t="str" s="2">
        <x:v>Landing_BPM</x:v>
      </x:c>
      <x:c r="G648" t="str" s="2">
        <x:v>Jeniffer Arellano</x:v>
      </x:c>
      <x:c r="H648" s="6">
        <x:v>46268.779744363426</x:v>
      </x:c>
      <x:c r="I648" s="0"/>
      <x:c r="J648" s="0"/>
      <x:c r="K648" s="6">
        <x:v>46302.68724644676</x:v>
      </x:c>
      <x:c r="L648" t="str" s="2">
        <x:v>Contacted</x:v>
      </x:c>
    </x:row>
    <x:row r="649">
      <x:c r="A649" t="str" s="2">
        <x:f>=HYPERLINK("https://rsms.futurehomex.com/lead/39719", "JASON BROUSSARD")</x:f>
      </x:c>
      <x:c r="B649" t="str" s="2">
        <x:v>Heritage Housing of Jennings</x:v>
      </x:c>
      <x:c r="C649" t="str" s="2">
        <x:v/>
      </x:c>
      <x:c r="D649" t="str" s="2">
        <x:v>7608050999</x:v>
      </x:c>
      <x:c r="E649" t="str" s="2">
        <x:v>jason.p.broussard85@gmail.com</x:v>
      </x:c>
      <x:c r="F649" t="str" s="2">
        <x:v>Landing_BPM</x:v>
      </x:c>
      <x:c r="G649" t="str" s="2">
        <x:v>Mervin Leslie Smith</x:v>
      </x:c>
      <x:c r="H649" s="6">
        <x:v>46268.81609221065</x:v>
      </x:c>
      <x:c r="I649" t="str" s="2">
        <x:v>Mervin Leslie Smith</x:v>
      </x:c>
      <x:c r="J649" s="0"/>
      <x:c r="K649" s="6">
        <x:v>46276.78355894676</x:v>
      </x:c>
      <x:c r="L649" t="str" s="2">
        <x:v>Contacted</x:v>
      </x:c>
    </x:row>
    <x:row r="650">
      <x:c r="A650" t="str" s="2">
        <x:f>="Leana Matthews"</x:f>
      </x:c>
      <x:c r="B650" t="str" s="2">
        <x:v>Heritage Housing Marble Falls</x:v>
      </x:c>
      <x:c r="C650" t="str" s="2">
        <x:v/>
      </x:c>
      <x:c r="D650" t="str" s="2">
        <x:v>6825324367</x:v>
      </x:c>
      <x:c r="E650" t="str" s="2">
        <x:v>lawsonleana59@gmail.com</x:v>
      </x:c>
      <x:c r="F650" t="str" s="2">
        <x:v>Landing_BPM</x:v>
      </x:c>
      <x:c r="G650" t="str" s="2">
        <x:v>Stephen Sanders</x:v>
      </x:c>
      <x:c r="H650" s="6">
        <x:v>46268.84555096065</x:v>
      </x:c>
      <x:c r="I650" s="0"/>
      <x:c r="J650" s="0"/>
      <x:c r="K650" s="6">
        <x:v>46279.83859320602</x:v>
      </x:c>
      <x:c r="L650" t="str" s="2">
        <x:v>Contacted</x:v>
      </x:c>
    </x:row>
    <x:row r="651">
      <x:c r="A651" t="str" s="2">
        <x:f>="Maggie Castillo"</x:f>
      </x:c>
      <x:c r="B651" t="str" s="2">
        <x:v>Legacy Housing Corp. DBA Americasa</x:v>
      </x:c>
      <x:c r="C651" t="str" s="2">
        <x:v/>
      </x:c>
      <x:c r="D651" t="str" s="2">
        <x:v>8322148819</x:v>
      </x:c>
      <x:c r="E651" t="str" s="2">
        <x:v>magscastle@icloud.com</x:v>
      </x:c>
      <x:c r="F651" t="str" s="2">
        <x:v>Landing_BPM</x:v>
      </x:c>
      <x:c r="G651" t="str" s="2">
        <x:v>Rodrigo Ramirez</x:v>
      </x:c>
      <x:c r="H651" s="6">
        <x:v>46268.86597728009</x:v>
      </x:c>
      <x:c r="I651" s="0"/>
      <x:c r="J651" s="0"/>
      <x:c r="K651" s="6">
        <x:v>46273.930838113425</x:v>
      </x:c>
      <x:c r="L651" t="str" s="2">
        <x:v>Contacted</x:v>
      </x:c>
    </x:row>
    <x:row r="652">
      <x:c r="A652" t="str" s="2">
        <x:f>="Ashley Clark"</x:f>
      </x:c>
      <x:c r="B652" t="str" s="2">
        <x:v>Heritage Housing of Minden</x:v>
      </x:c>
      <x:c r="C652" t="str" s="2">
        <x:v>0/2</x:v>
      </x:c>
      <x:c r="D652" t="str" s="2">
        <x:v>7024799751</x:v>
      </x:c>
      <x:c r="E652" t="str" s="2">
        <x:v>ashley.clark1517@yahoo.com</x:v>
      </x:c>
      <x:c r="F652" t="str" s="2">
        <x:v>Financing Form</x:v>
      </x:c>
      <x:c r="G652" t="str" s="2">
        <x:v>Patrick Schuchart</x:v>
      </x:c>
      <x:c r="H652" s="6">
        <x:v>46268.99973283565</x:v>
      </x:c>
      <x:c r="I652" s="0"/>
      <x:c r="J652" s="0"/>
      <x:c r="K652" s="6">
        <x:v>46286.87531527778</x:v>
      </x:c>
      <x:c r="L652" t="str" s="2">
        <x:v>Contacted</x:v>
      </x:c>
    </x:row>
    <x:row r="653">
      <x:c r="A653" t="str" s="2">
        <x:f>="Marco Veytia"</x:f>
      </x:c>
      <x:c r="B653" t="str" s="2">
        <x:v>Heritage Housing Mt Pleasant</x:v>
      </x:c>
      <x:c r="C653" t="str" s="2">
        <x:v/>
      </x:c>
      <x:c r="D653" t="str" s="2">
        <x:v>4693500154</x:v>
      </x:c>
      <x:c r="E653" t="str" s="2">
        <x:v>andresmiaveytia2825@gmail.com</x:v>
      </x:c>
      <x:c r="F653" t="str" s="2">
        <x:v>Youtube</x:v>
      </x:c>
      <x:c r="G653" t="str" s="2">
        <x:v>Yarelis Torres</x:v>
      </x:c>
      <x:c r="H653" s="6">
        <x:v>46269.02660625</x:v>
      </x:c>
      <x:c r="I653" s="0"/>
      <x:c r="J653" s="0"/>
      <x:c r="K653" s="6">
        <x:v>46279.951114780095</x:v>
      </x:c>
      <x:c r="L653" t="str" s="2">
        <x:v>Contacted</x:v>
      </x:c>
    </x:row>
    <x:row r="654">
      <x:c r="A654" t="str" s="2">
        <x:f>="MarvinMig MarvinMigWE"</x:f>
      </x:c>
      <x:c r="B654" t="str" s="2">
        <x:v>Heritage Housing of Greenville</x:v>
      </x:c>
      <x:c r="C654" t="str" s="2">
        <x:v/>
      </x:c>
      <x:c r="D654" t="str" s="2">
        <x:v>86963197212</x:v>
      </x:c>
      <x:c r="E654" t="str" s="2">
        <x:v>lotbvbb@bfwpaas.xmg</x:v>
      </x:c>
      <x:c r="F654" t="str" s="2">
        <x:v>Website</x:v>
      </x:c>
      <x:c r="G654" t="str" s="2">
        <x:v>Brooklynn Allen</x:v>
      </x:c>
      <x:c r="H654" s="6">
        <x:v>46269.12028556713</x:v>
      </x:c>
      <x:c r="I654" s="0"/>
      <x:c r="J654" s="0"/>
      <x:c r="K654" s="6">
        <x:v>46269.63055451389</x:v>
      </x:c>
      <x:c r="L654" t="str" s="2">
        <x:v>Contacted</x:v>
      </x:c>
    </x:row>
    <x:row r="655">
      <x:c r="A655" t="str" s="2">
        <x:f>="Sandra Morell"</x:f>
      </x:c>
      <x:c r="B655" t="str" s="2">
        <x:v>Heritage Housing of Augusta</x:v>
      </x:c>
      <x:c r="C655" t="str" s="2">
        <x:v/>
      </x:c>
      <x:c r="D655" t="str" s="2">
        <x:v>9124258985</x:v>
      </x:c>
      <x:c r="E655" t="str" s="2">
        <x:v>sandramorell30@yahoo.com</x:v>
      </x:c>
      <x:c r="F655" t="str" s="2">
        <x:v>Landing_BPM</x:v>
      </x:c>
      <x:c r="G655" t="str" s="2">
        <x:v>Faye Lively</x:v>
      </x:c>
      <x:c r="H655" s="6">
        <x:v>46269.496701041666</x:v>
      </x:c>
      <x:c r="I655" s="0"/>
      <x:c r="J655" s="0"/>
      <x:c r="K655" s="6">
        <x:v>46279.75946894676</x:v>
      </x:c>
      <x:c r="L655" t="str" s="2">
        <x:v>Contacted</x:v>
      </x:c>
    </x:row>
    <x:row r="656">
      <x:c r="A656" t="str" s="2">
        <x:f>="Caylynn Aragon"</x:f>
      </x:c>
      <x:c r="B656" t="str" s="2">
        <x:v>Heritage Housing of Minden</x:v>
      </x:c>
      <x:c r="C656" t="str" s="2">
        <x:v>0/2</x:v>
      </x:c>
      <x:c r="D656" t="str" s="2">
        <x:v>3189184058</x:v>
      </x:c>
      <x:c r="E656" t="str" s="2">
        <x:v>caragon121@icloud.com</x:v>
      </x:c>
      <x:c r="F656" t="str" s="2">
        <x:v>Landing_BPM</x:v>
      </x:c>
      <x:c r="G656" t="str" s="2">
        <x:v>Kyla Brown</x:v>
      </x:c>
      <x:c r="H656" s="6">
        <x:v>46269.569130752316</x:v>
      </x:c>
      <x:c r="I656" s="0"/>
      <x:c r="J656" s="0"/>
      <x:c r="K656" s="6">
        <x:v>46286.87457959491</x:v>
      </x:c>
      <x:c r="L656" t="str" s="2">
        <x:v>Contacted</x:v>
      </x:c>
    </x:row>
    <x:row r="657">
      <x:c r="A657" t="str" s="2">
        <x:f>="Jerrica Lindsey"</x:f>
      </x:c>
      <x:c r="B657" t="str" s="2">
        <x:v>Heritage Housing of Albany</x:v>
      </x:c>
      <x:c r="C657" t="str" s="2">
        <x:v/>
      </x:c>
      <x:c r="D657" t="str" s="2">
        <x:v>2297423441</x:v>
      </x:c>
      <x:c r="E657" t="str" s="2">
        <x:v>jerricalindsey6635@gmail.com</x:v>
      </x:c>
      <x:c r="F657" t="str" s="2">
        <x:v>Landing_BPM</x:v>
      </x:c>
      <x:c r="G657" t="str" s="2">
        <x:v>Yanet Alvarez</x:v>
      </x:c>
      <x:c r="H657" s="6">
        <x:v>46269.60676689815</x:v>
      </x:c>
      <x:c r="I657" s="0"/>
      <x:c r="J657" s="0"/>
      <x:c r="K657" s="6">
        <x:v>46303.848065081016</x:v>
      </x:c>
      <x:c r="L657" t="str" s="2">
        <x:v>Contacted</x:v>
      </x:c>
    </x:row>
    <x:row r="658">
      <x:c r="A658" t="str" s="2">
        <x:f>="Jacob Luminais"</x:f>
      </x:c>
      <x:c r="B658" t="str" s="2">
        <x:v>Heritage Housing of Minden</x:v>
      </x:c>
      <x:c r="C658" t="str" s="2">
        <x:v>0/2</x:v>
      </x:c>
      <x:c r="D658" t="str" s="2">
        <x:v>9034247434</x:v>
      </x:c>
      <x:c r="E658" t="str" s="2">
        <x:v>joxbard@gmail.com</x:v>
      </x:c>
      <x:c r="F658" t="str" s="2">
        <x:v>Youtube</x:v>
      </x:c>
      <x:c r="G658" t="str" s="2">
        <x:v>Patrick Schuchart</x:v>
      </x:c>
      <x:c r="H658" s="6">
        <x:v>46269.61607079861</x:v>
      </x:c>
      <x:c r="I658" s="0"/>
      <x:c r="J658" s="0"/>
      <x:c r="K658" s="6">
        <x:v>46286.87353961806</x:v>
      </x:c>
      <x:c r="L658" t="str" s="2">
        <x:v>Contacted</x:v>
      </x:c>
    </x:row>
    <x:row r="659">
      <x:c r="A659" t="str" s="2">
        <x:f>="_tbkl _jdklO"</x:f>
      </x:c>
      <x:c r="B659" t="str" s="2">
        <x:v>Heritage Housing of Greenville</x:v>
      </x:c>
      <x:c r="C659" t="str" s="2">
        <x:v/>
      </x:c>
      <x:c r="D659" t="str" s="2">
        <x:v>5145845</x:v>
      </x:c>
      <x:c r="E659" t="str" s="2">
        <x:v>uilffbv@xfoaalb.rrh</x:v>
      </x:c>
      <x:c r="F659" t="str" s="2">
        <x:v>Website</x:v>
      </x:c>
      <x:c r="G659" t="str" s="2">
        <x:v>Brooklynn Allen</x:v>
      </x:c>
      <x:c r="H659" s="6">
        <x:v>46269.6527846875</x:v>
      </x:c>
      <x:c r="I659" s="0"/>
      <x:c r="J659" s="0"/>
      <x:c r="K659" s="6">
        <x:v>46269.732796261575</x:v>
      </x:c>
      <x:c r="L659" t="str" s="2">
        <x:v>Contacted</x:v>
      </x:c>
    </x:row>
    <x:row r="660">
      <x:c r="A660" t="str" s="2">
        <x:f>="Artem_kxEa A_jcEaO"</x:f>
      </x:c>
      <x:c r="B660" t="str" s="2">
        <x:v>Heritage Housing of Greenville</x:v>
      </x:c>
      <x:c r="C660" t="str" s="2">
        <x:v/>
      </x:c>
      <x:c r="D660" t="str" s="2">
        <x:v>5551468</x:v>
      </x:c>
      <x:c r="E660" t="str" s="2">
        <x:v>vnrhxrt@dalsqrf.tuo</x:v>
      </x:c>
      <x:c r="F660" t="str" s="2">
        <x:v>Website</x:v>
      </x:c>
      <x:c r="G660" t="str" s="2">
        <x:v>Brooklynn Allen</x:v>
      </x:c>
      <x:c r="H660" s="6">
        <x:v>46269.65278920139</x:v>
      </x:c>
      <x:c r="I660" s="0"/>
      <x:c r="J660" s="0"/>
      <x:c r="K660" s="6">
        <x:v>46269.73260980324</x:v>
      </x:c>
      <x:c r="L660" t="str" s="2">
        <x:v>Contacted</x:v>
      </x:c>
    </x:row>
    <x:row r="661">
      <x:c r="A661" t="str" s="2">
        <x:f>="Gregory Fedd"</x:f>
      </x:c>
      <x:c r="B661" t="str" s="2">
        <x:v>Heritage Housing Mt Pleasant</x:v>
      </x:c>
      <x:c r="C661" t="str" s="2">
        <x:v/>
      </x:c>
      <x:c r="D661" t="str" s="2">
        <x:v>903-306-4762</x:v>
      </x:c>
      <x:c r="E661" t="str" s="2">
        <x:v>gregoryfedd874@gmail.com</x:v>
      </x:c>
      <x:c r="F661" t="str" s="2">
        <x:v>Financing Form</x:v>
      </x:c>
      <x:c r="G661" t="str" s="2">
        <x:v>Elias Gallardo</x:v>
      </x:c>
      <x:c r="H661" s="6">
        <x:v>46269.66390115741</x:v>
      </x:c>
      <x:c r="I661" s="0"/>
      <x:c r="J661" s="0"/>
      <x:c r="K661" s="6">
        <x:v>46279.91509417824</x:v>
      </x:c>
      <x:c r="L661" t="str" s="2">
        <x:v>Contacted</x:v>
      </x:c>
    </x:row>
    <x:row r="662">
      <x:c r="A662" t="str" s="2">
        <x:f>="Allison Jackson"</x:f>
      </x:c>
      <x:c r="B662" t="str" s="2">
        <x:v>Legacy Housing Corp. DBA Americasa</x:v>
      </x:c>
      <x:c r="C662" t="str" s="2">
        <x:v/>
      </x:c>
      <x:c r="D662" t="str" s="2">
        <x:v>7134569667</x:v>
      </x:c>
      <x:c r="E662" t="str" s="2">
        <x:v>blessedboss4eva@gmail.com</x:v>
      </x:c>
      <x:c r="F662" t="str" s="2">
        <x:v>Website</x:v>
      </x:c>
      <x:c r="G662" t="str" s="2">
        <x:v>Rodrigo Ramirez</x:v>
      </x:c>
      <x:c r="H662" s="6">
        <x:v>46269.717428668984</x:v>
      </x:c>
      <x:c r="I662" s="0"/>
      <x:c r="J662" s="0"/>
      <x:c r="K662" s="6">
        <x:v>46269.74115366898</x:v>
      </x:c>
      <x:c r="L662" t="str" s="2">
        <x:v>Contacted</x:v>
      </x:c>
    </x:row>
    <x:row r="663">
      <x:c r="A663" t="str" s="2">
        <x:f>="zach k"</x:f>
      </x:c>
      <x:c r="B663" t="str" s="2">
        <x:v>Heritage Housing Gainesville</x:v>
      </x:c>
      <x:c r="C663" t="str" s="2">
        <x:v/>
      </x:c>
      <x:c r="D663" t="str" s="2">
        <x:v>5418063229</x:v>
      </x:c>
      <x:c r="E663" t="str" s="2">
        <x:v>zach224@hotmail.com</x:v>
      </x:c>
      <x:c r="F663" t="str" s="2">
        <x:v>Website</x:v>
      </x:c>
      <x:c r="G663" t="str" s="2">
        <x:v>Jeniffer Arellano</x:v>
      </x:c>
      <x:c r="H663" s="6">
        <x:v>46269.722565358796</x:v>
      </x:c>
      <x:c r="I663" s="0"/>
      <x:c r="J663" s="0"/>
      <x:c r="K663" s="6">
        <x:v>46302.687368784726</x:v>
      </x:c>
      <x:c r="L663" t="str" s="2">
        <x:v>Contacted</x:v>
      </x:c>
    </x:row>
    <x:row r="664">
      <x:c r="A664" t="str" s="2">
        <x:f>="Gary Price"</x:f>
      </x:c>
      <x:c r="B664" t="str" s="2">
        <x:v>Heritage Housing Mt Pleasant</x:v>
      </x:c>
      <x:c r="C664" t="str" s="2">
        <x:v/>
      </x:c>
      <x:c r="D664" t="str" s="2">
        <x:v>5122288209</x:v>
      </x:c>
      <x:c r="E664" t="str" s="2">
        <x:v>gary.price0829@gmail.com</x:v>
      </x:c>
      <x:c r="F664" t="str" s="2">
        <x:v>Youtube</x:v>
      </x:c>
      <x:c r="G664" t="str" s="2">
        <x:v>Elias Gallardo</x:v>
      </x:c>
      <x:c r="H664" s="6">
        <x:v>46269.73397295139</x:v>
      </x:c>
      <x:c r="I664" s="0"/>
      <x:c r="J664" s="0"/>
      <x:c r="K664" s="6">
        <x:v>46279.91505694445</x:v>
      </x:c>
      <x:c r="L664" t="str" s="2">
        <x:v>Contacted</x:v>
      </x:c>
    </x:row>
    <x:row r="665">
      <x:c r="A665" t="str" s="2">
        <x:f>="Charles Hane"</x:f>
      </x:c>
      <x:c r="B665" t="str" s="2">
        <x:v>Heritage Housing of Greenville</x:v>
      </x:c>
      <x:c r="C665" t="str" s="2">
        <x:v/>
      </x:c>
      <x:c r="D665" t="str" s="2">
        <x:v>9452781566</x:v>
      </x:c>
      <x:c r="E665" t="str" s="2">
        <x:v>Charles.haney2340@gmail.com</x:v>
      </x:c>
      <x:c r="F665" t="str" s="2">
        <x:v>Youtube</x:v>
      </x:c>
      <x:c r="G665" t="str" s="2">
        <x:v>Brooklynn Allen</x:v>
      </x:c>
      <x:c r="H665" s="6">
        <x:v>46269.768985104165</x:v>
      </x:c>
      <x:c r="I665" s="0"/>
      <x:c r="J665" s="0"/>
      <x:c r="K665" s="6">
        <x:v>46273.59832253472</x:v>
      </x:c>
      <x:c r="L665" t="str" s="2">
        <x:v>Contacted</x:v>
      </x:c>
    </x:row>
    <x:row r="666">
      <x:c r="A666" t="str" s="2">
        <x:f>="Felicia Montgomery"</x:f>
      </x:c>
      <x:c r="B666" t="str" s="2">
        <x:v>Heritage Housing of Augusta</x:v>
      </x:c>
      <x:c r="C666" t="str" s="2">
        <x:v/>
      </x:c>
      <x:c r="D666" t="str" s="2">
        <x:v>9432267269</x:v>
      </x:c>
      <x:c r="E666" t="str" s="2">
        <x:v>naturalstylesbychardaye@gmail.com</x:v>
      </x:c>
      <x:c r="F666" t="str" s="2">
        <x:v>Financing Form</x:v>
      </x:c>
      <x:c r="G666" t="str" s="2">
        <x:v>Faye Lively</x:v>
      </x:c>
      <x:c r="H666" s="6">
        <x:v>46269.83858989584</x:v>
      </x:c>
      <x:c r="I666" s="0"/>
      <x:c r="J666" s="0"/>
      <x:c r="K666" s="6">
        <x:v>46275.60083649305</x:v>
      </x:c>
      <x:c r="L666" t="str" s="2">
        <x:v>Contacted</x:v>
      </x:c>
    </x:row>
    <x:row r="667">
      <x:c r="A667" t="str" s="2">
        <x:f>="Sharon Brock"</x:f>
      </x:c>
      <x:c r="B667" t="str" s="2">
        <x:v>Heritage Housing of Minden</x:v>
      </x:c>
      <x:c r="C667" t="str" s="2">
        <x:v>0/2</x:v>
      </x:c>
      <x:c r="D667" t="str" s="2">
        <x:v>5045192635</x:v>
      </x:c>
      <x:c r="E667" t="str" s="2">
        <x:v>slbrk@yahoo.com</x:v>
      </x:c>
      <x:c r="F667" t="str" s="2">
        <x:v>Landing_BPM</x:v>
      </x:c>
      <x:c r="G667" t="str" s="2">
        <x:v>Kyla Brown</x:v>
      </x:c>
      <x:c r="H667" s="6">
        <x:v>46269.92400575231</x:v>
      </x:c>
      <x:c r="I667" s="0"/>
      <x:c r="J667" s="0"/>
      <x:c r="K667" s="6">
        <x:v>46286.87298252315</x:v>
      </x:c>
      <x:c r="L667" t="str" s="2">
        <x:v>Contacted</x:v>
      </x:c>
    </x:row>
    <x:row r="668">
      <x:c r="A668" t="str" s="2">
        <x:f>=HYPERLINK("https://rsms.futurehomex.com/lead/39878", "VICTORIA Wolverton")</x:f>
      </x:c>
      <x:c r="B668" t="str" s="2">
        <x:v>Heritage Housing Mt Pleasant</x:v>
      </x:c>
      <x:c r="C668" t="str" s="2">
        <x:v/>
      </x:c>
      <x:c r="D668" t="str" s="2">
        <x:v>9402103459</x:v>
      </x:c>
      <x:c r="E668" t="str" s="2">
        <x:v>toritsu09@gmail.com</x:v>
      </x:c>
      <x:c r="F668" t="str" s="2">
        <x:v>Landing_BPM</x:v>
      </x:c>
      <x:c r="G668" t="str" s="2">
        <x:v>Yarelis Torres</x:v>
      </x:c>
      <x:c r="H668" s="6">
        <x:v>46269.94223684028</x:v>
      </x:c>
      <x:c r="I668" t="str" s="2">
        <x:v>Patrick Schuchart</x:v>
      </x:c>
      <x:c r="J668" s="0"/>
      <x:c r="K668" s="6">
        <x:v>46274.741745983796</x:v>
      </x:c>
      <x:c r="L668" t="str" s="2">
        <x:v>Contacted</x:v>
      </x:c>
    </x:row>
    <x:row r="669">
      <x:c r="A669" t="str" s="2">
        <x:f>="Wayne Hankinson"</x:f>
      </x:c>
      <x:c r="B669" t="str" s="2">
        <x:v>Heritage Housing of Augusta</x:v>
      </x:c>
      <x:c r="C669" t="str" s="2">
        <x:v/>
      </x:c>
      <x:c r="D669" t="str" s="2">
        <x:v>8038435279</x:v>
      </x:c>
      <x:c r="E669" t="str" s="2">
        <x:v>delrohankinson@gmail.com</x:v>
      </x:c>
      <x:c r="F669" t="str" s="2">
        <x:v>Landing_BPM</x:v>
      </x:c>
      <x:c r="G669" t="str" s="2">
        <x:v>Faye Lively</x:v>
      </x:c>
      <x:c r="H669" s="6">
        <x:v>46269.97148541667</x:v>
      </x:c>
      <x:c r="I669" s="0"/>
      <x:c r="J669" s="0"/>
      <x:c r="K669" s="6">
        <x:v>46277.56794221065</x:v>
      </x:c>
      <x:c r="L669" t="str" s="2">
        <x:v>Contacted</x:v>
      </x:c>
    </x:row>
    <x:row r="670">
      <x:c r="A670" t="str" s="2">
        <x:f>="Kimberly Kirksey"</x:f>
      </x:c>
      <x:c r="B670" t="str" s="2">
        <x:v>Heritage Housing Marble Falls</x:v>
      </x:c>
      <x:c r="C670" t="str" s="2">
        <x:v/>
      </x:c>
      <x:c r="D670" t="str" s="2">
        <x:v>8174777838</x:v>
      </x:c>
      <x:c r="E670" t="str" s="2">
        <x:v>kirkseykim9@gmail.com</x:v>
      </x:c>
      <x:c r="F670" t="str" s="2">
        <x:v>Youtube</x:v>
      </x:c>
      <x:c r="G670" t="str" s="2">
        <x:v>Garrett Riedesel</x:v>
      </x:c>
      <x:c r="H670" s="6">
        <x:v>46270.00008896991</x:v>
      </x:c>
      <x:c r="I670" s="0"/>
      <x:c r="J670" s="0"/>
      <x:c r="K670" s="6">
        <x:v>46276.61383495371</x:v>
      </x:c>
      <x:c r="L670" t="str" s="2">
        <x:v>Contacted</x:v>
      </x:c>
    </x:row>
    <x:row r="671">
      <x:c r="A671" t="str" s="2">
        <x:f>="Justyn Pless"</x:f>
      </x:c>
      <x:c r="B671" t="str" s="2">
        <x:v>Heritage Housing of Albany</x:v>
      </x:c>
      <x:c r="C671" t="str" s="2">
        <x:v/>
      </x:c>
      <x:c r="D671" t="str" s="2">
        <x:v>7067664967</x:v>
      </x:c>
      <x:c r="E671" t="str" s="2">
        <x:v>plessjustyn7@yahoo.com</x:v>
      </x:c>
      <x:c r="F671" t="str" s="2">
        <x:v>Financing Form</x:v>
      </x:c>
      <x:c r="G671" t="str" s="2">
        <x:v>Justin Johnson</x:v>
      </x:c>
      <x:c r="H671" s="6">
        <x:v>46270.10031790509</x:v>
      </x:c>
      <x:c r="I671" s="0"/>
      <x:c r="J671" s="0"/>
      <x:c r="K671" s="6">
        <x:v>46289.88365605324</x:v>
      </x:c>
      <x:c r="L671" t="str" s="2">
        <x:v>Contacted</x:v>
      </x:c>
    </x:row>
    <x:row r="672">
      <x:c r="A672" t="str" s="2">
        <x:f>="Constanita Deloach"</x:f>
      </x:c>
      <x:c r="B672" t="str" s="2">
        <x:v>Heritage Housing of Augusta</x:v>
      </x:c>
      <x:c r="C672" t="str" s="2">
        <x:v/>
      </x:c>
      <x:c r="D672" t="str" s="2">
        <x:v>9125310128</x:v>
      </x:c>
      <x:c r="E672" t="str" s="2">
        <x:v>evette_deloach@yahoo.com</x:v>
      </x:c>
      <x:c r="F672" t="str" s="2">
        <x:v>Landing_BPM</x:v>
      </x:c>
      <x:c r="G672" t="str" s="2">
        <x:v>Faye Lively</x:v>
      </x:c>
      <x:c r="H672" s="6">
        <x:v>46270.13156947917</x:v>
      </x:c>
      <x:c r="I672" s="0"/>
      <x:c r="J672" s="0"/>
      <x:c r="K672" s="6">
        <x:v>46277.56988483796</x:v>
      </x:c>
      <x:c r="L672" t="str" s="2">
        <x:v>Contacted</x:v>
      </x:c>
    </x:row>
    <x:row r="673">
      <x:c r="A673" t="str" s="2">
        <x:f>="Tausha Thomas"</x:f>
      </x:c>
      <x:c r="B673" t="str" s="2">
        <x:v>Heritage Housing of Augusta</x:v>
      </x:c>
      <x:c r="C673" t="str" s="2">
        <x:v/>
      </x:c>
      <x:c r="D673" t="str" s="2">
        <x:v>4703094459</x:v>
      </x:c>
      <x:c r="E673" t="str" s="2">
        <x:v>taushathomas4@gmail.com</x:v>
      </x:c>
      <x:c r="F673" t="str" s="2">
        <x:v>Landing_BPM</x:v>
      </x:c>
      <x:c r="G673" t="str" s="2">
        <x:v>Faye Lively</x:v>
      </x:c>
      <x:c r="H673" s="6">
        <x:v>46270.25249209491</x:v>
      </x:c>
      <x:c r="I673" s="0"/>
      <x:c r="J673" s="0"/>
      <x:c r="K673" s="6">
        <x:v>46277.57152334491</x:v>
      </x:c>
      <x:c r="L673" t="str" s="2">
        <x:v>Contacted</x:v>
      </x:c>
    </x:row>
    <x:row r="674">
      <x:c r="A674" t="str" s="2">
        <x:f>="Carmen Mandl"</x:f>
      </x:c>
      <x:c r="B674" t="str" s="2">
        <x:v>Heritage Housing Gainesville</x:v>
      </x:c>
      <x:c r="C674" t="str" s="2">
        <x:v/>
      </x:c>
      <x:c r="D674" t="str" s="2">
        <x:v>8173530684</x:v>
      </x:c>
      <x:c r="E674" t="str" s="2">
        <x:v>camcherry2019@gmail.com</x:v>
      </x:c>
      <x:c r="F674" t="str" s="2">
        <x:v>Landing_BPM</x:v>
      </x:c>
      <x:c r="G674" t="str" s="2">
        <x:v>Jeniffer Arellano</x:v>
      </x:c>
      <x:c r="H674" s="6">
        <x:v>46270.31641554398</x:v>
      </x:c>
      <x:c r="I674" s="0"/>
      <x:c r="J674" s="0"/>
      <x:c r="K674" s="6">
        <x:v>46308.708432719905</x:v>
      </x:c>
      <x:c r="L674" t="str" s="2">
        <x:v>Contacted</x:v>
      </x:c>
    </x:row>
    <x:row r="675">
      <x:c r="A675" t="str" s="2">
        <x:f>="Lisa Gunnin"</x:f>
      </x:c>
      <x:c r="B675" t="str" s="2">
        <x:v>Heritage Housing Marble Falls</x:v>
      </x:c>
      <x:c r="C675" t="str" s="2">
        <x:v/>
      </x:c>
      <x:c r="D675" t="str" s="2">
        <x:v>2819650533</x:v>
      </x:c>
      <x:c r="E675" t="str" s="2">
        <x:v>lcgmarch@gmail.com</x:v>
      </x:c>
      <x:c r="F675" t="str" s="2">
        <x:v>Youtube</x:v>
      </x:c>
      <x:c r="G675" t="str" s="2">
        <x:v>Garrett Riedesel</x:v>
      </x:c>
      <x:c r="H675" s="6">
        <x:v>46270.350676469905</x:v>
      </x:c>
      <x:c r="I675" s="0"/>
      <x:c r="J675" s="0"/>
      <x:c r="K675" s="6">
        <x:v>46289.67262164352</x:v>
      </x:c>
      <x:c r="L675" t="str" s="2">
        <x:v>Contacted</x:v>
      </x:c>
    </x:row>
    <x:row r="676">
      <x:c r="A676" t="str" s="2">
        <x:f>="Princess Carter"</x:f>
      </x:c>
      <x:c r="B676" t="str" s="2">
        <x:v>Heritage Housing of Albany</x:v>
      </x:c>
      <x:c r="C676" t="str" s="2">
        <x:v/>
      </x:c>
      <x:c r="D676" t="str" s="2">
        <x:v>4435311128</x:v>
      </x:c>
      <x:c r="E676" t="str" s="2">
        <x:v>princess.carter1023@gmail.com</x:v>
      </x:c>
      <x:c r="F676" t="str" s="2">
        <x:v>Website</x:v>
      </x:c>
      <x:c r="G676" t="str" s="2">
        <x:v>Justin Johnson</x:v>
      </x:c>
      <x:c r="H676" s="6">
        <x:v>46270.46286936343</x:v>
      </x:c>
      <x:c r="I676" s="0"/>
      <x:c r="J676" s="0"/>
      <x:c r="K676" s="6">
        <x:v>46270.5761880787</x:v>
      </x:c>
      <x:c r="L676" t="str" s="2">
        <x:v>Contacted</x:v>
      </x:c>
    </x:row>
    <x:row r="677">
      <x:c r="A677" t="str" s="2">
        <x:f>="Larissa Redmon"</x:f>
      </x:c>
      <x:c r="B677" t="str" s="2">
        <x:v>Legacy Housing Corp. DBA Americasa</x:v>
      </x:c>
      <x:c r="C677" t="str" s="2">
        <x:v/>
      </x:c>
      <x:c r="D677" t="str" s="2">
        <x:v>9363675298</x:v>
      </x:c>
      <x:c r="E677" t="str" s="2">
        <x:v>larissaredmon8@gmail.com</x:v>
      </x:c>
      <x:c r="F677" t="str" s="2">
        <x:v>Landing_BPM</x:v>
      </x:c>
      <x:c r="G677" t="str" s="2">
        <x:v>Rodrigo Ramirez</x:v>
      </x:c>
      <x:c r="H677" s="6">
        <x:v>46270.49027792824</x:v>
      </x:c>
      <x:c r="I677" s="0"/>
      <x:c r="J677" s="0"/>
      <x:c r="K677" s="6">
        <x:v>46273.931427118056</x:v>
      </x:c>
      <x:c r="L677" t="str" s="2">
        <x:v>Contacted</x:v>
      </x:c>
    </x:row>
    <x:row r="678">
      <x:c r="A678" t="str" s="2">
        <x:f>="Paul Mendez"</x:f>
      </x:c>
      <x:c r="B678" t="str" s="2">
        <x:v>Heritage Housing Mt Pleasant</x:v>
      </x:c>
      <x:c r="C678" t="str" s="2">
        <x:v/>
      </x:c>
      <x:c r="D678" t="str" s="2">
        <x:v>2094030869</x:v>
      </x:c>
      <x:c r="E678" t="str" s="2">
        <x:v>ikezee@outlook.com</x:v>
      </x:c>
      <x:c r="F678" t="str" s="2">
        <x:v>Landing_BPM</x:v>
      </x:c>
      <x:c r="G678" t="str" s="2">
        <x:v>Elias Gallardo</x:v>
      </x:c>
      <x:c r="H678" s="6">
        <x:v>46270.53440729166</x:v>
      </x:c>
      <x:c r="I678" s="0"/>
      <x:c r="J678" s="0"/>
      <x:c r="K678" s="6">
        <x:v>46279.91502734954</x:v>
      </x:c>
      <x:c r="L678" t="str" s="2">
        <x:v>Contacted</x:v>
      </x:c>
    </x:row>
    <x:row r="679">
      <x:c r="A679" t="str" s="2">
        <x:f>="Orlandria Milligan"</x:f>
      </x:c>
      <x:c r="B679" t="str" s="2">
        <x:v>Heritage Housing of Albany</x:v>
      </x:c>
      <x:c r="C679" t="str" s="2">
        <x:v/>
      </x:c>
      <x:c r="D679" t="str" s="2">
        <x:v>4785085228</x:v>
      </x:c>
      <x:c r="E679" t="str" s="2">
        <x:v>Orlandriamill12@gmail.com</x:v>
      </x:c>
      <x:c r="F679" t="str" s="2">
        <x:v>Financing Form</x:v>
      </x:c>
      <x:c r="G679" t="str" s="2">
        <x:v>Yanet Alvarez</x:v>
      </x:c>
      <x:c r="H679" s="6">
        <x:v>46270.54563252315</x:v>
      </x:c>
      <x:c r="I679" s="0"/>
      <x:c r="J679" s="0"/>
      <x:c r="K679" s="6">
        <x:v>46270.56715763889</x:v>
      </x:c>
      <x:c r="L679" t="str" s="2">
        <x:v>Contacted</x:v>
      </x:c>
    </x:row>
    <x:row r="680">
      <x:c r="A680" t="str" s="2">
        <x:f>="Topovysok__loSn T_clSnO"</x:f>
      </x:c>
      <x:c r="B680" t="str" s="2">
        <x:v>Heritage Housing of Greenville</x:v>
      </x:c>
      <x:c r="C680" t="str" s="2">
        <x:v/>
      </x:c>
      <x:c r="D680" t="str" s="2">
        <x:v>7751577</x:v>
      </x:c>
      <x:c r="E680" t="str" s="2">
        <x:v>otdjpcd@vvorpvk.mwi</x:v>
      </x:c>
      <x:c r="F680" t="str" s="2">
        <x:v>Website</x:v>
      </x:c>
      <x:c r="G680" t="str" s="2">
        <x:v>Brooklynn Allen</x:v>
      </x:c>
      <x:c r="H680" s="6">
        <x:v>46270.5593227662</x:v>
      </x:c>
      <x:c r="I680" s="0"/>
      <x:c r="J680" s="0"/>
      <x:c r="K680" s="6">
        <x:v>46273.604491087965</x:v>
      </x:c>
      <x:c r="L680" t="str" s="2">
        <x:v>Contacted</x:v>
      </x:c>
    </x:row>
    <x:row r="681">
      <x:c r="A681" t="str" s="2">
        <x:f>="Derrick Davis"</x:f>
      </x:c>
      <x:c r="B681" t="str" s="2">
        <x:v>Heritage Housing of Minden</x:v>
      </x:c>
      <x:c r="C681" t="str" s="2">
        <x:v>0/1</x:v>
      </x:c>
      <x:c r="D681" t="str" s="2">
        <x:v>3185940125</x:v>
      </x:c>
      <x:c r="E681" t="str" s="2">
        <x:v>deetrain1967@yahoo.com</x:v>
      </x:c>
      <x:c r="F681" t="str" s="2">
        <x:v>Landing_BPM</x:v>
      </x:c>
      <x:c r="G681" t="str" s="2">
        <x:v>Patrick Schuchart</x:v>
      </x:c>
      <x:c r="H681" s="6">
        <x:v>46270.67165891204</x:v>
      </x:c>
      <x:c r="I681" s="0"/>
      <x:c r="J681" s="0"/>
      <x:c r="K681" s="6">
        <x:v>46270.69169221065</x:v>
      </x:c>
      <x:c r="L681" t="str" s="2">
        <x:v>Contacted</x:v>
      </x:c>
    </x:row>
    <x:row r="682">
      <x:c r="A682" t="str" s="2">
        <x:f>="Tonya Watson"</x:f>
      </x:c>
      <x:c r="B682" t="str" s="2">
        <x:v>Heritage Housing of Minden</x:v>
      </x:c>
      <x:c r="C682" t="str" s="2">
        <x:v>0/2</x:v>
      </x:c>
      <x:c r="D682" t="str" s="2">
        <x:v>3185409408</x:v>
      </x:c>
      <x:c r="E682" t="str" s="2">
        <x:v>tonyawatson33@gmail.com</x:v>
      </x:c>
      <x:c r="F682" t="str" s="2">
        <x:v>Landing_BPM</x:v>
      </x:c>
      <x:c r="G682" t="str" s="2">
        <x:v>Kyla Brown</x:v>
      </x:c>
      <x:c r="H682" s="6">
        <x:v>46270.7101633912</x:v>
      </x:c>
      <x:c r="I682" s="0"/>
      <x:c r="J682" s="0"/>
      <x:c r="K682" s="6">
        <x:v>46286.872045868055</x:v>
      </x:c>
      <x:c r="L682" t="str" s="2">
        <x:v>Contacted</x:v>
      </x:c>
    </x:row>
    <x:row r="683">
      <x:c r="A683" t="str" s="2">
        <x:f>="Carrie Webb"</x:f>
      </x:c>
      <x:c r="B683" t="str" s="2">
        <x:v>Heritage Housing of Minden</x:v>
      </x:c>
      <x:c r="C683" t="str" s="2">
        <x:v>0/2</x:v>
      </x:c>
      <x:c r="D683" t="str" s="2">
        <x:v>3187068472</x:v>
      </x:c>
      <x:c r="E683" t="str" s="2">
        <x:v>beinme4oncet@gmail.com</x:v>
      </x:c>
      <x:c r="F683" t="str" s="2">
        <x:v>Youtube</x:v>
      </x:c>
      <x:c r="G683" t="str" s="2">
        <x:v>Patrick Schuchart</x:v>
      </x:c>
      <x:c r="H683" s="6">
        <x:v>46270.74669702546</x:v>
      </x:c>
      <x:c r="I683" s="0"/>
      <x:c r="J683" s="0"/>
      <x:c r="K683" s="6">
        <x:v>46286.871391898145</x:v>
      </x:c>
      <x:c r="L683" t="str" s="2">
        <x:v>Contacted</x:v>
      </x:c>
    </x:row>
    <x:row r="684">
      <x:c r="A684" t="str" s="2">
        <x:f>="Arthur Peoples"</x:f>
      </x:c>
      <x:c r="B684" t="str" s="2">
        <x:v>Heritage Housing Gainesville</x:v>
      </x:c>
      <x:c r="C684" t="str" s="2">
        <x:v/>
      </x:c>
      <x:c r="D684" t="str" s="2">
        <x:v>8177294964</x:v>
      </x:c>
      <x:c r="E684" t="str" s="2">
        <x:v>artpeoples55@gmail.com</x:v>
      </x:c>
      <x:c r="F684" t="str" s="2">
        <x:v>Bing - Search</x:v>
      </x:c>
      <x:c r="G684" t="str" s="2">
        <x:v>Jeniffer Arellano</x:v>
      </x:c>
      <x:c r="H684" s="6">
        <x:v>46270.77349204861</x:v>
      </x:c>
      <x:c r="I684" s="0"/>
      <x:c r="J684" s="0"/>
      <x:c r="K684" s="6">
        <x:v>46308.70890269676</x:v>
      </x:c>
      <x:c r="L684" t="str" s="2">
        <x:v>Contacted</x:v>
      </x:c>
    </x:row>
    <x:row r="685">
      <x:c r="A685" t="str" s="2">
        <x:f>=HYPERLINK("https://rsms.futurehomex.com/lead/39735", "Luis Eduardo Aguilar Perez")</x:f>
      </x:c>
      <x:c r="B685" t="str" s="2">
        <x:v>Legacy Housing Corp. DBA Americasa</x:v>
      </x:c>
      <x:c r="C685" t="str" s="2">
        <x:v/>
      </x:c>
      <x:c r="D685" t="str" s="2">
        <x:v>3463943923</x:v>
      </x:c>
      <x:c r="E685" t="str" s="2">
        <x:v>3463943923</x:v>
      </x:c>
      <x:c r="F685" t="str" s="2">
        <x:v>Referrals</x:v>
      </x:c>
      <x:c r="G685" t="str" s="2">
        <x:v>Rodrigo Ramirez</x:v>
      </x:c>
      <x:c r="H685" s="6">
        <x:v>46270.79855748842</x:v>
      </x:c>
      <x:c r="I685" t="str" s="2">
        <x:v>Joey Marquez</x:v>
      </x:c>
      <x:c r="J685" s="0"/>
      <x:c r="K685" s="6">
        <x:v>46303.697798761576</x:v>
      </x:c>
      <x:c r="L685" t="str" s="2">
        <x:v>Contacted</x:v>
      </x:c>
    </x:row>
    <x:row r="686">
      <x:c r="A686" t="str" s="2">
        <x:f>="Anselmo Rivera"</x:f>
      </x:c>
      <x:c r="B686" t="str" s="2">
        <x:v>Heritage Housing of Albany</x:v>
      </x:c>
      <x:c r="C686" t="str" s="2">
        <x:v>0/1</x:v>
      </x:c>
      <x:c r="D686" t="str" s="2">
        <x:v>2294173261</x:v>
      </x:c>
      <x:c r="E686" t="str" s="2">
        <x:v>anselmodair0607@gmail.com</x:v>
      </x:c>
      <x:c r="F686" t="str" s="2">
        <x:v>Financing Form</x:v>
      </x:c>
      <x:c r="G686" t="str" s="2">
        <x:v>Yanet Alvarez</x:v>
      </x:c>
      <x:c r="H686" s="6">
        <x:v>46270.94392704861</x:v>
      </x:c>
      <x:c r="I686" s="0"/>
      <x:c r="J686" s="0"/>
      <x:c r="K686" s="6">
        <x:v>46293.60246369213</x:v>
      </x:c>
      <x:c r="L686" t="str" s="2">
        <x:v>Contacted</x:v>
      </x:c>
    </x:row>
    <x:row r="687">
      <x:c r="A687" t="str" s="2">
        <x:f>="Teresa King"</x:f>
      </x:c>
      <x:c r="B687" t="str" s="2">
        <x:v>Heritage Housing of Athens</x:v>
      </x:c>
      <x:c r="C687" t="str" s="2">
        <x:v>1/1</x:v>
      </x:c>
      <x:c r="D687" t="str" s="2">
        <x:v>864-245-5494</x:v>
      </x:c>
      <x:c r="E687" t="str" s="2">
        <x:v>teresa1969.tk@gmail.com</x:v>
      </x:c>
      <x:c r="F687" t="str" s="2">
        <x:v>Landing_BPM</x:v>
      </x:c>
      <x:c r="G687" t="str" s="2">
        <x:v>Nathan Bishop</x:v>
      </x:c>
      <x:c r="H687" s="6">
        <x:v>46270.95526797454</x:v>
      </x:c>
      <x:c r="I687" s="0"/>
      <x:c r="J687" s="0"/>
      <x:c r="K687" s="6">
        <x:v>46282.69489332176</x:v>
      </x:c>
      <x:c r="L687" t="str" s="2">
        <x:v>Contacted</x:v>
      </x:c>
    </x:row>
    <x:row r="688">
      <x:c r="A688" t="str" s="2">
        <x:f>="Jelicia Alexander"</x:f>
      </x:c>
      <x:c r="B688" t="str" s="2">
        <x:v>Heritage Housing of Minden</x:v>
      </x:c>
      <x:c r="C688" t="str" s="2">
        <x:v>0/2</x:v>
      </x:c>
      <x:c r="D688" t="str" s="2">
        <x:v>3185007685</x:v>
      </x:c>
      <x:c r="E688" t="str" s="2">
        <x:v>ggalexander346@gmail.com</x:v>
      </x:c>
      <x:c r="F688" t="str" s="2">
        <x:v>Financing Form</x:v>
      </x:c>
      <x:c r="G688" t="str" s="2">
        <x:v>Kyla Brown</x:v>
      </x:c>
      <x:c r="H688" s="6">
        <x:v>46270.98490142361</x:v>
      </x:c>
      <x:c r="I688" s="0"/>
      <x:c r="J688" s="0"/>
      <x:c r="K688" s="6">
        <x:v>46286.87059170139</x:v>
      </x:c>
      <x:c r="L688" t="str" s="2">
        <x:v>Contacted</x:v>
      </x:c>
    </x:row>
    <x:row r="689">
      <x:c r="A689" t="str" s="2">
        <x:f>="Jonas Gonzales"</x:f>
      </x:c>
      <x:c r="B689" t="str" s="2">
        <x:v>Heritage Housing of Canton</x:v>
      </x:c>
      <x:c r="C689" t="str" s="2">
        <x:v/>
      </x:c>
      <x:c r="D689" t="str" s="2">
        <x:v>9404568110</x:v>
      </x:c>
      <x:c r="E689" t="str" s="2">
        <x:v>Jonasleal462@gmail.com</x:v>
      </x:c>
      <x:c r="F689" t="str" s="2">
        <x:v>Workforce - Meta</x:v>
      </x:c>
      <x:c r="G689" t="str" s="2">
        <x:v>Maira Garcia</x:v>
      </x:c>
      <x:c r="H689" s="6">
        <x:v>46270.99430690972</x:v>
      </x:c>
      <x:c r="I689" s="0"/>
      <x:c r="J689" s="0"/>
      <x:c r="K689" s="6">
        <x:v>46273.63998842592</x:v>
      </x:c>
      <x:c r="L689" t="str" s="2">
        <x:v>Contacted</x:v>
      </x:c>
    </x:row>
    <x:row r="690">
      <x:c r="A690" t="str" s="2">
        <x:f>="Ella Dial"</x:f>
      </x:c>
      <x:c r="B690" t="str" s="2">
        <x:v>Heritage Housing Mt Pleasant</x:v>
      </x:c>
      <x:c r="C690" t="str" s="2">
        <x:v/>
      </x:c>
      <x:c r="D690" t="str" s="2">
        <x:v>4703738578</x:v>
      </x:c>
      <x:c r="E690" t="str" s="2">
        <x:v>ellaeunice07@icloud.com</x:v>
      </x:c>
      <x:c r="F690" t="str" s="2">
        <x:v>Landing_BPM</x:v>
      </x:c>
      <x:c r="G690" t="str" s="2">
        <x:v>Yarelis Torres</x:v>
      </x:c>
      <x:c r="H690" s="6">
        <x:v>46270.999236574076</x:v>
      </x:c>
      <x:c r="I690" s="0"/>
      <x:c r="J690" s="0"/>
      <x:c r="K690" s="6">
        <x:v>46279.91268214121</x:v>
      </x:c>
      <x:c r="L690" t="str" s="2">
        <x:v>Contacted</x:v>
      </x:c>
    </x:row>
    <x:row r="691">
      <x:c r="A691" t="str" s="2">
        <x:f>="Glenda Collins"</x:f>
      </x:c>
      <x:c r="B691" t="str" s="2">
        <x:v>Heritage Housing of Minden</x:v>
      </x:c>
      <x:c r="C691" t="str" s="2">
        <x:v>0/2</x:v>
      </x:c>
      <x:c r="D691" t="str" s="2">
        <x:v>3157542055</x:v>
      </x:c>
      <x:c r="E691" t="str" s="2">
        <x:v>dl4245522@gmail.com</x:v>
      </x:c>
      <x:c r="F691" t="str" s="2">
        <x:v>Financing Form</x:v>
      </x:c>
      <x:c r="G691" t="str" s="2">
        <x:v>Patrick Schuchart</x:v>
      </x:c>
      <x:c r="H691" s="6">
        <x:v>46271.06029753472</x:v>
      </x:c>
      <x:c r="I691" s="0"/>
      <x:c r="J691" s="0"/>
      <x:c r="K691" s="6">
        <x:v>46286.870011770836</x:v>
      </x:c>
      <x:c r="L691" t="str" s="2">
        <x:v>Contacted</x:v>
      </x:c>
    </x:row>
    <x:row r="692">
      <x:c r="A692" t="str" s="2">
        <x:f>="Natasha Carter"</x:f>
      </x:c>
      <x:c r="B692" t="str" s="2">
        <x:v>Heritage Housing of Augusta</x:v>
      </x:c>
      <x:c r="C692" t="str" s="2">
        <x:v/>
      </x:c>
      <x:c r="D692" t="str" s="2">
        <x:v>8037709287</x:v>
      </x:c>
      <x:c r="E692" t="str" s="2">
        <x:v>natashacarter5436@gmail.com</x:v>
      </x:c>
      <x:c r="F692" t="str" s="2">
        <x:v>Landing_BPM</x:v>
      </x:c>
      <x:c r="G692" t="str" s="2">
        <x:v>Faye Lively</x:v>
      </x:c>
      <x:c r="H692" s="6">
        <x:v>46271.06371415509</x:v>
      </x:c>
      <x:c r="I692" s="0"/>
      <x:c r="J692" s="0"/>
      <x:c r="K692" s="6">
        <x:v>46277.566280439816</x:v>
      </x:c>
      <x:c r="L692" t="str" s="2">
        <x:v>Contacted</x:v>
      </x:c>
    </x:row>
    <x:row r="693">
      <x:c r="A693" t="str" s="2">
        <x:f>="Mary Guerrero"</x:f>
      </x:c>
      <x:c r="B693" t="str" s="2">
        <x:v>Heritage Housing Marble Falls</x:v>
      </x:c>
      <x:c r="C693" t="str" s="2">
        <x:v/>
      </x:c>
      <x:c r="D693" t="str" s="2">
        <x:v>7262508887</x:v>
      </x:c>
      <x:c r="E693" t="str" s="2">
        <x:v>maryyg1962@gmail.com</x:v>
      </x:c>
      <x:c r="F693" t="str" s="2">
        <x:v>Bing - Search</x:v>
      </x:c>
      <x:c r="G693" t="str" s="2">
        <x:v>Garrett Riedesel</x:v>
      </x:c>
      <x:c r="H693" s="6">
        <x:v>46271.1373121875</x:v>
      </x:c>
      <x:c r="I693" s="0"/>
      <x:c r="J693" s="0"/>
      <x:c r="K693" s="6">
        <x:v>46289.672197569445</x:v>
      </x:c>
      <x:c r="L693" t="str" s="2">
        <x:v>Contacted</x:v>
      </x:c>
    </x:row>
    <x:row r="694">
      <x:c r="A694" t="str" s="2">
        <x:f>="Dialasia Ware"</x:f>
      </x:c>
      <x:c r="B694" t="str" s="2">
        <x:v>Heritage Housing of Minden</x:v>
      </x:c>
      <x:c r="C694" t="str" s="2">
        <x:v>0/2</x:v>
      </x:c>
      <x:c r="D694" t="str" s="2">
        <x:v>3187624127</x:v>
      </x:c>
      <x:c r="E694" t="str" s="2">
        <x:v>waredialasia4@gmail.com</x:v>
      </x:c>
      <x:c r="F694" t="str" s="2">
        <x:v>Youtube</x:v>
      </x:c>
      <x:c r="G694" t="str" s="2">
        <x:v>Mervin Leslie Smith</x:v>
      </x:c>
      <x:c r="H694" s="6">
        <x:v>46271.510684375</x:v>
      </x:c>
      <x:c r="I694" s="0"/>
      <x:c r="J694" s="0"/>
      <x:c r="K694" s="6">
        <x:v>46286.86931111111</x:v>
      </x:c>
      <x:c r="L694" t="str" s="2">
        <x:v>Contacted</x:v>
      </x:c>
    </x:row>
    <x:row r="695">
      <x:c r="A695" t="str" s="2">
        <x:f>="timmechael jacobs jacobs"</x:f>
      </x:c>
      <x:c r="B695" t="str" s="2">
        <x:v>Heritage Housing of Asheboro</x:v>
      </x:c>
      <x:c r="C695" t="str" s="2">
        <x:v/>
      </x:c>
      <x:c r="D695" t="str" s="2">
        <x:v>9199374368</x:v>
      </x:c>
      <x:c r="E695" t="str" s="2">
        <x:v>laletha.jacobs@gmail.com</x:v>
      </x:c>
      <x:c r="F695" t="str" s="2">
        <x:v>Landing_BPM</x:v>
      </x:c>
      <x:c r="G695" t="str" s="2">
        <x:v>Kate Gutierrez</x:v>
      </x:c>
      <x:c r="H695" s="6">
        <x:v>46271.54027673611</x:v>
      </x:c>
      <x:c r="I695" s="0"/>
      <x:c r="J695" s="0"/>
      <x:c r="K695" s="6">
        <x:v>46295.55551258102</x:v>
      </x:c>
      <x:c r="L695" t="str" s="2">
        <x:v>Contacted</x:v>
      </x:c>
    </x:row>
    <x:row r="696">
      <x:c r="A696" t="str" s="2">
        <x:f>="Tanya Henderson"</x:f>
      </x:c>
      <x:c r="B696" t="str" s="2">
        <x:v>Heritage Housing Marble Falls</x:v>
      </x:c>
      <x:c r="C696" t="str" s="2">
        <x:v/>
      </x:c>
      <x:c r="D696" t="str" s="2">
        <x:v>5125229729</x:v>
      </x:c>
      <x:c r="E696" t="str" s="2">
        <x:v>mztanyae75@gmail.com</x:v>
      </x:c>
      <x:c r="F696" t="str" s="2">
        <x:v>Bing - Search</x:v>
      </x:c>
      <x:c r="G696" t="str" s="2">
        <x:v>Garrett Riedesel</x:v>
      </x:c>
      <x:c r="H696" s="6">
        <x:v>46271.58300436343</x:v>
      </x:c>
      <x:c r="I696" s="0"/>
      <x:c r="J696" s="0"/>
      <x:c r="K696" s="6">
        <x:v>46288.69060818287</x:v>
      </x:c>
      <x:c r="L696" t="str" s="2">
        <x:v>Contacted</x:v>
      </x:c>
    </x:row>
    <x:row r="697">
      <x:c r="A697" t="str" s="2">
        <x:f>="Carlos Perez Perez"</x:f>
      </x:c>
      <x:c r="B697" t="str" s="2">
        <x:v>Legacy Housing Corp. DBA Americasa</x:v>
      </x:c>
      <x:c r="C697" t="str" s="2">
        <x:v/>
      </x:c>
      <x:c r="D697" t="str" s="2">
        <x:v>9562661816</x:v>
      </x:c>
      <x:c r="E697" t="str" s="2">
        <x:v>carlos.perez09@icloud.com</x:v>
      </x:c>
      <x:c r="F697" t="str" s="2">
        <x:v>Landing_BPM</x:v>
      </x:c>
      <x:c r="G697" t="str" s="2">
        <x:v>Rodrigo Ramirez</x:v>
      </x:c>
      <x:c r="H697" s="6">
        <x:v>46271.61605505787</x:v>
      </x:c>
      <x:c r="I697" s="0"/>
      <x:c r="J697" s="0"/>
      <x:c r="K697" s="6">
        <x:v>46273.932685266205</x:v>
      </x:c>
      <x:c r="L697" t="str" s="2">
        <x:v>Contacted</x:v>
      </x:c>
    </x:row>
    <x:row r="698">
      <x:c r="A698" t="str" s="2">
        <x:f>="Alphonse Morales"</x:f>
      </x:c>
      <x:c r="B698" t="str" s="2">
        <x:v>Heritage Housing of Augusta</x:v>
      </x:c>
      <x:c r="C698" t="str" s="2">
        <x:v>0/1</x:v>
      </x:c>
      <x:c r="D698" t="str" s="2">
        <x:v>7623589848</x:v>
      </x:c>
      <x:c r="E698" t="str" s="2">
        <x:v>roused.24@gmail.com</x:v>
      </x:c>
      <x:c r="F698" t="str" s="2">
        <x:v>Landing_BPM</x:v>
      </x:c>
      <x:c r="G698" t="str" s="2">
        <x:v>Faye Lively</x:v>
      </x:c>
      <x:c r="H698" s="6">
        <x:v>46271.700413969906</x:v>
      </x:c>
      <x:c r="I698" s="0"/>
      <x:c r="J698" s="0"/>
      <x:c r="K698" s="6">
        <x:v>46276.67124082176</x:v>
      </x:c>
      <x:c r="L698" t="str" s="2">
        <x:v>Contacted</x:v>
      </x:c>
    </x:row>
    <x:row r="699">
      <x:c r="A699" t="str" s="2">
        <x:f>="David Martin"</x:f>
      </x:c>
      <x:c r="B699" t="str" s="2">
        <x:v>Heritage Housing of Augusta</x:v>
      </x:c>
      <x:c r="C699" t="str" s="2">
        <x:v>1/1</x:v>
      </x:c>
      <x:c r="D699" t="str" s="2">
        <x:v>7064663861</x:v>
      </x:c>
      <x:c r="E699" t="str" s="2">
        <x:v>super13252@gmail.com</x:v>
      </x:c>
      <x:c r="F699" t="str" s="2">
        <x:v>Website</x:v>
      </x:c>
      <x:c r="G699" t="str" s="2">
        <x:v>Jose Chavez</x:v>
      </x:c>
      <x:c r="H699" s="6">
        <x:v>46271.73507982639</x:v>
      </x:c>
      <x:c r="I699" s="0"/>
      <x:c r="J699" s="0"/>
      <x:c r="K699" s="6">
        <x:v>46298.649798032406</x:v>
      </x:c>
      <x:c r="L699" t="str" s="2">
        <x:v>Contacted</x:v>
      </x:c>
    </x:row>
    <x:row r="700">
      <x:c r="A700" t="str" s="2">
        <x:f>="Quanjet Gaston"</x:f>
      </x:c>
      <x:c r="B700" t="str" s="2">
        <x:v>Heritage Housing of Minden</x:v>
      </x:c>
      <x:c r="C700" t="str" s="2">
        <x:v>0/2</x:v>
      </x:c>
      <x:c r="D700" t="str" s="2">
        <x:v>3184265903</x:v>
      </x:c>
      <x:c r="E700" t="str" s="2">
        <x:v>qgaston28@gmail.com</x:v>
      </x:c>
      <x:c r="F700" t="str" s="2">
        <x:v>Landing_BPM</x:v>
      </x:c>
      <x:c r="G700" t="str" s="2">
        <x:v>Kyla Brown</x:v>
      </x:c>
      <x:c r="H700" s="6">
        <x:v>46271.77009853009</x:v>
      </x:c>
      <x:c r="I700" s="0"/>
      <x:c r="J700" s="0"/>
      <x:c r="K700" s="6">
        <x:v>46286.86484274305</x:v>
      </x:c>
      <x:c r="L700" t="str" s="2">
        <x:v>Contacted</x:v>
      </x:c>
    </x:row>
    <x:row r="701">
      <x:c r="A701" t="str" s="2">
        <x:f>="Amethyst Reeves"</x:f>
      </x:c>
      <x:c r="B701" t="str" s="2">
        <x:v>Heritage Housing of Minden</x:v>
      </x:c>
      <x:c r="C701" t="str" s="2">
        <x:v>0/2</x:v>
      </x:c>
      <x:c r="D701" t="str" s="2">
        <x:v>3183728997</x:v>
      </x:c>
      <x:c r="E701" t="str" s="2">
        <x:v>amethystreeves@hotmail.com</x:v>
      </x:c>
      <x:c r="F701" t="str" s="2">
        <x:v>Landing_BPM</x:v>
      </x:c>
      <x:c r="G701" t="str" s="2">
        <x:v>Patrick Schuchart</x:v>
      </x:c>
      <x:c r="H701" s="6">
        <x:v>46271.84832438658</x:v>
      </x:c>
      <x:c r="I701" s="0"/>
      <x:c r="J701" s="0"/>
      <x:c r="K701" s="6">
        <x:v>46286.864205011574</x:v>
      </x:c>
      <x:c r="L701" t="str" s="2">
        <x:v>Contacted</x:v>
      </x:c>
    </x:row>
    <x:row r="702">
      <x:c r="A702" t="str" s="2">
        <x:f>="Kathryn Richardson"</x:f>
      </x:c>
      <x:c r="B702" t="str" s="2">
        <x:v>Heritage Housing of Minden</x:v>
      </x:c>
      <x:c r="C702" t="str" s="2">
        <x:v>0/2</x:v>
      </x:c>
      <x:c r="D702" t="str" s="2">
        <x:v>3182658157</x:v>
      </x:c>
      <x:c r="E702" t="str" s="2">
        <x:v>Katrichardson73@gmail.com</x:v>
      </x:c>
      <x:c r="F702" t="str" s="2">
        <x:v>Youtube</x:v>
      </x:c>
      <x:c r="G702" t="str" s="2">
        <x:v>Kyla Brown</x:v>
      </x:c>
      <x:c r="H702" s="6">
        <x:v>46271.8485693287</x:v>
      </x:c>
      <x:c r="I702" s="0"/>
      <x:c r="J702" s="0"/>
      <x:c r="K702" s="6">
        <x:v>46286.86357457176</x:v>
      </x:c>
      <x:c r="L702" t="str" s="2">
        <x:v>Contacted</x:v>
      </x:c>
    </x:row>
    <x:row r="703">
      <x:c r="A703" t="str" s="2">
        <x:f>="Giorelix Quinones"</x:f>
      </x:c>
      <x:c r="B703" t="str" s="2">
        <x:v>Heritage Housing of Greenville</x:v>
      </x:c>
      <x:c r="C703" t="str" s="2">
        <x:v/>
      </x:c>
      <x:c r="D703" t="str" s="2">
        <x:v>9033572999</x:v>
      </x:c>
      <x:c r="E703" t="str" s="2">
        <x:v>giorelixquinones@gmail.com</x:v>
      </x:c>
      <x:c r="F703" t="str" s="2">
        <x:v>Landing_BPM</x:v>
      </x:c>
      <x:c r="G703" t="str" s="2">
        <x:v>Brooklynn Allen</x:v>
      </x:c>
      <x:c r="H703" s="6">
        <x:v>46271.87186258102</x:v>
      </x:c>
      <x:c r="I703" s="0"/>
      <x:c r="J703" s="0"/>
      <x:c r="K703" s="6">
        <x:v>46301.58681435185</x:v>
      </x:c>
      <x:c r="L703" t="str" s="2">
        <x:v>Contacted</x:v>
      </x:c>
    </x:row>
    <x:row r="704">
      <x:c r="A704" t="str" s="2">
        <x:f>="kim philpot"</x:f>
      </x:c>
      <x:c r="B704" t="str" s="2">
        <x:v>Heritage Housing of Minden</x:v>
      </x:c>
      <x:c r="C704" t="str" s="2">
        <x:v>0/2</x:v>
      </x:c>
      <x:c r="D704" t="str" s="2">
        <x:v>3183476134</x:v>
      </x:c>
      <x:c r="E704" t="str" s="2">
        <x:v>philpotkimmi@yahoo.com</x:v>
      </x:c>
      <x:c r="F704" t="str" s="2">
        <x:v>Website</x:v>
      </x:c>
      <x:c r="G704" t="str" s="2">
        <x:v>Patrick Schuchart</x:v>
      </x:c>
      <x:c r="H704" s="6">
        <x:v>46271.89805795139</x:v>
      </x:c>
      <x:c r="I704" s="0"/>
      <x:c r="J704" s="0"/>
      <x:c r="K704" s="6">
        <x:v>46286.862964155094</x:v>
      </x:c>
      <x:c r="L704" t="str" s="2">
        <x:v>Contacted</x:v>
      </x:c>
    </x:row>
    <x:row r="705">
      <x:c r="A705" t="str" s="2">
        <x:f>="Valerie Bushnell"</x:f>
      </x:c>
      <x:c r="B705" t="str" s="2">
        <x:v>Heritage Housing of Jennings</x:v>
      </x:c>
      <x:c r="C705" t="str" s="2">
        <x:v/>
      </x:c>
      <x:c r="D705" t="str" s="2">
        <x:v>3379982225</x:v>
      </x:c>
      <x:c r="E705" t="str" s="2">
        <x:v>valnugent73@gmail.com</x:v>
      </x:c>
      <x:c r="F705" t="str" s="2">
        <x:v>Website</x:v>
      </x:c>
      <x:c r="G705" t="str" s="2">
        <x:v>Mervin Leslie Smith</x:v>
      </x:c>
      <x:c r="H705" s="6">
        <x:v>46271.90694262731</x:v>
      </x:c>
      <x:c r="I705" s="0"/>
      <x:c r="J705" s="0"/>
      <x:c r="K705" s="6">
        <x:v>46308.70782144676</x:v>
      </x:c>
      <x:c r="L705" t="str" s="2">
        <x:v>Contacted</x:v>
      </x:c>
    </x:row>
    <x:row r="706">
      <x:c r="A706" t="str" s="2">
        <x:f>="Heather Rea"</x:f>
      </x:c>
      <x:c r="B706" t="str" s="2">
        <x:v>Heritage Housing of Augusta</x:v>
      </x:c>
      <x:c r="C706" t="str" s="2">
        <x:v/>
      </x:c>
      <x:c r="D706" t="str" s="2">
        <x:v>8435056386</x:v>
      </x:c>
      <x:c r="E706" t="str" s="2">
        <x:v>heatheraltman33@gmail.com</x:v>
      </x:c>
      <x:c r="F706" t="str" s="2">
        <x:v>Landing_BPM</x:v>
      </x:c>
      <x:c r="G706" t="str" s="2">
        <x:v>Faye Lively</x:v>
      </x:c>
      <x:c r="H706" s="6">
        <x:v>46271.99851863426</x:v>
      </x:c>
      <x:c r="I706" s="0"/>
      <x:c r="J706" s="0"/>
      <x:c r="K706" s="6">
        <x:v>46282.82854255787</x:v>
      </x:c>
      <x:c r="L706" t="str" s="2">
        <x:v>Contacted</x:v>
      </x:c>
    </x:row>
    <x:row r="707">
      <x:c r="A707" t="str" s="2">
        <x:f>="Henry Poppell"</x:f>
      </x:c>
      <x:c r="B707" t="str" s="2">
        <x:v>Heritage Housing of Albany</x:v>
      </x:c>
      <x:c r="C707" t="str" s="2">
        <x:v/>
      </x:c>
      <x:c r="D707" t="str" s="2">
        <x:v>8505915606</x:v>
      </x:c>
      <x:c r="E707" t="str" s="2">
        <x:v>poppellh@gmail.com</x:v>
      </x:c>
      <x:c r="F707" t="str" s="2">
        <x:v>Landing_BPM</x:v>
      </x:c>
      <x:c r="G707" t="str" s="2">
        <x:v>Justin Johnson</x:v>
      </x:c>
      <x:c r="H707" s="6">
        <x:v>46272.07170115741</x:v>
      </x:c>
      <x:c r="I707" s="0"/>
      <x:c r="J707" s="6">
        <x:v>46277.75</x:v>
      </x:c>
      <x:c r="K707" s="6">
        <x:v>46280.671014548614</x:v>
      </x:c>
      <x:c r="L707" t="str" s="2">
        <x:v>Contacted</x:v>
      </x:c>
    </x:row>
    <x:row r="708">
      <x:c r="A708" t="str" s="2">
        <x:f>="Jeremy Moore"</x:f>
      </x:c>
      <x:c r="B708" t="str" s="2">
        <x:v>Heritage Housing of Minden</x:v>
      </x:c>
      <x:c r="C708" t="str" s="2">
        <x:v>0/2</x:v>
      </x:c>
      <x:c r="D708" t="str" s="2">
        <x:v>3185415513</x:v>
      </x:c>
      <x:c r="E708" t="str" s="2">
        <x:v>jeremym2010@gmail.com</x:v>
      </x:c>
      <x:c r="F708" t="str" s="2">
        <x:v>Financing Form</x:v>
      </x:c>
      <x:c r="G708" t="str" s="2">
        <x:v>Kyla Brown</x:v>
      </x:c>
      <x:c r="H708" s="6">
        <x:v>46272.07518923611</x:v>
      </x:c>
      <x:c r="I708" s="0"/>
      <x:c r="J708" s="0"/>
      <x:c r="K708" s="6">
        <x:v>46286.86217665509</x:v>
      </x:c>
      <x:c r="L708" t="str" s="2">
        <x:v>Contacted</x:v>
      </x:c>
    </x:row>
    <x:row r="709">
      <x:c r="A709" t="str" s="2">
        <x:f>="Charla Alford"</x:f>
      </x:c>
      <x:c r="B709" t="str" s="2">
        <x:v>Heritage Housing of Minden</x:v>
      </x:c>
      <x:c r="C709" t="str" s="2">
        <x:v>0/1</x:v>
      </x:c>
      <x:c r="D709" t="str" s="2">
        <x:v>3187635016</x:v>
      </x:c>
      <x:c r="E709" t="str" s="2">
        <x:v>charlaalford@gmail.com</x:v>
      </x:c>
      <x:c r="F709" t="str" s="2">
        <x:v>Financing Form</x:v>
      </x:c>
      <x:c r="G709" t="str" s="2">
        <x:v>Patrick Schuchart</x:v>
      </x:c>
      <x:c r="H709" s="6">
        <x:v>46272.101340625</x:v>
      </x:c>
      <x:c r="I709" s="0"/>
      <x:c r="J709" s="0"/>
      <x:c r="K709" s="6">
        <x:v>46273.70753989583</x:v>
      </x:c>
      <x:c r="L709" t="str" s="2">
        <x:v>Contacted</x:v>
      </x:c>
    </x:row>
    <x:row r="710">
      <x:c r="A710" t="str" s="2">
        <x:f>="Robert Johnston"</x:f>
      </x:c>
      <x:c r="B710" t="str" s="2">
        <x:v>Heritage Housing Marble Falls</x:v>
      </x:c>
      <x:c r="C710" t="str" s="2">
        <x:v/>
      </x:c>
      <x:c r="D710" t="str" s="2">
        <x:v>8303416028</x:v>
      </x:c>
      <x:c r="E710" t="str" s="2">
        <x:v>robbyjohnson113@gmail.com</x:v>
      </x:c>
      <x:c r="F710" t="str" s="2">
        <x:v>Landing_BPM</x:v>
      </x:c>
      <x:c r="G710" t="str" s="2">
        <x:v>Garrett Riedesel</x:v>
      </x:c>
      <x:c r="H710" s="6">
        <x:v>46272.12580246528</x:v>
      </x:c>
      <x:c r="I710" s="0"/>
      <x:c r="J710" s="0"/>
      <x:c r="K710" s="6">
        <x:v>46289.67047341435</x:v>
      </x:c>
      <x:c r="L710" t="str" s="2">
        <x:v>Contacted</x:v>
      </x:c>
    </x:row>
    <x:row r="711">
      <x:c r="A711" t="str" s="2">
        <x:f>="Daun Sikora"</x:f>
      </x:c>
      <x:c r="B711" t="str" s="2">
        <x:v>Heritage Housing of Minden</x:v>
      </x:c>
      <x:c r="C711" t="str" s="2">
        <x:v>0/2</x:v>
      </x:c>
      <x:c r="D711" t="str" s="2">
        <x:v>8137200218</x:v>
      </x:c>
      <x:c r="E711" t="str" s="2">
        <x:v>daunsikora@yahoo.com</x:v>
      </x:c>
      <x:c r="F711" t="str" s="2">
        <x:v>Landing_BPM</x:v>
      </x:c>
      <x:c r="G711" t="str" s="2">
        <x:v>Kyla Brown</x:v>
      </x:c>
      <x:c r="H711" s="6">
        <x:v>46272.157960219905</x:v>
      </x:c>
      <x:c r="I711" s="0"/>
      <x:c r="J711" s="0"/>
      <x:c r="K711" s="6">
        <x:v>46286.860737731484</x:v>
      </x:c>
      <x:c r="L711" t="str" s="2">
        <x:v>Contacted</x:v>
      </x:c>
    </x:row>
    <x:row r="712">
      <x:c r="A712" t="str" s="2">
        <x:f>="Nikki Stringfellow"</x:f>
      </x:c>
      <x:c r="B712" t="str" s="2">
        <x:v>Heritage Housing of Minden</x:v>
      </x:c>
      <x:c r="C712" t="str" s="2">
        <x:v>0/1</x:v>
      </x:c>
      <x:c r="D712" t="str" s="2">
        <x:v>3182659051</x:v>
      </x:c>
      <x:c r="E712" t="str" s="2">
        <x:v>emeraldj46@gmail.com</x:v>
      </x:c>
      <x:c r="F712" t="str" s="2">
        <x:v>Landing_BPM</x:v>
      </x:c>
      <x:c r="G712" t="str" s="2">
        <x:v>Patrick Schuchart</x:v>
      </x:c>
      <x:c r="H712" s="6">
        <x:v>46272.25511762731</x:v>
      </x:c>
      <x:c r="I712" s="0"/>
      <x:c r="J712" s="0"/>
      <x:c r="K712" s="6">
        <x:v>46273.70555439815</x:v>
      </x:c>
      <x:c r="L712" t="str" s="2">
        <x:v>Contacted</x:v>
      </x:c>
    </x:row>
    <x:row r="713">
      <x:c r="A713" t="str" s="2">
        <x:f>="Robert Varela"</x:f>
      </x:c>
      <x:c r="B713" t="str" s="2">
        <x:v>Legacy Housing Corp. DBA Americasa</x:v>
      </x:c>
      <x:c r="C713" t="str" s="2">
        <x:v/>
      </x:c>
      <x:c r="D713" t="str" s="2">
        <x:v>8325313587</x:v>
      </x:c>
      <x:c r="E713" t="str" s="2">
        <x:v>robertvarela35@gmail.com</x:v>
      </x:c>
      <x:c r="F713" t="str" s="2">
        <x:v>Financing Form</x:v>
      </x:c>
      <x:c r="G713" t="str" s="2">
        <x:v>Rodrigo Ramirez</x:v>
      </x:c>
      <x:c r="H713" s="6">
        <x:v>46272.29113017361</x:v>
      </x:c>
      <x:c r="I713" s="0"/>
      <x:c r="J713" s="0"/>
      <x:c r="K713" s="6">
        <x:v>46273.9333653588</x:v>
      </x:c>
      <x:c r="L713" t="str" s="2">
        <x:v>Contacted</x:v>
      </x:c>
    </x:row>
    <x:row r="714">
      <x:c r="A714" t="str" s="2">
        <x:f>="Milton Dixon jr"</x:f>
      </x:c>
      <x:c r="B714" t="str" s="2">
        <x:v>Heritage Housing of Augusta</x:v>
      </x:c>
      <x:c r="C714" t="str" s="2">
        <x:v>0/1</x:v>
      </x:c>
      <x:c r="D714" t="str" s="2">
        <x:v>4782514090</x:v>
      </x:c>
      <x:c r="E714" t="str" s="2">
        <x:v>miltondixonjr42@gmail.com</x:v>
      </x:c>
      <x:c r="F714" t="str" s="2">
        <x:v>Landing_BPM</x:v>
      </x:c>
      <x:c r="G714" t="str" s="2">
        <x:v>Jose Chavez</x:v>
      </x:c>
      <x:c r="H714" s="6">
        <x:v>46272.337982488425</x:v>
      </x:c>
      <x:c r="I714" s="0"/>
      <x:c r="J714" s="0"/>
      <x:c r="K714" s="6">
        <x:v>46298.632386770834</x:v>
      </x:c>
      <x:c r="L714" t="str" s="2">
        <x:v>Contacted</x:v>
      </x:c>
    </x:row>
    <x:row r="715">
      <x:c r="A715" t="str" s="2">
        <x:f>="Shane Goettle"</x:f>
      </x:c>
      <x:c r="B715" t="str" s="2">
        <x:v>Heritage Housing Gainesville</x:v>
      </x:c>
      <x:c r="C715" t="str" s="2">
        <x:v/>
      </x:c>
      <x:c r="D715" t="str" s="2">
        <x:v>7575715524</x:v>
      </x:c>
      <x:c r="E715" t="str" s="2">
        <x:v>shanegoettle48@gmail.com</x:v>
      </x:c>
      <x:c r="F715" t="str" s="2">
        <x:v>Landing_BPM</x:v>
      </x:c>
      <x:c r="G715" t="str" s="2">
        <x:v>Jeniffer Arellano</x:v>
      </x:c>
      <x:c r="H715" s="6">
        <x:v>46272.46672109954</x:v>
      </x:c>
      <x:c r="I715" s="0"/>
      <x:c r="J715" s="0"/>
      <x:c r="K715" s="6">
        <x:v>46308.70851311342</x:v>
      </x:c>
      <x:c r="L715" t="str" s="2">
        <x:v>Contacted</x:v>
      </x:c>
    </x:row>
    <x:row r="716">
      <x:c r="A716" t="str" s="2">
        <x:f>="Lavelle Dickey"</x:f>
      </x:c>
      <x:c r="B716" t="str" s="2">
        <x:v>Heritage Housing of Minden</x:v>
      </x:c>
      <x:c r="C716" t="str" s="2">
        <x:v>0/1</x:v>
      </x:c>
      <x:c r="D716" t="str" s="2">
        <x:v>6016691178</x:v>
      </x:c>
      <x:c r="E716" t="str" s="2">
        <x:v>lavelledickey@gmail.com</x:v>
      </x:c>
      <x:c r="F716" t="str" s="2">
        <x:v>Bing - Search</x:v>
      </x:c>
      <x:c r="G716" t="str" s="2">
        <x:v>Kyla Brown</x:v>
      </x:c>
      <x:c r="H716" s="6">
        <x:v>46272.4720466088</x:v>
      </x:c>
      <x:c r="I716" s="0"/>
      <x:c r="J716" s="0"/>
      <x:c r="K716" s="6">
        <x:v>46273.704436608794</x:v>
      </x:c>
      <x:c r="L716" t="str" s="2">
        <x:v>Contacted</x:v>
      </x:c>
    </x:row>
    <x:row r="717">
      <x:c r="A717" t="str" s="2">
        <x:f>="Gina Clemons"</x:f>
      </x:c>
      <x:c r="B717" t="str" s="2">
        <x:v>Heritage Housing of Albany</x:v>
      </x:c>
      <x:c r="C717" t="str" s="2">
        <x:v/>
      </x:c>
      <x:c r="D717" t="str" s="2">
        <x:v>3213650723</x:v>
      </x:c>
      <x:c r="E717" t="str" s="2">
        <x:v>ginatellez22@gmail.com</x:v>
      </x:c>
      <x:c r="F717" t="str" s="2">
        <x:v>Landing_BPM</x:v>
      </x:c>
      <x:c r="G717" t="str" s="2">
        <x:v>Justin Johnson</x:v>
      </x:c>
      <x:c r="H717" s="6">
        <x:v>46272.525572418985</x:v>
      </x:c>
      <x:c r="I717" s="0"/>
      <x:c r="J717" s="0"/>
      <x:c r="K717" s="6">
        <x:v>46280.66956565972</x:v>
      </x:c>
      <x:c r="L717" t="str" s="2">
        <x:v>Contacted</x:v>
      </x:c>
    </x:row>
    <x:row r="718">
      <x:c r="A718" t="str" s="2">
        <x:f>="Ricardo Morante"</x:f>
      </x:c>
      <x:c r="B718" t="str" s="2">
        <x:v>Heritage Housing of Augusta</x:v>
      </x:c>
      <x:c r="C718" t="str" s="2">
        <x:v/>
      </x:c>
      <x:c r="D718" t="str" s="2">
        <x:v>5712881089</x:v>
      </x:c>
      <x:c r="E718" t="str" s="2">
        <x:v>ricmoran7@gmail.com</x:v>
      </x:c>
      <x:c r="F718" t="str" s="2">
        <x:v>Landing_BPM</x:v>
      </x:c>
      <x:c r="G718" t="str" s="2">
        <x:v>Faye Lively</x:v>
      </x:c>
      <x:c r="H718" s="6">
        <x:v>46272.53771331019</x:v>
      </x:c>
      <x:c r="I718" s="0"/>
      <x:c r="J718" s="0"/>
      <x:c r="K718" s="6">
        <x:v>46282.82633900463</x:v>
      </x:c>
      <x:c r="L718" t="str" s="2">
        <x:v>Contacted</x:v>
      </x:c>
    </x:row>
    <x:row r="719">
      <x:c r="A719" t="str" s="2">
        <x:f>="Jack Wong"</x:f>
      </x:c>
      <x:c r="B719" t="str" s="2">
        <x:v>Heritage Housing of Minden</x:v>
      </x:c>
      <x:c r="C719" t="str" s="2">
        <x:v>0/1</x:v>
      </x:c>
      <x:c r="D719" t="str" s="2">
        <x:v>3372749168</x:v>
      </x:c>
      <x:c r="E719" t="str" s="2">
        <x:v>just2kennedy@gmail.com</x:v>
      </x:c>
      <x:c r="F719" t="str" s="2">
        <x:v>Bing - Search</x:v>
      </x:c>
      <x:c r="G719" t="str" s="2">
        <x:v>Patrick Schuchart</x:v>
      </x:c>
      <x:c r="H719" s="6">
        <x:v>46272.613549421294</x:v>
      </x:c>
      <x:c r="I719" s="0"/>
      <x:c r="J719" s="0"/>
      <x:c r="K719" s="6">
        <x:v>46273.702494907404</x:v>
      </x:c>
      <x:c r="L719" t="str" s="2">
        <x:v>Contacted</x:v>
      </x:c>
    </x:row>
    <x:row r="720">
      <x:c r="A720" t="str" s="2">
        <x:f>="Noni Chambers"</x:f>
      </x:c>
      <x:c r="B720" t="str" s="2">
        <x:v>Heritage Housing of Albany</x:v>
      </x:c>
      <x:c r="C720" t="str" s="2">
        <x:v/>
      </x:c>
      <x:c r="D720" t="str" s="2">
        <x:v>9432536079</x:v>
      </x:c>
      <x:c r="E720" t="str" s="2">
        <x:v>84nonichambers@gmail.com</x:v>
      </x:c>
      <x:c r="F720" t="str" s="2">
        <x:v>Landing_BPM</x:v>
      </x:c>
      <x:c r="G720" t="str" s="2">
        <x:v>Yanet Alvarez</x:v>
      </x:c>
      <x:c r="H720" s="6">
        <x:v>46272.67856033565</x:v>
      </x:c>
      <x:c r="I720" s="0"/>
      <x:c r="J720" s="0"/>
      <x:c r="K720" s="6">
        <x:v>46303.8471434375</x:v>
      </x:c>
      <x:c r="L720" t="str" s="2">
        <x:v>Contacted</x:v>
      </x:c>
    </x:row>
    <x:row r="721">
      <x:c r="A721" t="str" s="2">
        <x:f>="Augustine Bautista"</x:f>
      </x:c>
      <x:c r="B721" t="str" s="2">
        <x:v>Legacy Housing Corp. DBA Americasa</x:v>
      </x:c>
      <x:c r="C721" t="str" s="2">
        <x:v/>
      </x:c>
      <x:c r="D721" t="str" s="2">
        <x:v>8328941915</x:v>
      </x:c>
      <x:c r="E721" t="str" s="2">
        <x:v>chrisiedaugherty4321@gmail.com</x:v>
      </x:c>
      <x:c r="F721" t="str" s="2">
        <x:v>Youtube</x:v>
      </x:c>
      <x:c r="G721" t="str" s="2">
        <x:v>Rodrigo Ramirez</x:v>
      </x:c>
      <x:c r="H721" s="6">
        <x:v>46272.69934375</x:v>
      </x:c>
      <x:c r="I721" s="0"/>
      <x:c r="J721" s="0"/>
      <x:c r="K721" s="6">
        <x:v>46273.68394189815</x:v>
      </x:c>
      <x:c r="L721" t="str" s="2">
        <x:v>Contacted</x:v>
      </x:c>
    </x:row>
    <x:row r="722">
      <x:c r="A722" t="str" s="2">
        <x:f>=HYPERLINK("https://rsms.futurehomex.com/lead/39982", "MICHAEL JONES")</x:f>
      </x:c>
      <x:c r="B722" t="str" s="2">
        <x:v>Heritage Housing of Tulsa</x:v>
      </x:c>
      <x:c r="C722" t="str" s="2">
        <x:v>1/1</x:v>
      </x:c>
      <x:c r="D722" t="str" s="2">
        <x:v>9188081004</x:v>
      </x:c>
      <x:c r="E722" t="str" s="2">
        <x:v>husky39642@gmail.com</x:v>
      </x:c>
      <x:c r="F722" t="str" s="2">
        <x:v>Landing_BPM</x:v>
      </x:c>
      <x:c r="G722" t="str" s="2">
        <x:v>Jenna Fransisco</x:v>
      </x:c>
      <x:c r="H722" s="6">
        <x:v>46272.70815142361</x:v>
      </x:c>
      <x:c r="I722" t="str" s="2">
        <x:v>Jenna Fransisco</x:v>
      </x:c>
      <x:c r="J722" s="0"/>
      <x:c r="K722" s="6">
        <x:v>46286.640594791665</x:v>
      </x:c>
      <x:c r="L722" t="str" s="2">
        <x:v>Contacted</x:v>
      </x:c>
    </x:row>
    <x:row r="723">
      <x:c r="A723" t="str" s="2">
        <x:f>="VICTORIA ROSALES"</x:f>
      </x:c>
      <x:c r="B723" t="str" s="2">
        <x:v>Heritage Housing of Greenville</x:v>
      </x:c>
      <x:c r="C723" t="str" s="2">
        <x:v/>
      </x:c>
      <x:c r="D723" t="str" s="2">
        <x:v>9723587730</x:v>
      </x:c>
      <x:c r="E723" t="str" s="2">
        <x:v>FOREVER.TEEE53@ICLOUD.COM</x:v>
      </x:c>
      <x:c r="F723" t="str" s="2">
        <x:v>Bing - Search</x:v>
      </x:c>
      <x:c r="G723" t="str" s="2">
        <x:v>Brooklynn Allen</x:v>
      </x:c>
      <x:c r="H723" s="6">
        <x:v>46272.715738113424</x:v>
      </x:c>
      <x:c r="I723" s="0"/>
      <x:c r="J723" s="0"/>
      <x:c r="K723" s="6">
        <x:v>46273.603015127315</x:v>
      </x:c>
      <x:c r="L723" t="str" s="2">
        <x:v>Contacted</x:v>
      </x:c>
    </x:row>
    <x:row r="724">
      <x:c r="A724" t="str" s="2">
        <x:f>="Peyton Olivia"</x:f>
      </x:c>
      <x:c r="B724" t="str" s="2">
        <x:v>Heritage Housing of Asheboro</x:v>
      </x:c>
      <x:c r="C724" t="str" s="2">
        <x:v/>
      </x:c>
      <x:c r="D724" t="str" s="2">
        <x:v>9809441200</x:v>
      </x:c>
      <x:c r="E724" t="str" s="2">
        <x:v>Peytonoliviajade@icloud.com</x:v>
      </x:c>
      <x:c r="F724" t="str" s="2">
        <x:v>Landing_BPM</x:v>
      </x:c>
      <x:c r="G724" t="str" s="2">
        <x:v>Kate Gutierrez</x:v>
      </x:c>
      <x:c r="H724" s="6">
        <x:v>46272.755723877315</x:v>
      </x:c>
      <x:c r="I724" s="0"/>
      <x:c r="J724" s="0"/>
      <x:c r="K724" s="6">
        <x:v>46286.76403113426</x:v>
      </x:c>
      <x:c r="L724" t="str" s="2">
        <x:v>Contacted</x:v>
      </x:c>
    </x:row>
    <x:row r="725">
      <x:c r="A725" t="str" s="2">
        <x:f>="Samuel Talley Talley"</x:f>
      </x:c>
      <x:c r="B725" t="str" s="2">
        <x:v>Heritage Housing of Minden</x:v>
      </x:c>
      <x:c r="C725" t="str" s="2">
        <x:v>0/1</x:v>
      </x:c>
      <x:c r="D725" t="str" s="2">
        <x:v>8702992062</x:v>
      </x:c>
      <x:c r="E725" t="str" s="2">
        <x:v>atlandandcattle23@gmail.com</x:v>
      </x:c>
      <x:c r="F725" t="str" s="2">
        <x:v>Landing_BPM</x:v>
      </x:c>
      <x:c r="G725" t="str" s="2">
        <x:v>Kyla Brown</x:v>
      </x:c>
      <x:c r="H725" s="6">
        <x:v>46272.762102002314</x:v>
      </x:c>
      <x:c r="I725" s="0"/>
      <x:c r="J725" s="0"/>
      <x:c r="K725" s="6">
        <x:v>46289.71064016204</x:v>
      </x:c>
      <x:c r="L725" t="str" s="2">
        <x:v>Contacted</x:v>
      </x:c>
    </x:row>
    <x:row r="726">
      <x:c r="A726" t="str" s="2">
        <x:f>="Lacey Blankenship"</x:f>
      </x:c>
      <x:c r="B726" t="str" s="2">
        <x:v>Heritage Housing of Minden</x:v>
      </x:c>
      <x:c r="C726" t="str" s="2">
        <x:v>0/1</x:v>
      </x:c>
      <x:c r="D726" t="str" s="2">
        <x:v>3184466415</x:v>
      </x:c>
      <x:c r="E726" t="str" s="2">
        <x:v>imfunsize2u@gmail.com</x:v>
      </x:c>
      <x:c r="F726" t="str" s="2">
        <x:v>Youtube</x:v>
      </x:c>
      <x:c r="G726" t="str" s="2">
        <x:v>Patrick Schuchart</x:v>
      </x:c>
      <x:c r="H726" s="6">
        <x:v>46272.76977017361</x:v>
      </x:c>
      <x:c r="I726" s="0"/>
      <x:c r="J726" s="0"/>
      <x:c r="K726" s="6">
        <x:v>46273.70060818287</x:v>
      </x:c>
      <x:c r="L726" t="str" s="2">
        <x:v>Contacted</x:v>
      </x:c>
    </x:row>
    <x:row r="727">
      <x:c r="A727" t="str" s="2">
        <x:f>="Lis Wilberg"</x:f>
      </x:c>
      <x:c r="B727" t="str" s="2">
        <x:v>Heritage Housing of Asheboro</x:v>
      </x:c>
      <x:c r="C727" t="str" s="2">
        <x:v>1/1</x:v>
      </x:c>
      <x:c r="D727" t="str" s="2">
        <x:v>3369401659</x:v>
      </x:c>
      <x:c r="E727" t="str" s="2">
        <x:v>Lisrw3769@gmail.com</x:v>
      </x:c>
      <x:c r="F727" t="str" s="2">
        <x:v>Website</x:v>
      </x:c>
      <x:c r="G727" t="str" s="2">
        <x:v>Kate Gutierrez</x:v>
      </x:c>
      <x:c r="H727" s="6">
        <x:v>46272.87467792824</x:v>
      </x:c>
      <x:c r="I727" s="0"/>
      <x:c r="J727" s="0"/>
      <x:c r="K727" s="6">
        <x:v>46288.64734618056</x:v>
      </x:c>
      <x:c r="L727" t="str" s="2">
        <x:v>Contacted</x:v>
      </x:c>
    </x:row>
    <x:row r="728">
      <x:c r="A728" t="str" s="2">
        <x:f>="Abdelaziz Rachoui"</x:f>
      </x:c>
      <x:c r="B728" t="str" s="2">
        <x:v>Legacy Housing Corp. DBA Americasa</x:v>
      </x:c>
      <x:c r="C728" t="str" s="2">
        <x:v/>
      </x:c>
      <x:c r="D728" t="str" s="2">
        <x:v>7134786481</x:v>
      </x:c>
      <x:c r="E728" t="str" s="2">
        <x:v>litebrown33@gmail.com</x:v>
      </x:c>
      <x:c r="F728" t="str" s="2">
        <x:v>Youtube</x:v>
      </x:c>
      <x:c r="G728" t="str" s="2">
        <x:v>Rodrigo Ramirez</x:v>
      </x:c>
      <x:c r="H728" s="6">
        <x:v>46272.905210034725</x:v>
      </x:c>
      <x:c r="I728" s="0"/>
      <x:c r="J728" s="0"/>
      <x:c r="K728" s="6">
        <x:v>46273.932329780095</x:v>
      </x:c>
      <x:c r="L728" t="str" s="2">
        <x:v>Contacted</x:v>
      </x:c>
    </x:row>
    <x:row r="729">
      <x:c r="A729" t="str" s="2">
        <x:f>="Tenesha Perry"</x:f>
      </x:c>
      <x:c r="B729" t="str" s="2">
        <x:v>Heritage Housing of Minden</x:v>
      </x:c>
      <x:c r="C729" t="str" s="2">
        <x:v>0/1</x:v>
      </x:c>
      <x:c r="D729" t="str" s="2">
        <x:v>3185759068</x:v>
      </x:c>
      <x:c r="E729" t="str" s="2">
        <x:v>teneshaperry277@gmail.com</x:v>
      </x:c>
      <x:c r="F729" t="str" s="2">
        <x:v>Youtube</x:v>
      </x:c>
      <x:c r="G729" t="str" s="2">
        <x:v>Kyla Brown</x:v>
      </x:c>
      <x:c r="H729" s="6">
        <x:v>46272.91692962963</x:v>
      </x:c>
      <x:c r="I729" s="0"/>
      <x:c r="J729" s="0"/>
      <x:c r="K729" s="6">
        <x:v>46273.69979170139</x:v>
      </x:c>
      <x:c r="L729" t="str" s="2">
        <x:v>Contacted</x:v>
      </x:c>
    </x:row>
    <x:row r="730">
      <x:c r="A730" t="str" s="2">
        <x:f>="Dustin Comstock"</x:f>
      </x:c>
      <x:c r="B730" t="str" s="2">
        <x:v>Heritage Housing of Albany</x:v>
      </x:c>
      <x:c r="C730" t="str" s="2">
        <x:v/>
      </x:c>
      <x:c r="D730" t="str" s="2">
        <x:v>4057655656</x:v>
      </x:c>
      <x:c r="E730" t="str" s="2">
        <x:v>djc42688@gmail.com</x:v>
      </x:c>
      <x:c r="F730" t="str" s="2">
        <x:v>Financing Form</x:v>
      </x:c>
      <x:c r="G730" t="str" s="2">
        <x:v>Alejandra Calderon</x:v>
      </x:c>
      <x:c r="H730" s="6">
        <x:v>46272.968731099536</x:v>
      </x:c>
      <x:c r="I730" s="0"/>
      <x:c r="J730" s="0"/>
      <x:c r="K730" s="6">
        <x:v>46273.67251570602</x:v>
      </x:c>
      <x:c r="L730" t="str" s="2">
        <x:v>Contacted</x:v>
      </x:c>
    </x:row>
    <x:row r="731">
      <x:c r="A731" t="str" s="2">
        <x:f>="Stephanie James"</x:f>
      </x:c>
      <x:c r="B731" t="str" s="2">
        <x:v>Heritage Housing of Asheboro</x:v>
      </x:c>
      <x:c r="C731" t="str" s="2">
        <x:v/>
      </x:c>
      <x:c r="D731" t="str" s="2">
        <x:v>7043963626</x:v>
      </x:c>
      <x:c r="E731" t="str" s="2">
        <x:v>sj1981024@gmail.com</x:v>
      </x:c>
      <x:c r="F731" t="str" s="2">
        <x:v>Youtube</x:v>
      </x:c>
      <x:c r="G731" t="str" s="2">
        <x:v>Kate Gutierrez</x:v>
      </x:c>
      <x:c r="H731" s="6">
        <x:v>46273.07182372685</x:v>
      </x:c>
      <x:c r="I731" s="0"/>
      <x:c r="J731" s="0"/>
      <x:c r="K731" s="6">
        <x:v>46273.74169050926</x:v>
      </x:c>
      <x:c r="L731" t="str" s="2">
        <x:v>Contacted</x:v>
      </x:c>
    </x:row>
    <x:row r="732">
      <x:c r="A732" t="str" s="2">
        <x:f>="Waikeisha Richardson"</x:f>
      </x:c>
      <x:c r="B732" t="str" s="2">
        <x:v>Heritage Housing of Asheboro</x:v>
      </x:c>
      <x:c r="C732" t="str" s="2">
        <x:v/>
      </x:c>
      <x:c r="D732" t="str" s="2">
        <x:v>7432266539</x:v>
      </x:c>
      <x:c r="E732" t="str" s="2">
        <x:v>wiseone0123@gmail.com</x:v>
      </x:c>
      <x:c r="F732" t="str" s="2">
        <x:v>Youtube</x:v>
      </x:c>
      <x:c r="G732" t="str" s="2">
        <x:v>Kate Gutierrez</x:v>
      </x:c>
      <x:c r="H732" s="6">
        <x:v>46273.13647924768</x:v>
      </x:c>
      <x:c r="I732" s="0"/>
      <x:c r="J732" s="0"/>
      <x:c r="K732" s="6">
        <x:v>46274.537621331016</x:v>
      </x:c>
      <x:c r="L732" t="str" s="2">
        <x:v>Contacted</x:v>
      </x:c>
    </x:row>
    <x:row r="733">
      <x:c r="A733" t="str" s="2">
        <x:f>="Raymond Cockrell"</x:f>
      </x:c>
      <x:c r="B733" t="str" s="2">
        <x:v>Heritage Housing Mt Pleasant</x:v>
      </x:c>
      <x:c r="C733" t="str" s="2">
        <x:v/>
      </x:c>
      <x:c r="D733" t="str" s="2">
        <x:v>9365536932</x:v>
      </x:c>
      <x:c r="E733" t="str" s="2">
        <x:v>richardrcockrell@gmail.com</x:v>
      </x:c>
      <x:c r="F733" t="str" s="2">
        <x:v>Bing - Search</x:v>
      </x:c>
      <x:c r="G733" t="str" s="2">
        <x:v>Yarelis Torres</x:v>
      </x:c>
      <x:c r="H733" s="6">
        <x:v>46273.17336284722</x:v>
      </x:c>
      <x:c r="I733" s="0"/>
      <x:c r="J733" s="0"/>
      <x:c r="K733" s="6">
        <x:v>46279.896225613425</x:v>
      </x:c>
      <x:c r="L733" t="str" s="2">
        <x:v>Contacted</x:v>
      </x:c>
    </x:row>
    <x:row r="734">
      <x:c r="A734" t="str" s="2">
        <x:f>="Jasmine Lofton"</x:f>
      </x:c>
      <x:c r="B734" t="str" s="2">
        <x:v>Heritage Housing of Albany</x:v>
      </x:c>
      <x:c r="C734" t="str" s="2">
        <x:v>1/3</x:v>
      </x:c>
      <x:c r="D734" t="str" s="2">
        <x:v>2295000323</x:v>
      </x:c>
      <x:c r="E734" t="str" s="2">
        <x:v>jlofton137@gmail.com</x:v>
      </x:c>
      <x:c r="F734" t="str" s="2">
        <x:v>Landing_BPM</x:v>
      </x:c>
      <x:c r="G734" t="str" s="2">
        <x:v>Justin Johnson</x:v>
      </x:c>
      <x:c r="H734" s="6">
        <x:v>46273.311134641204</x:v>
      </x:c>
      <x:c r="I734" s="0"/>
      <x:c r="J734" s="0"/>
      <x:c r="K734" s="6">
        <x:v>46281.71076223379</x:v>
      </x:c>
      <x:c r="L734" t="str" s="2">
        <x:v>Contacted</x:v>
      </x:c>
    </x:row>
    <x:row r="735">
      <x:c r="A735" t="str" s="2">
        <x:f>="Ke'amber williams"</x:f>
      </x:c>
      <x:c r="B735" t="str" s="2">
        <x:v>Heritage Housing of Augusta</x:v>
      </x:c>
      <x:c r="C735" t="str" s="2">
        <x:v>1/2</x:v>
      </x:c>
      <x:c r="D735" t="str" s="2">
        <x:v>7069279554</x:v>
      </x:c>
      <x:c r="E735" t="str" s="2">
        <x:v>kvwilliams.824@gmail.com</x:v>
      </x:c>
      <x:c r="F735" t="str" s="2">
        <x:v>Bing - Search</x:v>
      </x:c>
      <x:c r="G735" t="str" s="2">
        <x:v>Faye Lively</x:v>
      </x:c>
      <x:c r="H735" s="6">
        <x:v>46273.395343206015</x:v>
      </x:c>
      <x:c r="I735" s="0"/>
      <x:c r="J735" s="0"/>
      <x:c r="K735" s="6">
        <x:v>46277.56726380787</x:v>
      </x:c>
      <x:c r="L735" t="str" s="2">
        <x:v>Contacted</x:v>
      </x:c>
    </x:row>
    <x:row r="736">
      <x:c r="A736" t="str" s="2">
        <x:f>="Joseph Daniel"</x:f>
      </x:c>
      <x:c r="B736" t="str" s="2">
        <x:v>Heritage Housing of Augusta</x:v>
      </x:c>
      <x:c r="C736" t="str" s="2">
        <x:v/>
      </x:c>
      <x:c r="D736" t="str" s="2">
        <x:v>8036132237</x:v>
      </x:c>
      <x:c r="E736" t="str" s="2">
        <x:v>mrjdaniel486@gmail.com</x:v>
      </x:c>
      <x:c r="F736" t="str" s="2">
        <x:v>Youtube</x:v>
      </x:c>
      <x:c r="G736" t="str" s="2">
        <x:v>Faye Lively</x:v>
      </x:c>
      <x:c r="H736" s="6">
        <x:v>46273.51627017361</x:v>
      </x:c>
      <x:c r="I736" s="0"/>
      <x:c r="J736" s="0"/>
      <x:c r="K736" s="6">
        <x:v>46279.87941273148</x:v>
      </x:c>
      <x:c r="L736" t="str" s="2">
        <x:v>Contacted</x:v>
      </x:c>
    </x:row>
    <x:row r="737">
      <x:c r="A737" t="str" s="2">
        <x:f>="Rhiannon Forrest Forrest"</x:f>
      </x:c>
      <x:c r="B737" t="str" s="2">
        <x:v>Heritage Housing of Asheboro</x:v>
      </x:c>
      <x:c r="C737" t="str" s="2">
        <x:v/>
      </x:c>
      <x:c r="D737" t="str" s="2">
        <x:v>7042417304</x:v>
      </x:c>
      <x:c r="E737" t="str" s="2">
        <x:v>rhiannonforrest7@gmail.com</x:v>
      </x:c>
      <x:c r="F737" t="str" s="2">
        <x:v>Landing_BPM</x:v>
      </x:c>
      <x:c r="G737" t="str" s="2">
        <x:v>Kate Gutierrez</x:v>
      </x:c>
      <x:c r="H737" s="6">
        <x:v>46273.52727395833</x:v>
      </x:c>
      <x:c r="I737" s="0"/>
      <x:c r="J737" s="0"/>
      <x:c r="K737" s="6">
        <x:v>46302.743078391206</x:v>
      </x:c>
      <x:c r="L737" t="str" s="2">
        <x:v>Contacted</x:v>
      </x:c>
    </x:row>
    <x:row r="738">
      <x:c r="A738" t="str" s="2">
        <x:f>="Kimberly Vergara"</x:f>
      </x:c>
      <x:c r="B738" t="str" s="2">
        <x:v>Heritage Housing Gainesville</x:v>
      </x:c>
      <x:c r="C738" t="str" s="2">
        <x:v/>
      </x:c>
      <x:c r="D738" t="str" s="2">
        <x:v>9188538939</x:v>
      </x:c>
      <x:c r="E738" t="str" s="2">
        <x:v>lylitheseason5@gmail.com</x:v>
      </x:c>
      <x:c r="F738" t="str" s="2">
        <x:v>Website</x:v>
      </x:c>
      <x:c r="G738" t="str" s="2">
        <x:v>Jeniffer Arellano</x:v>
      </x:c>
      <x:c r="H738" s="6">
        <x:v>46273.56926226852</x:v>
      </x:c>
      <x:c r="I738" s="0"/>
      <x:c r="J738" s="0"/>
      <x:c r="K738" s="6">
        <x:v>46308.708985798614</x:v>
      </x:c>
      <x:c r="L738" t="str" s="2">
        <x:v>Contacted</x:v>
      </x:c>
    </x:row>
    <x:row r="739">
      <x:c r="A739" t="str" s="2">
        <x:f>="Jerry Flowers"</x:f>
      </x:c>
      <x:c r="B739" t="str" s="2">
        <x:v>Heritage Housing of Greenville</x:v>
      </x:c>
      <x:c r="C739" t="str" s="2">
        <x:v/>
      </x:c>
      <x:c r="D739" t="str" s="2">
        <x:v>2145789243</x:v>
      </x:c>
      <x:c r="E739" t="str" s="2">
        <x:v>jrflowers809@outlook.com</x:v>
      </x:c>
      <x:c r="F739" t="str" s="2">
        <x:v>LandingPage</x:v>
      </x:c>
      <x:c r="G739" t="str" s="2">
        <x:v>Stephen Sanders</x:v>
      </x:c>
      <x:c r="H739" s="6">
        <x:v>46273.56963329861</x:v>
      </x:c>
      <x:c r="I739" s="0"/>
      <x:c r="J739" s="0"/>
      <x:c r="K739" s="6">
        <x:v>46273.60796030093</x:v>
      </x:c>
      <x:c r="L739" t="str" s="2">
        <x:v>Contacted</x:v>
      </x:c>
    </x:row>
    <x:row r="740">
      <x:c r="A740" t="str" s="2">
        <x:f>="Jessica Johnson"</x:f>
      </x:c>
      <x:c r="B740" t="str" s="2">
        <x:v>Heritage Housing of Augusta</x:v>
      </x:c>
      <x:c r="C740" t="str" s="2">
        <x:v/>
      </x:c>
      <x:c r="D740" t="str" s="2">
        <x:v>7067506583</x:v>
      </x:c>
      <x:c r="E740" t="str" s="2">
        <x:v>jessicabrookejohnson7@gmail.com</x:v>
      </x:c>
      <x:c r="F740" t="str" s="2">
        <x:v>Website</x:v>
      </x:c>
      <x:c r="G740" t="str" s="2">
        <x:v>Faye Lively</x:v>
      </x:c>
      <x:c r="H740" s="6">
        <x:v>46273.63036678241</x:v>
      </x:c>
      <x:c r="I740" s="0"/>
      <x:c r="J740" s="0"/>
      <x:c r="K740" s="6">
        <x:v>46279.878328819446</x:v>
      </x:c>
      <x:c r="L740" t="str" s="2">
        <x:v>Contacted</x:v>
      </x:c>
    </x:row>
    <x:row r="741">
      <x:c r="A741" t="str" s="2">
        <x:f>="steven white"</x:f>
      </x:c>
      <x:c r="B741" t="str" s="2">
        <x:v>Heritage Housing of Greenville</x:v>
      </x:c>
      <x:c r="C741" t="str" s="2">
        <x:v/>
      </x:c>
      <x:c r="D741" t="str" s="2">
        <x:v>4699196932</x:v>
      </x:c>
      <x:c r="E741" t="str" s="2">
        <x:v>scwhitejr23@gmail.com</x:v>
      </x:c>
      <x:c r="F741" t="str" s="2">
        <x:v>Bing - Search</x:v>
      </x:c>
      <x:c r="G741" t="str" s="2">
        <x:v>Ana Garcia</x:v>
      </x:c>
      <x:c r="H741" s="6">
        <x:v>46273.657573460645</x:v>
      </x:c>
      <x:c r="I741" s="0"/>
      <x:c r="J741" s="0"/>
      <x:c r="K741" s="6">
        <x:v>46273.75946670139</x:v>
      </x:c>
      <x:c r="L741" t="str" s="2">
        <x:v>Contacted</x:v>
      </x:c>
    </x:row>
    <x:row r="742">
      <x:c r="A742" t="str" s="2">
        <x:f>="Brenna Theurer Armstrong"</x:f>
      </x:c>
      <x:c r="B742" t="str" s="2">
        <x:v>Heritage Housing Gainesville</x:v>
      </x:c>
      <x:c r="C742" t="str" s="2">
        <x:v/>
      </x:c>
      <x:c r="D742" t="str" s="2">
        <x:v>9408674275</x:v>
      </x:c>
      <x:c r="E742" t="str" s="2">
        <x:v>brennamarmstrong@gmail.com</x:v>
      </x:c>
      <x:c r="F742" t="str" s="2">
        <x:v>Landing_BPM</x:v>
      </x:c>
      <x:c r="G742" t="str" s="2">
        <x:v>Jeniffer Arellano</x:v>
      </x:c>
      <x:c r="H742" s="6">
        <x:v>46273.735593784724</x:v>
      </x:c>
      <x:c r="I742" s="0"/>
      <x:c r="J742" s="0"/>
      <x:c r="K742" s="6">
        <x:v>46308.7090621875</x:v>
      </x:c>
      <x:c r="L742" t="str" s="2">
        <x:v>Contacted</x:v>
      </x:c>
    </x:row>
    <x:row r="743">
      <x:c r="A743" t="str" s="2">
        <x:f>="Olivia Melvin"</x:f>
      </x:c>
      <x:c r="B743" t="str" s="2">
        <x:v>Heritage Housing of Asheboro</x:v>
      </x:c>
      <x:c r="C743" t="str" s="2">
        <x:v/>
      </x:c>
      <x:c r="D743" t="str" s="2">
        <x:v>3369535299</x:v>
      </x:c>
      <x:c r="E743" t="str" s="2">
        <x:v>okmelvin1988@gmail.com</x:v>
      </x:c>
      <x:c r="F743" t="str" s="2">
        <x:v>LandingPage</x:v>
      </x:c>
      <x:c r="G743" t="str" s="2">
        <x:v>Kate Gutierrez</x:v>
      </x:c>
      <x:c r="H743" s="6">
        <x:v>46273.73698028935</x:v>
      </x:c>
      <x:c r="I743" s="0"/>
      <x:c r="J743" s="0"/>
      <x:c r="K743" s="6">
        <x:v>46280.64701015046</x:v>
      </x:c>
      <x:c r="L743" t="str" s="2">
        <x:v>Contacted</x:v>
      </x:c>
    </x:row>
    <x:row r="744">
      <x:c r="A744" t="str" s="2">
        <x:f>="Joan Lenard"</x:f>
      </x:c>
      <x:c r="B744" t="str" s="2">
        <x:v>Heritage Housing of Augusta</x:v>
      </x:c>
      <x:c r="C744" t="str" s="2">
        <x:v/>
      </x:c>
      <x:c r="D744" t="str" s="2">
        <x:v>4809066375</x:v>
      </x:c>
      <x:c r="E744" t="str" s="2">
        <x:v>joanlenard9@gmail.com</x:v>
      </x:c>
      <x:c r="F744" t="str" s="2">
        <x:v>Landing_BPM</x:v>
      </x:c>
      <x:c r="G744" t="str" s="2">
        <x:v>Faye Lively</x:v>
      </x:c>
      <x:c r="H744" s="6">
        <x:v>46273.74002538194</x:v>
      </x:c>
      <x:c r="I744" s="0"/>
      <x:c r="J744" s="0"/>
      <x:c r="K744" s="6">
        <x:v>46277.56518133102</x:v>
      </x:c>
      <x:c r="L744" t="str" s="2">
        <x:v>Contacted</x:v>
      </x:c>
    </x:row>
    <x:row r="745">
      <x:c r="A745" t="str" s="2">
        <x:f>="Justin Daniely"</x:f>
      </x:c>
      <x:c r="B745" t="str" s="2">
        <x:v>Heritage Housing of Albany</x:v>
      </x:c>
      <x:c r="C745" t="str" s="2">
        <x:v/>
      </x:c>
      <x:c r="D745" t="str" s="2">
        <x:v>4782355716</x:v>
      </x:c>
      <x:c r="E745" t="str" s="2">
        <x:v>Danielyjustin1@gmail.com</x:v>
      </x:c>
      <x:c r="F745" t="str" s="2">
        <x:v>Youtube</x:v>
      </x:c>
      <x:c r="G745" t="str" s="2">
        <x:v>Justin Johnson</x:v>
      </x:c>
      <x:c r="H745" s="6">
        <x:v>46273.7422622338</x:v>
      </x:c>
      <x:c r="I745" s="0"/>
      <x:c r="J745" s="0"/>
      <x:c r="K745" s="6">
        <x:v>46286.94196322917</x:v>
      </x:c>
      <x:c r="L745" t="str" s="2">
        <x:v>Contacted</x:v>
      </x:c>
    </x:row>
    <x:row r="746">
      <x:c r="A746" t="str" s="2">
        <x:f>=HYPERLINK("https://rsms.futurehomex.com/lead/39797", "James Duncan")</x:f>
      </x:c>
      <x:c r="B746" t="str" s="2">
        <x:v>Heritage Housing Mt Pleasant</x:v>
      </x:c>
      <x:c r="C746" t="str" s="2">
        <x:v/>
      </x:c>
      <x:c r="D746" t="str" s="2">
        <x:v>9032046069</x:v>
      </x:c>
      <x:c r="E746" t="str" s="2">
        <x:v>rawiron@outlook.com</x:v>
      </x:c>
      <x:c r="F746" t="str" s="2">
        <x:v>Referrals</x:v>
      </x:c>
      <x:c r="G746" t="str" s="2">
        <x:v>Yarelis Torres</x:v>
      </x:c>
      <x:c r="H746" s="6">
        <x:v>46273.767991168985</x:v>
      </x:c>
      <x:c r="I746" t="str" s="2">
        <x:v>Yarelis Torres</x:v>
      </x:c>
      <x:c r="J746" s="0"/>
      <x:c r="K746" s="6">
        <x:v>46276.96734927083</x:v>
      </x:c>
      <x:c r="L746" t="str" s="2">
        <x:v>Contacted</x:v>
      </x:c>
    </x:row>
    <x:row r="747">
      <x:c r="A747" t="str" s="2">
        <x:f>="Johnny Deas"</x:f>
      </x:c>
      <x:c r="B747" t="str" s="2">
        <x:v>Legacy Housing Corp. DBA Americasa</x:v>
      </x:c>
      <x:c r="C747" t="str" s="2">
        <x:v/>
      </x:c>
      <x:c r="D747" t="str" s="2">
        <x:v>3468097872</x:v>
      </x:c>
      <x:c r="E747" t="str" s="2">
        <x:v>ebonyprince1951@gmail.com</x:v>
      </x:c>
      <x:c r="F747" t="str" s="2">
        <x:v>Landing_BPM</x:v>
      </x:c>
      <x:c r="G747" t="str" s="2">
        <x:v>Rodrigo Ramirez</x:v>
      </x:c>
      <x:c r="H747" s="6">
        <x:v>46273.791933912034</x:v>
      </x:c>
      <x:c r="I747" s="0"/>
      <x:c r="J747" s="0"/>
      <x:c r="K747" s="6">
        <x:v>46273.93442438657</x:v>
      </x:c>
      <x:c r="L747" t="str" s="2">
        <x:v>Contacted</x:v>
      </x:c>
    </x:row>
    <x:row r="748">
      <x:c r="A748" t="str" s="2">
        <x:f>="RICHARD GUYOTE"</x:f>
      </x:c>
      <x:c r="B748" t="str" s="2">
        <x:v>Heritage Housing of Albany</x:v>
      </x:c>
      <x:c r="C748" t="str" s="2">
        <x:v/>
      </x:c>
      <x:c r="D748" t="str" s="2">
        <x:v>3379656440</x:v>
      </x:c>
      <x:c r="E748" t="str" s="2">
        <x:v>rguyote@gmail.com</x:v>
      </x:c>
      <x:c r="F748" t="str" s="2">
        <x:v>Financing Form</x:v>
      </x:c>
      <x:c r="G748" t="str" s="2">
        <x:v>Justin Johnson</x:v>
      </x:c>
      <x:c r="H748" s="6">
        <x:v>46273.8274494213</x:v>
      </x:c>
      <x:c r="I748" s="0"/>
      <x:c r="J748" s="0"/>
      <x:c r="K748" s="6">
        <x:v>46286.93728248843</x:v>
      </x:c>
      <x:c r="L748" t="str" s="2">
        <x:v>Contacted</x:v>
      </x:c>
    </x:row>
    <x:row r="749">
      <x:c r="A749" t="str" s="2">
        <x:f>="jamarion little"</x:f>
      </x:c>
      <x:c r="B749" t="str" s="2">
        <x:v>Heritage Housing of Augusta</x:v>
      </x:c>
      <x:c r="C749" t="str" s="2">
        <x:v/>
      </x:c>
      <x:c r="D749" t="str" s="2">
        <x:v>6783835202</x:v>
      </x:c>
      <x:c r="E749" t="str" s="2">
        <x:v>jamarionlittle11305@gmail.com</x:v>
      </x:c>
      <x:c r="F749" t="str" s="2">
        <x:v>Landing_BPM</x:v>
      </x:c>
      <x:c r="G749" t="str" s="2">
        <x:v>Faye Lively</x:v>
      </x:c>
      <x:c r="H749" s="6">
        <x:v>46273.83067152778</x:v>
      </x:c>
      <x:c r="I749" s="0"/>
      <x:c r="J749" s="0"/>
      <x:c r="K749" s="6">
        <x:v>46279.753704282404</x:v>
      </x:c>
      <x:c r="L749" t="str" s="2">
        <x:v>Contacted</x:v>
      </x:c>
    </x:row>
    <x:row r="750">
      <x:c r="A750" t="str" s="2">
        <x:f>="Gary Ringenberg"</x:f>
      </x:c>
      <x:c r="B750" t="str" s="2">
        <x:v>Heritage Housing Gainesville</x:v>
      </x:c>
      <x:c r="C750" t="str" s="2">
        <x:v/>
      </x:c>
      <x:c r="D750" t="str" s="2">
        <x:v>8156937378</x:v>
      </x:c>
      <x:c r="E750" t="str" s="2">
        <x:v>g.ringenberg@me.com</x:v>
      </x:c>
      <x:c r="F750" t="str" s="2">
        <x:v>LandingPage</x:v>
      </x:c>
      <x:c r="G750" t="str" s="2">
        <x:v>Jeniffer Arellano</x:v>
      </x:c>
      <x:c r="H750" s="6">
        <x:v>46273.83446145833</x:v>
      </x:c>
      <x:c r="I750" s="0"/>
      <x:c r="J750" s="0"/>
      <x:c r="K750" s="6">
        <x:v>46308.70917905093</x:v>
      </x:c>
      <x:c r="L750" t="str" s="2">
        <x:v>Contacted</x:v>
      </x:c>
    </x:row>
    <x:row r="751">
      <x:c r="A751" t="str" s="2">
        <x:f>="Serena West"</x:f>
      </x:c>
      <x:c r="B751" t="str" s="2">
        <x:v>Legacy Housing Corp. DBA Americasa</x:v>
      </x:c>
      <x:c r="C751" t="str" s="2">
        <x:v/>
      </x:c>
      <x:c r="D751" t="str" s="2">
        <x:v>4097912865</x:v>
      </x:c>
      <x:c r="E751" t="str" s="2">
        <x:v>serenawest0110@gmail.com</x:v>
      </x:c>
      <x:c r="F751" t="str" s="2">
        <x:v>Landing_BPM</x:v>
      </x:c>
      <x:c r="G751" t="str" s="2">
        <x:v>Rodrigo Ramirez</x:v>
      </x:c>
      <x:c r="H751" s="6">
        <x:v>46273.93732774306</x:v>
      </x:c>
      <x:c r="I751" s="0"/>
      <x:c r="J751" s="0"/>
      <x:c r="K751" s="6">
        <x:v>46273.938339583336</x:v>
      </x:c>
      <x:c r="L751" t="str" s="2">
        <x:v>Contacted</x:v>
      </x:c>
    </x:row>
    <x:row r="752">
      <x:c r="A752" t="str" s="2">
        <x:f>="rebeca perez perez"</x:f>
      </x:c>
      <x:c r="B752" t="str" s="2">
        <x:v>Heritage Housing of Albany</x:v>
      </x:c>
      <x:c r="C752" t="str" s="2">
        <x:v/>
      </x:c>
      <x:c r="D752" t="str" s="2">
        <x:v>4078815259</x:v>
      </x:c>
      <x:c r="E752" t="str" s="2">
        <x:v>rebecalisset17@gmail.com</x:v>
      </x:c>
      <x:c r="F752" t="str" s="2">
        <x:v>Landing_BPM</x:v>
      </x:c>
      <x:c r="G752" t="str" s="2">
        <x:v>Justin Johnson</x:v>
      </x:c>
      <x:c r="H752" s="6">
        <x:v>46273.94494163195</x:v>
      </x:c>
      <x:c r="I752" s="0"/>
      <x:c r="J752" s="0"/>
      <x:c r="K752" s="6">
        <x:v>46274.57783773148</x:v>
      </x:c>
      <x:c r="L752" t="str" s="2">
        <x:v>Contacted</x:v>
      </x:c>
    </x:row>
    <x:row r="753">
      <x:c r="A753" t="str" s="2">
        <x:f>="Jennifer Ahmed"</x:f>
      </x:c>
      <x:c r="B753" t="str" s="2">
        <x:v>Heritage Housing Marble Falls</x:v>
      </x:c>
      <x:c r="C753" t="str" s="2">
        <x:v/>
      </x:c>
      <x:c r="D753" t="str" s="2">
        <x:v>3464795327</x:v>
      </x:c>
      <x:c r="E753" t="str" s="2">
        <x:v>jennifer.ahmed@diplomats.com</x:v>
      </x:c>
      <x:c r="F753" t="str" s="2">
        <x:v>Youtube</x:v>
      </x:c>
      <x:c r="G753" t="str" s="2">
        <x:v>Garrett Riedesel</x:v>
      </x:c>
      <x:c r="H753" s="6">
        <x:v>46274.022637002316</x:v>
      </x:c>
      <x:c r="I753" s="0"/>
      <x:c r="J753" s="0"/>
      <x:c r="K753" s="6">
        <x:v>46289.669352083336</x:v>
      </x:c>
      <x:c r="L753" t="str" s="2">
        <x:v>Contacted</x:v>
      </x:c>
    </x:row>
    <x:row r="754">
      <x:c r="A754" t="str" s="2">
        <x:f>="Cedric Johnson"</x:f>
      </x:c>
      <x:c r="B754" t="str" s="2">
        <x:v>Heritage Housing Marble Falls</x:v>
      </x:c>
      <x:c r="C754" t="str" s="2">
        <x:v/>
      </x:c>
      <x:c r="D754" t="str" s="2">
        <x:v>3614805848</x:v>
      </x:c>
      <x:c r="E754" t="str" s="2">
        <x:v>cj8098@gmail.com</x:v>
      </x:c>
      <x:c r="F754" t="str" s="2">
        <x:v>Landing_BPM</x:v>
      </x:c>
      <x:c r="G754" t="str" s="2">
        <x:v>Stephen Sanders</x:v>
      </x:c>
      <x:c r="H754" s="6">
        <x:v>46274.22352716435</x:v>
      </x:c>
      <x:c r="I754" s="0"/>
      <x:c r="J754" s="0"/>
      <x:c r="K754" s="6">
        <x:v>46283.63714105324</x:v>
      </x:c>
      <x:c r="L754" t="str" s="2">
        <x:v>Contacted</x:v>
      </x:c>
    </x:row>
    <x:row r="755">
      <x:c r="A755" t="str" s="2">
        <x:f>="Salvador Serigny"</x:f>
      </x:c>
      <x:c r="B755" t="str" s="2">
        <x:v>Heritage Housing of Minden</x:v>
      </x:c>
      <x:c r="C755" t="str" s="2">
        <x:v>0/1</x:v>
      </x:c>
      <x:c r="D755" t="str" s="2">
        <x:v>3182396983</x:v>
      </x:c>
      <x:c r="E755" t="str" s="2">
        <x:v>serignysalvador7@gmail.com</x:v>
      </x:c>
      <x:c r="F755" t="str" s="2">
        <x:v>Youtube</x:v>
      </x:c>
      <x:c r="G755" t="str" s="2">
        <x:v>Patrick Schuchart</x:v>
      </x:c>
      <x:c r="H755" s="6">
        <x:v>46274.247150428244</x:v>
      </x:c>
      <x:c r="I755" s="0"/>
      <x:c r="J755" s="0"/>
      <x:c r="K755" s="6">
        <x:v>46274.69214305555</x:v>
      </x:c>
      <x:c r="L755" t="str" s="2">
        <x:v>Contacted</x:v>
      </x:c>
    </x:row>
    <x:row r="756">
      <x:c r="A756" t="str" s="2">
        <x:f>="Valentina Burton"</x:f>
      </x:c>
      <x:c r="B756" t="str" s="2">
        <x:v>Heritage Housing of Augusta</x:v>
      </x:c>
      <x:c r="C756" t="str" s="2">
        <x:v/>
      </x:c>
      <x:c r="D756" t="str" s="2">
        <x:v>4783771475</x:v>
      </x:c>
      <x:c r="E756" t="str" s="2">
        <x:v>marie851164@gmail.com</x:v>
      </x:c>
      <x:c r="F756" t="str" s="2">
        <x:v>Landing_BPM</x:v>
      </x:c>
      <x:c r="G756" t="str" s="2">
        <x:v>Faye Lively</x:v>
      </x:c>
      <x:c r="H756" s="6">
        <x:v>46274.54930975694</x:v>
      </x:c>
      <x:c r="I756" s="0"/>
      <x:c r="J756" s="0"/>
      <x:c r="K756" s="6">
        <x:v>46279.8765565625</x:v>
      </x:c>
      <x:c r="L756" t="str" s="2">
        <x:v>Contacted</x:v>
      </x:c>
    </x:row>
    <x:row r="757">
      <x:c r="A757" t="str" s="2">
        <x:f>="Dorothy Ellison"</x:f>
      </x:c>
      <x:c r="B757" t="str" s="2">
        <x:v>Heritage Housing of Asheboro</x:v>
      </x:c>
      <x:c r="C757" t="str" s="2">
        <x:v/>
      </x:c>
      <x:c r="D757" t="str" s="2">
        <x:v>7043908839</x:v>
      </x:c>
      <x:c r="E757" t="str" s="2">
        <x:v>ellisondorothy45@gmail.com</x:v>
      </x:c>
      <x:c r="F757" t="str" s="2">
        <x:v>Bing - Search</x:v>
      </x:c>
      <x:c r="G757" t="str" s="2">
        <x:v>Kate Gutierrez</x:v>
      </x:c>
      <x:c r="H757" s="6">
        <x:v>46274.567979513886</x:v>
      </x:c>
      <x:c r="I757" s="0"/>
      <x:c r="J757" s="0"/>
      <x:c r="K757" s="6">
        <x:v>46283.853282951386</x:v>
      </x:c>
      <x:c r="L757" t="str" s="2">
        <x:v>Contacted</x:v>
      </x:c>
    </x:row>
    <x:row r="758">
      <x:c r="A758" t="str" s="2">
        <x:f>="DAKOTA MCMICHAEL"</x:f>
      </x:c>
      <x:c r="B758" t="str" s="2">
        <x:v>Heritage Housing of Augusta</x:v>
      </x:c>
      <x:c r="C758" t="str" s="2">
        <x:v/>
      </x:c>
      <x:c r="D758" t="str" s="2">
        <x:v>4702350622</x:v>
      </x:c>
      <x:c r="E758" t="str" s="2">
        <x:v>andrewmcmichael2025@gmail.com</x:v>
      </x:c>
      <x:c r="F758" t="str" s="2">
        <x:v>Landing_BPM</x:v>
      </x:c>
      <x:c r="G758" t="str" s="2">
        <x:v>Faye Lively</x:v>
      </x:c>
      <x:c r="H758" s="6">
        <x:v>46274.6155371875</x:v>
      </x:c>
      <x:c r="I758" s="0"/>
      <x:c r="J758" s="0"/>
      <x:c r="K758" s="6">
        <x:v>46277.57070300926</x:v>
      </x:c>
      <x:c r="L758" t="str" s="2">
        <x:v>Contacted</x:v>
      </x:c>
    </x:row>
    <x:row r="759">
      <x:c r="A759" t="str" s="2">
        <x:f>="Heather Smitherman"</x:f>
      </x:c>
      <x:c r="B759" t="str" s="2">
        <x:v>Legacy Housing Corp. DBA Americasa</x:v>
      </x:c>
      <x:c r="C759" t="str" s="2">
        <x:v/>
      </x:c>
      <x:c r="D759" t="str" s="2">
        <x:v>9364366817</x:v>
      </x:c>
      <x:c r="E759" t="str" s="2">
        <x:v>hsmitherman678@gmail.com</x:v>
      </x:c>
      <x:c r="F759" t="str" s="2">
        <x:v>Landing_BPM</x:v>
      </x:c>
      <x:c r="G759" t="str" s="2">
        <x:v>Joey Marquez</x:v>
      </x:c>
      <x:c r="H759" s="6">
        <x:v>46274.650359872685</x:v>
      </x:c>
      <x:c r="I759" s="0"/>
      <x:c r="J759" s="0"/>
      <x:c r="K759" s="6">
        <x:v>46282.76726605324</x:v>
      </x:c>
      <x:c r="L759" t="str" s="2">
        <x:v>Contacted</x:v>
      </x:c>
    </x:row>
    <x:row r="760">
      <x:c r="A760" t="str" s="2">
        <x:f>="Cheyenne Dalton"</x:f>
      </x:c>
      <x:c r="B760" t="str" s="2">
        <x:v>Legacy Housing Corp. DBA Americasa</x:v>
      </x:c>
      <x:c r="C760" t="str" s="2">
        <x:v/>
      </x:c>
      <x:c r="D760" t="str" s="2">
        <x:v>3469167127</x:v>
      </x:c>
      <x:c r="E760" t="str" s="2">
        <x:v>cheyenned040@gmail.com</x:v>
      </x:c>
      <x:c r="F760" t="str" s="2">
        <x:v>Website</x:v>
      </x:c>
      <x:c r="G760" t="str" s="2">
        <x:v>Rodrigo Ramirez</x:v>
      </x:c>
      <x:c r="H760" s="6">
        <x:v>46274.66531736111</x:v>
      </x:c>
      <x:c r="I760" s="0"/>
      <x:c r="J760" s="0"/>
      <x:c r="K760" s="6">
        <x:v>46276.002840625</x:v>
      </x:c>
      <x:c r="L760" t="str" s="2">
        <x:v>Contacted</x:v>
      </x:c>
    </x:row>
    <x:row r="761">
      <x:c r="A761" t="str" s="2">
        <x:f>="Keshia Johnson"</x:f>
      </x:c>
      <x:c r="B761" t="str" s="2">
        <x:v>Heritage Housing Gainesville</x:v>
      </x:c>
      <x:c r="C761" t="str" s="2">
        <x:v/>
      </x:c>
      <x:c r="D761" t="str" s="2">
        <x:v>4699568932</x:v>
      </x:c>
      <x:c r="E761" t="str" s="2">
        <x:v>johnsonkeshia399@gmail.com</x:v>
      </x:c>
      <x:c r="F761" t="str" s="2">
        <x:v>Youtube</x:v>
      </x:c>
      <x:c r="G761" t="str" s="2">
        <x:v>Jeniffer Arellano</x:v>
      </x:c>
      <x:c r="H761" s="6">
        <x:v>46274.66976585648</x:v>
      </x:c>
      <x:c r="I761" s="0"/>
      <x:c r="J761" s="0"/>
      <x:c r="K761" s="6">
        <x:v>46308.70926894676</x:v>
      </x:c>
      <x:c r="L761" t="str" s="2">
        <x:v>Contacted</x:v>
      </x:c>
    </x:row>
    <x:row r="762">
      <x:c r="A762" t="str" s="2">
        <x:f>="Sabyle Young"</x:f>
      </x:c>
      <x:c r="B762" t="str" s="2">
        <x:v>Heritage Housing of Asheboro</x:v>
      </x:c>
      <x:c r="C762" t="str" s="2">
        <x:v/>
      </x:c>
      <x:c r="D762" t="str" s="2">
        <x:v>9805602452</x:v>
      </x:c>
      <x:c r="E762" t="str" s="2">
        <x:v>slybill17@gmail.com</x:v>
      </x:c>
      <x:c r="F762" t="str" s="2">
        <x:v>Youtube</x:v>
      </x:c>
      <x:c r="G762" t="str" s="2">
        <x:v>Kate Gutierrez</x:v>
      </x:c>
      <x:c r="H762" s="6">
        <x:v>46274.70451377315</x:v>
      </x:c>
      <x:c r="I762" s="0"/>
      <x:c r="J762" s="0"/>
      <x:c r="K762" s="6">
        <x:v>46303.826896990744</x:v>
      </x:c>
      <x:c r="L762" t="str" s="2">
        <x:v>Contacted</x:v>
      </x:c>
    </x:row>
    <x:row r="763">
      <x:c r="A763" t="str" s="2">
        <x:f>=HYPERLINK("https://rsms.futurehomex.com/lead/39834", "Eric Ward")</x:f>
      </x:c>
      <x:c r="B763" t="str" s="2">
        <x:v>Heritage Housing of Albany</x:v>
      </x:c>
      <x:c r="C763" t="str" s="2">
        <x:v/>
      </x:c>
      <x:c r="D763" t="str" s="2">
        <x:v>5094260927</x:v>
      </x:c>
      <x:c r="E763" t="str" s="2">
        <x:v>epw.907@gmail.com</x:v>
      </x:c>
      <x:c r="F763" t="str" s="2">
        <x:v>Facebook Messenger</x:v>
      </x:c>
      <x:c r="G763" t="str" s="2">
        <x:v>Yanet Alvarez</x:v>
      </x:c>
      <x:c r="H763" s="6">
        <x:v>46274.71082025463</x:v>
      </x:c>
      <x:c r="I763" t="str" s="2">
        <x:v>Alexander Bryant</x:v>
      </x:c>
      <x:c r="J763" s="0"/>
      <x:c r="K763" s="6">
        <x:v>46288.65601010417</x:v>
      </x:c>
      <x:c r="L763" t="str" s="2">
        <x:v>Contacted</x:v>
      </x:c>
    </x:row>
    <x:row r="764">
      <x:c r="A764" t="str" s="2">
        <x:f>="Test Test"</x:f>
      </x:c>
      <x:c r="B764" t="str" s="2">
        <x:v>Heritage Housing of Tulsa</x:v>
      </x:c>
      <x:c r="C764" t="str" s="2">
        <x:v>1/1</x:v>
      </x:c>
      <x:c r="D764" t="str" s="2">
        <x:v>2088186454</x:v>
      </x:c>
      <x:c r="E764" t="str" s="2">
        <x:v>noemail@gmail.com</x:v>
      </x:c>
      <x:c r="F764" t="str" s="2">
        <x:v>Other</x:v>
      </x:c>
      <x:c r="G764" t="str" s="2">
        <x:v>Jenna Fransisco</x:v>
      </x:c>
      <x:c r="H764" s="6">
        <x:v>46274.711262881945</x:v>
      </x:c>
      <x:c r="I764" s="0"/>
      <x:c r="J764" s="0"/>
      <x:c r="K764" s="6">
        <x:v>46274.72008140046</x:v>
      </x:c>
      <x:c r="L764" t="str" s="2">
        <x:v>Contacted</x:v>
      </x:c>
    </x:row>
    <x:row r="765">
      <x:c r="A765" t="str" s="2">
        <x:f>="Corie Williams"</x:f>
      </x:c>
      <x:c r="B765" t="str" s="2">
        <x:v>Heritage Housing of Albany</x:v>
      </x:c>
      <x:c r="C765" t="str" s="2">
        <x:v/>
      </x:c>
      <x:c r="D765" t="str" s="2">
        <x:v>9432137187</x:v>
      </x:c>
      <x:c r="E765" t="str" s="2">
        <x:v>williamscorie86@gmail.com</x:v>
      </x:c>
      <x:c r="F765" t="str" s="2">
        <x:v>Youtube</x:v>
      </x:c>
      <x:c r="G765" t="str" s="2">
        <x:v>Yanet Alvarez</x:v>
      </x:c>
      <x:c r="H765" s="6">
        <x:v>46274.734569988424</x:v>
      </x:c>
      <x:c r="I765" s="0"/>
      <x:c r="J765" s="0"/>
      <x:c r="K765" s="6">
        <x:v>46274.797552083335</x:v>
      </x:c>
      <x:c r="L765" t="str" s="2">
        <x:v>Contacted</x:v>
      </x:c>
    </x:row>
    <x:row r="766">
      <x:c r="A766" t="str" s="2">
        <x:f>=HYPERLINK("https://rsms.futurehomex.com/lead/39897", "Felipe Herrera")</x:f>
      </x:c>
      <x:c r="B766" t="str" s="2">
        <x:v>Heritage Housing Marble Falls</x:v>
      </x:c>
      <x:c r="C766" t="str" s="2">
        <x:v/>
      </x:c>
      <x:c r="D766" t="str" s="2">
        <x:v>13615103647</x:v>
      </x:c>
      <x:c r="E766" t="str" s="2">
        <x:v>herrerajrf@gmail.com</x:v>
      </x:c>
      <x:c r="F766" t="str" s="2">
        <x:v>Website</x:v>
      </x:c>
      <x:c r="G766" t="str" s="2">
        <x:v>Garrett Riedesel</x:v>
      </x:c>
      <x:c r="H766" s="6">
        <x:v>46274.737126238426</x:v>
      </x:c>
      <x:c r="I766" t="str" s="2">
        <x:v>Garrett Riedesel</x:v>
      </x:c>
      <x:c r="J766" s="0"/>
      <x:c r="K766" s="6">
        <x:v>46288.68960304398</x:v>
      </x:c>
      <x:c r="L766" t="str" s="2">
        <x:v>Contacted</x:v>
      </x:c>
    </x:row>
    <x:row r="767">
      <x:c r="A767" t="str" s="2">
        <x:f>="JANICE DEBRUCE"</x:f>
      </x:c>
      <x:c r="B767" t="str" s="2">
        <x:v>Heritage Housing of Albany</x:v>
      </x:c>
      <x:c r="C767" t="str" s="2">
        <x:v/>
      </x:c>
      <x:c r="D767" t="str" s="2">
        <x:v>2294296084</x:v>
      </x:c>
      <x:c r="E767" t="str" s="2">
        <x:v>jollyrock63@gmail.com</x:v>
      </x:c>
      <x:c r="F767" t="str" s="2">
        <x:v>Financing Form</x:v>
      </x:c>
      <x:c r="G767" t="str" s="2">
        <x:v>Justin Johnson</x:v>
      </x:c>
      <x:c r="H767" s="6">
        <x:v>46274.762315706015</x:v>
      </x:c>
      <x:c r="I767" s="0"/>
      <x:c r="J767" s="0"/>
      <x:c r="K767" s="6">
        <x:v>46274.799487731485</x:v>
      </x:c>
      <x:c r="L767" t="str" s="2">
        <x:v>Contacted</x:v>
      </x:c>
    </x:row>
    <x:row r="768">
      <x:c r="A768" t="str" s="2">
        <x:f>="Taya Reyes"</x:f>
      </x:c>
      <x:c r="B768" t="str" s="2">
        <x:v>Heritage Housing Gainesville</x:v>
      </x:c>
      <x:c r="C768" t="str" s="2">
        <x:v/>
      </x:c>
      <x:c r="D768" t="str" s="2">
        <x:v>6829369843</x:v>
      </x:c>
      <x:c r="E768" t="str" s="2">
        <x:v>tayareyes00@gmail.com</x:v>
      </x:c>
      <x:c r="F768" t="str" s="2">
        <x:v>Financing Form</x:v>
      </x:c>
      <x:c r="G768" t="str" s="2">
        <x:v>Kelly Ford</x:v>
      </x:c>
      <x:c r="H768" s="6">
        <x:v>46274.78278221065</x:v>
      </x:c>
      <x:c r="I768" s="0"/>
      <x:c r="J768" s="6">
        <x:v>46294.708333333336</x:v>
      </x:c>
      <x:c r="K768" s="6">
        <x:v>46300.90791542824</x:v>
      </x:c>
      <x:c r="L768" t="str" s="2">
        <x:v>Contacted</x:v>
      </x:c>
    </x:row>
    <x:row r="769">
      <x:c r="A769" t="str" s="2">
        <x:f>="Chanay Jacobs"</x:f>
      </x:c>
      <x:c r="B769" t="str" s="2">
        <x:v>Heritage Housing of Jennings</x:v>
      </x:c>
      <x:c r="C769" t="str" s="2">
        <x:v/>
      </x:c>
      <x:c r="D769" t="str" s="2">
        <x:v>3379655431</x:v>
      </x:c>
      <x:c r="E769" t="str" s="2">
        <x:v>cjacobs9930@gmail.com</x:v>
      </x:c>
      <x:c r="F769" t="str" s="2">
        <x:v>Landing_BPM</x:v>
      </x:c>
      <x:c r="G769" t="str" s="2">
        <x:v>Mervin Leslie Smith</x:v>
      </x:c>
      <x:c r="H769" s="6">
        <x:v>46274.78411894676</x:v>
      </x:c>
      <x:c r="I769" s="0"/>
      <x:c r="J769" s="0"/>
      <x:c r="K769" s="6">
        <x:v>46304.642975613424</x:v>
      </x:c>
      <x:c r="L769" t="str" s="2">
        <x:v>Contacted</x:v>
      </x:c>
    </x:row>
    <x:row r="770">
      <x:c r="A770" t="str" s="2">
        <x:f>="Amy Starnes"</x:f>
      </x:c>
      <x:c r="B770" t="str" s="2">
        <x:v>Heritage Housing of Athens</x:v>
      </x:c>
      <x:c r="C770" t="str" s="2">
        <x:v/>
      </x:c>
      <x:c r="D770" t="str" s="2">
        <x:v>4048349693</x:v>
      </x:c>
      <x:c r="E770" t="str" s="2">
        <x:v>amy5821@gmail.com</x:v>
      </x:c>
      <x:c r="F770" t="str" s="2">
        <x:v>Landing_BPM</x:v>
      </x:c>
      <x:c r="G770" t="str" s="2">
        <x:v>Ethan Fossett</x:v>
      </x:c>
      <x:c r="H770" s="6">
        <x:v>46274.797413113425</x:v>
      </x:c>
      <x:c r="I770" s="0"/>
      <x:c r="J770" s="0"/>
      <x:c r="K770" s="6">
        <x:v>46302.55696223379</x:v>
      </x:c>
      <x:c r="L770" t="str" s="2">
        <x:v>Contacted</x:v>
      </x:c>
    </x:row>
    <x:row r="771">
      <x:c r="A771" t="str" s="2">
        <x:f>="Maria Alvarado"</x:f>
      </x:c>
      <x:c r="B771" t="str" s="2">
        <x:v>Legacy Housing Corp. DBA Americasa</x:v>
      </x:c>
      <x:c r="C771" t="str" s="2">
        <x:v/>
      </x:c>
      <x:c r="D771" t="str" s="2">
        <x:v>8322216685</x:v>
      </x:c>
      <x:c r="E771" t="str" s="2">
        <x:v>mlavarado2012@gmail.com</x:v>
      </x:c>
      <x:c r="F771" t="str" s="2">
        <x:v>Website</x:v>
      </x:c>
      <x:c r="G771" t="str" s="2">
        <x:v>Joey Marquez</x:v>
      </x:c>
      <x:c r="H771" s="6">
        <x:v>46274.85131628472</x:v>
      </x:c>
      <x:c r="I771" s="0"/>
      <x:c r="J771" s="0"/>
      <x:c r="K771" s="6">
        <x:v>46282.767522256945</x:v>
      </x:c>
      <x:c r="L771" t="str" s="2">
        <x:v>Contacted</x:v>
      </x:c>
    </x:row>
    <x:row r="772">
      <x:c r="A772" t="str" s="2">
        <x:f>="Jeremiah Byrns"</x:f>
      </x:c>
      <x:c r="B772" t="str" s="2">
        <x:v>Legacy Housing Corp. DBA Americasa</x:v>
      </x:c>
      <x:c r="C772" t="str" s="2">
        <x:v/>
      </x:c>
      <x:c r="D772" t="str" s="2">
        <x:v>9363407132</x:v>
      </x:c>
      <x:c r="E772" t="str" s="2">
        <x:v>jeremiahbyrns60@gmail.com</x:v>
      </x:c>
      <x:c r="F772" t="str" s="2">
        <x:v>Landing_BPM</x:v>
      </x:c>
      <x:c r="G772" t="str" s="2">
        <x:v>Rodrigo Ramirez</x:v>
      </x:c>
      <x:c r="H772" s="6">
        <x:v>46274.856164930556</x:v>
      </x:c>
      <x:c r="I772" s="0"/>
      <x:c r="J772" s="0"/>
      <x:c r="K772" s="6">
        <x:v>46276.00391157407</x:v>
      </x:c>
      <x:c r="L772" t="str" s="2">
        <x:v>Contacted</x:v>
      </x:c>
    </x:row>
    <x:row r="773">
      <x:c r="A773" t="str" s="2">
        <x:f>="Kirby Ramos"</x:f>
      </x:c>
      <x:c r="B773" t="str" s="2">
        <x:v>Heritage Housing Marble Falls</x:v>
      </x:c>
      <x:c r="C773" t="str" s="2">
        <x:v/>
      </x:c>
      <x:c r="D773" t="str" s="2">
        <x:v>9402333437</x:v>
      </x:c>
      <x:c r="E773" t="str" s="2">
        <x:v>ramoskirby8@gmail.com</x:v>
      </x:c>
      <x:c r="F773" t="str" s="2">
        <x:v>Youtube</x:v>
      </x:c>
      <x:c r="G773" t="str" s="2">
        <x:v>Garrett Riedesel</x:v>
      </x:c>
      <x:c r="H773" s="6">
        <x:v>46274.94987982639</x:v>
      </x:c>
      <x:c r="I773" s="0"/>
      <x:c r="J773" s="0"/>
      <x:c r="K773" s="6">
        <x:v>46289.66847392361</x:v>
      </x:c>
      <x:c r="L773" t="str" s="2">
        <x:v>Contacted</x:v>
      </x:c>
    </x:row>
    <x:row r="774">
      <x:c r="A774" t="str" s="2">
        <x:f>="Christine Glentz"</x:f>
      </x:c>
      <x:c r="B774" t="str" s="2">
        <x:v>Heritage Housing of Athens</x:v>
      </x:c>
      <x:c r="C774" t="str" s="2">
        <x:v/>
      </x:c>
      <x:c r="D774" t="str" s="2">
        <x:v>7063710194</x:v>
      </x:c>
      <x:c r="E774" t="str" s="2">
        <x:v>chrismayo90@gmail.com</x:v>
      </x:c>
      <x:c r="F774" t="str" s="2">
        <x:v>LandingPage</x:v>
      </x:c>
      <x:c r="G774" t="str" s="2">
        <x:v>Ethan Fossett</x:v>
      </x:c>
      <x:c r="H774" s="6">
        <x:v>46274.95624667824</x:v>
      </x:c>
      <x:c r="I774" s="0"/>
      <x:c r="J774" s="0"/>
      <x:c r="K774" s="6">
        <x:v>46302.55805072917</x:v>
      </x:c>
      <x:c r="L774" t="str" s="2">
        <x:v>Contacted</x:v>
      </x:c>
    </x:row>
    <x:row r="775">
      <x:c r="A775" t="str" s="2">
        <x:f>="yvonne munoz"</x:f>
      </x:c>
      <x:c r="B775" t="str" s="2">
        <x:v>Heritage Housing Marble Falls</x:v>
      </x:c>
      <x:c r="C775" t="str" s="2">
        <x:v/>
      </x:c>
      <x:c r="D775" t="str" s="2">
        <x:v>210-957-1863</x:v>
      </x:c>
      <x:c r="E775" t="str" s="2">
        <x:v>munozyvonne45@gmail.com</x:v>
      </x:c>
      <x:c r="F775" t="str" s="2">
        <x:v>Bing - Search</x:v>
      </x:c>
      <x:c r="G775" t="str" s="2">
        <x:v>Stephen Sanders</x:v>
      </x:c>
      <x:c r="H775" s="6">
        <x:v>46275.058955243054</x:v>
      </x:c>
      <x:c r="I775" s="0"/>
      <x:c r="J775" s="0"/>
      <x:c r="K775" s="6">
        <x:v>46283.63646940972</x:v>
      </x:c>
      <x:c r="L775" t="str" s="2">
        <x:v>Contacted</x:v>
      </x:c>
    </x:row>
    <x:row r="776">
      <x:c r="A776" t="str" s="2">
        <x:f>="April Hays"</x:f>
      </x:c>
      <x:c r="B776" t="str" s="2">
        <x:v>Heritage Housing of Minden</x:v>
      </x:c>
      <x:c r="C776" t="str" s="2">
        <x:v>0/1</x:v>
      </x:c>
      <x:c r="D776" t="str" s="2">
        <x:v>3184718037</x:v>
      </x:c>
      <x:c r="E776" t="str" s="2">
        <x:v>aprilhays100@gmail.com</x:v>
      </x:c>
      <x:c r="F776" t="str" s="2">
        <x:v>Website</x:v>
      </x:c>
      <x:c r="G776" t="str" s="2">
        <x:v>Kyla Brown</x:v>
      </x:c>
      <x:c r="H776" s="6">
        <x:v>46275.12127422453</x:v>
      </x:c>
      <x:c r="I776" s="0"/>
      <x:c r="J776" s="0"/>
      <x:c r="K776" s="6">
        <x:v>46275.886322453705</x:v>
      </x:c>
      <x:c r="L776" t="str" s="2">
        <x:v>Contacted</x:v>
      </x:c>
    </x:row>
    <x:row r="777">
      <x:c r="A777" t="str" s="2">
        <x:f>="Deana Haynes"</x:f>
      </x:c>
      <x:c r="B777" t="str" s="2">
        <x:v>Heritage Housing Mt Pleasant</x:v>
      </x:c>
      <x:c r="C777" t="str" s="2">
        <x:v/>
      </x:c>
      <x:c r="D777" t="str" s="2">
        <x:v>3372265990</x:v>
      </x:c>
      <x:c r="E777" t="str" s="2">
        <x:v>dmaddox6464@gmail.com</x:v>
      </x:c>
      <x:c r="F777" t="str" s="2">
        <x:v>Financing Form</x:v>
      </x:c>
      <x:c r="G777" t="str" s="2">
        <x:v>Elias Gallardo</x:v>
      </x:c>
      <x:c r="H777" s="6">
        <x:v>46275.13519887732</x:v>
      </x:c>
      <x:c r="I777" s="0"/>
      <x:c r="J777" s="0"/>
      <x:c r="K777" s="6">
        <x:v>46279.914992094906</x:v>
      </x:c>
      <x:c r="L777" t="str" s="2">
        <x:v>Contacted</x:v>
      </x:c>
    </x:row>
    <x:row r="778">
      <x:c r="A778" t="str" s="2">
        <x:f>="Amanda Gurley"</x:f>
      </x:c>
      <x:c r="B778" t="str" s="2">
        <x:v>Heritage Housing of Asheboro</x:v>
      </x:c>
      <x:c r="C778" t="str" s="2">
        <x:v/>
      </x:c>
      <x:c r="D778" t="str" s="2">
        <x:v>7047426976</x:v>
      </x:c>
      <x:c r="E778" t="str" s="2">
        <x:v>amandagurleyx3@gmail.com</x:v>
      </x:c>
      <x:c r="F778" t="str" s="2">
        <x:v>Youtube</x:v>
      </x:c>
      <x:c r="G778" t="str" s="2">
        <x:v>Kate Gutierrez</x:v>
      </x:c>
      <x:c r="H778" s="6">
        <x:v>46275.16507584491</x:v>
      </x:c>
      <x:c r="I778" s="0"/>
      <x:c r="J778" s="0"/>
      <x:c r="K778" s="6">
        <x:v>46275.555296527775</x:v>
      </x:c>
      <x:c r="L778" t="str" s="2">
        <x:v>Contacted</x:v>
      </x:c>
    </x:row>
    <x:row r="779">
      <x:c r="A779" t="str" s="2">
        <x:f>="Natalie Lozano"</x:f>
      </x:c>
      <x:c r="B779" t="str" s="2">
        <x:v>Heritage Housing Marble Falls</x:v>
      </x:c>
      <x:c r="C779" t="str" s="2">
        <x:v/>
      </x:c>
      <x:c r="D779" t="str" s="2">
        <x:v>5128271299</x:v>
      </x:c>
      <x:c r="E779" t="str" s="2">
        <x:v>mic141991@GMAIL.COm</x:v>
      </x:c>
      <x:c r="F779" t="str" s="2">
        <x:v>Financing Form</x:v>
      </x:c>
      <x:c r="G779" t="str" s="2">
        <x:v>Garrett Riedesel</x:v>
      </x:c>
      <x:c r="H779" s="6">
        <x:v>46275.20062913194</x:v>
      </x:c>
      <x:c r="I779" s="0"/>
      <x:c r="J779" s="0"/>
      <x:c r="K779" s="6">
        <x:v>46289.66792318287</x:v>
      </x:c>
      <x:c r="L779" t="str" s="2">
        <x:v>Contacted</x:v>
      </x:c>
    </x:row>
    <x:row r="780">
      <x:c r="A780" t="str" s="2">
        <x:f>="Floyd Hashaway"</x:f>
      </x:c>
      <x:c r="B780" t="str" s="2">
        <x:v>Heritage Housing Gainesville</x:v>
      </x:c>
      <x:c r="C780" t="str" s="2">
        <x:v/>
      </x:c>
      <x:c r="D780" t="str" s="2">
        <x:v>6824058183</x:v>
      </x:c>
      <x:c r="E780" t="str" s="2">
        <x:v>floydhash1@gmail.com</x:v>
      </x:c>
      <x:c r="F780" t="str" s="2">
        <x:v>Landing_BPM</x:v>
      </x:c>
      <x:c r="G780" t="str" s="2">
        <x:v>Jeniffer Arellano</x:v>
      </x:c>
      <x:c r="H780" s="6">
        <x:v>46275.43750196759</x:v>
      </x:c>
      <x:c r="I780" s="0"/>
      <x:c r="J780" s="0"/>
      <x:c r="K780" s="6">
        <x:v>46308.70936797454</x:v>
      </x:c>
      <x:c r="L780" t="str" s="2">
        <x:v>Contacted</x:v>
      </x:c>
    </x:row>
    <x:row r="781">
      <x:c r="A781" t="str" s="2">
        <x:f>="Marcie Hunter"</x:f>
      </x:c>
      <x:c r="B781" t="str" s="2">
        <x:v>Heritage Housing of Albany</x:v>
      </x:c>
      <x:c r="C781" t="str" s="2">
        <x:v/>
      </x:c>
      <x:c r="D781" t="str" s="2">
        <x:v>9432590283</x:v>
      </x:c>
      <x:c r="E781" t="str" s="2">
        <x:v>solonrag2@yahoo.com</x:v>
      </x:c>
      <x:c r="F781" t="str" s="2">
        <x:v>Youtube</x:v>
      </x:c>
      <x:c r="G781" t="str" s="2">
        <x:v>Justin Johnson</x:v>
      </x:c>
      <x:c r="H781" s="6">
        <x:v>46275.51643333333</x:v>
      </x:c>
      <x:c r="I781" s="0"/>
      <x:c r="J781" s="0"/>
      <x:c r="K781" s="6">
        <x:v>46280.660915775465</x:v>
      </x:c>
      <x:c r="L781" t="str" s="2">
        <x:v>Contacted</x:v>
      </x:c>
    </x:row>
    <x:row r="782">
      <x:c r="A782" t="str" s="2">
        <x:f>="Cali McClain"</x:f>
      </x:c>
      <x:c r="B782" t="str" s="2">
        <x:v>Heritage Housing of Minden</x:v>
      </x:c>
      <x:c r="C782" t="str" s="2">
        <x:v>0/1</x:v>
      </x:c>
      <x:c r="D782" t="str" s="2">
        <x:v>3186213247</x:v>
      </x:c>
      <x:c r="E782" t="str" s="2">
        <x:v>calimcclain22@yahoo.com</x:v>
      </x:c>
      <x:c r="F782" t="str" s="2">
        <x:v>Landing_BPM</x:v>
      </x:c>
      <x:c r="G782" t="str" s="2">
        <x:v>Patrick Schuchart</x:v>
      </x:c>
      <x:c r="H782" s="6">
        <x:v>46275.545234143516</x:v>
      </x:c>
      <x:c r="I782" s="0"/>
      <x:c r="J782" s="0"/>
      <x:c r="K782" s="6">
        <x:v>46275.885565972225</x:v>
      </x:c>
      <x:c r="L782" t="str" s="2">
        <x:v>Contacted</x:v>
      </x:c>
    </x:row>
    <x:row r="783">
      <x:c r="A783" t="str" s="2">
        <x:f>="Alexandrina Gonzalez-Stephens"</x:f>
      </x:c>
      <x:c r="B783" t="str" s="2">
        <x:v>Legacy Housing Corp. DBA Americasa</x:v>
      </x:c>
      <x:c r="C783" t="str" s="2">
        <x:v/>
      </x:c>
      <x:c r="D783" t="str" s="2">
        <x:v>8325930935</x:v>
      </x:c>
      <x:c r="E783" t="str" s="2">
        <x:v>drinastephens@gmail.com</x:v>
      </x:c>
      <x:c r="F783" t="str" s="2">
        <x:v>Youtube</x:v>
      </x:c>
      <x:c r="G783" t="str" s="2">
        <x:v>Rodrigo Ramirez</x:v>
      </x:c>
      <x:c r="H783" s="6">
        <x:v>46275.58937017361</x:v>
      </x:c>
      <x:c r="I783" s="0"/>
      <x:c r="J783" s="0"/>
      <x:c r="K783" s="6">
        <x:v>46275.99199915509</x:v>
      </x:c>
      <x:c r="L783" t="str" s="2">
        <x:v>Contacted</x:v>
      </x:c>
    </x:row>
    <x:row r="784">
      <x:c r="A784" t="str" s="2">
        <x:f>="regina Glover"</x:f>
      </x:c>
      <x:c r="B784" t="str" s="2">
        <x:v>Heritage Housing of Asheboro</x:v>
      </x:c>
      <x:c r="C784" t="str" s="2">
        <x:v/>
      </x:c>
      <x:c r="D784" t="str" s="2">
        <x:v>4722037238</x:v>
      </x:c>
      <x:c r="E784" t="str" s="2">
        <x:v>reginaglover0207@gmail.com</x:v>
      </x:c>
      <x:c r="F784" t="str" s="2">
        <x:v>Youtube</x:v>
      </x:c>
      <x:c r="G784" t="str" s="2">
        <x:v>Kate Gutierrez</x:v>
      </x:c>
      <x:c r="H784" s="6">
        <x:v>46275.6731278588</x:v>
      </x:c>
      <x:c r="I784" s="0"/>
      <x:c r="J784" s="0"/>
      <x:c r="K784" s="6">
        <x:v>46296.551641516206</x:v>
      </x:c>
      <x:c r="L784" t="str" s="2">
        <x:v>Contacted</x:v>
      </x:c>
    </x:row>
    <x:row r="785">
      <x:c r="A785" t="str" s="2">
        <x:f>="Jessica Piwonka"</x:f>
      </x:c>
      <x:c r="B785" t="str" s="2">
        <x:v>Legacy Housing Corp. DBA Americasa</x:v>
      </x:c>
      <x:c r="C785" t="str" s="2">
        <x:v/>
      </x:c>
      <x:c r="D785" t="str" s="2">
        <x:v>9798147405</x:v>
      </x:c>
      <x:c r="E785" t="str" s="2">
        <x:v>piwonkaj42@gmail.com</x:v>
      </x:c>
      <x:c r="F785" t="str" s="2">
        <x:v>Bing - Search</x:v>
      </x:c>
      <x:c r="G785" t="str" s="2">
        <x:v>Joey Marquez</x:v>
      </x:c>
      <x:c r="H785" s="6">
        <x:v>46275.83122723379</x:v>
      </x:c>
      <x:c r="I785" s="0"/>
      <x:c r="J785" s="0"/>
      <x:c r="K785" s="6">
        <x:v>46279.67658283565</x:v>
      </x:c>
      <x:c r="L785" t="str" s="2">
        <x:v>Contacted</x:v>
      </x:c>
    </x:row>
    <x:row r="786">
      <x:c r="A786" t="str" s="2">
        <x:f>="Stephanie Day"</x:f>
      </x:c>
      <x:c r="B786" t="str" s="2">
        <x:v>Heritage Housing of Asheboro</x:v>
      </x:c>
      <x:c r="C786" t="str" s="2">
        <x:v/>
      </x:c>
      <x:c r="D786" t="str" s="2">
        <x:v>3364286523</x:v>
      </x:c>
      <x:c r="E786" t="str" s="2">
        <x:v>plsrcwgrl@yahoo.com</x:v>
      </x:c>
      <x:c r="F786" t="str" s="2">
        <x:v>LandingPage</x:v>
      </x:c>
      <x:c r="G786" t="str" s="2">
        <x:v>Kate Gutierrez</x:v>
      </x:c>
      <x:c r="H786" s="6">
        <x:v>46275.857001655095</x:v>
      </x:c>
      <x:c r="I786" s="0"/>
      <x:c r="J786" s="0"/>
      <x:c r="K786" s="6">
        <x:v>46294.81756380787</x:v>
      </x:c>
      <x:c r="L786" t="str" s="2">
        <x:v>Contacted</x:v>
      </x:c>
    </x:row>
    <x:row r="787">
      <x:c r="A787" t="str" s="2">
        <x:f>="Tinesha Hudson"</x:f>
      </x:c>
      <x:c r="B787" t="str" s="2">
        <x:v>Heritage Housing of Athens</x:v>
      </x:c>
      <x:c r="C787" t="str" s="2">
        <x:v/>
      </x:c>
      <x:c r="D787" t="str" s="2">
        <x:v>2562942718</x:v>
      </x:c>
      <x:c r="E787" t="str" s="2">
        <x:v>tineshahudson0@gmail.com</x:v>
      </x:c>
      <x:c r="F787" t="str" s="2">
        <x:v>LandingPage</x:v>
      </x:c>
      <x:c r="G787" t="str" s="2">
        <x:v>Ethan Fossett</x:v>
      </x:c>
      <x:c r="H787" s="6">
        <x:v>46275.914319791664</x:v>
      </x:c>
      <x:c r="I787" s="0"/>
      <x:c r="J787" s="0"/>
      <x:c r="K787" s="6">
        <x:v>46302.562688275466</x:v>
      </x:c>
      <x:c r="L787" t="str" s="2">
        <x:v>Contacted</x:v>
      </x:c>
    </x:row>
    <x:row r="788">
      <x:c r="A788" t="str" s="2">
        <x:f>="Lola Warford"</x:f>
      </x:c>
      <x:c r="B788" t="str" s="2">
        <x:v>Heritage Housing of Minden</x:v>
      </x:c>
      <x:c r="C788" t="str" s="2">
        <x:v>0/1</x:v>
      </x:c>
      <x:c r="D788" t="str" s="2">
        <x:v>8709555313</x:v>
      </x:c>
      <x:c r="E788" t="str" s="2">
        <x:v>lolawarford193@gmail.com</x:v>
      </x:c>
      <x:c r="F788" t="str" s="2">
        <x:v>Bing - Search</x:v>
      </x:c>
      <x:c r="G788" t="str" s="2">
        <x:v>Kyla Brown</x:v>
      </x:c>
      <x:c r="H788" s="6">
        <x:v>46275.956246608795</x:v>
      </x:c>
      <x:c r="I788" s="0"/>
      <x:c r="J788" s="0"/>
      <x:c r="K788" s="6">
        <x:v>46276.75927951389</x:v>
      </x:c>
      <x:c r="L788" t="str" s="2">
        <x:v>Contacted</x:v>
      </x:c>
    </x:row>
    <x:row r="789">
      <x:c r="A789" t="str" s="2">
        <x:f>="Charles Rodriguez Rodriguez"</x:f>
      </x:c>
      <x:c r="B789" t="str" s="2">
        <x:v>Heritage Housing of Albany</x:v>
      </x:c>
      <x:c r="C789" t="str" s="2">
        <x:v/>
      </x:c>
      <x:c r="D789" t="str" s="2">
        <x:v>2025558480</x:v>
      </x:c>
      <x:c r="E789" t="str" s="2">
        <x:v>iancruz.ic2003@gmail.com</x:v>
      </x:c>
      <x:c r="F789" t="str" s="2">
        <x:v>Website</x:v>
      </x:c>
      <x:c r="G789" t="str" s="2">
        <x:v>Yanet Alvarez</x:v>
      </x:c>
      <x:c r="H789" s="6">
        <x:v>46275.98748792824</x:v>
      </x:c>
      <x:c r="I789" s="0"/>
      <x:c r="J789" s="0"/>
      <x:c r="K789" s="6">
        <x:v>46283.72623503472</x:v>
      </x:c>
      <x:c r="L789" t="str" s="2">
        <x:v>Contacted</x:v>
      </x:c>
    </x:row>
    <x:row r="790">
      <x:c r="A790" t="str" s="2">
        <x:f>="Valencia Rivera"</x:f>
      </x:c>
      <x:c r="B790" t="str" s="2">
        <x:v>Heritage Housing of Albany</x:v>
      </x:c>
      <x:c r="C790" t="str" s="2">
        <x:v/>
      </x:c>
      <x:c r="D790" t="str" s="2">
        <x:v>9126746393</x:v>
      </x:c>
      <x:c r="E790" t="str" s="2">
        <x:v>valencialee1124@gmail.com</x:v>
      </x:c>
      <x:c r="F790" t="str" s="2">
        <x:v>Landing_BPM</x:v>
      </x:c>
      <x:c r="G790" t="str" s="2">
        <x:v>Yanet Alvarez</x:v>
      </x:c>
      <x:c r="H790" s="6">
        <x:v>46275.99508209491</x:v>
      </x:c>
      <x:c r="I790" s="0"/>
      <x:c r="J790" s="0"/>
      <x:c r="K790" s="6">
        <x:v>46303.94147434028</x:v>
      </x:c>
      <x:c r="L790" t="str" s="2">
        <x:v>Contacted</x:v>
      </x:c>
    </x:row>
    <x:row r="791">
      <x:c r="A791" t="str" s="2">
        <x:f>="Curtis Raines"</x:f>
      </x:c>
      <x:c r="B791" t="str" s="2">
        <x:v>Heritage Housing of Asheboro</x:v>
      </x:c>
      <x:c r="C791" t="str" s="2">
        <x:v/>
      </x:c>
      <x:c r="D791" t="str" s="2">
        <x:v>9106125267</x:v>
      </x:c>
      <x:c r="E791" t="str" s="2">
        <x:v>2018saraines@gmail.com</x:v>
      </x:c>
      <x:c r="F791" t="str" s="2">
        <x:v>Landing_BPM</x:v>
      </x:c>
      <x:c r="G791" t="str" s="2">
        <x:v>Kate Gutierrez</x:v>
      </x:c>
      <x:c r="H791" s="6">
        <x:v>46276.05610289352</x:v>
      </x:c>
      <x:c r="I791" s="0"/>
      <x:c r="J791" s="0"/>
      <x:c r="K791" s="6">
        <x:v>46303.82761855324</x:v>
      </x:c>
      <x:c r="L791" t="str" s="2">
        <x:v>Contacted</x:v>
      </x:c>
    </x:row>
    <x:row r="792">
      <x:c r="A792" t="str" s="2">
        <x:f>="Micheal Farris"</x:f>
      </x:c>
      <x:c r="B792" t="str" s="2">
        <x:v>Legacy Housing Corp. DBA Americasa</x:v>
      </x:c>
      <x:c r="C792" t="str" s="2">
        <x:v/>
      </x:c>
      <x:c r="D792" t="str" s="2">
        <x:v>8325796336</x:v>
      </x:c>
      <x:c r="E792" t="str" s="2">
        <x:v>Mikeyfarris50@gmail.com</x:v>
      </x:c>
      <x:c r="F792" t="str" s="2">
        <x:v>Landing_BPM</x:v>
      </x:c>
      <x:c r="G792" t="str" s="2">
        <x:v>Rodrigo Ramirez</x:v>
      </x:c>
      <x:c r="H792" s="6">
        <x:v>46276.0675162037</x:v>
      </x:c>
      <x:c r="I792" s="0"/>
      <x:c r="J792" s="0"/>
      <x:c r="K792" s="6">
        <x:v>46276.63527403935</x:v>
      </x:c>
      <x:c r="L792" t="str" s="2">
        <x:v>Contacted</x:v>
      </x:c>
    </x:row>
    <x:row r="793">
      <x:c r="A793" t="str" s="2">
        <x:f>="Randy Benson"</x:f>
      </x:c>
      <x:c r="B793" t="str" s="2">
        <x:v>Heritage Housing Gainesville</x:v>
      </x:c>
      <x:c r="C793" t="str" s="2">
        <x:v/>
      </x:c>
      <x:c r="D793" t="str" s="2">
        <x:v>9407366279</x:v>
      </x:c>
      <x:c r="E793" t="str" s="2">
        <x:v>handy.uncle.randy1962@gmail.com</x:v>
      </x:c>
      <x:c r="F793" t="str" s="2">
        <x:v>Landing_BPM</x:v>
      </x:c>
      <x:c r="G793" t="str" s="2">
        <x:v>Jeniffer Arellano</x:v>
      </x:c>
      <x:c r="H793" s="6">
        <x:v>46276.24792653935</x:v>
      </x:c>
      <x:c r="I793" s="0"/>
      <x:c r="J793" s="0"/>
      <x:c r="K793" s="6">
        <x:v>46308.709461805556</x:v>
      </x:c>
      <x:c r="L793" t="str" s="2">
        <x:v>Contacted</x:v>
      </x:c>
    </x:row>
    <x:row r="794">
      <x:c r="A794" t="str" s="2">
        <x:f>="Judith Fabela"</x:f>
      </x:c>
      <x:c r="B794" t="str" s="2">
        <x:v>Heritage Housing of Canton</x:v>
      </x:c>
      <x:c r="C794" t="str" s="2">
        <x:v/>
      </x:c>
      <x:c r="D794" t="str" s="2">
        <x:v>5124616152</x:v>
      </x:c>
      <x:c r="E794" t="str" s="2">
        <x:v>JUDITH.FABELA@YAHOO.COM</x:v>
      </x:c>
      <x:c r="F794" t="str" s="2">
        <x:v>Website</x:v>
      </x:c>
      <x:c r="G794" t="str" s="2">
        <x:v>Yarelis Torres</x:v>
      </x:c>
      <x:c r="H794" s="6">
        <x:v>46276.47544996528</x:v>
      </x:c>
      <x:c r="I794" s="0"/>
      <x:c r="J794" s="0"/>
      <x:c r="K794" s="6">
        <x:v>46279.89541068287</x:v>
      </x:c>
      <x:c r="L794" t="str" s="2">
        <x:v>Contacted</x:v>
      </x:c>
    </x:row>
    <x:row r="795">
      <x:c r="A795" t="str" s="2">
        <x:f>="Maddox Berryhill"</x:f>
      </x:c>
      <x:c r="B795" t="str" s="2">
        <x:v>Heritage Housing of Athens</x:v>
      </x:c>
      <x:c r="C795" t="str" s="2">
        <x:v>1/1</x:v>
      </x:c>
      <x:c r="D795" t="str" s="2">
        <x:v>4705390888</x:v>
      </x:c>
      <x:c r="E795" t="str" s="2">
        <x:v>maddoxberryhill@icloud.com</x:v>
      </x:c>
      <x:c r="F795" t="str" s="2">
        <x:v>Landing_BPM</x:v>
      </x:c>
      <x:c r="G795" t="str" s="2">
        <x:v>Ethan Fossett</x:v>
      </x:c>
      <x:c r="H795" s="6">
        <x:v>46276.52068356481</x:v>
      </x:c>
      <x:c r="I795" s="0"/>
      <x:c r="J795" s="0"/>
      <x:c r="K795" s="6">
        <x:v>46282.57491678241</x:v>
      </x:c>
      <x:c r="L795" t="str" s="2">
        <x:v>Contacted</x:v>
      </x:c>
    </x:row>
    <x:row r="796">
      <x:c r="A796" t="str" s="2">
        <x:f>="Francisco Alvarez"</x:f>
      </x:c>
      <x:c r="B796" t="str" s="2">
        <x:v>Legacy Housing Corp. DBA Americasa</x:v>
      </x:c>
      <x:c r="C796" t="str" s="2">
        <x:v/>
      </x:c>
      <x:c r="D796" t="str" s="2">
        <x:v>7138249114</x:v>
      </x:c>
      <x:c r="E796" t="str" s="2">
        <x:v>cisc0alvrz6060@gmail.com</x:v>
      </x:c>
      <x:c r="F796" t="str" s="2">
        <x:v>Landing_BPM</x:v>
      </x:c>
      <x:c r="G796" t="str" s="2">
        <x:v>Joey Marquez</x:v>
      </x:c>
      <x:c r="H796" s="6">
        <x:v>46276.54918984954</x:v>
      </x:c>
      <x:c r="I796" s="0"/>
      <x:c r="J796" s="0"/>
      <x:c r="K796" s="6">
        <x:v>46282.76792989583</x:v>
      </x:c>
      <x:c r="L796" t="str" s="2">
        <x:v>Contacted</x:v>
      </x:c>
    </x:row>
    <x:row r="797">
      <x:c r="A797" t="str" s="2">
        <x:f>="Alexis Stewart"</x:f>
      </x:c>
      <x:c r="B797" t="str" s="2">
        <x:v>Heritage Housing Mt Pleasant</x:v>
      </x:c>
      <x:c r="C797" t="str" s="2">
        <x:v/>
      </x:c>
      <x:c r="D797" t="str" s="2">
        <x:v>8706710684</x:v>
      </x:c>
      <x:c r="E797" t="str" s="2">
        <x:v>Dmkaa091314@gmail.com</x:v>
      </x:c>
      <x:c r="F797" t="str" s="2">
        <x:v>Youtube</x:v>
      </x:c>
      <x:c r="G797" t="str" s="2">
        <x:v>Elias Gallardo</x:v>
      </x:c>
      <x:c r="H797" s="6">
        <x:v>46276.56782103009</x:v>
      </x:c>
      <x:c r="I797" s="0"/>
      <x:c r="J797" s="0"/>
      <x:c r="K797" s="6">
        <x:v>46279.91495309028</x:v>
      </x:c>
      <x:c r="L797" t="str" s="2">
        <x:v>Contacted</x:v>
      </x:c>
    </x:row>
    <x:row r="798">
      <x:c r="A798" t="str" s="2">
        <x:f>="Glen Norman"</x:f>
      </x:c>
      <x:c r="B798" t="str" s="2">
        <x:v>Heritage Housing of Minden</x:v>
      </x:c>
      <x:c r="C798" t="str" s="2">
        <x:v>0/1</x:v>
      </x:c>
      <x:c r="D798" t="str" s="2">
        <x:v>3183123689</x:v>
      </x:c>
      <x:c r="E798" t="str" s="2">
        <x:v>glennorman2@gmail.com</x:v>
      </x:c>
      <x:c r="F798" t="str" s="2">
        <x:v>Landing_BPM</x:v>
      </x:c>
      <x:c r="G798" t="str" s="2">
        <x:v>Kyla Brown</x:v>
      </x:c>
      <x:c r="H798" s="6">
        <x:v>46276.57917103009</x:v>
      </x:c>
      <x:c r="I798" s="0"/>
      <x:c r="J798" s="0"/>
      <x:c r="K798" s="6">
        <x:v>46276.75424278935</x:v>
      </x:c>
      <x:c r="L798" t="str" s="2">
        <x:v>Contacted</x:v>
      </x:c>
    </x:row>
    <x:row r="799">
      <x:c r="A799" t="str" s="2">
        <x:f>="Larryguict LarryguictPA"</x:f>
      </x:c>
      <x:c r="B799" t="str" s="2">
        <x:v>Heritage Housing of Greenville</x:v>
      </x:c>
      <x:c r="C799" t="str" s="2">
        <x:v/>
      </x:c>
      <x:c r="D799" t="str" s="2">
        <x:v>88585339548</x:v>
      </x:c>
      <x:c r="E799" t="str" s="2">
        <x:v>bgjhbtq@jhpbckw.gkk</x:v>
      </x:c>
      <x:c r="F799" t="str" s="2">
        <x:v>Website</x:v>
      </x:c>
      <x:c r="G799" t="str" s="2">
        <x:v>Brooklynn Allen</x:v>
      </x:c>
      <x:c r="H799" s="6">
        <x:v>46276.5974534375</x:v>
      </x:c>
      <x:c r="I799" s="0"/>
      <x:c r="J799" s="0"/>
      <x:c r="K799" s="6">
        <x:v>46276.59785478009</x:v>
      </x:c>
      <x:c r="L799" t="str" s="2">
        <x:v>Contacted</x:v>
      </x:c>
    </x:row>
    <x:row r="800">
      <x:c r="A800" t="str" s="2">
        <x:f>="Kaution Vinson"</x:f>
      </x:c>
      <x:c r="B800" t="str" s="2">
        <x:v>Legacy Housing Corp. DBA Americasa</x:v>
      </x:c>
      <x:c r="C800" t="str" s="2">
        <x:v/>
      </x:c>
      <x:c r="D800" t="str" s="2">
        <x:v>3187541483</x:v>
      </x:c>
      <x:c r="E800" t="str" s="2">
        <x:v>kautionvinson18@gmail.com</x:v>
      </x:c>
      <x:c r="F800" t="str" s="2">
        <x:v>Landing_BPM</x:v>
      </x:c>
      <x:c r="G800" t="str" s="2">
        <x:v>Rodrigo Ramirez</x:v>
      </x:c>
      <x:c r="H800" s="6">
        <x:v>46276.61638399305</x:v>
      </x:c>
      <x:c r="I800" s="0"/>
      <x:c r="J800" s="0"/>
      <x:c r="K800" s="6">
        <x:v>46276.63449556713</x:v>
      </x:c>
      <x:c r="L800" t="str" s="2">
        <x:v>Contacted</x:v>
      </x:c>
    </x:row>
    <x:row r="801">
      <x:c r="A801" t="str" s="2">
        <x:f>="Roberta Newman"</x:f>
      </x:c>
      <x:c r="B801" t="str" s="2">
        <x:v>Heritage Housing of Augusta</x:v>
      </x:c>
      <x:c r="C801" t="str" s="2">
        <x:v/>
      </x:c>
      <x:c r="D801" t="str" s="2">
        <x:v>839-839-5817</x:v>
      </x:c>
      <x:c r="E801" t="str" s="2">
        <x:v>roberta_newman@ymail.com</x:v>
      </x:c>
      <x:c r="F801" t="str" s="2">
        <x:v>Landing_BPM</x:v>
      </x:c>
      <x:c r="G801" t="str" s="2">
        <x:v>Faye Lively</x:v>
      </x:c>
      <x:c r="H801" s="6">
        <x:v>46276.62005431713</x:v>
      </x:c>
      <x:c r="I801" s="0"/>
      <x:c r="J801" s="0"/>
      <x:c r="K801" s="6">
        <x:v>46279.62451142361</x:v>
      </x:c>
      <x:c r="L801" t="str" s="2">
        <x:v>Contacted</x:v>
      </x:c>
    </x:row>
    <x:row r="802">
      <x:c r="A802" t="str" s="2">
        <x:f>="Victoria Lamantia"</x:f>
      </x:c>
      <x:c r="B802" t="str" s="2">
        <x:v>Heritage Housing of Augusta</x:v>
      </x:c>
      <x:c r="C802" t="str" s="2">
        <x:v>1/1</x:v>
      </x:c>
      <x:c r="D802" t="str" s="2">
        <x:v>4708798260</x:v>
      </x:c>
      <x:c r="E802" t="str" s="2">
        <x:v>victoriaturner879@gmail.com</x:v>
      </x:c>
      <x:c r="F802" t="str" s="2">
        <x:v>Landing_BPM</x:v>
      </x:c>
      <x:c r="G802" t="str" s="2">
        <x:v>Faye Lively</x:v>
      </x:c>
      <x:c r="H802" s="6">
        <x:v>46276.769200347226</x:v>
      </x:c>
      <x:c r="I802" s="0"/>
      <x:c r="J802" s="0"/>
      <x:c r="K802" s="6">
        <x:v>46279.629962928244</x:v>
      </x:c>
      <x:c r="L802" t="str" s="2">
        <x:v>Contacted</x:v>
      </x:c>
    </x:row>
    <x:row r="803">
      <x:c r="A803" t="str" s="2">
        <x:f>="Heather Sanders"</x:f>
      </x:c>
      <x:c r="B803" t="str" s="2">
        <x:v>Heritage Housing of Athens</x:v>
      </x:c>
      <x:c r="C803" t="str" s="2">
        <x:v/>
      </x:c>
      <x:c r="D803" t="str" s="2">
        <x:v>7707704070</x:v>
      </x:c>
      <x:c r="E803" t="str" s="2">
        <x:v>strawdawg27@gmail.com</x:v>
      </x:c>
      <x:c r="F803" t="str" s="2">
        <x:v>Website</x:v>
      </x:c>
      <x:c r="G803" t="str" s="2">
        <x:v>Ethan Fossett</x:v>
      </x:c>
      <x:c r="H803" s="6">
        <x:v>46276.81353290509</x:v>
      </x:c>
      <x:c r="I803" s="0"/>
      <x:c r="J803" s="0"/>
      <x:c r="K803" s="6">
        <x:v>46298.72074690972</x:v>
      </x:c>
      <x:c r="L803" t="str" s="2">
        <x:v>Contacted</x:v>
      </x:c>
    </x:row>
    <x:row r="804">
      <x:c r="A804" t="str" s="2">
        <x:f>="David Diaz"</x:f>
      </x:c>
      <x:c r="B804" t="str" s="2">
        <x:v>Heritage Housing of Greenville</x:v>
      </x:c>
      <x:c r="C804" t="str" s="2">
        <x:v/>
      </x:c>
      <x:c r="D804" t="str" s="2">
        <x:v>469-316-5105</x:v>
      </x:c>
      <x:c r="E804" t="str" s="2">
        <x:v>dd2719178@gmail.com</x:v>
      </x:c>
      <x:c r="F804" t="str" s="2">
        <x:v>Youtube</x:v>
      </x:c>
      <x:c r="G804" t="str" s="2">
        <x:v>Ana Garcia</x:v>
      </x:c>
      <x:c r="H804" s="6">
        <x:v>46276.958143599535</x:v>
      </x:c>
      <x:c r="I804" s="0"/>
      <x:c r="J804" s="0"/>
      <x:c r="K804" s="6">
        <x:v>46279.77654012731</x:v>
      </x:c>
      <x:c r="L804" t="str" s="2">
        <x:v>Contacted</x:v>
      </x:c>
    </x:row>
    <x:row r="805">
      <x:c r="A805" t="str" s="2">
        <x:f>="Lashundria Foster"</x:f>
      </x:c>
      <x:c r="B805" t="str" s="2">
        <x:v>Heritage Housing of Minden</x:v>
      </x:c>
      <x:c r="C805" t="str" s="2">
        <x:v>0/1</x:v>
      </x:c>
      <x:c r="D805" t="str" s="2">
        <x:v>3182543218</x:v>
      </x:c>
      <x:c r="E805" t="str" s="2">
        <x:v>lfoster448@gmail.com</x:v>
      </x:c>
      <x:c r="F805" t="str" s="2">
        <x:v>Financing Form</x:v>
      </x:c>
      <x:c r="G805" t="str" s="2">
        <x:v>Patrick Schuchart</x:v>
      </x:c>
      <x:c r="H805" s="6">
        <x:v>46276.96065949074</x:v>
      </x:c>
      <x:c r="I805" s="0"/>
      <x:c r="J805" s="0"/>
      <x:c r="K805" s="6">
        <x:v>46277.735382175924</x:v>
      </x:c>
      <x:c r="L805" t="str" s="2">
        <x:v>Contacted</x:v>
      </x:c>
    </x:row>
    <x:row r="806">
      <x:c r="A806" t="str" s="2">
        <x:f>="Jennessa Salazar"</x:f>
      </x:c>
      <x:c r="B806" t="str" s="2">
        <x:v>Legacy Housing Corp. DBA Americasa</x:v>
      </x:c>
      <x:c r="C806" t="str" s="2">
        <x:v/>
      </x:c>
      <x:c r="D806" t="str" s="2">
        <x:v>3038870796</x:v>
      </x:c>
      <x:c r="E806" t="str" s="2">
        <x:v>purplerose81920@gmail.com</x:v>
      </x:c>
      <x:c r="F806" t="str" s="2">
        <x:v>Landing_BPM</x:v>
      </x:c>
      <x:c r="G806" t="str" s="2">
        <x:v>Joey Marquez</x:v>
      </x:c>
      <x:c r="H806" s="6">
        <x:v>46277.030848344904</x:v>
      </x:c>
      <x:c r="I806" s="0"/>
      <x:c r="J806" s="0"/>
      <x:c r="K806" s="6">
        <x:v>46283.89958521991</x:v>
      </x:c>
      <x:c r="L806" t="str" s="2">
        <x:v>Contacted</x:v>
      </x:c>
    </x:row>
    <x:row r="807">
      <x:c r="A807" t="str" s="2">
        <x:f>="Chasity Ezernack"</x:f>
      </x:c>
      <x:c r="B807" t="str" s="2">
        <x:v>Heritage Housing of Minden</x:v>
      </x:c>
      <x:c r="C807" t="str" s="2">
        <x:v>0/1</x:v>
      </x:c>
      <x:c r="D807" t="str" s="2">
        <x:v>3184266255</x:v>
      </x:c>
      <x:c r="E807" t="str" s="2">
        <x:v>chas.81ezernack@gmail.com</x:v>
      </x:c>
      <x:c r="F807" t="str" s="2">
        <x:v>Youtube</x:v>
      </x:c>
      <x:c r="G807" t="str" s="2">
        <x:v>Kyla Brown</x:v>
      </x:c>
      <x:c r="H807" s="6">
        <x:v>46277.07507445602</x:v>
      </x:c>
      <x:c r="I807" s="0"/>
      <x:c r="J807" s="0"/>
      <x:c r="K807" s="6">
        <x:v>46277.73389027778</x:v>
      </x:c>
      <x:c r="L807" t="str" s="2">
        <x:v>Contacted</x:v>
      </x:c>
    </x:row>
    <x:row r="808">
      <x:c r="A808" t="str" s="2">
        <x:f>="Shana Scott"</x:f>
      </x:c>
      <x:c r="B808" t="str" s="2">
        <x:v>Heritage Housing of Augusta</x:v>
      </x:c>
      <x:c r="C808" t="str" s="2">
        <x:v/>
      </x:c>
      <x:c r="D808" t="str" s="2">
        <x:v>7622354494</x:v>
      </x:c>
      <x:c r="E808" t="str" s="2">
        <x:v>namareescott@gmail.com</x:v>
      </x:c>
      <x:c r="F808" t="str" s="2">
        <x:v>Financing Form</x:v>
      </x:c>
      <x:c r="G808" t="str" s="2">
        <x:v>Faye Lively</x:v>
      </x:c>
      <x:c r="H808" s="6">
        <x:v>46277.08141840278</x:v>
      </x:c>
      <x:c r="I808" s="0"/>
      <x:c r="J808" s="0"/>
      <x:c r="K808" s="6">
        <x:v>46279.62528295139</x:v>
      </x:c>
      <x:c r="L808" t="str" s="2">
        <x:v>Contacted</x:v>
      </x:c>
    </x:row>
    <x:row r="809">
      <x:c r="A809" t="str" s="2">
        <x:f>="Jalinda Bell"</x:f>
      </x:c>
      <x:c r="B809" t="str" s="2">
        <x:v>Heritage Housing of Greenville</x:v>
      </x:c>
      <x:c r="C809" t="str" s="2">
        <x:v/>
      </x:c>
      <x:c r="D809" t="str" s="2">
        <x:v>9426211990</x:v>
      </x:c>
      <x:c r="E809" t="str" s="2">
        <x:v>jalindabell19@gmail.com</x:v>
      </x:c>
      <x:c r="F809" t="str" s="2">
        <x:v>Youtube</x:v>
      </x:c>
      <x:c r="G809" t="str" s="2">
        <x:v>Ana Garcia</x:v>
      </x:c>
      <x:c r="H809" s="6">
        <x:v>46277.0929466088</x:v>
      </x:c>
      <x:c r="I809" s="0"/>
      <x:c r="J809" s="0"/>
      <x:c r="K809" s="6">
        <x:v>46279.7771378125</x:v>
      </x:c>
      <x:c r="L809" t="str" s="2">
        <x:v>Contacted</x:v>
      </x:c>
    </x:row>
    <x:row r="810">
      <x:c r="A810" t="str" s="2">
        <x:f>="Abagail Keeney"</x:f>
      </x:c>
      <x:c r="B810" t="str" s="2">
        <x:v>Heritage Housing of Greenville</x:v>
      </x:c>
      <x:c r="C810" t="str" s="2">
        <x:v/>
      </x:c>
      <x:c r="D810" t="str" s="2">
        <x:v>3173837267</x:v>
      </x:c>
      <x:c r="E810" t="str" s="2">
        <x:v>abbykeeney9@gmail.com</x:v>
      </x:c>
      <x:c r="F810" t="str" s="2">
        <x:v>Landing_BPM</x:v>
      </x:c>
      <x:c r="G810" t="str" s="2">
        <x:v>Ana Garcia</x:v>
      </x:c>
      <x:c r="H810" s="6">
        <x:v>46277.18689695602</x:v>
      </x:c>
      <x:c r="I810" s="0"/>
      <x:c r="J810" s="0"/>
      <x:c r="K810" s="6">
        <x:v>46279.7775428588</x:v>
      </x:c>
      <x:c r="L810" t="str" s="2">
        <x:v>Contacted</x:v>
      </x:c>
    </x:row>
    <x:row r="811">
      <x:c r="A811" t="str" s="2">
        <x:f>="trey pendergrass"</x:f>
      </x:c>
      <x:c r="B811" t="str" s="2">
        <x:v>Heritage Housing of Greenville</x:v>
      </x:c>
      <x:c r="C811" t="str" s="2">
        <x:v/>
      </x:c>
      <x:c r="D811" t="str" s="2">
        <x:v>9038509442</x:v>
      </x:c>
      <x:c r="E811" t="str" s="2">
        <x:v>carlpendergrass6@gmail.com</x:v>
      </x:c>
      <x:c r="F811" t="str" s="2">
        <x:v>Landing_BPM</x:v>
      </x:c>
      <x:c r="G811" t="str" s="2">
        <x:v>Ana Garcia</x:v>
      </x:c>
      <x:c r="H811" s="6">
        <x:v>46277.204997719906</x:v>
      </x:c>
      <x:c r="I811" s="0"/>
      <x:c r="J811" s="0"/>
      <x:c r="K811" s="6">
        <x:v>46279.77727395833</x:v>
      </x:c>
      <x:c r="L811" t="str" s="2">
        <x:v>Contacted</x:v>
      </x:c>
    </x:row>
    <x:row r="812">
      <x:c r="A812" t="str" s="2">
        <x:f>="Michelle Cummings"</x:f>
      </x:c>
      <x:c r="B812" t="str" s="2">
        <x:v>Legacy Housing Corp. DBA Americasa</x:v>
      </x:c>
      <x:c r="C812" t="str" s="2">
        <x:v/>
      </x:c>
      <x:c r="D812" t="str" s="2">
        <x:v>8302120418</x:v>
      </x:c>
      <x:c r="E812" t="str" s="2">
        <x:v>mcummings0512@gmail.com</x:v>
      </x:c>
      <x:c r="F812" t="str" s="2">
        <x:v>Landing_BPM</x:v>
      </x:c>
      <x:c r="G812" t="str" s="2">
        <x:v>Rodrigo Ramirez</x:v>
      </x:c>
      <x:c r="H812" s="6">
        <x:v>46277.31007885416</x:v>
      </x:c>
      <x:c r="I812" s="0"/>
      <x:c r="J812" s="0"/>
      <x:c r="K812" s="6">
        <x:v>46279.943842280096</x:v>
      </x:c>
      <x:c r="L812" t="str" s="2">
        <x:v>Contacted</x:v>
      </x:c>
    </x:row>
    <x:row r="813">
      <x:c r="A813" t="str" s="2">
        <x:f>="Jackie Minerd"</x:f>
      </x:c>
      <x:c r="B813" t="str" s="2">
        <x:v>Heritage Housing Marble Falls</x:v>
      </x:c>
      <x:c r="C813" t="str" s="2">
        <x:v/>
      </x:c>
      <x:c r="D813" t="str" s="2">
        <x:v>3253494513</x:v>
      </x:c>
      <x:c r="E813" t="str" s="2">
        <x:v>Jacklynminerd@yahoo.com</x:v>
      </x:c>
      <x:c r="F813" t="str" s="2">
        <x:v>Landing_BPM</x:v>
      </x:c>
      <x:c r="G813" t="str" s="2">
        <x:v>Stephen Sanders</x:v>
      </x:c>
      <x:c r="H813" s="6">
        <x:v>46277.33445482639</x:v>
      </x:c>
      <x:c r="I813" s="0"/>
      <x:c r="J813" s="0"/>
      <x:c r="K813" s="6">
        <x:v>46283.63570431713</x:v>
      </x:c>
      <x:c r="L813" t="str" s="2">
        <x:v>Contacted</x:v>
      </x:c>
    </x:row>
    <x:row r="814">
      <x:c r="A814" t="str" s="2">
        <x:f>="Staceymus +161456213001"</x:f>
      </x:c>
      <x:c r="B814" t="str" s="2">
        <x:v>Heritage Housing of Albany</x:v>
      </x:c>
      <x:c r="C814" t="str" s="2">
        <x:v/>
      </x:c>
      <x:c r="D814" t="str" s="2">
        <x:v>85445686845</x:v>
      </x:c>
      <x:c r="E814" t="str" s="2">
        <x:v>rbkcrfm@jpxwxts.qgt</x:v>
      </x:c>
      <x:c r="F814" t="str" s="2">
        <x:v>Website</x:v>
      </x:c>
      <x:c r="G814" t="str" s="2">
        <x:v>Yanet Alvarez</x:v>
      </x:c>
      <x:c r="H814" s="6">
        <x:v>46277.38967060185</x:v>
      </x:c>
      <x:c r="I814" s="0"/>
      <x:c r="J814" s="0"/>
      <x:c r="K814" s="6">
        <x:v>46302.56733121528</x:v>
      </x:c>
      <x:c r="L814" t="str" s="2">
        <x:v>Contacted</x:v>
      </x:c>
    </x:row>
    <x:row r="815">
      <x:c r="A815" t="str" s="2">
        <x:f>="Christine Yorker"</x:f>
      </x:c>
      <x:c r="B815" t="str" s="2">
        <x:v>Heritage Housing of Augusta</x:v>
      </x:c>
      <x:c r="C815" t="str" s="2">
        <x:v/>
      </x:c>
      <x:c r="D815" t="str" s="2">
        <x:v>4782323329</x:v>
      </x:c>
      <x:c r="E815" t="str" s="2">
        <x:v>yorkerchristine@gmail.com</x:v>
      </x:c>
      <x:c r="F815" t="str" s="2">
        <x:v>Youtube</x:v>
      </x:c>
      <x:c r="G815" t="str" s="2">
        <x:v>Faye Lively</x:v>
      </x:c>
      <x:c r="H815" s="6">
        <x:v>46277.511810034724</x:v>
      </x:c>
      <x:c r="I815" s="0"/>
      <x:c r="J815" s="0"/>
      <x:c r="K815" s="6">
        <x:v>46277.61355795139</x:v>
      </x:c>
      <x:c r="L815" t="str" s="2">
        <x:v>Contacted</x:v>
      </x:c>
    </x:row>
    <x:row r="816">
      <x:c r="A816" t="str" s="2">
        <x:f>="Latrice Jones"</x:f>
      </x:c>
      <x:c r="B816" t="str" s="2">
        <x:v>Heritage Housing of Albany</x:v>
      </x:c>
      <x:c r="C816" t="str" s="2">
        <x:v>0/4</x:v>
      </x:c>
      <x:c r="D816" t="str" s="2">
        <x:v>4705034780</x:v>
      </x:c>
      <x:c r="E816" t="str" s="2">
        <x:v>tricie31@yahoo.com</x:v>
      </x:c>
      <x:c r="F816" t="str" s="2">
        <x:v>Financing Form</x:v>
      </x:c>
      <x:c r="G816" t="str" s="2">
        <x:v>Yanet Alvarez</x:v>
      </x:c>
      <x:c r="H816" s="6">
        <x:v>46277.51296076389</x:v>
      </x:c>
      <x:c r="I816" s="0"/>
      <x:c r="J816" s="0"/>
      <x:c r="K816" s="6">
        <x:v>46302.637617939814</x:v>
      </x:c>
      <x:c r="L816" t="str" s="2">
        <x:v>Contacted</x:v>
      </x:c>
    </x:row>
    <x:row r="817">
      <x:c r="A817" t="str" s="2">
        <x:f>="Sandra Mack"</x:f>
      </x:c>
      <x:c r="B817" t="str" s="2">
        <x:v>Heritage Housing of Albany</x:v>
      </x:c>
      <x:c r="C817" t="str" s="2">
        <x:v>1/1</x:v>
      </x:c>
      <x:c r="D817" t="str" s="2">
        <x:v>2296751057</x:v>
      </x:c>
      <x:c r="E817" t="str" s="2">
        <x:v>sdee7336@gmail.com</x:v>
      </x:c>
      <x:c r="F817" t="str" s="2">
        <x:v>Youtube</x:v>
      </x:c>
      <x:c r="G817" t="str" s="2">
        <x:v>Yanet Alvarez</x:v>
      </x:c>
      <x:c r="H817" s="6">
        <x:v>46277.56958927083</x:v>
      </x:c>
      <x:c r="I817" s="0"/>
      <x:c r="J817" s="0"/>
      <x:c r="K817" s="6">
        <x:v>46280.6259559375</x:v>
      </x:c>
      <x:c r="L817" t="str" s="2">
        <x:v>Contacted</x:v>
      </x:c>
    </x:row>
    <x:row r="818">
      <x:c r="A818" t="str" s="2">
        <x:f>="Brandon Fourie"</x:f>
      </x:c>
      <x:c r="B818" t="str" s="2">
        <x:v>Heritage Housing Marble Falls</x:v>
      </x:c>
      <x:c r="C818" t="str" s="2">
        <x:v/>
      </x:c>
      <x:c r="D818" t="str" s="2">
        <x:v>0723770468</x:v>
      </x:c>
      <x:c r="E818" t="str" s="2">
        <x:v>brandonfourie39@gmail.com</x:v>
      </x:c>
      <x:c r="F818" t="str" s="2">
        <x:v>Landing_BPM</x:v>
      </x:c>
      <x:c r="G818" t="str" s="2">
        <x:v>Garrett Riedesel</x:v>
      </x:c>
      <x:c r="H818" s="6">
        <x:v>46277.663361770836</x:v>
      </x:c>
      <x:c r="I818" s="0"/>
      <x:c r="J818" s="0"/>
      <x:c r="K818" s="6">
        <x:v>46289.66729293981</x:v>
      </x:c>
      <x:c r="L818" t="str" s="2">
        <x:v>Contacted</x:v>
      </x:c>
    </x:row>
    <x:row r="819">
      <x:c r="A819" t="str" s="2">
        <x:f>="David Brown"</x:f>
      </x:c>
      <x:c r="B819" t="str" s="2">
        <x:v>Heritage Housing of Minden</x:v>
      </x:c>
      <x:c r="C819" t="str" s="2">
        <x:v>0/1</x:v>
      </x:c>
      <x:c r="D819" t="str" s="2">
        <x:v>3183503955</x:v>
      </x:c>
      <x:c r="E819" t="str" s="2">
        <x:v>browndavid947@gmail.com</x:v>
      </x:c>
      <x:c r="F819" t="str" s="2">
        <x:v>Landing_BPM</x:v>
      </x:c>
      <x:c r="G819" t="str" s="2">
        <x:v>Patrick Schuchart</x:v>
      </x:c>
      <x:c r="H819" s="6">
        <x:v>46277.673285185185</x:v>
      </x:c>
      <x:c r="I819" s="0"/>
      <x:c r="J819" s="0"/>
      <x:c r="K819" s="6">
        <x:v>46277.73284768518</x:v>
      </x:c>
      <x:c r="L819" t="str" s="2">
        <x:v>Contacted</x:v>
      </x:c>
    </x:row>
    <x:row r="820">
      <x:c r="A820" t="str" s="2">
        <x:f>="Cory Branch"</x:f>
      </x:c>
      <x:c r="B820" t="str" s="2">
        <x:v>Heritage Housing Marble Falls</x:v>
      </x:c>
      <x:c r="C820" t="str" s="2">
        <x:v/>
      </x:c>
      <x:c r="D820" t="str" s="2">
        <x:v>2107697858</x:v>
      </x:c>
      <x:c r="E820" t="str" s="2">
        <x:v>millionairecory@gmail.com</x:v>
      </x:c>
      <x:c r="F820" t="str" s="2">
        <x:v>Youtube</x:v>
      </x:c>
      <x:c r="G820" t="str" s="2">
        <x:v>Stephen Sanders</x:v>
      </x:c>
      <x:c r="H820" s="6">
        <x:v>46277.69238758102</x:v>
      </x:c>
      <x:c r="I820" s="0"/>
      <x:c r="J820" s="0"/>
      <x:c r="K820" s="6">
        <x:v>46283.63486114583</x:v>
      </x:c>
      <x:c r="L820" t="str" s="2">
        <x:v>Contacted</x:v>
      </x:c>
    </x:row>
    <x:row r="821">
      <x:c r="A821" t="str" s="2">
        <x:f>="Rachael Chatmon"</x:f>
      </x:c>
      <x:c r="B821" t="str" s="2">
        <x:v>Legacy Housing Corp. DBA Americasa</x:v>
      </x:c>
      <x:c r="C821" t="str" s="2">
        <x:v/>
      </x:c>
      <x:c r="D821" t="str" s="2">
        <x:v>7134223035</x:v>
      </x:c>
      <x:c r="E821" t="str" s="2">
        <x:v>mrgetitdown42@gmail.com</x:v>
      </x:c>
      <x:c r="F821" t="str" s="2">
        <x:v>Youtube</x:v>
      </x:c>
      <x:c r="G821" t="str" s="2">
        <x:v>Joey Marquez</x:v>
      </x:c>
      <x:c r="H821" s="6">
        <x:v>46277.71409328704</x:v>
      </x:c>
      <x:c r="I821" s="0"/>
      <x:c r="J821" s="0"/>
      <x:c r="K821" s="6">
        <x:v>46283.8994909375</x:v>
      </x:c>
      <x:c r="L821" t="str" s="2">
        <x:v>Contacted</x:v>
      </x:c>
    </x:row>
    <x:row r="822">
      <x:c r="A822" t="str" s="2">
        <x:f>="Keilah Vaughn"</x:f>
      </x:c>
      <x:c r="B822" t="str" s="2">
        <x:v>Legacy Housing Corp. DBA Americasa</x:v>
      </x:c>
      <x:c r="C822" t="str" s="2">
        <x:v/>
      </x:c>
      <x:c r="D822" t="str" s="2">
        <x:v>2544094592</x:v>
      </x:c>
      <x:c r="E822" t="str" s="2">
        <x:v>kekevau@gmail.com</x:v>
      </x:c>
      <x:c r="F822" t="str" s="2">
        <x:v>Landing_BPM</x:v>
      </x:c>
      <x:c r="G822" t="str" s="2">
        <x:v>Rodrigo Ramirez</x:v>
      </x:c>
      <x:c r="H822" s="6">
        <x:v>46277.72229675926</x:v>
      </x:c>
      <x:c r="I822" s="0"/>
      <x:c r="J822" s="0"/>
      <x:c r="K822" s="6">
        <x:v>46279.89766751158</x:v>
      </x:c>
      <x:c r="L822" t="str" s="2">
        <x:v>Contacted</x:v>
      </x:c>
    </x:row>
    <x:row r="823">
      <x:c r="A823" t="str" s="2">
        <x:f>="Cory Jensen"</x:f>
      </x:c>
      <x:c r="B823" t="str" s="2">
        <x:v>Heritage Housing of Athens</x:v>
      </x:c>
      <x:c r="C823" t="str" s="2">
        <x:v/>
      </x:c>
      <x:c r="D823" t="str" s="2">
        <x:v>3525602940</x:v>
      </x:c>
      <x:c r="E823" t="str" s="2">
        <x:v>coryjensen069@gmail.com</x:v>
      </x:c>
      <x:c r="F823" t="str" s="2">
        <x:v>Website</x:v>
      </x:c>
      <x:c r="G823" t="str" s="2">
        <x:v>Nathan Bishop</x:v>
      </x:c>
      <x:c r="H823" s="6">
        <x:v>46277.741621875</x:v>
      </x:c>
      <x:c r="I823" s="0"/>
      <x:c r="J823" s="0"/>
      <x:c r="K823" s="6">
        <x:v>46278.600863078704</x:v>
      </x:c>
      <x:c r="L823" t="str" s="2">
        <x:v>Contacted</x:v>
      </x:c>
    </x:row>
    <x:row r="824">
      <x:c r="A824" t="str" s="2">
        <x:f>=HYPERLINK("https://rsms.futurehomex.com/lead/40063", "Angel Carr")</x:f>
      </x:c>
      <x:c r="B824" t="str" s="2">
        <x:v>Heritage Housing of Augusta</x:v>
      </x:c>
      <x:c r="C824" t="str" s="2">
        <x:v/>
      </x:c>
      <x:c r="D824" t="str" s="2">
        <x:v>7062443999</x:v>
      </x:c>
      <x:c r="E824" t="str" s="2">
        <x:v>angelcarr382@gmail.com</x:v>
      </x:c>
      <x:c r="F824" t="str" s="2">
        <x:v>Website</x:v>
      </x:c>
      <x:c r="G824" t="str" s="2">
        <x:v>Ethan Fossett</x:v>
      </x:c>
      <x:c r="H824" s="6">
        <x:v>46277.77840520833</x:v>
      </x:c>
      <x:c r="I824" t="str" s="2">
        <x:v>Ethan Fossett</x:v>
      </x:c>
      <x:c r="J824" s="0"/>
      <x:c r="K824" s="6">
        <x:v>46283.873177581016</x:v>
      </x:c>
      <x:c r="L824" t="str" s="2">
        <x:v>Contacted</x:v>
      </x:c>
    </x:row>
    <x:row r="825">
      <x:c r="A825" t="str" s="2">
        <x:f>="Debra Stovall"</x:f>
      </x:c>
      <x:c r="B825" t="str" s="2">
        <x:v>Legacy Housing Corp. DBA Americasa</x:v>
      </x:c>
      <x:c r="C825" t="str" s="2">
        <x:v/>
      </x:c>
      <x:c r="D825" t="str" s="2">
        <x:v>2817455436</x:v>
      </x:c>
      <x:c r="E825" t="str" s="2">
        <x:v>debbiestovall1954@gmail.com</x:v>
      </x:c>
      <x:c r="F825" t="str" s="2">
        <x:v>Bing - Search</x:v>
      </x:c>
      <x:c r="G825" t="str" s="2">
        <x:v>Joey Marquez</x:v>
      </x:c>
      <x:c r="H825" s="6">
        <x:v>46277.90986994213</x:v>
      </x:c>
      <x:c r="I825" s="0"/>
      <x:c r="J825" s="0"/>
      <x:c r="K825" s="6">
        <x:v>46282.76832079861</x:v>
      </x:c>
      <x:c r="L825" t="str" s="2">
        <x:v>Contacted</x:v>
      </x:c>
    </x:row>
    <x:row r="826">
      <x:c r="A826" t="str" s="2">
        <x:f>="Elizabeth Jones"</x:f>
      </x:c>
      <x:c r="B826" t="str" s="2">
        <x:v>Legacy Housing Corp. DBA Americasa</x:v>
      </x:c>
      <x:c r="C826" t="str" s="2">
        <x:v/>
      </x:c>
      <x:c r="D826" t="str" s="2">
        <x:v>2818301958</x:v>
      </x:c>
      <x:c r="E826" t="str" s="2">
        <x:v>thedonjones7@gmail.com</x:v>
      </x:c>
      <x:c r="F826" t="str" s="2">
        <x:v>Landing_BPM</x:v>
      </x:c>
      <x:c r="G826" t="str" s="2">
        <x:v>Rodrigo Ramirez</x:v>
      </x:c>
      <x:c r="H826" s="6">
        <x:v>46278.060184409725</x:v>
      </x:c>
      <x:c r="I826" s="0"/>
      <x:c r="J826" s="0"/>
      <x:c r="K826" s="6">
        <x:v>46279.940897025466</x:v>
      </x:c>
      <x:c r="L826" t="str" s="2">
        <x:v>Contacted</x:v>
      </x:c>
    </x:row>
    <x:row r="827">
      <x:c r="A827" t="str" s="2">
        <x:f>="Dennis Elrod"</x:f>
      </x:c>
      <x:c r="B827" t="str" s="2">
        <x:v>Heritage Housing of Athens</x:v>
      </x:c>
      <x:c r="C827" t="str" s="2">
        <x:v/>
      </x:c>
      <x:c r="D827" t="str" s="2">
        <x:v>7069496047</x:v>
      </x:c>
      <x:c r="E827" t="str" s="2">
        <x:v>delrod41@yahoo.com</x:v>
      </x:c>
      <x:c r="F827" t="str" s="2">
        <x:v>Youtube</x:v>
      </x:c>
      <x:c r="G827" t="str" s="2">
        <x:v>Ethan Fossett</x:v>
      </x:c>
      <x:c r="H827" s="6">
        <x:v>46278.10469771991</x:v>
      </x:c>
      <x:c r="I827" s="0"/>
      <x:c r="J827" s="0"/>
      <x:c r="K827" s="6">
        <x:v>46298.72296929398</x:v>
      </x:c>
      <x:c r="L827" t="str" s="2">
        <x:v>Contacted</x:v>
      </x:c>
    </x:row>
    <x:row r="828">
      <x:c r="A828" t="str" s="2">
        <x:f>="Sandra Johnston"</x:f>
      </x:c>
      <x:c r="B828" t="str" s="2">
        <x:v>Heritage Housing of Minden</x:v>
      </x:c>
      <x:c r="C828" t="str" s="2">
        <x:v>0/1</x:v>
      </x:c>
      <x:c r="D828" t="str" s="2">
        <x:v>5735019271</x:v>
      </x:c>
      <x:c r="E828" t="str" s="2">
        <x:v>jdsandra63@gmail.com</x:v>
      </x:c>
      <x:c r="F828" t="str" s="2">
        <x:v>Landing_BPM</x:v>
      </x:c>
      <x:c r="G828" t="str" s="2">
        <x:v>Patrick Schuchart</x:v>
      </x:c>
      <x:c r="H828" s="6">
        <x:v>46278.21310725695</x:v>
      </x:c>
      <x:c r="I828" s="0"/>
      <x:c r="J828" s="0"/>
      <x:c r="K828" s="6">
        <x:v>46279.80109065972</x:v>
      </x:c>
      <x:c r="L828" t="str" s="2">
        <x:v>Contacted</x:v>
      </x:c>
    </x:row>
    <x:row r="829">
      <x:c r="A829" t="str" s="2">
        <x:f>="Yameka Brown"</x:f>
      </x:c>
      <x:c r="B829" t="str" s="2">
        <x:v>Heritage Housing Mt Pleasant</x:v>
      </x:c>
      <x:c r="C829" t="str" s="2">
        <x:v/>
      </x:c>
      <x:c r="D829" t="str" s="2">
        <x:v>2148460573</x:v>
      </x:c>
      <x:c r="E829" t="str" s="2">
        <x:v>brownyameka@gmail.com</x:v>
      </x:c>
      <x:c r="F829" t="str" s="2">
        <x:v>Financing Form</x:v>
      </x:c>
      <x:c r="G829" t="str" s="2">
        <x:v>Elias Gallardo</x:v>
      </x:c>
      <x:c r="H829" s="6">
        <x:v>46278.26741392361</x:v>
      </x:c>
      <x:c r="I829" s="0"/>
      <x:c r="J829" s="0"/>
      <x:c r="K829" s="6">
        <x:v>46279.635095289355</x:v>
      </x:c>
      <x:c r="L829" t="str" s="2">
        <x:v>Contacted</x:v>
      </x:c>
    </x:row>
    <x:row r="830">
      <x:c r="A830" t="str" s="2">
        <x:f>="Denaria Lucas"</x:f>
      </x:c>
      <x:c r="B830" t="str" s="2">
        <x:v>Heritage Housing of Albany</x:v>
      </x:c>
      <x:c r="C830" t="str" s="2">
        <x:v/>
      </x:c>
      <x:c r="D830" t="str" s="2">
        <x:v>4729991698</x:v>
      </x:c>
      <x:c r="E830" t="str" s="2">
        <x:v>denaria869@gmail.com</x:v>
      </x:c>
      <x:c r="F830" t="str" s="2">
        <x:v>Financing Form</x:v>
      </x:c>
      <x:c r="G830" t="str" s="2">
        <x:v>Yanet Alvarez</x:v>
      </x:c>
      <x:c r="H830" s="6">
        <x:v>46278.37798788195</x:v>
      </x:c>
      <x:c r="I830" s="0"/>
      <x:c r="J830" s="0"/>
      <x:c r="K830" s="6">
        <x:v>46282.78281744213</x:v>
      </x:c>
      <x:c r="L830" t="str" s="2">
        <x:v>Contacted</x:v>
      </x:c>
    </x:row>
    <x:row r="831">
      <x:c r="A831" t="str" s="2">
        <x:f>="Nichole Moss"</x:f>
      </x:c>
      <x:c r="B831" t="str" s="2">
        <x:v>Heritage Housing of Minden</x:v>
      </x:c>
      <x:c r="C831" t="str" s="2">
        <x:v>0/1</x:v>
      </x:c>
      <x:c r="D831" t="str" s="2">
        <x:v>3185239773</x:v>
      </x:c>
      <x:c r="E831" t="str" s="2">
        <x:v>nicholemoss42@gmail.com</x:v>
      </x:c>
      <x:c r="F831" t="str" s="2">
        <x:v>Landing_BPM</x:v>
      </x:c>
      <x:c r="G831" t="str" s="2">
        <x:v>Kyla Brown</x:v>
      </x:c>
      <x:c r="H831" s="6">
        <x:v>46278.448266666666</x:v>
      </x:c>
      <x:c r="I831" s="0"/>
      <x:c r="J831" s="0"/>
      <x:c r="K831" s="6">
        <x:v>46279.92481570602</x:v>
      </x:c>
      <x:c r="L831" t="str" s="2">
        <x:v>Contacted</x:v>
      </x:c>
    </x:row>
    <x:row r="832">
      <x:c r="A832" t="str" s="2">
        <x:f>="betty carter"</x:f>
      </x:c>
      <x:c r="B832" t="str" s="2">
        <x:v>Heritage Housing Marble Falls</x:v>
      </x:c>
      <x:c r="C832" t="str" s="2">
        <x:v/>
      </x:c>
      <x:c r="D832" t="str" s="2">
        <x:v>5129425522</x:v>
      </x:c>
      <x:c r="E832" t="str" s="2">
        <x:v>keepitmovin@gmail.com</x:v>
      </x:c>
      <x:c r="F832" t="str" s="2">
        <x:v>Bing - Search</x:v>
      </x:c>
      <x:c r="G832" t="str" s="2">
        <x:v>Garrett Riedesel</x:v>
      </x:c>
      <x:c r="H832" s="6">
        <x:v>46278.45526207176</x:v>
      </x:c>
      <x:c r="I832" s="0"/>
      <x:c r="J832" s="0"/>
      <x:c r="K832" s="6">
        <x:v>46288.68330755787</x:v>
      </x:c>
      <x:c r="L832" t="str" s="2">
        <x:v>Contacted</x:v>
      </x:c>
    </x:row>
    <x:row r="833">
      <x:c r="A833" t="str" s="2">
        <x:f>="Marilu Hernandez Hernandez"</x:f>
      </x:c>
      <x:c r="B833" t="str" s="2">
        <x:v>Heritage Housing Marble Falls</x:v>
      </x:c>
      <x:c r="C833" t="str" s="2">
        <x:v/>
      </x:c>
      <x:c r="D833" t="str" s="2">
        <x:v>8034460623</x:v>
      </x:c>
      <x:c r="E833" t="str" s="2">
        <x:v>mhandrq@icloud.com</x:v>
      </x:c>
      <x:c r="F833" t="str" s="2">
        <x:v>Landing_BPM</x:v>
      </x:c>
      <x:c r="G833" t="str" s="2">
        <x:v>Stephen Sanders</x:v>
      </x:c>
      <x:c r="H833" s="6">
        <x:v>46278.495002083335</x:v>
      </x:c>
      <x:c r="I833" s="0"/>
      <x:c r="J833" s="0"/>
      <x:c r="K833" s="6">
        <x:v>46283.63381539352</x:v>
      </x:c>
      <x:c r="L833" t="str" s="2">
        <x:v>Contacted</x:v>
      </x:c>
    </x:row>
    <x:row r="834">
      <x:c r="A834" t="str" s="2">
        <x:f>="Flora Howell"</x:f>
      </x:c>
      <x:c r="B834" t="str" s="2">
        <x:v>Heritage Housing of Minden</x:v>
      </x:c>
      <x:c r="C834" t="str" s="2">
        <x:v>0/1</x:v>
      </x:c>
      <x:c r="D834" t="str" s="2">
        <x:v>3184384526</x:v>
      </x:c>
      <x:c r="E834" t="str" s="2">
        <x:v>mommanenee16@gmail.com</x:v>
      </x:c>
      <x:c r="F834" t="str" s="2">
        <x:v>Youtube</x:v>
      </x:c>
      <x:c r="G834" t="str" s="2">
        <x:v>Kyla Brown</x:v>
      </x:c>
      <x:c r="H834" s="6">
        <x:v>46278.66715</x:v>
      </x:c>
      <x:c r="I834" s="0"/>
      <x:c r="J834" s="0"/>
      <x:c r="K834" s="6">
        <x:v>46279.7910991088</x:v>
      </x:c>
      <x:c r="L834" t="str" s="2">
        <x:v>Contacted</x:v>
      </x:c>
    </x:row>
    <x:row r="835">
      <x:c r="A835" t="str" s="2">
        <x:f>="Ahmed Reid"</x:f>
      </x:c>
      <x:c r="B835" t="str" s="2">
        <x:v>Heritage Housing of Athens</x:v>
      </x:c>
      <x:c r="C835" t="str" s="2">
        <x:v/>
      </x:c>
      <x:c r="D835" t="str" s="2">
        <x:v>4044263824</x:v>
      </x:c>
      <x:c r="E835" t="str" s="2">
        <x:v>reidstock7@gmail.com</x:v>
      </x:c>
      <x:c r="F835" t="str" s="2">
        <x:v>Financing Form</x:v>
      </x:c>
      <x:c r="G835" t="str" s="2">
        <x:v>Justin Johnson</x:v>
      </x:c>
      <x:c r="H835" s="6">
        <x:v>46278.748352083334</x:v>
      </x:c>
      <x:c r="I835" s="0"/>
      <x:c r="J835" s="0"/>
      <x:c r="K835" s="6">
        <x:v>46279.691383715275</x:v>
      </x:c>
      <x:c r="L835" t="str" s="2">
        <x:v>Contacted</x:v>
      </x:c>
    </x:row>
    <x:row r="836">
      <x:c r="A836" t="str" s="2">
        <x:f>="Kortney Whitfield"</x:f>
      </x:c>
      <x:c r="B836" t="str" s="2">
        <x:v>Heritage Housing of Athens</x:v>
      </x:c>
      <x:c r="C836" t="str" s="2">
        <x:v/>
      </x:c>
      <x:c r="D836" t="str" s="2">
        <x:v>7069883998</x:v>
      </x:c>
      <x:c r="E836" t="str" s="2">
        <x:v>kwhitfieldxo@aol.com</x:v>
      </x:c>
      <x:c r="F836" t="str" s="2">
        <x:v>Financing Form</x:v>
      </x:c>
      <x:c r="G836" t="str" s="2">
        <x:v>Ethan Fossett</x:v>
      </x:c>
      <x:c r="H836" s="6">
        <x:v>46278.76177167824</x:v>
      </x:c>
      <x:c r="I836" s="0"/>
      <x:c r="J836" s="0"/>
      <x:c r="K836" s="6">
        <x:v>46298.7239309375</x:v>
      </x:c>
      <x:c r="L836" t="str" s="2">
        <x:v>Contacted</x:v>
      </x:c>
    </x:row>
    <x:row r="837">
      <x:c r="A837" t="str" s="2">
        <x:f>="Laginna Blevins"</x:f>
      </x:c>
      <x:c r="B837" t="str" s="2">
        <x:v>Heritage Housing Marble Falls</x:v>
      </x:c>
      <x:c r="C837" t="str" s="2">
        <x:v/>
      </x:c>
      <x:c r="D837" t="str" s="2">
        <x:v>2812827782</x:v>
      </x:c>
      <x:c r="E837" t="str" s="2">
        <x:v>laginnablevins69@gmail.com</x:v>
      </x:c>
      <x:c r="F837" t="str" s="2">
        <x:v>Website</x:v>
      </x:c>
      <x:c r="G837" t="str" s="2">
        <x:v>Garrett Riedesel</x:v>
      </x:c>
      <x:c r="H837" s="6">
        <x:v>46278.76570153935</x:v>
      </x:c>
      <x:c r="I837" s="0"/>
      <x:c r="J837" s="0"/>
      <x:c r="K837" s="6">
        <x:v>46289.66667827546</x:v>
      </x:c>
      <x:c r="L837" t="str" s="2">
        <x:v>Contacted</x:v>
      </x:c>
    </x:row>
    <x:row r="838">
      <x:c r="A838" t="str" s="2">
        <x:f>="James Burson"</x:f>
      </x:c>
      <x:c r="B838" t="str" s="2">
        <x:v>Heritage Housing Gainesville</x:v>
      </x:c>
      <x:c r="C838" t="str" s="2">
        <x:v/>
      </x:c>
      <x:c r="D838" t="str" s="2">
        <x:v>18173430928</x:v>
      </x:c>
      <x:c r="E838" t="str" s="2">
        <x:v>bursonj950@gmail.com</x:v>
      </x:c>
      <x:c r="F838" t="str" s="2">
        <x:v>Bing - Search</x:v>
      </x:c>
      <x:c r="G838" t="str" s="2">
        <x:v>Jeniffer Arellano</x:v>
      </x:c>
      <x:c r="H838" s="6">
        <x:v>46278.76605547454</x:v>
      </x:c>
      <x:c r="I838" s="0"/>
      <x:c r="J838" s="0"/>
      <x:c r="K838" s="6">
        <x:v>46308.70953221065</x:v>
      </x:c>
      <x:c r="L838" t="str" s="2">
        <x:v>Contacted</x:v>
      </x:c>
    </x:row>
    <x:row r="839">
      <x:c r="A839" t="str" s="2">
        <x:f>="Nicole Jones"</x:f>
      </x:c>
      <x:c r="B839" t="str" s="2">
        <x:v>Heritage Housing of Minden</x:v>
      </x:c>
      <x:c r="C839" t="str" s="2">
        <x:v>0/1</x:v>
      </x:c>
      <x:c r="D839" t="str" s="2">
        <x:v>9855180864</x:v>
      </x:c>
      <x:c r="E839" t="str" s="2">
        <x:v>jonesnicolem5@gmail.com</x:v>
      </x:c>
      <x:c r="F839" t="str" s="2">
        <x:v>Youtube</x:v>
      </x:c>
      <x:c r="G839" t="str" s="2">
        <x:v>Patrick Schuchart</x:v>
      </x:c>
      <x:c r="H839" s="6">
        <x:v>46278.85015760417</x:v>
      </x:c>
      <x:c r="I839" s="0"/>
      <x:c r="J839" s="0"/>
      <x:c r="K839" s="6">
        <x:v>46279.79047554398</x:v>
      </x:c>
      <x:c r="L839" t="str" s="2">
        <x:v>Contacted</x:v>
      </x:c>
    </x:row>
    <x:row r="840">
      <x:c r="A840" t="str" s="2">
        <x:f>="Bryant Scott"</x:f>
      </x:c>
      <x:c r="B840" t="str" s="2">
        <x:v>Heritage Housing of Athens</x:v>
      </x:c>
      <x:c r="C840" t="str" s="2">
        <x:v/>
      </x:c>
      <x:c r="D840" t="str" s="2">
        <x:v>6782815512</x:v>
      </x:c>
      <x:c r="E840" t="str" s="2">
        <x:v>bigb1024.bs@gmail.com</x:v>
      </x:c>
      <x:c r="F840" t="str" s="2">
        <x:v>Youtube</x:v>
      </x:c>
      <x:c r="G840" t="str" s="2">
        <x:v>Ethan Fossett</x:v>
      </x:c>
      <x:c r="H840" s="6">
        <x:v>46278.898697881945</x:v>
      </x:c>
      <x:c r="I840" s="0"/>
      <x:c r="J840" s="0"/>
      <x:c r="K840" s="6">
        <x:v>46298.724942280096</x:v>
      </x:c>
      <x:c r="L840" t="str" s="2">
        <x:v>Contacted</x:v>
      </x:c>
    </x:row>
    <x:row r="841">
      <x:c r="A841" t="str" s="2">
        <x:f>="Edith Dubose"</x:f>
      </x:c>
      <x:c r="B841" t="str" s="2">
        <x:v>Heritage Housing of Albany</x:v>
      </x:c>
      <x:c r="C841" t="str" s="2">
        <x:v/>
      </x:c>
      <x:c r="D841" t="str" s="2">
        <x:v>4787033229</x:v>
      </x:c>
      <x:c r="E841" t="str" s="2">
        <x:v>edithdubuse@gmail.com</x:v>
      </x:c>
      <x:c r="F841" t="str" s="2">
        <x:v>Youtube</x:v>
      </x:c>
      <x:c r="G841" t="str" s="2">
        <x:v>Yanet Alvarez</x:v>
      </x:c>
      <x:c r="H841" s="6">
        <x:v>46278.913310034724</x:v>
      </x:c>
      <x:c r="I841" s="0"/>
      <x:c r="J841" s="0"/>
      <x:c r="K841" s="6">
        <x:v>46296.79346959491</x:v>
      </x:c>
      <x:c r="L841" t="str" s="2">
        <x:v>Contacted</x:v>
      </x:c>
    </x:row>
    <x:row r="842">
      <x:c r="A842" t="str" s="2">
        <x:f>="Crystal Raymundo"</x:f>
      </x:c>
      <x:c r="B842" t="str" s="2">
        <x:v>Legacy Housing Corp. DBA Americasa</x:v>
      </x:c>
      <x:c r="C842" t="str" s="2">
        <x:v/>
      </x:c>
      <x:c r="D842" t="str" s="2">
        <x:v>8329358072</x:v>
      </x:c>
      <x:c r="E842" t="str" s="2">
        <x:v>crystalraymundo@gmail.com</x:v>
      </x:c>
      <x:c r="F842" t="str" s="2">
        <x:v>Website</x:v>
      </x:c>
      <x:c r="G842" t="str" s="2">
        <x:v>Joey Marquez</x:v>
      </x:c>
      <x:c r="H842" s="6">
        <x:v>46278.93067109954</x:v>
      </x:c>
      <x:c r="I842" s="0"/>
      <x:c r="J842" s="0"/>
      <x:c r="K842" s="6">
        <x:v>46283.89238125</x:v>
      </x:c>
      <x:c r="L842" t="str" s="2">
        <x:v>Contacted</x:v>
      </x:c>
    </x:row>
    <x:row r="843">
      <x:c r="A843" t="str" s="2">
        <x:f>="Dayvon Lang"</x:f>
      </x:c>
      <x:c r="B843" t="str" s="2">
        <x:v>Heritage Housing of Albany</x:v>
      </x:c>
      <x:c r="C843" t="str" s="2">
        <x:v/>
      </x:c>
      <x:c r="D843" t="str" s="2">
        <x:v>8124809987</x:v>
      </x:c>
      <x:c r="E843" t="str" s="2">
        <x:v>langdayvon290@gmail.com</x:v>
      </x:c>
      <x:c r="F843" t="str" s="2">
        <x:v>Youtube</x:v>
      </x:c>
      <x:c r="G843" t="str" s="2">
        <x:v>Yanet Alvarez</x:v>
      </x:c>
      <x:c r="H843" s="6">
        <x:v>46278.938491863424</x:v>
      </x:c>
      <x:c r="I843" s="0"/>
      <x:c r="J843" s="0"/>
      <x:c r="K843" s="6">
        <x:v>46296.79357966435</x:v>
      </x:c>
      <x:c r="L843" t="str" s="2">
        <x:v>Contacted</x:v>
      </x:c>
    </x:row>
    <x:row r="844">
      <x:c r="A844" t="str" s="2">
        <x:f>="Amanda Erwin"</x:f>
      </x:c>
      <x:c r="B844" t="str" s="2">
        <x:v>Heritage Housing of Greenville</x:v>
      </x:c>
      <x:c r="C844" t="str" s="2">
        <x:v/>
      </x:c>
      <x:c r="D844" t="str" s="2">
        <x:v>9034971367</x:v>
      </x:c>
      <x:c r="E844" t="str" s="2">
        <x:v>amandaje161@gmail.com</x:v>
      </x:c>
      <x:c r="F844" t="str" s="2">
        <x:v>Bing - Search</x:v>
      </x:c>
      <x:c r="G844" t="str" s="2">
        <x:v>Ana Garcia</x:v>
      </x:c>
      <x:c r="H844" s="6">
        <x:v>46278.9522159375</x:v>
      </x:c>
      <x:c r="I844" s="0"/>
      <x:c r="J844" s="0"/>
      <x:c r="K844" s="6">
        <x:v>46279.777658101855</x:v>
      </x:c>
      <x:c r="L844" t="str" s="2">
        <x:v>Contacted</x:v>
      </x:c>
    </x:row>
    <x:row r="845">
      <x:c r="A845" t="str" s="2">
        <x:f>="Alexus Edwards"</x:f>
      </x:c>
      <x:c r="B845" t="str" s="2">
        <x:v>Legacy Housing Corp. DBA Americasa</x:v>
      </x:c>
      <x:c r="C845" t="str" s="2">
        <x:v/>
      </x:c>
      <x:c r="D845" t="str" s="2">
        <x:v>9036502434</x:v>
      </x:c>
      <x:c r="E845" t="str" s="2">
        <x:v>alexusedwards81@gmail.com</x:v>
      </x:c>
      <x:c r="F845" t="str" s="2">
        <x:v>Landing_BPM</x:v>
      </x:c>
      <x:c r="G845" t="str" s="2">
        <x:v>Rodrigo Ramirez</x:v>
      </x:c>
      <x:c r="H845" s="6">
        <x:v>46279.084280243056</x:v>
      </x:c>
      <x:c r="I845" s="0"/>
      <x:c r="J845" s="0"/>
      <x:c r="K845" s="6">
        <x:v>46279.944363738425</x:v>
      </x:c>
      <x:c r="L845" t="str" s="2">
        <x:v>Contacted</x:v>
      </x:c>
    </x:row>
    <x:row r="846">
      <x:c r="A846" t="str" s="2">
        <x:f>="Kimberly ONeal ONeal"</x:f>
      </x:c>
      <x:c r="B846" t="str" s="2">
        <x:v>Heritage Housing of Athens</x:v>
      </x:c>
      <x:c r="C846" t="str" s="2">
        <x:v/>
      </x:c>
      <x:c r="D846" t="str" s="2">
        <x:v>7067162968</x:v>
      </x:c>
      <x:c r="E846" t="str" s="2">
        <x:v>kimberlyrose53@icloud.com</x:v>
      </x:c>
      <x:c r="F846" t="str" s="2">
        <x:v>Landing_BPM</x:v>
      </x:c>
      <x:c r="G846" t="str" s="2">
        <x:v>Ethan Fossett</x:v>
      </x:c>
      <x:c r="H846" s="6">
        <x:v>46279.1374778125</x:v>
      </x:c>
      <x:c r="I846" s="0"/>
      <x:c r="J846" s="0"/>
      <x:c r="K846" s="6">
        <x:v>46298.7252790162</x:v>
      </x:c>
      <x:c r="L846" t="str" s="2">
        <x:v>Contacted</x:v>
      </x:c>
    </x:row>
    <x:row r="847">
      <x:c r="A847" t="str" s="2">
        <x:f>="Chris Gantt"</x:f>
      </x:c>
      <x:c r="B847" t="str" s="2">
        <x:v>Heritage Housing of Minden</x:v>
      </x:c>
      <x:c r="C847" t="str" s="2">
        <x:v>0/1</x:v>
      </x:c>
      <x:c r="D847" t="str" s="2">
        <x:v>3182250688</x:v>
      </x:c>
      <x:c r="E847" t="str" s="2">
        <x:v>bobbieg123466@gmail.com</x:v>
      </x:c>
      <x:c r="F847" t="str" s="2">
        <x:v>Landing_BPM</x:v>
      </x:c>
      <x:c r="G847" t="str" s="2">
        <x:v>Kyla Brown</x:v>
      </x:c>
      <x:c r="H847" s="6">
        <x:v>46279.144201655094</x:v>
      </x:c>
      <x:c r="I847" s="0"/>
      <x:c r="J847" s="0"/>
      <x:c r="K847" s="6">
        <x:v>46279.7902084838</x:v>
      </x:c>
      <x:c r="L847" t="str" s="2">
        <x:v>Contacted</x:v>
      </x:c>
    </x:row>
    <x:row r="848">
      <x:c r="A848" t="str" s="2">
        <x:f>="Aaron Sagel"</x:f>
      </x:c>
      <x:c r="B848" t="str" s="2">
        <x:v>Heritage Housing Marble Falls</x:v>
      </x:c>
      <x:c r="C848" t="str" s="2">
        <x:v/>
      </x:c>
      <x:c r="D848" t="str" s="2">
        <x:v>9412753457</x:v>
      </x:c>
      <x:c r="E848" t="str" s="2">
        <x:v>texasservices2021@gmail.com</x:v>
      </x:c>
      <x:c r="F848" t="str" s="2">
        <x:v>Landing_BPM</x:v>
      </x:c>
      <x:c r="G848" t="str" s="2">
        <x:v>Garrett Riedesel</x:v>
      </x:c>
      <x:c r="H848" s="6">
        <x:v>46279.15573329861</x:v>
      </x:c>
      <x:c r="I848" s="0"/>
      <x:c r="J848" s="0"/>
      <x:c r="K848" s="6">
        <x:v>46289.6662246875</x:v>
      </x:c>
      <x:c r="L848" t="str" s="2">
        <x:v>Contacted</x:v>
      </x:c>
    </x:row>
    <x:row r="849">
      <x:c r="A849" t="str" s="2">
        <x:f>="MEL Quinney"</x:f>
      </x:c>
      <x:c r="B849" t="str" s="2">
        <x:v>Heritage Housing Gainesville</x:v>
      </x:c>
      <x:c r="C849" t="str" s="2">
        <x:v/>
      </x:c>
      <x:c r="D849" t="str" s="2">
        <x:v>2144356981</x:v>
      </x:c>
      <x:c r="E849" t="str" s="2">
        <x:v>sirmelman@gmail.com</x:v>
      </x:c>
      <x:c r="F849" t="str" s="2">
        <x:v>Landing_BPM</x:v>
      </x:c>
      <x:c r="G849" t="str" s="2">
        <x:v>Jeniffer Arellano</x:v>
      </x:c>
      <x:c r="H849" s="6">
        <x:v>46279.17671825232</x:v>
      </x:c>
      <x:c r="I849" s="0"/>
      <x:c r="J849" s="0"/>
      <x:c r="K849" s="6">
        <x:v>46308.70962037037</x:v>
      </x:c>
      <x:c r="L849" t="str" s="2">
        <x:v>Contacted</x:v>
      </x:c>
    </x:row>
    <x:row r="850">
      <x:c r="A850" t="str" s="2">
        <x:f>="Gene Fair"</x:f>
      </x:c>
      <x:c r="B850" t="str" s="2">
        <x:v>Heritage Housing of Minden</x:v>
      </x:c>
      <x:c r="C850" t="str" s="2">
        <x:v>0/1</x:v>
      </x:c>
      <x:c r="D850" t="str" s="2">
        <x:v>3184891908</x:v>
      </x:c>
      <x:c r="E850" t="str" s="2">
        <x:v>genefair1976@gmail.com</x:v>
      </x:c>
      <x:c r="F850" t="str" s="2">
        <x:v>Landing_BPM</x:v>
      </x:c>
      <x:c r="G850" t="str" s="2">
        <x:v>Patrick Schuchart</x:v>
      </x:c>
      <x:c r="H850" s="6">
        <x:v>46279.227075</x:v>
      </x:c>
      <x:c r="I850" s="0"/>
      <x:c r="J850" s="0"/>
      <x:c r="K850" s="6">
        <x:v>46279.78852739583</x:v>
      </x:c>
      <x:c r="L850" t="str" s="2">
        <x:v>Contacted</x:v>
      </x:c>
    </x:row>
    <x:row r="851">
      <x:c r="A851" t="str" s="2">
        <x:f>="lisa rhodes"</x:f>
      </x:c>
      <x:c r="B851" t="str" s="2">
        <x:v>Heritage Housing of Minden</x:v>
      </x:c>
      <x:c r="C851" t="str" s="2">
        <x:v>0/1</x:v>
      </x:c>
      <x:c r="D851" t="str" s="2">
        <x:v>8707037190</x:v>
      </x:c>
      <x:c r="E851" t="str" s="2">
        <x:v>lisarhodes85@aol.com</x:v>
      </x:c>
      <x:c r="F851" t="str" s="2">
        <x:v>Bing - Search</x:v>
      </x:c>
      <x:c r="G851" t="str" s="2">
        <x:v>Kyla Brown</x:v>
      </x:c>
      <x:c r="H851" s="6">
        <x:v>46279.33108645833</x:v>
      </x:c>
      <x:c r="I851" s="0"/>
      <x:c r="J851" s="0"/>
      <x:c r="K851" s="6">
        <x:v>46279.78727994213</x:v>
      </x:c>
      <x:c r="L851" t="str" s="2">
        <x:v>Contacted</x:v>
      </x:c>
    </x:row>
    <x:row r="852">
      <x:c r="A852" t="str" s="2">
        <x:f>="Brandi Canterbury"</x:f>
      </x:c>
      <x:c r="B852" t="str" s="2">
        <x:v>Heritage Housing Gainesville</x:v>
      </x:c>
      <x:c r="C852" t="str" s="2">
        <x:v/>
      </x:c>
      <x:c r="D852" t="str" s="2">
        <x:v>7274395140</x:v>
      </x:c>
      <x:c r="E852" t="str" s="2">
        <x:v>brandithomas0624@gmail.com</x:v>
      </x:c>
      <x:c r="F852" t="str" s="2">
        <x:v>Website</x:v>
      </x:c>
      <x:c r="G852" t="str" s="2">
        <x:v>Jeniffer Arellano</x:v>
      </x:c>
      <x:c r="H852" s="6">
        <x:v>46279.350558136575</x:v>
      </x:c>
      <x:c r="I852" s="0"/>
      <x:c r="J852" s="0"/>
      <x:c r="K852" s="6">
        <x:v>46308.70971180555</x:v>
      </x:c>
      <x:c r="L852" t="str" s="2">
        <x:v>Contacted</x:v>
      </x:c>
    </x:row>
    <x:row r="853">
      <x:c r="A853" t="str" s="2">
        <x:f>=HYPERLINK("https://rsms.futurehomex.com/lead/39975", "Lisa Wagner")</x:f>
      </x:c>
      <x:c r="B853" t="str" s="2">
        <x:v>Heritage Housing of Oklahoma City</x:v>
      </x:c>
      <x:c r="C853" t="str" s="2">
        <x:v/>
      </x:c>
      <x:c r="D853" t="str" s="2">
        <x:v>4056388833</x:v>
      </x:c>
      <x:c r="E853" t="str" s="2">
        <x:v>wagnerlisa145@gmail.com</x:v>
      </x:c>
      <x:c r="F853" t="str" s="2">
        <x:v>Landing_BPM</x:v>
      </x:c>
      <x:c r="G853" t="str" s="2">
        <x:v>Trey Rixleben</x:v>
      </x:c>
      <x:c r="H853" s="6">
        <x:v>46279.35682619213</x:v>
      </x:c>
      <x:c r="I853" t="str" s="2">
        <x:v>Trey Rixleben</x:v>
      </x:c>
      <x:c r="J853" s="0"/>
      <x:c r="K853" s="6">
        <x:v>46280.876578668984</x:v>
      </x:c>
      <x:c r="L853" t="str" s="2">
        <x:v>Contacted</x:v>
      </x:c>
    </x:row>
    <x:row r="854">
      <x:c r="A854" t="str" s="2">
        <x:f>="Kayla White"</x:f>
      </x:c>
      <x:c r="B854" t="str" s="2">
        <x:v>Heritage Housing of Athens</x:v>
      </x:c>
      <x:c r="C854" t="str" s="2">
        <x:v/>
      </x:c>
      <x:c r="D854" t="str" s="2">
        <x:v>6074547163</x:v>
      </x:c>
      <x:c r="E854" t="str" s="2">
        <x:v>whitekayla19882210@gmail.com</x:v>
      </x:c>
      <x:c r="F854" t="str" s="2">
        <x:v>Youtube</x:v>
      </x:c>
      <x:c r="G854" t="str" s="2">
        <x:v>Ethan Fossett</x:v>
      </x:c>
      <x:c r="H854" s="6">
        <x:v>46279.5301150463</x:v>
      </x:c>
      <x:c r="I854" s="0"/>
      <x:c r="J854" s="0"/>
      <x:c r="K854" s="6">
        <x:v>46298.72615674768</x:v>
      </x:c>
      <x:c r="L854" t="str" s="2">
        <x:v>Contacted</x:v>
      </x:c>
    </x:row>
    <x:row r="855">
      <x:c r="A855" t="str" s="2">
        <x:f>="George Cross"</x:f>
      </x:c>
      <x:c r="B855" t="str" s="2">
        <x:v>Legacy Housing Corp. DBA Americasa</x:v>
      </x:c>
      <x:c r="C855" t="str" s="2">
        <x:v/>
      </x:c>
      <x:c r="D855" t="str" s="2">
        <x:v>4323128457</x:v>
      </x:c>
      <x:c r="E855" t="str" s="2">
        <x:v>gcross490@gmail.com</x:v>
      </x:c>
      <x:c r="F855" t="str" s="2">
        <x:v>Bing - Search</x:v>
      </x:c>
      <x:c r="G855" t="str" s="2">
        <x:v>Rodrigo Ramirez</x:v>
      </x:c>
      <x:c r="H855" s="6">
        <x:v>46279.5670590625</x:v>
      </x:c>
      <x:c r="I855" s="0"/>
      <x:c r="J855" s="0"/>
      <x:c r="K855" s="6">
        <x:v>46279.94542438658</x:v>
      </x:c>
      <x:c r="L855" t="str" s="2">
        <x:v>Contacted</x:v>
      </x:c>
    </x:row>
    <x:row r="856">
      <x:c r="A856" t="str" s="2">
        <x:f>="Shalexis Smith"</x:f>
      </x:c>
      <x:c r="B856" t="str" s="2">
        <x:v>Heritage Housing Mt Pleasant</x:v>
      </x:c>
      <x:c r="C856" t="str" s="2">
        <x:v/>
      </x:c>
      <x:c r="D856" t="str" s="2">
        <x:v>3184236509</x:v>
      </x:c>
      <x:c r="E856" t="str" s="2">
        <x:v>smith.lexis@ymail.com</x:v>
      </x:c>
      <x:c r="F856" t="str" s="2">
        <x:v>Bing - Search</x:v>
      </x:c>
      <x:c r="G856" t="str" s="2">
        <x:v>Elias Gallardo</x:v>
      </x:c>
      <x:c r="H856" s="6">
        <x:v>46279.58740975695</x:v>
      </x:c>
      <x:c r="I856" s="0"/>
      <x:c r="J856" s="0"/>
      <x:c r="K856" s="6">
        <x:v>46279.63516990741</x:v>
      </x:c>
      <x:c r="L856" t="str" s="2">
        <x:v>Contacted</x:v>
      </x:c>
    </x:row>
    <x:row r="857">
      <x:c r="A857" t="str" s="2">
        <x:f>="Otis Moore"</x:f>
      </x:c>
      <x:c r="B857" t="str" s="2">
        <x:v>Heritage Housing of Athens</x:v>
      </x:c>
      <x:c r="C857" t="str" s="2">
        <x:v/>
      </x:c>
      <x:c r="D857" t="str" s="2">
        <x:v>4045404582</x:v>
      </x:c>
      <x:c r="E857" t="str" s="2">
        <x:v>Sitomoe1234@gmail.com</x:v>
      </x:c>
      <x:c r="F857" t="str" s="2">
        <x:v>Youtube</x:v>
      </x:c>
      <x:c r="G857" t="str" s="2">
        <x:v>Justin Johnson</x:v>
      </x:c>
      <x:c r="H857" s="6">
        <x:v>46279.594082372685</x:v>
      </x:c>
      <x:c r="I857" s="0"/>
      <x:c r="J857" s="0"/>
      <x:c r="K857" s="6">
        <x:v>46279.6134466088</x:v>
      </x:c>
      <x:c r="L857" t="str" s="2">
        <x:v>Contacted</x:v>
      </x:c>
    </x:row>
    <x:row r="858">
      <x:c r="A858" t="str" s="2">
        <x:f>="Olivia Joslyn"</x:f>
      </x:c>
      <x:c r="B858" t="str" s="2">
        <x:v>Heritage Housing Gainesville</x:v>
      </x:c>
      <x:c r="C858" t="str" s="2">
        <x:v/>
      </x:c>
      <x:c r="D858" t="str" s="2">
        <x:v>3252662964</x:v>
      </x:c>
      <x:c r="E858" t="str" s="2">
        <x:v>oliviabales1997@gmail.com</x:v>
      </x:c>
      <x:c r="F858" t="str" s="2">
        <x:v>Financing Form</x:v>
      </x:c>
      <x:c r="G858" t="str" s="2">
        <x:v>Jeniffer Arellano</x:v>
      </x:c>
      <x:c r="H858" s="6">
        <x:v>46279.61154965278</x:v>
      </x:c>
      <x:c r="I858" s="0"/>
      <x:c r="J858" s="0"/>
      <x:c r="K858" s="6">
        <x:v>46308.70981724537</x:v>
      </x:c>
      <x:c r="L858" t="str" s="2">
        <x:v>Contacted</x:v>
      </x:c>
    </x:row>
    <x:row r="859">
      <x:c r="A859" t="str" s="2">
        <x:f>="isaac bryan"</x:f>
      </x:c>
      <x:c r="B859" t="str" s="2">
        <x:v>Heritage Housing of Athens</x:v>
      </x:c>
      <x:c r="C859" t="str" s="2">
        <x:v/>
      </x:c>
      <x:c r="D859" t="str" s="2">
        <x:v>943-227-8910</x:v>
      </x:c>
      <x:c r="E859" t="str" s="2">
        <x:v>isaacbryan197946@gmail.com</x:v>
      </x:c>
      <x:c r="F859" t="str" s="2">
        <x:v>Landing_BPM</x:v>
      </x:c>
      <x:c r="G859" t="str" s="2">
        <x:v>Ethan Fossett</x:v>
      </x:c>
      <x:c r="H859" s="6">
        <x:v>46279.61497549769</x:v>
      </x:c>
      <x:c r="I859" s="0"/>
      <x:c r="J859" s="0"/>
      <x:c r="K859" s="6">
        <x:v>46298.72677523148</x:v>
      </x:c>
      <x:c r="L859" t="str" s="2">
        <x:v>Contacted</x:v>
      </x:c>
    </x:row>
    <x:row r="860">
      <x:c r="A860" t="str" s="2">
        <x:f>="Juana M"</x:f>
      </x:c>
      <x:c r="B860" t="str" s="2">
        <x:v>Heritage Housing of Albany</x:v>
      </x:c>
      <x:c r="C860" t="str" s="2">
        <x:v/>
      </x:c>
      <x:c r="D860" t="str" s="2">
        <x:v>8063471600</x:v>
      </x:c>
      <x:c r="E860" t="str" s="2">
        <x:v>Jnikkimoody123@yahoo.com</x:v>
      </x:c>
      <x:c r="F860" t="str" s="2">
        <x:v>Landing_BPM</x:v>
      </x:c>
      <x:c r="G860" t="str" s="2">
        <x:v>Yanet Alvarez</x:v>
      </x:c>
      <x:c r="H860" s="6">
        <x:v>46279.623637847224</x:v>
      </x:c>
      <x:c r="I860" s="0"/>
      <x:c r="J860" s="0"/>
      <x:c r="K860" s="6">
        <x:v>46307.74495061343</x:v>
      </x:c>
      <x:c r="L860" t="str" s="2">
        <x:v>Contacted</x:v>
      </x:c>
    </x:row>
    <x:row r="861">
      <x:c r="A861" t="str" s="2">
        <x:f>="Wanda Johnson"</x:f>
      </x:c>
      <x:c r="B861" t="str" s="2">
        <x:v>Heritage Housing of Albany</x:v>
      </x:c>
      <x:c r="C861" t="str" s="2">
        <x:v/>
      </x:c>
      <x:c r="D861" t="str" s="2">
        <x:v>2295835343</x:v>
      </x:c>
      <x:c r="E861" t="str" s="2">
        <x:v>johnsondgrands44@gmail.com</x:v>
      </x:c>
      <x:c r="F861" t="str" s="2">
        <x:v>Financing Form</x:v>
      </x:c>
      <x:c r="G861" t="str" s="2">
        <x:v>Yanet Alvarez</x:v>
      </x:c>
      <x:c r="H861" s="6">
        <x:v>46279.679274155096</x:v>
      </x:c>
      <x:c r="I861" s="0"/>
      <x:c r="J861" s="0"/>
      <x:c r="K861" s="6">
        <x:v>46303.94609621528</x:v>
      </x:c>
      <x:c r="L861" t="str" s="2">
        <x:v>Contacted</x:v>
      </x:c>
    </x:row>
    <x:row r="862">
      <x:c r="A862" t="str" s="2">
        <x:f>="Krystal Davila"</x:f>
      </x:c>
      <x:c r="B862" t="str" s="2">
        <x:v>Heritage Housing of Athens</x:v>
      </x:c>
      <x:c r="C862" t="str" s="2">
        <x:v/>
      </x:c>
      <x:c r="D862" t="str" s="2">
        <x:v>7062963297</x:v>
      </x:c>
      <x:c r="E862" t="str" s="2">
        <x:v>davilahernandezkrystal@gmail.com</x:v>
      </x:c>
      <x:c r="F862" t="str" s="2">
        <x:v>LandingPage</x:v>
      </x:c>
      <x:c r="G862" t="str" s="2">
        <x:v>Ethan Fossett</x:v>
      </x:c>
      <x:c r="H862" s="6">
        <x:v>46279.69079155093</x:v>
      </x:c>
      <x:c r="I862" s="0"/>
      <x:c r="J862" s="0"/>
      <x:c r="K862" s="6">
        <x:v>46298.72732306713</x:v>
      </x:c>
      <x:c r="L862" t="str" s="2">
        <x:v>Contacted</x:v>
      </x:c>
    </x:row>
    <x:row r="863">
      <x:c r="A863" t="str" s="2">
        <x:f>="Lolly Lroy"</x:f>
      </x:c>
      <x:c r="B863" t="str" s="2">
        <x:v>Heritage Housing Gainesville</x:v>
      </x:c>
      <x:c r="C863" t="str" s="2">
        <x:v/>
      </x:c>
      <x:c r="D863" t="str" s="2">
        <x:v>8175590128</x:v>
      </x:c>
      <x:c r="E863" t="str" s="2">
        <x:v>lollylroy@gmail.com</x:v>
      </x:c>
      <x:c r="F863" t="str" s="2">
        <x:v>Landing_BPM</x:v>
      </x:c>
      <x:c r="G863" t="str" s="2">
        <x:v>Kelly Ford</x:v>
      </x:c>
      <x:c r="H863" s="6">
        <x:v>46279.72438399305</x:v>
      </x:c>
      <x:c r="I863" s="0"/>
      <x:c r="J863" s="0"/>
      <x:c r="K863" s="6">
        <x:v>46300.80659548611</x:v>
      </x:c>
      <x:c r="L863" t="str" s="2">
        <x:v>Contacted</x:v>
      </x:c>
    </x:row>
    <x:row r="864">
      <x:c r="A864" t="str" s="2">
        <x:f>="Timothy Brown"</x:f>
      </x:c>
      <x:c r="B864" t="str" s="2">
        <x:v>Heritage Housing of Augusta</x:v>
      </x:c>
      <x:c r="C864" t="str" s="2">
        <x:v>1/1</x:v>
      </x:c>
      <x:c r="D864" t="str" s="2">
        <x:v>8035304214</x:v>
      </x:c>
      <x:c r="E864" t="str" s="2">
        <x:v>tab200sx@gmail.com</x:v>
      </x:c>
      <x:c r="F864" t="str" s="2">
        <x:v>Landing_BPM</x:v>
      </x:c>
      <x:c r="G864" t="str" s="2">
        <x:v>Faye Lively</x:v>
      </x:c>
      <x:c r="H864" s="6">
        <x:v>46279.84652866898</x:v>
      </x:c>
      <x:c r="I864" s="0"/>
      <x:c r="J864" s="0"/>
      <x:c r="K864" s="6">
        <x:v>46279.84950196759</x:v>
      </x:c>
      <x:c r="L864" t="str" s="2">
        <x:v>Contacted</x:v>
      </x:c>
    </x:row>
    <x:row r="865">
      <x:c r="A865" t="str" s="2">
        <x:f>="Benjamin Thomason"</x:f>
      </x:c>
      <x:c r="B865" t="str" s="2">
        <x:v>Heritage Housing of Athens</x:v>
      </x:c>
      <x:c r="C865" t="str" s="2">
        <x:v>1/1</x:v>
      </x:c>
      <x:c r="D865" t="str" s="2">
        <x:v>6784297232</x:v>
      </x:c>
      <x:c r="E865" t="str" s="2">
        <x:v>thomasontransport87@gmail.com</x:v>
      </x:c>
      <x:c r="F865" t="str" s="2">
        <x:v>Youtube</x:v>
      </x:c>
      <x:c r="G865" t="str" s="2">
        <x:v>Nathan Bishop</x:v>
      </x:c>
      <x:c r="H865" s="6">
        <x:v>46279.88283425926</x:v>
      </x:c>
      <x:c r="I865" s="0"/>
      <x:c r="J865" s="0"/>
      <x:c r="K865" s="6">
        <x:v>46280.61243394676</x:v>
      </x:c>
      <x:c r="L865" t="str" s="2">
        <x:v>Contacted</x:v>
      </x:c>
    </x:row>
    <x:row r="866">
      <x:c r="A866" t="str" s="2">
        <x:f>="Larry Ussin Ussin"</x:f>
      </x:c>
      <x:c r="B866" t="str" s="2">
        <x:v>Heritage Housing of Minden</x:v>
      </x:c>
      <x:c r="C866" t="str" s="2">
        <x:v>0/1</x:v>
      </x:c>
      <x:c r="D866" t="str" s="2">
        <x:v>9854156760</x:v>
      </x:c>
      <x:c r="E866" t="str" s="2">
        <x:v>ussinlarrydijon@gmail.com</x:v>
      </x:c>
      <x:c r="F866" t="str" s="2">
        <x:v>Landing_BPM</x:v>
      </x:c>
      <x:c r="G866" t="str" s="2">
        <x:v>Patrick Schuchart</x:v>
      </x:c>
      <x:c r="H866" s="6">
        <x:v>46279.90897809028</x:v>
      </x:c>
      <x:c r="I866" s="0"/>
      <x:c r="J866" s="0"/>
      <x:c r="K866" s="6">
        <x:v>46279.92128368055</x:v>
      </x:c>
      <x:c r="L866" t="str" s="2">
        <x:v>Contacted</x:v>
      </x:c>
    </x:row>
    <x:row r="867">
      <x:c r="A867" t="str" s="2">
        <x:f>=HYPERLINK("https://rsms.futurehomex.com/lead/40010", "Sheila Braddy")</x:f>
      </x:c>
      <x:c r="B867" t="str" s="2">
        <x:v>Heritage Housing of Oklahoma City</x:v>
      </x:c>
      <x:c r="C867" t="str" s="2">
        <x:v/>
      </x:c>
      <x:c r="D867" t="str" s="2">
        <x:v>9034806741</x:v>
      </x:c>
      <x:c r="E867" t="str" s="2">
        <x:v>sheilabraddy69@gmail.com</x:v>
      </x:c>
      <x:c r="F867" t="str" s="2">
        <x:v>Landing_BPM</x:v>
      </x:c>
      <x:c r="G867" t="str" s="2">
        <x:v>Alejandra Calderon</x:v>
      </x:c>
      <x:c r="H867" s="6">
        <x:v>46279.91588518518</x:v>
      </x:c>
      <x:c r="I867" t="str" s="2">
        <x:v>Noemi Rojo</x:v>
      </x:c>
      <x:c r="J867" s="0"/>
      <x:c r="K867" s="6">
        <x:v>46280.87639826389</x:v>
      </x:c>
      <x:c r="L867" t="str" s="2">
        <x:v>Contacted</x:v>
      </x:c>
    </x:row>
    <x:row r="868">
      <x:c r="A868" t="str" s="2">
        <x:f>="Melissa Dorn."</x:f>
      </x:c>
      <x:c r="B868" t="str" s="2">
        <x:v>Legacy Housing Corp. DBA Americasa</x:v>
      </x:c>
      <x:c r="C868" t="str" s="2">
        <x:v/>
      </x:c>
      <x:c r="D868" t="str" s="2">
        <x:v>3468505113</x:v>
      </x:c>
      <x:c r="E868" t="str" s="2">
        <x:v>melissadorn23@gmail.com</x:v>
      </x:c>
      <x:c r="F868" t="str" s="2">
        <x:v>Landing_BPM</x:v>
      </x:c>
      <x:c r="G868" t="str" s="2">
        <x:v>Joey Marquez</x:v>
      </x:c>
      <x:c r="H868" s="6">
        <x:v>46279.91764872685</x:v>
      </x:c>
      <x:c r="I868" s="0"/>
      <x:c r="J868" s="0"/>
      <x:c r="K868" s="6">
        <x:v>46283.89181952547</x:v>
      </x:c>
      <x:c r="L868" t="str" s="2">
        <x:v>Contacted</x:v>
      </x:c>
    </x:row>
    <x:row r="869">
      <x:c r="A869" t="str" s="2">
        <x:f>=HYPERLINK("https://rsms.futurehomex.com/lead/40007", "Robert Vyre")</x:f>
      </x:c>
      <x:c r="B869" t="str" s="2">
        <x:v>Legacy Housing Corp. DBA Americasa</x:v>
      </x:c>
      <x:c r="C869" t="str" s="2">
        <x:v/>
      </x:c>
      <x:c r="D869" t="str" s="2">
        <x:v>2818069972</x:v>
      </x:c>
      <x:c r="E869" t="str" s="2">
        <x:v>2818069972</x:v>
      </x:c>
      <x:c r="F869" t="str" s="2">
        <x:v>Other</x:v>
      </x:c>
      <x:c r="G869" t="str" s="2">
        <x:v>Joey Marquez</x:v>
      </x:c>
      <x:c r="H869" s="6">
        <x:v>46279.93442207176</x:v>
      </x:c>
      <x:c r="I869" t="str" s="2">
        <x:v>Joey Marquez</x:v>
      </x:c>
      <x:c r="J869" s="0"/>
      <x:c r="K869" s="6">
        <x:v>46283.88823521991</x:v>
      </x:c>
      <x:c r="L869" t="str" s="2">
        <x:v>Contacted</x:v>
      </x:c>
    </x:row>
    <x:row r="870">
      <x:c r="A870" t="str" s="2">
        <x:f>=HYPERLINK("https://rsms.futurehomex.com/lead/40008", "Ralph Hooker")</x:f>
      </x:c>
      <x:c r="B870" t="str" s="2">
        <x:v>Heritage Housing of Oklahoma City</x:v>
      </x:c>
      <x:c r="C870" t="str" s="2">
        <x:v/>
      </x:c>
      <x:c r="D870" t="str" s="2">
        <x:v>4053712533</x:v>
      </x:c>
      <x:c r="E870" t="str" s="2">
        <x:v>ralphhooker018@gmail.com</x:v>
      </x:c>
      <x:c r="F870" t="str" s="2">
        <x:v>Youtube</x:v>
      </x:c>
      <x:c r="G870" t="str" s="2">
        <x:v>Steve Castell</x:v>
      </x:c>
      <x:c r="H870" s="6">
        <x:v>46279.941651423615</x:v>
      </x:c>
      <x:c r="I870" t="str" s="2">
        <x:v>Steve Castell</x:v>
      </x:c>
      <x:c r="J870" s="0"/>
      <x:c r="K870" s="6">
        <x:v>46280.872163506945</x:v>
      </x:c>
      <x:c r="L870" t="str" s="2">
        <x:v>Contacted</x:v>
      </x:c>
    </x:row>
    <x:row r="871">
      <x:c r="A871" t="str" s="2">
        <x:f>="William Hilliard"</x:f>
      </x:c>
      <x:c r="B871" t="str" s="2">
        <x:v>Heritage Housing of Albany</x:v>
      </x:c>
      <x:c r="C871" t="str" s="2">
        <x:v>1/2</x:v>
      </x:c>
      <x:c r="D871" t="str" s="2">
        <x:v>2298545726</x:v>
      </x:c>
      <x:c r="E871" t="str" s="2">
        <x:v>whilliard021234@gmail.com</x:v>
      </x:c>
      <x:c r="F871" t="str" s="2">
        <x:v>LandingPage</x:v>
      </x:c>
      <x:c r="G871" t="str" s="2">
        <x:v>Yanet Alvarez</x:v>
      </x:c>
      <x:c r="H871" s="6">
        <x:v>46280.04384170139</x:v>
      </x:c>
      <x:c r="I871" s="0"/>
      <x:c r="J871" s="0"/>
      <x:c r="K871" s="6">
        <x:v>46303.80929012731</x:v>
      </x:c>
      <x:c r="L871" t="str" s="2">
        <x:v>Contacted</x:v>
      </x:c>
    </x:row>
    <x:row r="872">
      <x:c r="A872" t="str" s="2">
        <x:f>="Montijhara Ray"</x:f>
      </x:c>
      <x:c r="B872" t="str" s="2">
        <x:v>Heritage Housing of Minden</x:v>
      </x:c>
      <x:c r="C872" t="str" s="2">
        <x:v>0/1</x:v>
      </x:c>
      <x:c r="D872" t="str" s="2">
        <x:v>3182004813</x:v>
      </x:c>
      <x:c r="E872" t="str" s="2">
        <x:v>montijhara1000@outlook.com</x:v>
      </x:c>
      <x:c r="F872" t="str" s="2">
        <x:v>Financing Form</x:v>
      </x:c>
      <x:c r="G872" t="str" s="2">
        <x:v>Kyla Brown</x:v>
      </x:c>
      <x:c r="H872" s="6">
        <x:v>46280.1317690625</x:v>
      </x:c>
      <x:c r="I872" s="0"/>
      <x:c r="J872" s="0"/>
      <x:c r="K872" s="6">
        <x:v>46280.748207372686</x:v>
      </x:c>
      <x:c r="L872" t="str" s="2">
        <x:v>Contacted</x:v>
      </x:c>
    </x:row>
    <x:row r="873">
      <x:c r="A873" t="str" s="2">
        <x:f>="Jessica Sheffield"</x:f>
      </x:c>
      <x:c r="B873" t="str" s="2">
        <x:v>Heritage Housing of Athens</x:v>
      </x:c>
      <x:c r="C873" t="str" s="2">
        <x:v/>
      </x:c>
      <x:c r="D873" t="str" s="2">
        <x:v>4043600206</x:v>
      </x:c>
      <x:c r="E873" t="str" s="2">
        <x:v>Jess.shef@gmail.com</x:v>
      </x:c>
      <x:c r="F873" t="str" s="2">
        <x:v>Landing_BPM</x:v>
      </x:c>
      <x:c r="G873" t="str" s="2">
        <x:v>Ethan Fossett</x:v>
      </x:c>
      <x:c r="H873" s="6">
        <x:v>46280.14749016204</x:v>
      </x:c>
      <x:c r="I873" s="0"/>
      <x:c r="J873" s="0"/>
      <x:c r="K873" s="6">
        <x:v>46298.732253090275</x:v>
      </x:c>
      <x:c r="L873" t="str" s="2">
        <x:v>Contacted</x:v>
      </x:c>
    </x:row>
    <x:row r="874">
      <x:c r="A874" t="str" s="2">
        <x:f>="Cadyn Boyd"</x:f>
      </x:c>
      <x:c r="B874" t="str" s="2">
        <x:v>Heritage Housing Gainesville</x:v>
      </x:c>
      <x:c r="C874" t="str" s="2">
        <x:v/>
      </x:c>
      <x:c r="D874" t="str" s="2">
        <x:v>8309982555</x:v>
      </x:c>
      <x:c r="E874" t="str" s="2">
        <x:v>boyd.cadyn@yahoo.com</x:v>
      </x:c>
      <x:c r="F874" t="str" s="2">
        <x:v>Landing_BPM</x:v>
      </x:c>
      <x:c r="G874" t="str" s="2">
        <x:v>Kelly Ford</x:v>
      </x:c>
      <x:c r="H874" s="6">
        <x:v>46280.14811929398</x:v>
      </x:c>
      <x:c r="I874" s="0"/>
      <x:c r="J874" s="0"/>
      <x:c r="K874" s="6">
        <x:v>46307.637633530096</x:v>
      </x:c>
      <x:c r="L874" t="str" s="2">
        <x:v>Contacted</x:v>
      </x:c>
    </x:row>
    <x:row r="875">
      <x:c r="A875" t="str" s="2">
        <x:f>="Nucholas Smith"</x:f>
      </x:c>
      <x:c r="B875" t="str" s="2">
        <x:v>Heritage Housing of Athens</x:v>
      </x:c>
      <x:c r="C875" t="str" s="2">
        <x:v/>
      </x:c>
      <x:c r="D875" t="str" s="2">
        <x:v>7063082172</x:v>
      </x:c>
      <x:c r="E875" t="str" s="2">
        <x:v>youngboynick20@gmail.com</x:v>
      </x:c>
      <x:c r="F875" t="str" s="2">
        <x:v>Landing_BPM</x:v>
      </x:c>
      <x:c r="G875" t="str" s="2">
        <x:v>Ethan Fossett</x:v>
      </x:c>
      <x:c r="H875" s="6">
        <x:v>46280.14843472222</x:v>
      </x:c>
      <x:c r="I875" s="0"/>
      <x:c r="J875" s="0"/>
      <x:c r="K875" s="6">
        <x:v>46298.73274398148</x:v>
      </x:c>
      <x:c r="L875" t="str" s="2">
        <x:v>Contacted</x:v>
      </x:c>
    </x:row>
    <x:row r="876">
      <x:c r="A876" t="str" s="2">
        <x:f>="Margie Brinkley Brinkley"</x:f>
      </x:c>
      <x:c r="B876" t="str" s="2">
        <x:v>Heritage Housing of Asheboro</x:v>
      </x:c>
      <x:c r="C876" t="str" s="2">
        <x:v/>
      </x:c>
      <x:c r="D876" t="str" s="2">
        <x:v>9847890564</x:v>
      </x:c>
      <x:c r="E876" t="str" s="2">
        <x:v>msbrinkley55@gmail.com</x:v>
      </x:c>
      <x:c r="F876" t="str" s="2">
        <x:v>Landing_BPM</x:v>
      </x:c>
      <x:c r="G876" t="str" s="2">
        <x:v>Kate Gutierrez</x:v>
      </x:c>
      <x:c r="H876" s="6">
        <x:v>46280.188599849535</x:v>
      </x:c>
      <x:c r="I876" s="0"/>
      <x:c r="J876" s="0"/>
      <x:c r="K876" s="6">
        <x:v>46283.80737766204</x:v>
      </x:c>
      <x:c r="L876" t="str" s="2">
        <x:v>Contacted</x:v>
      </x:c>
    </x:row>
    <x:row r="877">
      <x:c r="A877" t="str" s="2">
        <x:f>="Charity Savage"</x:f>
      </x:c>
      <x:c r="B877" t="str" s="2">
        <x:v>Heritage Housing of Augusta</x:v>
      </x:c>
      <x:c r="C877" t="str" s="2">
        <x:v/>
      </x:c>
      <x:c r="D877" t="str" s="2">
        <x:v>9107102837</x:v>
      </x:c>
      <x:c r="E877" t="str" s="2">
        <x:v>charitysavage9@gmail.com</x:v>
      </x:c>
      <x:c r="F877" t="str" s="2">
        <x:v>Landing_BPM</x:v>
      </x:c>
      <x:c r="G877" t="str" s="2">
        <x:v>Faye Lively</x:v>
      </x:c>
      <x:c r="H877" s="6">
        <x:v>46280.20380289352</x:v>
      </x:c>
      <x:c r="I877" s="0"/>
      <x:c r="J877" s="0"/>
      <x:c r="K877" s="6">
        <x:v>46280.585563622684</x:v>
      </x:c>
      <x:c r="L877" t="str" s="2">
        <x:v>Contacted</x:v>
      </x:c>
    </x:row>
    <x:row r="878">
      <x:c r="A878" t="str" s="2">
        <x:f>="Quintina Cornelius"</x:f>
      </x:c>
      <x:c r="B878" t="str" s="2">
        <x:v>Heritage Housing of Albany</x:v>
      </x:c>
      <x:c r="C878" t="str" s="2">
        <x:v/>
      </x:c>
      <x:c r="D878" t="str" s="2">
        <x:v>4782595550</x:v>
      </x:c>
      <x:c r="E878" t="str" s="2">
        <x:v>qcornelius84@icloud.com</x:v>
      </x:c>
      <x:c r="F878" t="str" s="2">
        <x:v>Landing_BPM</x:v>
      </x:c>
      <x:c r="G878" t="str" s="2">
        <x:v>Yanet Alvarez</x:v>
      </x:c>
      <x:c r="H878" s="6">
        <x:v>46280.47579822916</x:v>
      </x:c>
      <x:c r="I878" s="0"/>
      <x:c r="J878" s="0"/>
      <x:c r="K878" s="6">
        <x:v>46280.572665590276</x:v>
      </x:c>
      <x:c r="L878" t="str" s="2">
        <x:v>Contacted</x:v>
      </x:c>
    </x:row>
    <x:row r="879">
      <x:c r="A879" t="str" s="2">
        <x:f>="Sharon Peeples"</x:f>
      </x:c>
      <x:c r="B879" t="str" s="2">
        <x:v>Heritage Housing of Albany</x:v>
      </x:c>
      <x:c r="C879" t="str" s="2">
        <x:v/>
      </x:c>
      <x:c r="D879" t="str" s="2">
        <x:v>9412901730</x:v>
      </x:c>
      <x:c r="E879" t="str" s="2">
        <x:v>lisapeeples8971@gmail.com</x:v>
      </x:c>
      <x:c r="F879" t="str" s="2">
        <x:v>Youtube</x:v>
      </x:c>
      <x:c r="G879" t="str" s="2">
        <x:v>Yanet Alvarez</x:v>
      </x:c>
      <x:c r="H879" s="6">
        <x:v>46280.57106056713</x:v>
      </x:c>
      <x:c r="I879" s="0"/>
      <x:c r="J879" s="0"/>
      <x:c r="K879" s="6">
        <x:v>46296.786285532406</x:v>
      </x:c>
      <x:c r="L879" t="str" s="2">
        <x:v>Contacted</x:v>
      </x:c>
    </x:row>
    <x:row r="880">
      <x:c r="A880" t="str" s="2">
        <x:f>="Johnanthan Williams"</x:f>
      </x:c>
      <x:c r="B880" t="str" s="2">
        <x:v>Heritage Housing of Minden</x:v>
      </x:c>
      <x:c r="C880" t="str" s="2">
        <x:v>0/1</x:v>
      </x:c>
      <x:c r="D880" t="str" s="2">
        <x:v>3184780342</x:v>
      </x:c>
      <x:c r="E880" t="str" s="2">
        <x:v>williamsjohnanthan@yahoo.com</x:v>
      </x:c>
      <x:c r="F880" t="str" s="2">
        <x:v>Youtube</x:v>
      </x:c>
      <x:c r="G880" t="str" s="2">
        <x:v>Patrick Schuchart</x:v>
      </x:c>
      <x:c r="H880" s="6">
        <x:v>46280.57233822917</x:v>
      </x:c>
      <x:c r="I880" s="0"/>
      <x:c r="J880" s="0"/>
      <x:c r="K880" s="6">
        <x:v>46280.747465243054</x:v>
      </x:c>
      <x:c r="L880" t="str" s="2">
        <x:v>Contacted</x:v>
      </x:c>
    </x:row>
    <x:row r="881">
      <x:c r="A881" t="str" s="2">
        <x:f>="Andrea batts"</x:f>
      </x:c>
      <x:c r="B881" t="str" s="2">
        <x:v>Legacy Housing Corp. DBA Americasa</x:v>
      </x:c>
      <x:c r="C881" t="str" s="2">
        <x:v/>
      </x:c>
      <x:c r="D881" t="str" s="2">
        <x:v>5759427321</x:v>
      </x:c>
      <x:c r="E881" t="str" s="2">
        <x:v>abatts86@yahoo.com</x:v>
      </x:c>
      <x:c r="F881" t="str" s="2">
        <x:v>Landing_BPM</x:v>
      </x:c>
      <x:c r="G881" t="str" s="2">
        <x:v>Joey Marquez</x:v>
      </x:c>
      <x:c r="H881" s="6">
        <x:v>46280.65152438657</x:v>
      </x:c>
      <x:c r="I881" s="0"/>
      <x:c r="J881" s="0"/>
      <x:c r="K881" s="6">
        <x:v>46283.8914753125</x:v>
      </x:c>
      <x:c r="L881" t="str" s="2">
        <x:v>Contacted</x:v>
      </x:c>
    </x:row>
    <x:row r="882">
      <x:c r="A882" t="str" s="2">
        <x:f>="kiwanee broadus"</x:f>
      </x:c>
      <x:c r="B882" t="str" s="2">
        <x:v>Heritage Housing of Albany</x:v>
      </x:c>
      <x:c r="C882" t="str" s="2">
        <x:v/>
      </x:c>
      <x:c r="D882" t="str" s="2">
        <x:v>6017475243</x:v>
      </x:c>
      <x:c r="E882" t="str" s="2">
        <x:v>kiwaneebroadus@gmail.com</x:v>
      </x:c>
      <x:c r="F882" t="str" s="2">
        <x:v>Financing Form</x:v>
      </x:c>
      <x:c r="G882" t="str" s="2">
        <x:v>Yanet Alvarez</x:v>
      </x:c>
      <x:c r="H882" s="6">
        <x:v>46280.724573148145</x:v>
      </x:c>
      <x:c r="I882" s="0"/>
      <x:c r="J882" s="0"/>
      <x:c r="K882" s="6">
        <x:v>46280.72853788194</x:v>
      </x:c>
      <x:c r="L882" t="str" s="2">
        <x:v>Contacted</x:v>
      </x:c>
    </x:row>
    <x:row r="883">
      <x:c r="A883" t="str" s="2">
        <x:f>="Tina Ford"</x:f>
      </x:c>
      <x:c r="B883" t="str" s="2">
        <x:v>Heritage Housing Mt Pleasant</x:v>
      </x:c>
      <x:c r="C883" t="str" s="2">
        <x:v/>
      </x:c>
      <x:c r="D883" t="str" s="2">
        <x:v>9035734892</x:v>
      </x:c>
      <x:c r="E883" t="str" s="2">
        <x:v>tina.m.ford.3@gmail.com</x:v>
      </x:c>
      <x:c r="F883" t="str" s="2">
        <x:v>Landing_BPM</x:v>
      </x:c>
      <x:c r="G883" t="str" s="2">
        <x:v>Elias Gallardo</x:v>
      </x:c>
      <x:c r="H883" s="6">
        <x:v>46280.73892607639</x:v>
      </x:c>
      <x:c r="I883" s="0"/>
      <x:c r="J883" s="0"/>
      <x:c r="K883" s="6">
        <x:v>46281.59293827546</x:v>
      </x:c>
      <x:c r="L883" t="str" s="2">
        <x:v>Contacted</x:v>
      </x:c>
    </x:row>
    <x:row r="884">
      <x:c r="A884" t="str" s="2">
        <x:f>="Breann Duarte"</x:f>
      </x:c>
      <x:c r="B884" t="str" s="2">
        <x:v>Heritage Housing Marble Falls</x:v>
      </x:c>
      <x:c r="C884" t="str" s="2">
        <x:v/>
      </x:c>
      <x:c r="D884" t="str" s="2">
        <x:v>7374068463</x:v>
      </x:c>
      <x:c r="E884" t="str" s="2">
        <x:v>Breannduarte99@gmail.com</x:v>
      </x:c>
      <x:c r="F884" t="str" s="2">
        <x:v>Youtube</x:v>
      </x:c>
      <x:c r="G884" t="str" s="2">
        <x:v>Stephen Sanders</x:v>
      </x:c>
      <x:c r="H884" s="6">
        <x:v>46280.76921288195</x:v>
      </x:c>
      <x:c r="I884" s="0"/>
      <x:c r="J884" s="0"/>
      <x:c r="K884" s="6">
        <x:v>46282.927238310185</x:v>
      </x:c>
      <x:c r="L884" t="str" s="2">
        <x:v>Contacted</x:v>
      </x:c>
    </x:row>
    <x:row r="885">
      <x:c r="A885" t="str" s="2">
        <x:f>="Charles Fuller"</x:f>
      </x:c>
      <x:c r="B885" t="str" s="2">
        <x:v>Heritage Housing Gainesville</x:v>
      </x:c>
      <x:c r="C885" t="str" s="2">
        <x:v/>
      </x:c>
      <x:c r="D885" t="str" s="2">
        <x:v>2144331569</x:v>
      </x:c>
      <x:c r="E885" t="str" s="2">
        <x:v>diannfuller010@gmail.com</x:v>
      </x:c>
      <x:c r="F885" t="str" s="2">
        <x:v>Landing_BPM</x:v>
      </x:c>
      <x:c r="G885" t="str" s="2">
        <x:v>Jeniffer Arellano</x:v>
      </x:c>
      <x:c r="H885" s="6">
        <x:v>46280.82219328704</x:v>
      </x:c>
      <x:c r="I885" s="0"/>
      <x:c r="J885" s="0"/>
      <x:c r="K885" s="6">
        <x:v>46308.709899733796</x:v>
      </x:c>
      <x:c r="L885" t="str" s="2">
        <x:v>Contacted</x:v>
      </x:c>
    </x:row>
    <x:row r="886">
      <x:c r="A886" t="str" s="2">
        <x:f>="Tulaya Washington"</x:f>
      </x:c>
      <x:c r="B886" t="str" s="2">
        <x:v>Legacy Housing Corp. DBA Americasa</x:v>
      </x:c>
      <x:c r="C886" t="str" s="2">
        <x:v/>
      </x:c>
      <x:c r="D886" t="str" s="2">
        <x:v>9369780772</x:v>
      </x:c>
      <x:c r="E886" t="str" s="2">
        <x:v>tulayawashington@gmail.com</x:v>
      </x:c>
      <x:c r="F886" t="str" s="2">
        <x:v>Youtube</x:v>
      </x:c>
      <x:c r="G886" t="str" s="2">
        <x:v>Joey Marquez</x:v>
      </x:c>
      <x:c r="H886" s="6">
        <x:v>46280.8374378125</x:v>
      </x:c>
      <x:c r="I886" s="0"/>
      <x:c r="J886" s="0"/>
      <x:c r="K886" s="6">
        <x:v>46283.89108275463</x:v>
      </x:c>
      <x:c r="L886" t="str" s="2">
        <x:v>Contacted</x:v>
      </x:c>
    </x:row>
    <x:row r="887">
      <x:c r="A887" t="str" s="2">
        <x:f>="Candace Moore"</x:f>
      </x:c>
      <x:c r="B887" t="str" s="2">
        <x:v>Legacy Housing Corp. DBA Americasa</x:v>
      </x:c>
      <x:c r="C887" t="str" s="2">
        <x:v/>
      </x:c>
      <x:c r="D887" t="str" s="2">
        <x:v>2817076639</x:v>
      </x:c>
      <x:c r="E887" t="str" s="2">
        <x:v>russianrummy@icloud.com</x:v>
      </x:c>
      <x:c r="F887" t="str" s="2">
        <x:v>Landing_BPM</x:v>
      </x:c>
      <x:c r="G887" t="str" s="2">
        <x:v>Rodrigo Ramirez</x:v>
      </x:c>
      <x:c r="H887" s="6">
        <x:v>46280.91916712963</x:v>
      </x:c>
      <x:c r="I887" s="0"/>
      <x:c r="J887" s="0"/>
      <x:c r="K887" s="6">
        <x:v>46280.92042928241</x:v>
      </x:c>
      <x:c r="L887" t="str" s="2">
        <x:v>Contacted</x:v>
      </x:c>
    </x:row>
    <x:row r="888">
      <x:c r="A888" t="str" s="2">
        <x:f>="Kimbell Ivy"</x:f>
      </x:c>
      <x:c r="B888" t="str" s="2">
        <x:v>Heritage Housing of Minden</x:v>
      </x:c>
      <x:c r="C888" t="str" s="2">
        <x:v>0/1</x:v>
      </x:c>
      <x:c r="D888" t="str" s="2">
        <x:v>8709530905</x:v>
      </x:c>
      <x:c r="E888" t="str" s="2">
        <x:v>kimbellivy30@gmail.com</x:v>
      </x:c>
      <x:c r="F888" t="str" s="2">
        <x:v>Financing Form</x:v>
      </x:c>
      <x:c r="G888" t="str" s="2">
        <x:v>Kyla Brown</x:v>
      </x:c>
      <x:c r="H888" s="6">
        <x:v>46280.925827349536</x:v>
      </x:c>
      <x:c r="I888" s="0"/>
      <x:c r="J888" s="0"/>
      <x:c r="K888" s="6">
        <x:v>46280.939730011574</x:v>
      </x:c>
      <x:c r="L888" t="str" s="2">
        <x:v>Contacted</x:v>
      </x:c>
    </x:row>
    <x:row r="889">
      <x:c r="A889" t="str" s="2">
        <x:f>="Wendy Braley"</x:f>
      </x:c>
      <x:c r="B889" t="str" s="2">
        <x:v>Heritage Housing Gainesville</x:v>
      </x:c>
      <x:c r="C889" t="str" s="2">
        <x:v/>
      </x:c>
      <x:c r="D889" t="str" s="2">
        <x:v>6824480072</x:v>
      </x:c>
      <x:c r="E889" t="str" s="2">
        <x:v>breezie1903@gmail.com</x:v>
      </x:c>
      <x:c r="F889" t="str" s="2">
        <x:v>Youtube</x:v>
      </x:c>
      <x:c r="G889" t="str" s="2">
        <x:v>Kelly Ford</x:v>
      </x:c>
      <x:c r="H889" s="6">
        <x:v>46280.928152858796</x:v>
      </x:c>
      <x:c r="I889" s="0"/>
      <x:c r="J889" s="0"/>
      <x:c r="K889" s="6">
        <x:v>46295.63418923611</x:v>
      </x:c>
      <x:c r="L889" t="str" s="2">
        <x:v>Contacted</x:v>
      </x:c>
    </x:row>
    <x:row r="890">
      <x:c r="A890" t="str" s="2">
        <x:f>="Sandra Antoine"</x:f>
      </x:c>
      <x:c r="B890" t="str" s="2">
        <x:v>Heritage Housing of Minden</x:v>
      </x:c>
      <x:c r="C890" t="str" s="2">
        <x:v>0/1</x:v>
      </x:c>
      <x:c r="D890" t="str" s="2">
        <x:v>3375670420</x:v>
      </x:c>
      <x:c r="E890" t="str" s="2">
        <x:v>sandraantoine287@gmail.com</x:v>
      </x:c>
      <x:c r="F890" t="str" s="2">
        <x:v>Youtube</x:v>
      </x:c>
      <x:c r="G890" t="str" s="2">
        <x:v>Patrick Schuchart</x:v>
      </x:c>
      <x:c r="H890" s="6">
        <x:v>46280.929094444444</x:v>
      </x:c>
      <x:c r="I890" s="0"/>
      <x:c r="J890" s="0"/>
      <x:c r="K890" s="6">
        <x:v>46280.94060231481</x:v>
      </x:c>
      <x:c r="L890" t="str" s="2">
        <x:v>Contacted</x:v>
      </x:c>
    </x:row>
    <x:row r="891">
      <x:c r="A891" t="str" s="2">
        <x:f>="TIFFANY FOREST"</x:f>
      </x:c>
      <x:c r="B891" t="str" s="2">
        <x:v>Heritage Housing Gainesville</x:v>
      </x:c>
      <x:c r="C891" t="str" s="2">
        <x:v/>
      </x:c>
      <x:c r="D891" t="str" s="2">
        <x:v>5176571125</x:v>
      </x:c>
      <x:c r="E891" t="str" s="2">
        <x:v>Manmahlik4eva@gmail.com</x:v>
      </x:c>
      <x:c r="F891" t="str" s="2">
        <x:v>Youtube</x:v>
      </x:c>
      <x:c r="G891" t="str" s="2">
        <x:v>Kelly Ford</x:v>
      </x:c>
      <x:c r="H891" s="6">
        <x:v>46280.98614059028</x:v>
      </x:c>
      <x:c r="I891" s="0"/>
      <x:c r="J891" s="0"/>
      <x:c r="K891" s="6">
        <x:v>46307.63823275463</x:v>
      </x:c>
      <x:c r="L891" t="str" s="2">
        <x:v>Contacted</x:v>
      </x:c>
    </x:row>
    <x:row r="892">
      <x:c r="A892" t="str" s="2">
        <x:f>="Ricky Beaver"</x:f>
      </x:c>
      <x:c r="B892" t="str" s="2">
        <x:v>Heritage Housing Gainesville</x:v>
      </x:c>
      <x:c r="C892" t="str" s="2">
        <x:v/>
      </x:c>
      <x:c r="D892" t="str" s="2">
        <x:v>2147728498</x:v>
      </x:c>
      <x:c r="E892" t="str" s="2">
        <x:v>turtleshortcut@aol.com</x:v>
      </x:c>
      <x:c r="F892" t="str" s="2">
        <x:v>Financing Form</x:v>
      </x:c>
      <x:c r="G892" t="str" s="2">
        <x:v>Jeniffer Arellano</x:v>
      </x:c>
      <x:c r="H892" s="6">
        <x:v>46280.989613275466</x:v>
      </x:c>
      <x:c r="I892" s="0"/>
      <x:c r="J892" s="0"/>
      <x:c r="K892" s="6">
        <x:v>46308.70998591435</x:v>
      </x:c>
      <x:c r="L892" t="str" s="2">
        <x:v>Contacted</x:v>
      </x:c>
    </x:row>
    <x:row r="893">
      <x:c r="A893" t="str" s="2">
        <x:f>=HYPERLINK("https://rsms.futurehomex.com/lead/40066", "Jesse James Lombas")</x:f>
      </x:c>
      <x:c r="B893" t="str" s="2">
        <x:v>Heritage Housing of Jennings</x:v>
      </x:c>
      <x:c r="C893" t="str" s="2">
        <x:v/>
      </x:c>
      <x:c r="D893" t="str" s="2">
        <x:v>3372510365</x:v>
      </x:c>
      <x:c r="E893" t="str" s="2">
        <x:v>lombasj@gmail.com</x:v>
      </x:c>
      <x:c r="F893" t="str" s="2">
        <x:v>Financing Form</x:v>
      </x:c>
      <x:c r="G893" t="str" s="2">
        <x:v>Mervin Leslie Smith</x:v>
      </x:c>
      <x:c r="H893" s="6">
        <x:v>46281.06134170139</x:v>
      </x:c>
      <x:c r="I893" t="str" s="2">
        <x:v>Mervin Leslie Smith</x:v>
      </x:c>
      <x:c r="J893" s="0"/>
      <x:c r="K893" s="6">
        <x:v>46282.844694328705</x:v>
      </x:c>
      <x:c r="L893" t="str" s="2">
        <x:v>Contacted</x:v>
      </x:c>
    </x:row>
    <x:row r="894">
      <x:c r="A894" t="str" s="2">
        <x:f>="Mary Abercrombie"</x:f>
      </x:c>
      <x:c r="B894" t="str" s="2">
        <x:v>Heritage Housing of Augusta</x:v>
      </x:c>
      <x:c r="C894" t="str" s="2">
        <x:v/>
      </x:c>
      <x:c r="D894" t="str" s="2">
        <x:v>7067738628</x:v>
      </x:c>
      <x:c r="E894" t="str" s="2">
        <x:v>aabercrombie4@gmail.com</x:v>
      </x:c>
      <x:c r="F894" t="str" s="2">
        <x:v>Landing_BPM</x:v>
      </x:c>
      <x:c r="G894" t="str" s="2">
        <x:v>Faye Lively</x:v>
      </x:c>
      <x:c r="H894" s="6">
        <x:v>46281.109559756944</x:v>
      </x:c>
      <x:c r="I894" s="0"/>
      <x:c r="J894" s="0"/>
      <x:c r="K894" s="6">
        <x:v>46281.621768784724</x:v>
      </x:c>
      <x:c r="L894" t="str" s="2">
        <x:v>Contacted</x:v>
      </x:c>
    </x:row>
    <x:row r="895">
      <x:c r="A895" t="str" s="2">
        <x:f>="Jamarquavious Foster"</x:f>
      </x:c>
      <x:c r="B895" t="str" s="2">
        <x:v>Heritage Housing of Athens</x:v>
      </x:c>
      <x:c r="C895" t="str" s="2">
        <x:v>0/2</x:v>
      </x:c>
      <x:c r="D895" t="str" s="2">
        <x:v>6786549154</x:v>
      </x:c>
      <x:c r="E895" t="str" s="2">
        <x:v>jamarquaviousfoster@gmail.com</x:v>
      </x:c>
      <x:c r="F895" t="str" s="2">
        <x:v>Website</x:v>
      </x:c>
      <x:c r="G895" t="str" s="2">
        <x:v>Ethan Fossett</x:v>
      </x:c>
      <x:c r="H895" s="6">
        <x:v>46281.129658067126</x:v>
      </x:c>
      <x:c r="I895" s="0"/>
      <x:c r="J895" s="0"/>
      <x:c r="K895" s="6">
        <x:v>46295.67562021991</x:v>
      </x:c>
      <x:c r="L895" t="str" s="2">
        <x:v>Contacted</x:v>
      </x:c>
    </x:row>
    <x:row r="896">
      <x:c r="A896" t="str" s="2">
        <x:f>="LordRamel Redding"</x:f>
      </x:c>
      <x:c r="B896" t="str" s="2">
        <x:v>Heritage Housing of Albany</x:v>
      </x:c>
      <x:c r="C896" t="str" s="2">
        <x:v/>
      </x:c>
      <x:c r="D896" t="str" s="2">
        <x:v>2294968189</x:v>
      </x:c>
      <x:c r="E896" t="str" s="2">
        <x:v>lordramelreding@gmail.com</x:v>
      </x:c>
      <x:c r="F896" t="str" s="2">
        <x:v>Landing_BPM</x:v>
      </x:c>
      <x:c r="G896" t="str" s="2">
        <x:v>Yanet Alvarez</x:v>
      </x:c>
      <x:c r="H896" s="6">
        <x:v>46281.14068012731</x:v>
      </x:c>
      <x:c r="I896" s="0"/>
      <x:c r="J896" s="0"/>
      <x:c r="K896" s="6">
        <x:v>46281.61496165509</x:v>
      </x:c>
      <x:c r="L896" t="str" s="2">
        <x:v>Contacted</x:v>
      </x:c>
    </x:row>
    <x:row r="897">
      <x:c r="A897" t="str" s="2">
        <x:f>="Shenece Harper"</x:f>
      </x:c>
      <x:c r="B897" t="str" s="2">
        <x:v>Heritage Housing of Augusta</x:v>
      </x:c>
      <x:c r="C897" t="str" s="2">
        <x:v/>
      </x:c>
      <x:c r="D897" t="str" s="2">
        <x:v>4049151809</x:v>
      </x:c>
      <x:c r="E897" t="str" s="2">
        <x:v>srbharper@gmail.com</x:v>
      </x:c>
      <x:c r="F897" t="str" s="2">
        <x:v>Youtube</x:v>
      </x:c>
      <x:c r="G897" t="str" s="2">
        <x:v>Jose Chavez</x:v>
      </x:c>
      <x:c r="H897" s="6">
        <x:v>46281.15929498843</x:v>
      </x:c>
      <x:c r="I897" s="0"/>
      <x:c r="J897" s="0"/>
      <x:c r="K897" s="6">
        <x:v>46295.71669105324</x:v>
      </x:c>
      <x:c r="L897" t="str" s="2">
        <x:v>Contacted</x:v>
      </x:c>
    </x:row>
    <x:row r="898">
      <x:c r="A898" t="str" s="2">
        <x:f>="Kyonah Austin"</x:f>
      </x:c>
      <x:c r="B898" t="str" s="2">
        <x:v>Heritage Housing Gainesville</x:v>
      </x:c>
      <x:c r="C898" t="str" s="2">
        <x:v/>
      </x:c>
      <x:c r="D898" t="str" s="2">
        <x:v>9034315509</x:v>
      </x:c>
      <x:c r="E898" t="str" s="2">
        <x:v>Kyonahcaustin20@gmail.com</x:v>
      </x:c>
      <x:c r="F898" t="str" s="2">
        <x:v>Landing_BPM</x:v>
      </x:c>
      <x:c r="G898" t="str" s="2">
        <x:v>Kelly Ford</x:v>
      </x:c>
      <x:c r="H898" s="6">
        <x:v>46281.16331616898</x:v>
      </x:c>
      <x:c r="I898" s="0"/>
      <x:c r="J898" s="0"/>
      <x:c r="K898" s="6">
        <x:v>46295.634117326386</x:v>
      </x:c>
      <x:c r="L898" t="str" s="2">
        <x:v>Contacted</x:v>
      </x:c>
    </x:row>
    <x:row r="899">
      <x:c r="A899" t="str" s="2">
        <x:f>="Renee Silverio"</x:f>
      </x:c>
      <x:c r="B899" t="str" s="2">
        <x:v>Heritage Housing Gainesville</x:v>
      </x:c>
      <x:c r="C899" t="str" s="2">
        <x:v/>
      </x:c>
      <x:c r="D899" t="str" s="2">
        <x:v>4697358889</x:v>
      </x:c>
      <x:c r="E899" t="str" s="2">
        <x:v>rsilverio777@gmail.com</x:v>
      </x:c>
      <x:c r="F899" t="str" s="2">
        <x:v>Landing_BPM</x:v>
      </x:c>
      <x:c r="G899" t="str" s="2">
        <x:v>Kelly Ford</x:v>
      </x:c>
      <x:c r="H899" s="6">
        <x:v>46281.31480667824</x:v>
      </x:c>
      <x:c r="I899" s="0"/>
      <x:c r="J899" s="0"/>
      <x:c r="K899" s="6">
        <x:v>46281.57960366898</x:v>
      </x:c>
      <x:c r="L899" t="str" s="2">
        <x:v>Contacted</x:v>
      </x:c>
    </x:row>
    <x:row r="900">
      <x:c r="A900" t="str" s="2">
        <x:f>="Gerrie Hursky"</x:f>
      </x:c>
      <x:c r="B900" t="str" s="2">
        <x:v>Heritage Housing of Athens</x:v>
      </x:c>
      <x:c r="C900" t="str" s="2">
        <x:v/>
      </x:c>
      <x:c r="D900" t="str" s="2">
        <x:v>4709127650</x:v>
      </x:c>
      <x:c r="E900" t="str" s="2">
        <x:v>hurskyg@gmail.com</x:v>
      </x:c>
      <x:c r="F900" t="str" s="2">
        <x:v>Landing_BPM</x:v>
      </x:c>
      <x:c r="G900" t="str" s="2">
        <x:v>Ethan Fossett</x:v>
      </x:c>
      <x:c r="H900" s="6">
        <x:v>46281.34034980324</x:v>
      </x:c>
      <x:c r="I900" s="0"/>
      <x:c r="J900" s="0"/>
      <x:c r="K900" s="6">
        <x:v>46294.613478506944</x:v>
      </x:c>
      <x:c r="L900" t="str" s="2">
        <x:v>Contacted</x:v>
      </x:c>
    </x:row>
    <x:row r="901">
      <x:c r="A901" t="str" s="2">
        <x:f>="Cynthia Bailey"</x:f>
      </x:c>
      <x:c r="B901" t="str" s="2">
        <x:v>Heritage Housing of Minden</x:v>
      </x:c>
      <x:c r="C901" t="str" s="2">
        <x:v>0/1</x:v>
      </x:c>
      <x:c r="D901" t="str" s="2">
        <x:v>5012317506</x:v>
      </x:c>
      <x:c r="E901" t="str" s="2">
        <x:v>cynthiabailey89@gmail.com</x:v>
      </x:c>
      <x:c r="F901" t="str" s="2">
        <x:v>Bing - Search</x:v>
      </x:c>
      <x:c r="G901" t="str" s="2">
        <x:v>Kyla Brown</x:v>
      </x:c>
      <x:c r="H901" s="6">
        <x:v>46281.41722418981</x:v>
      </x:c>
      <x:c r="I901" s="0"/>
      <x:c r="J901" s="0"/>
      <x:c r="K901" s="6">
        <x:v>46281.82520972222</x:v>
      </x:c>
      <x:c r="L901" t="str" s="2">
        <x:v>Contacted</x:v>
      </x:c>
    </x:row>
    <x:row r="902">
      <x:c r="A902" t="str" s="2">
        <x:f>="Anthony Pulido Pulido"</x:f>
      </x:c>
      <x:c r="B902" t="str" s="2">
        <x:v>Legacy Housing Corp. DBA Americasa</x:v>
      </x:c>
      <x:c r="C902" t="str" s="2">
        <x:v/>
      </x:c>
      <x:c r="D902" t="str" s="2">
        <x:v>7133718354</x:v>
      </x:c>
      <x:c r="E902" t="str" s="2">
        <x:v>anthonypulido72@gmail.com</x:v>
      </x:c>
      <x:c r="F902" t="str" s="2">
        <x:v>Landing_BPM</x:v>
      </x:c>
      <x:c r="G902" t="str" s="2">
        <x:v>Rodrigo Ramirez</x:v>
      </x:c>
      <x:c r="H902" s="6">
        <x:v>46281.47136234953</x:v>
      </x:c>
      <x:c r="I902" s="0"/>
      <x:c r="J902" s="0"/>
      <x:c r="K902" s="6">
        <x:v>46281.75108174769</x:v>
      </x:c>
      <x:c r="L902" t="str" s="2">
        <x:v>Contacted</x:v>
      </x:c>
    </x:row>
    <x:row r="903">
      <x:c r="A903" t="str" s="2">
        <x:f>="Jennifer Mitchell"</x:f>
      </x:c>
      <x:c r="B903" t="str" s="2">
        <x:v>Heritage Housing of Athens</x:v>
      </x:c>
      <x:c r="C903" t="str" s="2">
        <x:v/>
      </x:c>
      <x:c r="D903" t="str" s="2">
        <x:v>6789234135</x:v>
      </x:c>
      <x:c r="E903" t="str" s="2">
        <x:v>Jenniferdiaz37@gmail.com</x:v>
      </x:c>
      <x:c r="F903" t="str" s="2">
        <x:v>Website</x:v>
      </x:c>
      <x:c r="G903" t="str" s="2">
        <x:v>Ethan Fossett</x:v>
      </x:c>
      <x:c r="H903" s="6">
        <x:v>46281.484564502316</x:v>
      </x:c>
      <x:c r="I903" s="0"/>
      <x:c r="J903" s="0"/>
      <x:c r="K903" s="6">
        <x:v>46288.82862746528</x:v>
      </x:c>
      <x:c r="L903" t="str" s="2">
        <x:v>Contacted</x:v>
      </x:c>
    </x:row>
    <x:row r="904">
      <x:c r="A904" t="str" s="2">
        <x:f>="Jackie Aishman"</x:f>
      </x:c>
      <x:c r="B904" t="str" s="2">
        <x:v>Heritage Housing of Albany</x:v>
      </x:c>
      <x:c r="C904" t="str" s="2">
        <x:v/>
      </x:c>
      <x:c r="D904" t="str" s="2">
        <x:v>8588693939</x:v>
      </x:c>
      <x:c r="E904" t="str" s="2">
        <x:v>aishmanj_3@hotmail.com</x:v>
      </x:c>
      <x:c r="F904" t="str" s="2">
        <x:v>Bing - Search</x:v>
      </x:c>
      <x:c r="G904" t="str" s="2">
        <x:v>Yanet Alvarez</x:v>
      </x:c>
      <x:c r="H904" s="6">
        <x:v>46281.58704586806</x:v>
      </x:c>
      <x:c r="I904" s="0"/>
      <x:c r="J904" s="0"/>
      <x:c r="K904" s="6">
        <x:v>46293.59616851852</x:v>
      </x:c>
      <x:c r="L904" t="str" s="2">
        <x:v>Contacted</x:v>
      </x:c>
    </x:row>
    <x:row r="905">
      <x:c r="A905" t="str" s="2">
        <x:f>="alaina boutte"</x:f>
      </x:c>
      <x:c r="B905" t="str" s="2">
        <x:v>Heritage Housing Gainesville</x:v>
      </x:c>
      <x:c r="C905" t="str" s="2">
        <x:v/>
      </x:c>
      <x:c r="D905" t="str" s="2">
        <x:v>2146357739</x:v>
      </x:c>
      <x:c r="E905" t="str" s="2">
        <x:v>COLLEGEDOLL43@GMAIL.COM</x:v>
      </x:c>
      <x:c r="F905" t="str" s="2">
        <x:v>Bing - Search</x:v>
      </x:c>
      <x:c r="G905" t="str" s="2">
        <x:v>Jeniffer Arellano</x:v>
      </x:c>
      <x:c r="H905" s="6">
        <x:v>46281.6167190625</x:v>
      </x:c>
      <x:c r="I905" s="0"/>
      <x:c r="J905" s="0"/>
      <x:c r="K905" s="6">
        <x:v>46308.710080902776</x:v>
      </x:c>
      <x:c r="L905" t="str" s="2">
        <x:v>Contacted</x:v>
      </x:c>
    </x:row>
    <x:row r="906">
      <x:c r="A906" t="str" s="2">
        <x:f>="Nicole Kirkpatrick"</x:f>
      </x:c>
      <x:c r="B906" t="str" s="2">
        <x:v>Heritage Housing Mt Pleasant</x:v>
      </x:c>
      <x:c r="C906" t="str" s="2">
        <x:v/>
      </x:c>
      <x:c r="D906" t="str" s="2">
        <x:v>9033607797</x:v>
      </x:c>
      <x:c r="E906" t="str" s="2">
        <x:v>Kirkpatricknicole11@gmail.com</x:v>
      </x:c>
      <x:c r="F906" t="str" s="2">
        <x:v>Bing - Search</x:v>
      </x:c>
      <x:c r="G906" t="str" s="2">
        <x:v>Kelly Ford</x:v>
      </x:c>
      <x:c r="H906" s="6">
        <x:v>46281.645747800925</x:v>
      </x:c>
      <x:c r="I906" s="0"/>
      <x:c r="J906" s="0"/>
      <x:c r="K906" s="6">
        <x:v>46295.63397959491</x:v>
      </x:c>
      <x:c r="L906" t="str" s="2">
        <x:v>Contacted</x:v>
      </x:c>
    </x:row>
    <x:row r="907">
      <x:c r="A907" t="str" s="2">
        <x:f>="Kawajalin Jackson"</x:f>
      </x:c>
      <x:c r="B907" t="str" s="2">
        <x:v>Heritage Housing of Albany</x:v>
      </x:c>
      <x:c r="C907" t="str" s="2">
        <x:v>1/1</x:v>
      </x:c>
      <x:c r="D907" t="str" s="2">
        <x:v>6787398126</x:v>
      </x:c>
      <x:c r="E907" t="str" s="2">
        <x:v>kawajalin6@gmail.com</x:v>
      </x:c>
      <x:c r="F907" t="str" s="2">
        <x:v>Youtube</x:v>
      </x:c>
      <x:c r="G907" t="str" s="2">
        <x:v>Yanet Alvarez</x:v>
      </x:c>
      <x:c r="H907" s="6">
        <x:v>46281.69619224537</x:v>
      </x:c>
      <x:c r="I907" s="0"/>
      <x:c r="J907" s="0"/>
      <x:c r="K907" s="6">
        <x:v>46282.599818090275</x:v>
      </x:c>
      <x:c r="L907" t="str" s="2">
        <x:v>Contacted</x:v>
      </x:c>
    </x:row>
    <x:row r="908">
      <x:c r="A908" t="str" s="2">
        <x:f>="Darlene Dijkman"</x:f>
      </x:c>
      <x:c r="B908" t="str" s="2">
        <x:v>Heritage Housing Gainesville</x:v>
      </x:c>
      <x:c r="C908" t="str" s="2">
        <x:v/>
      </x:c>
      <x:c r="D908" t="str" s="2">
        <x:v>2544264259</x:v>
      </x:c>
      <x:c r="E908" t="str" s="2">
        <x:v>dijkmandarlene462@gmail.com</x:v>
      </x:c>
      <x:c r="F908" t="str" s="2">
        <x:v>Landing_BPM</x:v>
      </x:c>
      <x:c r="G908" t="str" s="2">
        <x:v>Jeniffer Arellano</x:v>
      </x:c>
      <x:c r="H908" s="6">
        <x:v>46281.70324050926</x:v>
      </x:c>
      <x:c r="I908" s="0"/>
      <x:c r="J908" s="0"/>
      <x:c r="K908" s="6">
        <x:v>46308.7101590625</x:v>
      </x:c>
      <x:c r="L908" t="str" s="2">
        <x:v>Contacted</x:v>
      </x:c>
    </x:row>
    <x:row r="909">
      <x:c r="A909" t="str" s="2">
        <x:f>="Crystal Alley"</x:f>
      </x:c>
      <x:c r="B909" t="str" s="2">
        <x:v>Heritage Housing of Asheboro</x:v>
      </x:c>
      <x:c r="C909" t="str" s="2">
        <x:v/>
      </x:c>
      <x:c r="D909" t="str" s="2">
        <x:v>7656924070</x:v>
      </x:c>
      <x:c r="E909" t="str" s="2">
        <x:v>nurdlebrian@gmail.com</x:v>
      </x:c>
      <x:c r="F909" t="str" s="2">
        <x:v>Youtube</x:v>
      </x:c>
      <x:c r="G909" t="str" s="2">
        <x:v>Kate Gutierrez</x:v>
      </x:c>
      <x:c r="H909" s="6">
        <x:v>46281.71594371528</x:v>
      </x:c>
      <x:c r="I909" s="0"/>
      <x:c r="J909" s="0"/>
      <x:c r="K909" s="6">
        <x:v>46281.71654390046</x:v>
      </x:c>
      <x:c r="L909" t="str" s="2">
        <x:v>Contacted</x:v>
      </x:c>
    </x:row>
    <x:row r="910">
      <x:c r="A910" t="str" s="2">
        <x:f>="Latrice Smith"</x:f>
      </x:c>
      <x:c r="B910" t="str" s="2">
        <x:v>Heritage Housing of Albany</x:v>
      </x:c>
      <x:c r="C910" t="str" s="2">
        <x:v>0/1</x:v>
      </x:c>
      <x:c r="D910" t="str" s="2">
        <x:v>7064645477</x:v>
      </x:c>
      <x:c r="E910" t="str" s="2">
        <x:v>latricevsmith98@yahoo.com</x:v>
      </x:c>
      <x:c r="F910" t="str" s="2">
        <x:v>Youtube</x:v>
      </x:c>
      <x:c r="G910" t="str" s="2">
        <x:v>Yanet Alvarez</x:v>
      </x:c>
      <x:c r="H910" s="6">
        <x:v>46281.755620219905</x:v>
      </x:c>
      <x:c r="I910" s="0"/>
      <x:c r="J910" s="0"/>
      <x:c r="K910" s="6">
        <x:v>46289.712466666664</x:v>
      </x:c>
      <x:c r="L910" t="str" s="2">
        <x:v>Contacted</x:v>
      </x:c>
    </x:row>
    <x:row r="911">
      <x:c r="A911" t="str" s="2">
        <x:f>="Erick Dejean"</x:f>
      </x:c>
      <x:c r="B911" t="str" s="2">
        <x:v>Legacy Housing Corp. DBA Americasa</x:v>
      </x:c>
      <x:c r="C911" t="str" s="2">
        <x:v/>
      </x:c>
      <x:c r="D911" t="str" s="2">
        <x:v>3375793786</x:v>
      </x:c>
      <x:c r="E911" t="str" s="2">
        <x:v>erickdejean80@gmail.com</x:v>
      </x:c>
      <x:c r="F911" t="str" s="2">
        <x:v>Landing_BPM</x:v>
      </x:c>
      <x:c r="G911" t="str" s="2">
        <x:v>Joey Marquez</x:v>
      </x:c>
      <x:c r="H911" s="6">
        <x:v>46281.805588159725</x:v>
      </x:c>
      <x:c r="I911" s="0"/>
      <x:c r="J911" s="0"/>
      <x:c r="K911" s="6">
        <x:v>46282.77105347222</x:v>
      </x:c>
      <x:c r="L911" t="str" s="2">
        <x:v>Contacted</x:v>
      </x:c>
    </x:row>
    <x:row r="912">
      <x:c r="A912" t="str" s="2">
        <x:f>=HYPERLINK("https://rsms.futurehomex.com/lead/40076", "Heather Kutie")</x:f>
      </x:c>
      <x:c r="B912" t="str" s="2">
        <x:v>Heritage Housing Gainesville</x:v>
      </x:c>
      <x:c r="C912" t="str" s="2">
        <x:v/>
      </x:c>
      <x:c r="D912" t="str" s="2">
        <x:v>9402332977</x:v>
      </x:c>
      <x:c r="E912" t="str" s="2">
        <x:v>fatboy072@gmail.com</x:v>
      </x:c>
      <x:c r="F912" t="str" s="2">
        <x:v>Walk-in</x:v>
      </x:c>
      <x:c r="G912" t="str" s="2">
        <x:v>Kelly Ford</x:v>
      </x:c>
      <x:c r="H912" s="6">
        <x:v>46281.817625</x:v>
      </x:c>
      <x:c r="I912" t="str" s="2">
        <x:v>Kelly Ford</x:v>
      </x:c>
      <x:c r="J912" s="0"/>
      <x:c r="K912" s="6">
        <x:v>46286.63420292824</x:v>
      </x:c>
      <x:c r="L912" t="str" s="2">
        <x:v>Contacted</x:v>
      </x:c>
    </x:row>
    <x:row r="913">
      <x:c r="A913" t="str" s="2">
        <x:f>="Janis Tolleson"</x:f>
      </x:c>
      <x:c r="B913" t="str" s="2">
        <x:v>Heritage Housing Mt Pleasant</x:v>
      </x:c>
      <x:c r="C913" t="str" s="2">
        <x:v/>
      </x:c>
      <x:c r="D913" t="str" s="2">
        <x:v>9032858247</x:v>
      </x:c>
      <x:c r="E913" t="str" s="2">
        <x:v>bjtolle123@gmail.com</x:v>
      </x:c>
      <x:c r="F913" t="str" s="2">
        <x:v>Financing Form</x:v>
      </x:c>
      <x:c r="G913" t="str" s="2">
        <x:v>Elias Gallardo</x:v>
      </x:c>
      <x:c r="H913" s="6">
        <x:v>46281.846430868056</x:v>
      </x:c>
      <x:c r="I913" s="0"/>
      <x:c r="J913" s="0"/>
      <x:c r="K913" s="6">
        <x:v>46282.82197063657</x:v>
      </x:c>
      <x:c r="L913" t="str" s="2">
        <x:v>Contacted</x:v>
      </x:c>
    </x:row>
    <x:row r="914">
      <x:c r="A914" t="str" s="2">
        <x:f>=HYPERLINK("https://rsms.futurehomex.com/lead/40081", "Kelly Davis")</x:f>
      </x:c>
      <x:c r="B914" t="str" s="2">
        <x:v>Heritage Housing Gainesville</x:v>
      </x:c>
      <x:c r="C914" t="str" s="2">
        <x:v/>
      </x:c>
      <x:c r="D914" t="str" s="2">
        <x:v>2149607221</x:v>
      </x:c>
      <x:c r="E914" t="str" s="2">
        <x:v>kdngp@yahoo.com</x:v>
      </x:c>
      <x:c r="F914" t="str" s="2">
        <x:v>Youtube</x:v>
      </x:c>
      <x:c r="G914" t="str" s="2">
        <x:v>Jeniffer Arellano</x:v>
      </x:c>
      <x:c r="H914" s="6">
        <x:v>46281.896972256945</x:v>
      </x:c>
      <x:c r="I914" t="str" s="2">
        <x:v>Jeniffer Arellano</x:v>
      </x:c>
      <x:c r="J914" s="0"/>
      <x:c r="K914" s="6">
        <x:v>46308.71034158565</x:v>
      </x:c>
      <x:c r="L914" t="str" s="2">
        <x:v>Contacted</x:v>
      </x:c>
    </x:row>
    <x:row r="915">
      <x:c r="A915" t="str" s="2">
        <x:f>="Stephanee Bullard"</x:f>
      </x:c>
      <x:c r="B915" t="str" s="2">
        <x:v>Heritage Housing Gainesville</x:v>
      </x:c>
      <x:c r="C915" t="str" s="2">
        <x:v/>
      </x:c>
      <x:c r="D915" t="str" s="2">
        <x:v>6823930073</x:v>
      </x:c>
      <x:c r="E915" t="str" s="2">
        <x:v>stephaneeb89@gmail.com</x:v>
      </x:c>
      <x:c r="F915" t="str" s="2">
        <x:v>Landing_BPM</x:v>
      </x:c>
      <x:c r="G915" t="str" s="2">
        <x:v>Kelly Ford</x:v>
      </x:c>
      <x:c r="H915" s="6">
        <x:v>46281.902183101854</x:v>
      </x:c>
      <x:c r="I915" s="0"/>
      <x:c r="J915" s="0"/>
      <x:c r="K915" s="6">
        <x:v>46295.63391597222</x:v>
      </x:c>
      <x:c r="L915" t="str" s="2">
        <x:v>Contacted</x:v>
      </x:c>
    </x:row>
    <x:row r="916">
      <x:c r="A916" t="str" s="2">
        <x:f>="Cassandra Brown"</x:f>
      </x:c>
      <x:c r="B916" t="str" s="2">
        <x:v>Heritage Housing of Athens</x:v>
      </x:c>
      <x:c r="C916" t="str" s="2">
        <x:v/>
      </x:c>
      <x:c r="D916" t="str" s="2">
        <x:v>4045738693</x:v>
      </x:c>
      <x:c r="E916" t="str" s="2">
        <x:v>cascibrown@gmail.com</x:v>
      </x:c>
      <x:c r="F916" t="str" s="2">
        <x:v>Landing_BPM</x:v>
      </x:c>
      <x:c r="G916" t="str" s="2">
        <x:v>Ethan Fossett</x:v>
      </x:c>
      <x:c r="H916" s="6">
        <x:v>46281.95627299768</x:v>
      </x:c>
      <x:c r="I916" s="0"/>
      <x:c r="J916" s="0"/>
      <x:c r="K916" s="6">
        <x:v>46294.61299857639</x:v>
      </x:c>
      <x:c r="L916" t="str" s="2">
        <x:v>Contacted</x:v>
      </x:c>
    </x:row>
    <x:row r="917">
      <x:c r="A917" t="str" s="2">
        <x:f>="Nicholas Crane"</x:f>
      </x:c>
      <x:c r="B917" t="str" s="2">
        <x:v>Heritage Housing of Albany</x:v>
      </x:c>
      <x:c r="C917" t="str" s="2">
        <x:v/>
      </x:c>
      <x:c r="D917" t="str" s="2">
        <x:v>4049090730</x:v>
      </x:c>
      <x:c r="E917" t="str" s="2">
        <x:v>iamblessednc@gmail.com</x:v>
      </x:c>
      <x:c r="F917" t="str" s="2">
        <x:v>Financing Form</x:v>
      </x:c>
      <x:c r="G917" t="str" s="2">
        <x:v>Yanet Alvarez</x:v>
      </x:c>
      <x:c r="H917" s="6">
        <x:v>46281.96290208333</x:v>
      </x:c>
      <x:c r="I917" s="0"/>
      <x:c r="J917" s="0"/>
      <x:c r="K917" s="6">
        <x:v>46282.610467708335</x:v>
      </x:c>
      <x:c r="L917" t="str" s="2">
        <x:v>Contacted</x:v>
      </x:c>
    </x:row>
    <x:row r="918">
      <x:c r="A918" t="str" s="2">
        <x:f>="Kathy Byrd"</x:f>
      </x:c>
      <x:c r="B918" t="str" s="2">
        <x:v>Heritage Housing of Asheboro</x:v>
      </x:c>
      <x:c r="C918" t="str" s="2">
        <x:v/>
      </x:c>
      <x:c r="D918" t="str" s="2">
        <x:v>8283902841</x:v>
      </x:c>
      <x:c r="E918" t="str" s="2">
        <x:v>brightnkindabossy@gmail.com</x:v>
      </x:c>
      <x:c r="F918" t="str" s="2">
        <x:v>Website</x:v>
      </x:c>
      <x:c r="G918" t="str" s="2">
        <x:v>Maria Lopez</x:v>
      </x:c>
      <x:c r="H918" s="6">
        <x:v>46281.97175841435</x:v>
      </x:c>
      <x:c r="I918" s="0"/>
      <x:c r="J918" s="0"/>
      <x:c r="K918" s="6">
        <x:v>46286.54727711806</x:v>
      </x:c>
      <x:c r="L918" t="str" s="2">
        <x:v>Contacted</x:v>
      </x:c>
    </x:row>
    <x:row r="919">
      <x:c r="A919" t="str" s="2">
        <x:f>="Annette Hardmon"</x:f>
      </x:c>
      <x:c r="B919" t="str" s="2">
        <x:v>Heritage Housing of Minden</x:v>
      </x:c>
      <x:c r="C919" t="str" s="2">
        <x:v>0/1</x:v>
      </x:c>
      <x:c r="D919" t="str" s="2">
        <x:v>4046300425</x:v>
      </x:c>
      <x:c r="E919" t="str" s="2">
        <x:v>a_hardmon77@yahoo.com</x:v>
      </x:c>
      <x:c r="F919" t="str" s="2">
        <x:v>Landing_BPM</x:v>
      </x:c>
      <x:c r="G919" t="str" s="2">
        <x:v>Patrick Schuchart</x:v>
      </x:c>
      <x:c r="H919" s="6">
        <x:v>46281.97650690972</x:v>
      </x:c>
      <x:c r="I919" s="0"/>
      <x:c r="J919" s="0"/>
      <x:c r="K919" s="6">
        <x:v>46282.72276438658</x:v>
      </x:c>
      <x:c r="L919" t="str" s="2">
        <x:v>Contacted</x:v>
      </x:c>
    </x:row>
    <x:row r="920">
      <x:c r="A920" t="str" s="2">
        <x:f>="Deborah Kersey"</x:f>
      </x:c>
      <x:c r="B920" t="str" s="2">
        <x:v>Heritage Housing of Minden</x:v>
      </x:c>
      <x:c r="C920" t="str" s="2">
        <x:v>0/1</x:v>
      </x:c>
      <x:c r="D920" t="str" s="2">
        <x:v>5046554526</x:v>
      </x:c>
      <x:c r="E920" t="str" s="2">
        <x:v>ddoanekersey@gmail.com</x:v>
      </x:c>
      <x:c r="F920" t="str" s="2">
        <x:v>Youtube</x:v>
      </x:c>
      <x:c r="G920" t="str" s="2">
        <x:v>Kyla Brown</x:v>
      </x:c>
      <x:c r="H920" s="6">
        <x:v>46282.00930478009</x:v>
      </x:c>
      <x:c r="I920" s="0"/>
      <x:c r="J920" s="0"/>
      <x:c r="K920" s="6">
        <x:v>46282.72197395833</x:v>
      </x:c>
      <x:c r="L920" t="str" s="2">
        <x:v>Contacted</x:v>
      </x:c>
    </x:row>
    <x:row r="921">
      <x:c r="A921" t="str" s="2">
        <x:f>="Tami Glasgow"</x:f>
      </x:c>
      <x:c r="B921" t="str" s="2">
        <x:v>Heritage Housing of Albany</x:v>
      </x:c>
      <x:c r="C921" t="str" s="2">
        <x:v>0/3</x:v>
      </x:c>
      <x:c r="D921" t="str" s="2">
        <x:v>2293197775</x:v>
      </x:c>
      <x:c r="E921" t="str" s="2">
        <x:v>tamiglasgow68@gmail.com</x:v>
      </x:c>
      <x:c r="F921" t="str" s="2">
        <x:v>Youtube</x:v>
      </x:c>
      <x:c r="G921" t="str" s="2">
        <x:v>Yanet Alvarez</x:v>
      </x:c>
      <x:c r="H921" s="6">
        <x:v>46282.078859340276</x:v>
      </x:c>
      <x:c r="I921" s="0"/>
      <x:c r="J921" s="0"/>
      <x:c r="K921" s="6">
        <x:v>46293.59529525463</x:v>
      </x:c>
      <x:c r="L921" t="str" s="2">
        <x:v>Contacted</x:v>
      </x:c>
    </x:row>
    <x:row r="922">
      <x:c r="A922" t="str" s="2">
        <x:f>="Carol Branch"</x:f>
      </x:c>
      <x:c r="B922" t="str" s="2">
        <x:v>Legacy Housing Corp. DBA Americasa</x:v>
      </x:c>
      <x:c r="C922" t="str" s="2">
        <x:v/>
      </x:c>
      <x:c r="D922" t="str" s="2">
        <x:v>8324922668</x:v>
      </x:c>
      <x:c r="E922" t="str" s="2">
        <x:v>carol1branch@gmail.com</x:v>
      </x:c>
      <x:c r="F922" t="str" s="2">
        <x:v>Youtube</x:v>
      </x:c>
      <x:c r="G922" t="str" s="2">
        <x:v>Joey Marquez</x:v>
      </x:c>
      <x:c r="H922" s="6">
        <x:v>46282.121914930554</x:v>
      </x:c>
      <x:c r="I922" s="0"/>
      <x:c r="J922" s="0"/>
      <x:c r="K922" s="6">
        <x:v>46283.887843136574</x:v>
      </x:c>
      <x:c r="L922" t="str" s="2">
        <x:v>Contacted</x:v>
      </x:c>
    </x:row>
    <x:row r="923">
      <x:c r="A923" t="str" s="2">
        <x:f>="Anthony Lopes"</x:f>
      </x:c>
      <x:c r="B923" t="str" s="2">
        <x:v>Heritage Housing of Albany</x:v>
      </x:c>
      <x:c r="C923" t="str" s="2">
        <x:v/>
      </x:c>
      <x:c r="D923" t="str" s="2">
        <x:v>4699199712</x:v>
      </x:c>
      <x:c r="E923" t="str" s="2">
        <x:v>tony.logman@protonmail.com</x:v>
      </x:c>
      <x:c r="F923" t="str" s="2">
        <x:v>Financing Form</x:v>
      </x:c>
      <x:c r="G923" t="str" s="2">
        <x:v>Yanet Alvarez</x:v>
      </x:c>
      <x:c r="H923" s="6">
        <x:v>46282.20112045139</x:v>
      </x:c>
      <x:c r="I923" s="0"/>
      <x:c r="J923" s="0"/>
      <x:c r="K923" s="6">
        <x:v>46282.61148460648</x:v>
      </x:c>
      <x:c r="L923" t="str" s="2">
        <x:v>Contacted</x:v>
      </x:c>
    </x:row>
    <x:row r="924">
      <x:c r="A924" t="str" s="2">
        <x:f>="Angel Toon"</x:f>
      </x:c>
      <x:c r="B924" t="str" s="2">
        <x:v>Heritage Housing of Athens</x:v>
      </x:c>
      <x:c r="C924" t="str" s="2">
        <x:v>0/3</x:v>
      </x:c>
      <x:c r="D924" t="str" s="2">
        <x:v>2522409138</x:v>
      </x:c>
      <x:c r="E924" t="str" s="2">
        <x:v>angeltoon1andonly@gmail.com</x:v>
      </x:c>
      <x:c r="F924" t="str" s="2">
        <x:v>Youtube</x:v>
      </x:c>
      <x:c r="G924" t="str" s="2">
        <x:v>Ethan Fossett</x:v>
      </x:c>
      <x:c r="H924" s="6">
        <x:v>46282.25345616898</x:v>
      </x:c>
      <x:c r="I924" s="0"/>
      <x:c r="J924" s="0"/>
      <x:c r="K924" s="6">
        <x:v>46295.67828545139</x:v>
      </x:c>
      <x:c r="L924" t="str" s="2">
        <x:v>Contacted</x:v>
      </x:c>
    </x:row>
    <x:row r="925">
      <x:c r="A925" t="str" s="2">
        <x:f>="Cedric Sampson"</x:f>
      </x:c>
      <x:c r="B925" t="str" s="2">
        <x:v>Heritage Housing of Minden</x:v>
      </x:c>
      <x:c r="C925" t="str" s="2">
        <x:v>0/1</x:v>
      </x:c>
      <x:c r="D925" t="str" s="2">
        <x:v>7279004837</x:v>
      </x:c>
      <x:c r="E925" t="str" s="2">
        <x:v>josiahizrael@gmail.com</x:v>
      </x:c>
      <x:c r="F925" t="str" s="2">
        <x:v>Landing_BPM</x:v>
      </x:c>
      <x:c r="G925" t="str" s="2">
        <x:v>Patrick Schuchart</x:v>
      </x:c>
      <x:c r="H925" s="6">
        <x:v>46282.27353197917</x:v>
      </x:c>
      <x:c r="I925" s="0"/>
      <x:c r="J925" s="0"/>
      <x:c r="K925" s="6">
        <x:v>46282.71873684028</x:v>
      </x:c>
      <x:c r="L925" t="str" s="2">
        <x:v>Contacted</x:v>
      </x:c>
    </x:row>
    <x:row r="926">
      <x:c r="A926" t="str" s="2">
        <x:f>="Zebaa Broadnax"</x:f>
      </x:c>
      <x:c r="B926" t="str" s="2">
        <x:v>Heritage Housing Gainesville</x:v>
      </x:c>
      <x:c r="C926" t="str" s="2">
        <x:v/>
      </x:c>
      <x:c r="D926" t="str" s="2">
        <x:v>3136995164</x:v>
      </x:c>
      <x:c r="E926" t="str" s="2">
        <x:v>zeebro75@gmail.com</x:v>
      </x:c>
      <x:c r="F926" t="str" s="2">
        <x:v>Landing_BPM</x:v>
      </x:c>
      <x:c r="G926" t="str" s="2">
        <x:v>Jeniffer Arellano</x:v>
      </x:c>
      <x:c r="H926" s="6">
        <x:v>46282.37653746528</x:v>
      </x:c>
      <x:c r="I926" s="0"/>
      <x:c r="J926" s="0"/>
      <x:c r="K926" s="6">
        <x:v>46308.71274355324</x:v>
      </x:c>
      <x:c r="L926" t="str" s="2">
        <x:v>Contacted</x:v>
      </x:c>
    </x:row>
    <x:row r="927">
      <x:c r="A927" t="str" s="2">
        <x:f>="Felicia Carroll"</x:f>
      </x:c>
      <x:c r="B927" t="str" s="2">
        <x:v>Heritage Housing of Albany</x:v>
      </x:c>
      <x:c r="C927" t="str" s="2">
        <x:v>0/1</x:v>
      </x:c>
      <x:c r="D927" t="str" s="2">
        <x:v>4487994201</x:v>
      </x:c>
      <x:c r="E927" t="str" s="2">
        <x:v>feliciacarroll2016@gmail.com</x:v>
      </x:c>
      <x:c r="F927" t="str" s="2">
        <x:v>Landing_BPM</x:v>
      </x:c>
      <x:c r="G927" t="str" s="2">
        <x:v>Yanet Alvarez</x:v>
      </x:c>
      <x:c r="H927" s="6">
        <x:v>46282.50514166667</x:v>
      </x:c>
      <x:c r="I927" s="0"/>
      <x:c r="J927" s="0"/>
      <x:c r="K927" s="6">
        <x:v>46293.59017195602</x:v>
      </x:c>
      <x:c r="L927" t="str" s="2">
        <x:v>Contacted</x:v>
      </x:c>
    </x:row>
    <x:row r="928">
      <x:c r="A928" t="str" s="2">
        <x:f>="Dion Williams"</x:f>
      </x:c>
      <x:c r="B928" t="str" s="2">
        <x:v>Heritage Housing of Minden</x:v>
      </x:c>
      <x:c r="C928" t="str" s="2">
        <x:v>0/1</x:v>
      </x:c>
      <x:c r="D928" t="str" s="2">
        <x:v>3182619454</x:v>
      </x:c>
      <x:c r="E928" t="str" s="2">
        <x:v>DIONWILLIAMS1@OUTLOOK.COM</x:v>
      </x:c>
      <x:c r="F928" t="str" s="2">
        <x:v>Youtube</x:v>
      </x:c>
      <x:c r="G928" t="str" s="2">
        <x:v>Kyla Brown</x:v>
      </x:c>
      <x:c r="H928" s="6">
        <x:v>46282.65192650463</x:v>
      </x:c>
      <x:c r="I928" s="0"/>
      <x:c r="J928" s="0"/>
      <x:c r="K928" s="6">
        <x:v>46289.68711519676</x:v>
      </x:c>
      <x:c r="L928" t="str" s="2">
        <x:v>Contacted</x:v>
      </x:c>
    </x:row>
    <x:row r="929">
      <x:c r="A929" t="str" s="2">
        <x:f>="Henry George"</x:f>
      </x:c>
      <x:c r="B929" t="str" s="2">
        <x:v>Heritage Housing of Minden</x:v>
      </x:c>
      <x:c r="C929" t="str" s="2">
        <x:v>0/1</x:v>
      </x:c>
      <x:c r="D929" t="str" s="2">
        <x:v>3187797031</x:v>
      </x:c>
      <x:c r="E929" t="str" s="2">
        <x:v>jacquelinewiser50@gmail.com</x:v>
      </x:c>
      <x:c r="F929" t="str" s="2">
        <x:v>Youtube</x:v>
      </x:c>
      <x:c r="G929" t="str" s="2">
        <x:v>Patrick Schuchart</x:v>
      </x:c>
      <x:c r="H929" s="6">
        <x:v>46282.67415748843</x:v>
      </x:c>
      <x:c r="I929" s="0"/>
      <x:c r="J929" s="0"/>
      <x:c r="K929" s="6">
        <x:v>46282.717423761576</x:v>
      </x:c>
      <x:c r="L929" t="str" s="2">
        <x:v>Contacted</x:v>
      </x:c>
    </x:row>
    <x:row r="930">
      <x:c r="A930" t="str" s="2">
        <x:f>="Allison Phillips"</x:f>
      </x:c>
      <x:c r="B930" t="str" s="2">
        <x:v>Heritage Housing of Albany</x:v>
      </x:c>
      <x:c r="C930" t="str" s="2">
        <x:v>0/1</x:v>
      </x:c>
      <x:c r="D930" t="str" s="2">
        <x:v>4784039878</x:v>
      </x:c>
      <x:c r="E930" t="str" s="2">
        <x:v>alli1926@aol.com</x:v>
      </x:c>
      <x:c r="F930" t="str" s="2">
        <x:v>Landing_BPM</x:v>
      </x:c>
      <x:c r="G930" t="str" s="2">
        <x:v>Yanet Alvarez</x:v>
      </x:c>
      <x:c r="H930" s="6">
        <x:v>46282.692066435186</x:v>
      </x:c>
      <x:c r="I930" s="0"/>
      <x:c r="J930" s="0"/>
      <x:c r="K930" s="6">
        <x:v>46293.58978214121</x:v>
      </x:c>
      <x:c r="L930" t="str" s="2">
        <x:v>Contacted</x:v>
      </x:c>
    </x:row>
    <x:row r="931">
      <x:c r="A931" t="str" s="2">
        <x:f>=HYPERLINK("https://rsms.futurehomex.com/lead/40104", "Steven Taylor")</x:f>
      </x:c>
      <x:c r="B931" t="str" s="2">
        <x:v>Heritage Housing Gainesville</x:v>
      </x:c>
      <x:c r="C931" t="str" s="2">
        <x:v/>
      </x:c>
      <x:c r="D931" t="str" s="2">
        <x:v>4697123930</x:v>
      </x:c>
      <x:c r="E931" t="str" s="2">
        <x:v>steventaylor19912013@gmail.com</x:v>
      </x:c>
      <x:c r="F931" t="str" s="2">
        <x:v>Financing Form</x:v>
      </x:c>
      <x:c r="G931" t="str" s="2">
        <x:v>Kelly Ford</x:v>
      </x:c>
      <x:c r="H931" s="6">
        <x:v>46282.70040300926</x:v>
      </x:c>
      <x:c r="I931" t="str" s="2">
        <x:v>Kelly Ford</x:v>
      </x:c>
      <x:c r="J931" s="0"/>
      <x:c r="K931" s="6">
        <x:v>46290.6977684838</x:v>
      </x:c>
      <x:c r="L931" t="str" s="2">
        <x:v>Contacted</x:v>
      </x:c>
    </x:row>
    <x:row r="932">
      <x:c r="A932" t="str" s="2">
        <x:f>="Bruce Mayo"</x:f>
      </x:c>
      <x:c r="B932" t="str" s="2">
        <x:v>Heritage Housing of Albany</x:v>
      </x:c>
      <x:c r="C932" t="str" s="2">
        <x:v>0/1</x:v>
      </x:c>
      <x:c r="D932" t="str" s="2">
        <x:v>4045535663</x:v>
      </x:c>
      <x:c r="E932" t="str" s="2">
        <x:v>.brucemayo51@gmail.com</x:v>
      </x:c>
      <x:c r="F932" t="str" s="2">
        <x:v>Youtube</x:v>
      </x:c>
      <x:c r="G932" t="str" s="2">
        <x:v>Yanet Alvarez</x:v>
      </x:c>
      <x:c r="H932" s="6">
        <x:v>46282.74020667824</x:v>
      </x:c>
      <x:c r="I932" s="0"/>
      <x:c r="J932" s="0"/>
      <x:c r="K932" s="6">
        <x:v>46284.80887789352</x:v>
      </x:c>
      <x:c r="L932" t="str" s="2">
        <x:v>Contacted</x:v>
      </x:c>
    </x:row>
    <x:row r="933">
      <x:c r="A933" t="str" s="2">
        <x:f>="Amanda Shirey"</x:f>
      </x:c>
      <x:c r="B933" t="str" s="2">
        <x:v>Heritage Housing Marble Falls</x:v>
      </x:c>
      <x:c r="C933" t="str" s="2">
        <x:v/>
      </x:c>
      <x:c r="D933" t="str" s="2">
        <x:v>5125402514</x:v>
      </x:c>
      <x:c r="E933" t="str" s="2">
        <x:v>amandamcrobbie8@gmail.com</x:v>
      </x:c>
      <x:c r="F933" t="str" s="2">
        <x:v>Landing_BPM</x:v>
      </x:c>
      <x:c r="G933" t="str" s="2">
        <x:v>Garrett Riedesel</x:v>
      </x:c>
      <x:c r="H933" s="6">
        <x:v>46282.91417743055</x:v>
      </x:c>
      <x:c r="I933" s="0"/>
      <x:c r="J933" s="0"/>
      <x:c r="K933" s="6">
        <x:v>46282.918575462965</x:v>
      </x:c>
      <x:c r="L933" t="str" s="2">
        <x:v>Contacted</x:v>
      </x:c>
    </x:row>
    <x:row r="934">
      <x:c r="A934" t="str" s="2">
        <x:f>="Dorthy Williams"</x:f>
      </x:c>
      <x:c r="B934" t="str" s="2">
        <x:v>Heritage Housing Gainesville</x:v>
      </x:c>
      <x:c r="C934" t="str" s="2">
        <x:v/>
      </x:c>
      <x:c r="D934" t="str" s="2">
        <x:v>9033711399</x:v>
      </x:c>
      <x:c r="E934" t="str" s="2">
        <x:v>devonw84@icloud.com</x:v>
      </x:c>
      <x:c r="F934" t="str" s="2">
        <x:v>Landing_BPM</x:v>
      </x:c>
      <x:c r="G934" t="str" s="2">
        <x:v>Jeniffer Arellano</x:v>
      </x:c>
      <x:c r="H934" s="6">
        <x:v>46282.93431878472</x:v>
      </x:c>
      <x:c r="I934" s="0"/>
      <x:c r="J934" s="0"/>
      <x:c r="K934" s="6">
        <x:v>46308.71265755787</x:v>
      </x:c>
      <x:c r="L934" t="str" s="2">
        <x:v>Contacted</x:v>
      </x:c>
    </x:row>
    <x:row r="935">
      <x:c r="A935" t="str" s="2">
        <x:f>="Teasia Delanie"</x:f>
      </x:c>
      <x:c r="B935" t="str" s="2">
        <x:v>Heritage Housing of Minden</x:v>
      </x:c>
      <x:c r="C935" t="str" s="2">
        <x:v>0/1</x:v>
      </x:c>
      <x:c r="D935" t="str" s="2">
        <x:v>3186213550</x:v>
      </x:c>
      <x:c r="E935" t="str" s="2">
        <x:v>teasiafields56@gmail.com</x:v>
      </x:c>
      <x:c r="F935" t="str" s="2">
        <x:v>Landing_BPM</x:v>
      </x:c>
      <x:c r="G935" t="str" s="2">
        <x:v>Kyla Brown</x:v>
      </x:c>
      <x:c r="H935" s="6">
        <x:v>46282.94504429398</x:v>
      </x:c>
      <x:c r="I935" s="0"/>
      <x:c r="J935" s="0"/>
      <x:c r="K935" s="6">
        <x:v>46282.96733846065</x:v>
      </x:c>
      <x:c r="L935" t="str" s="2">
        <x:v>Contacted</x:v>
      </x:c>
    </x:row>
    <x:row r="936">
      <x:c r="A936" t="str" s="2">
        <x:f>="Drew Ebey"</x:f>
      </x:c>
      <x:c r="B936" t="str" s="2">
        <x:v>Heritage Housing of Minden</x:v>
      </x:c>
      <x:c r="C936" t="str" s="2">
        <x:v>0/1</x:v>
      </x:c>
      <x:c r="D936" t="str" s="2">
        <x:v>3185536020</x:v>
      </x:c>
      <x:c r="E936" t="str" s="2">
        <x:v>drewwatts665@gmail.com</x:v>
      </x:c>
      <x:c r="F936" t="str" s="2">
        <x:v>Website</x:v>
      </x:c>
      <x:c r="G936" t="str" s="2">
        <x:v>Patrick Schuchart</x:v>
      </x:c>
      <x:c r="H936" s="6">
        <x:v>46282.95011979167</x:v>
      </x:c>
      <x:c r="I936" s="0"/>
      <x:c r="J936" s="0"/>
      <x:c r="K936" s="6">
        <x:v>46282.96646994213</x:v>
      </x:c>
      <x:c r="L936" t="str" s="2">
        <x:v>Contacted</x:v>
      </x:c>
    </x:row>
    <x:row r="937">
      <x:c r="A937" t="str" s="2">
        <x:f>="Joseph crawford"</x:f>
      </x:c>
      <x:c r="B937" t="str" s="2">
        <x:v>Heritage Housing of Albany</x:v>
      </x:c>
      <x:c r="C937" t="str" s="2">
        <x:v/>
      </x:c>
      <x:c r="D937" t="str" s="2">
        <x:v>7623059987</x:v>
      </x:c>
      <x:c r="E937" t="str" s="2">
        <x:v>Moparman1116@gmail.com</x:v>
      </x:c>
      <x:c r="F937" t="str" s="2">
        <x:v>Landing_BPM</x:v>
      </x:c>
      <x:c r="G937" t="str" s="2">
        <x:v>Yanet Alvarez</x:v>
      </x:c>
      <x:c r="H937" s="6">
        <x:v>46282.98026380787</x:v>
      </x:c>
      <x:c r="I937" s="0"/>
      <x:c r="J937" s="0"/>
      <x:c r="K937" s="6">
        <x:v>46307.89503989583</x:v>
      </x:c>
      <x:c r="L937" t="str" s="2">
        <x:v>Contacted</x:v>
      </x:c>
    </x:row>
    <x:row r="938">
      <x:c r="A938" t="str" s="2">
        <x:f>="Sheree Beason"</x:f>
      </x:c>
      <x:c r="B938" t="str" s="2">
        <x:v>Heritage Housing of Minden</x:v>
      </x:c>
      <x:c r="C938" t="str" s="2">
        <x:v>0/1</x:v>
      </x:c>
      <x:c r="D938" t="str" s="2">
        <x:v>3188951178</x:v>
      </x:c>
      <x:c r="E938" t="str" s="2">
        <x:v>intratrinityhealing@gmail.com</x:v>
      </x:c>
      <x:c r="F938" t="str" s="2">
        <x:v>LandingPage</x:v>
      </x:c>
      <x:c r="G938" t="str" s="2">
        <x:v>Kyla Brown</x:v>
      </x:c>
      <x:c r="H938" s="6">
        <x:v>46282.99285077546</x:v>
      </x:c>
      <x:c r="I938" s="0"/>
      <x:c r="J938" s="0"/>
      <x:c r="K938" s="6">
        <x:v>46283.688096956015</x:v>
      </x:c>
      <x:c r="L938" t="str" s="2">
        <x:v>Contacted</x:v>
      </x:c>
    </x:row>
    <x:row r="939">
      <x:c r="A939" t="str" s="2">
        <x:f>="RobertGet +15721961042"</x:f>
      </x:c>
      <x:c r="B939" t="str" s="2">
        <x:v>Heritage Housing of Albany</x:v>
      </x:c>
      <x:c r="C939" t="str" s="2">
        <x:v/>
      </x:c>
      <x:c r="D939" t="str" s="2">
        <x:v>84511214842</x:v>
      </x:c>
      <x:c r="E939" t="str" s="2">
        <x:v>ruvugvo@dfjmkvj.kgv</x:v>
      </x:c>
      <x:c r="F939" t="str" s="2">
        <x:v>Website</x:v>
      </x:c>
      <x:c r="G939" t="str" s="2">
        <x:v>Yanet Alvarez</x:v>
      </x:c>
      <x:c r="H939" s="6">
        <x:v>46283.02908371528</x:v>
      </x:c>
      <x:c r="I939" s="0"/>
      <x:c r="J939" s="0"/>
      <x:c r="K939" s="6">
        <x:v>46307.895496261575</x:v>
      </x:c>
      <x:c r="L939" t="str" s="2">
        <x:v>Contacted</x:v>
      </x:c>
    </x:row>
    <x:row r="940">
      <x:c r="A940" t="str" s="2">
        <x:f>="Florentina Davis"</x:f>
      </x:c>
      <x:c r="B940" t="str" s="2">
        <x:v>Heritage Housing Gainesville</x:v>
      </x:c>
      <x:c r="C940" t="str" s="2">
        <x:v/>
      </x:c>
      <x:c r="D940" t="str" s="2">
        <x:v>3257169380</x:v>
      </x:c>
      <x:c r="E940" t="str" s="2">
        <x:v>flovis2835@yahoo.com</x:v>
      </x:c>
      <x:c r="F940" t="str" s="2">
        <x:v>Youtube</x:v>
      </x:c>
      <x:c r="G940" t="str" s="2">
        <x:v>Kelly Ford</x:v>
      </x:c>
      <x:c r="H940" s="6">
        <x:v>46283.03101982639</x:v>
      </x:c>
      <x:c r="I940" s="0"/>
      <x:c r="J940" s="0"/>
      <x:c r="K940" s="6">
        <x:v>46287.774413391206</x:v>
      </x:c>
      <x:c r="L940" t="str" s="2">
        <x:v>Contacted</x:v>
      </x:c>
    </x:row>
    <x:row r="941">
      <x:c r="A941" t="str" s="2">
        <x:f>="Casey Cromer"</x:f>
      </x:c>
      <x:c r="B941" t="str" s="2">
        <x:v>Heritage Housing of Albany</x:v>
      </x:c>
      <x:c r="C941" t="str" s="2">
        <x:v>0/2</x:v>
      </x:c>
      <x:c r="D941" t="str" s="2">
        <x:v>2293318186</x:v>
      </x:c>
      <x:c r="E941" t="str" s="2">
        <x:v>caseycromer211@gmail.com</x:v>
      </x:c>
      <x:c r="F941" t="str" s="2">
        <x:v>Landing_BPM</x:v>
      </x:c>
      <x:c r="G941" t="str" s="2">
        <x:v>Yanet Alvarez</x:v>
      </x:c>
      <x:c r="H941" s="6">
        <x:v>46283.036798229165</x:v>
      </x:c>
      <x:c r="I941" s="0"/>
      <x:c r="J941" s="0"/>
      <x:c r="K941" s="6">
        <x:v>46296.78400443287</x:v>
      </x:c>
      <x:c r="L941" t="str" s="2">
        <x:v>Contacted</x:v>
      </x:c>
    </x:row>
    <x:row r="942">
      <x:c r="A942" t="str" s="2">
        <x:f>="Chrissy Blanco"</x:f>
      </x:c>
      <x:c r="B942" t="str" s="2">
        <x:v>Legacy Housing Corp. DBA Americasa</x:v>
      </x:c>
      <x:c r="C942" t="str" s="2">
        <x:v/>
      </x:c>
      <x:c r="D942" t="str" s="2">
        <x:v>2106646737</x:v>
      </x:c>
      <x:c r="E942" t="str" s="2">
        <x:v>malikahblanco@gmail.com</x:v>
      </x:c>
      <x:c r="F942" t="str" s="2">
        <x:v>Youtube</x:v>
      </x:c>
      <x:c r="G942" t="str" s="2">
        <x:v>Joey Marquez</x:v>
      </x:c>
      <x:c r="H942" s="6">
        <x:v>46283.04799950231</x:v>
      </x:c>
      <x:c r="I942" s="0"/>
      <x:c r="J942" s="0"/>
      <x:c r="K942" s="6">
        <x:v>46283.8873125</x:v>
      </x:c>
      <x:c r="L942" t="str" s="2">
        <x:v>Contacted</x:v>
      </x:c>
    </x:row>
    <x:row r="943">
      <x:c r="A943" t="str" s="2">
        <x:f>="Tiffani Hewitt-Moore"</x:f>
      </x:c>
      <x:c r="B943" t="str" s="2">
        <x:v>Heritage Housing of Minden</x:v>
      </x:c>
      <x:c r="C943" t="str" s="2">
        <x:v>0/1</x:v>
      </x:c>
      <x:c r="D943" t="str" s="2">
        <x:v>3184646517</x:v>
      </x:c>
      <x:c r="E943" t="str" s="2">
        <x:v>hewitttiffani06@gmail.com</x:v>
      </x:c>
      <x:c r="F943" t="str" s="2">
        <x:v>Youtube</x:v>
      </x:c>
      <x:c r="G943" t="str" s="2">
        <x:v>Patrick Schuchart</x:v>
      </x:c>
      <x:c r="H943" s="6">
        <x:v>46283.1315403125</x:v>
      </x:c>
      <x:c r="I943" s="0"/>
      <x:c r="J943" s="0"/>
      <x:c r="K943" s="6">
        <x:v>46283.68727071759</x:v>
      </x:c>
      <x:c r="L943" t="str" s="2">
        <x:v>Contacted</x:v>
      </x:c>
    </x:row>
    <x:row r="944">
      <x:c r="A944" t="str" s="2">
        <x:f>="Melva Lockett"</x:f>
      </x:c>
      <x:c r="B944" t="str" s="2">
        <x:v>Heritage Housing of Albany</x:v>
      </x:c>
      <x:c r="C944" t="str" s="2">
        <x:v>0/2</x:v>
      </x:c>
      <x:c r="D944" t="str" s="2">
        <x:v>2296032136</x:v>
      </x:c>
      <x:c r="E944" t="str" s="2">
        <x:v>melvalockett19@gmail.com</x:v>
      </x:c>
      <x:c r="F944" t="str" s="2">
        <x:v>Website</x:v>
      </x:c>
      <x:c r="G944" t="str" s="2">
        <x:v>Yanet Alvarez</x:v>
      </x:c>
      <x:c r="H944" s="6">
        <x:v>46283.27860165509</x:v>
      </x:c>
      <x:c r="I944" s="0"/>
      <x:c r="J944" s="0"/>
      <x:c r="K944" s="6">
        <x:v>46296.78360258102</x:v>
      </x:c>
      <x:c r="L944" t="str" s="2">
        <x:v>Contacted</x:v>
      </x:c>
    </x:row>
    <x:row r="945">
      <x:c r="A945" t="str" s="2">
        <x:f>="conswaylow Williams"</x:f>
      </x:c>
      <x:c r="B945" t="str" s="2">
        <x:v>Heritage Housing of Albany</x:v>
      </x:c>
      <x:c r="C945" t="str" s="2">
        <x:v/>
      </x:c>
      <x:c r="D945" t="str" s="2">
        <x:v>4046262158</x:v>
      </x:c>
      <x:c r="E945" t="str" s="2">
        <x:v>Cgreshamcg@gmail.com</x:v>
      </x:c>
      <x:c r="F945" t="str" s="2">
        <x:v>Youtube</x:v>
      </x:c>
      <x:c r="G945" t="str" s="2">
        <x:v>Yanet Alvarez</x:v>
      </x:c>
      <x:c r="H945" s="6">
        <x:v>46283.32110223379</x:v>
      </x:c>
      <x:c r="I945" s="0"/>
      <x:c r="J945" s="0"/>
      <x:c r="K945" s="6">
        <x:v>46283.572036840276</x:v>
      </x:c>
      <x:c r="L945" t="str" s="2">
        <x:v>Contacted</x:v>
      </x:c>
    </x:row>
    <x:row r="946">
      <x:c r="A946" t="str" s="2">
        <x:f>="Alexander Roberts"</x:f>
      </x:c>
      <x:c r="B946" t="str" s="2">
        <x:v>Heritage Housing of Athens</x:v>
      </x:c>
      <x:c r="C946" t="str" s="2">
        <x:v>0/2</x:v>
      </x:c>
      <x:c r="D946" t="str" s="2">
        <x:v>6786424687</x:v>
      </x:c>
      <x:c r="E946" t="str" s="2">
        <x:v>ROBERTSALEXANDER3@GMAIL.COM</x:v>
      </x:c>
      <x:c r="F946" t="str" s="2">
        <x:v>Bing - Search</x:v>
      </x:c>
      <x:c r="G946" t="str" s="2">
        <x:v>Ethan Fossett</x:v>
      </x:c>
      <x:c r="H946" s="6">
        <x:v>46283.47353306713</x:v>
      </x:c>
      <x:c r="I946" s="0"/>
      <x:c r="J946" s="0"/>
      <x:c r="K946" s="6">
        <x:v>46295.677464085646</x:v>
      </x:c>
      <x:c r="L946" t="str" s="2">
        <x:v>Contacted</x:v>
      </x:c>
    </x:row>
    <x:row r="947">
      <x:c r="A947" t="str" s="2">
        <x:f>="Tana Knutson"</x:f>
      </x:c>
      <x:c r="B947" t="str" s="2">
        <x:v>Heritage Housing Gainesville</x:v>
      </x:c>
      <x:c r="C947" t="str" s="2">
        <x:v/>
      </x:c>
      <x:c r="D947" t="str" s="2">
        <x:v>682-358-1689</x:v>
      </x:c>
      <x:c r="E947" t="str" s="2">
        <x:v>ja2023041@gmail.com</x:v>
      </x:c>
      <x:c r="F947" t="str" s="2">
        <x:v>LandingPage</x:v>
      </x:c>
      <x:c r="G947" t="str" s="2">
        <x:v>Jeniffer Arellano</x:v>
      </x:c>
      <x:c r="H947" s="6">
        <x:v>46283.4902665162</x:v>
      </x:c>
      <x:c r="I947" s="0"/>
      <x:c r="J947" s="0"/>
      <x:c r="K947" s="6">
        <x:v>46308.71257164352</x:v>
      </x:c>
      <x:c r="L947" t="str" s="2">
        <x:v>Contacted</x:v>
      </x:c>
    </x:row>
    <x:row r="948">
      <x:c r="A948" t="str" s="2">
        <x:f>="Stephanie White"</x:f>
      </x:c>
      <x:c r="B948" t="str" s="2">
        <x:v>Heritage Housing of Minden</x:v>
      </x:c>
      <x:c r="C948" t="str" s="2">
        <x:v/>
      </x:c>
      <x:c r="D948" t="str" s="2">
        <x:v>8703104743</x:v>
      </x:c>
      <x:c r="E948" t="str" s="2">
        <x:v>stwhite4359@gmail.com</x:v>
      </x:c>
      <x:c r="F948" t="str" s="2">
        <x:v>Landing_BPM</x:v>
      </x:c>
      <x:c r="G948" t="str" s="2">
        <x:v>Kyla Brown</x:v>
      </x:c>
      <x:c r="H948" s="6">
        <x:v>46283.53106226852</x:v>
      </x:c>
      <x:c r="I948" s="0"/>
      <x:c r="J948" s="0"/>
      <x:c r="K948" s="6">
        <x:v>46283.68384907408</x:v>
      </x:c>
      <x:c r="L948" t="str" s="2">
        <x:v>Contacted</x:v>
      </x:c>
    </x:row>
    <x:row r="949">
      <x:c r="A949" t="str" s="2">
        <x:f>="Joseph Works"</x:f>
      </x:c>
      <x:c r="B949" t="str" s="2">
        <x:v>Heritage Housing of Minden</x:v>
      </x:c>
      <x:c r="C949" t="str" s="2">
        <x:v>0/1</x:v>
      </x:c>
      <x:c r="D949" t="str" s="2">
        <x:v>9033360072</x:v>
      </x:c>
      <x:c r="E949" t="str" s="2">
        <x:v>jughead2023@yahoo.com</x:v>
      </x:c>
      <x:c r="F949" t="str" s="2">
        <x:v>Landing_BPM</x:v>
      </x:c>
      <x:c r="G949" t="str" s="2">
        <x:v>Patrick Schuchart</x:v>
      </x:c>
      <x:c r="H949" s="6">
        <x:v>46283.71807299768</x:v>
      </x:c>
      <x:c r="I949" s="0"/>
      <x:c r="J949" s="0"/>
      <x:c r="K949" s="6">
        <x:v>46283.75595011574</x:v>
      </x:c>
      <x:c r="L949" t="str" s="2">
        <x:v>Contacted</x:v>
      </x:c>
    </x:row>
    <x:row r="950">
      <x:c r="A950" t="str" s="2">
        <x:f>="Albert Shirley"</x:f>
      </x:c>
      <x:c r="B950" t="str" s="2">
        <x:v>Heritage Housing of Albany</x:v>
      </x:c>
      <x:c r="C950" t="str" s="2">
        <x:v/>
      </x:c>
      <x:c r="D950" t="str" s="2">
        <x:v>9415874940</x:v>
      </x:c>
      <x:c r="E950" t="str" s="2">
        <x:v>myell57@hotmail.com</x:v>
      </x:c>
      <x:c r="F950" t="str" s="2">
        <x:v>Landing_BPM</x:v>
      </x:c>
      <x:c r="G950" t="str" s="2">
        <x:v>Justin Johnson</x:v>
      </x:c>
      <x:c r="H950" s="6">
        <x:v>46283.72176767361</x:v>
      </x:c>
      <x:c r="I950" s="0"/>
      <x:c r="J950" s="0"/>
      <x:c r="K950" s="6">
        <x:v>46283.744776851854</x:v>
      </x:c>
      <x:c r="L950" t="str" s="2">
        <x:v>Contacted</x:v>
      </x:c>
    </x:row>
    <x:row r="951">
      <x:c r="A951" t="str" s="2">
        <x:f>="Keith Maxwell"</x:f>
      </x:c>
      <x:c r="B951" t="str" s="2">
        <x:v>Heritage Housing of Albany</x:v>
      </x:c>
      <x:c r="C951" t="str" s="2">
        <x:v/>
      </x:c>
      <x:c r="D951" t="str" s="2">
        <x:v>2292896038</x:v>
      </x:c>
      <x:c r="E951" t="str" s="2">
        <x:v>keithmaxwell87@gmail.com</x:v>
      </x:c>
      <x:c r="F951" t="str" s="2">
        <x:v>Landing_BPM</x:v>
      </x:c>
      <x:c r="G951" t="str" s="2">
        <x:v>Yanet Alvarez</x:v>
      </x:c>
      <x:c r="H951" s="6">
        <x:v>46283.73730729167</x:v>
      </x:c>
      <x:c r="I951" s="0"/>
      <x:c r="J951" s="0"/>
      <x:c r="K951" s="6">
        <x:v>46283.74404505787</x:v>
      </x:c>
      <x:c r="L951" t="str" s="2">
        <x:v>Contacted</x:v>
      </x:c>
    </x:row>
    <x:row r="952">
      <x:c r="A952" t="str" s="2">
        <x:f>="Carmon Sheridan"</x:f>
      </x:c>
      <x:c r="B952" t="str" s="2">
        <x:v>Heritage Housing of Athens</x:v>
      </x:c>
      <x:c r="C952" t="str" s="2">
        <x:v/>
      </x:c>
      <x:c r="D952" t="str" s="2">
        <x:v>9432627908</x:v>
      </x:c>
      <x:c r="E952" t="str" s="2">
        <x:v>carmonsheridan7@icloud.com</x:v>
      </x:c>
      <x:c r="F952" t="str" s="2">
        <x:v>Bing - Search</x:v>
      </x:c>
      <x:c r="G952" t="str" s="2">
        <x:v>Ethan Fossett</x:v>
      </x:c>
      <x:c r="H952" s="6">
        <x:v>46283.73752337963</x:v>
      </x:c>
      <x:c r="I952" s="0"/>
      <x:c r="J952" s="0"/>
      <x:c r="K952" s="6">
        <x:v>46294.57987619213</x:v>
      </x:c>
      <x:c r="L952" t="str" s="2">
        <x:v>Contacted</x:v>
      </x:c>
    </x:row>
    <x:row r="953">
      <x:c r="A953" t="str" s="2">
        <x:f>="Rebecca Head"</x:f>
      </x:c>
      <x:c r="B953" t="str" s="2">
        <x:v>Heritage Housing of Albany</x:v>
      </x:c>
      <x:c r="C953" t="str" s="2">
        <x:v/>
      </x:c>
      <x:c r="D953" t="str" s="2">
        <x:v>6786300064</x:v>
      </x:c>
      <x:c r="E953" t="str" s="2">
        <x:v>rafortner5@gmail.com</x:v>
      </x:c>
      <x:c r="F953" t="str" s="2">
        <x:v>Landing_BPM</x:v>
      </x:c>
      <x:c r="G953" t="str" s="2">
        <x:v>Yanet Alvarez</x:v>
      </x:c>
      <x:c r="H953" s="6">
        <x:v>46283.739171875</x:v>
      </x:c>
      <x:c r="I953" s="0"/>
      <x:c r="J953" s="0"/>
      <x:c r="K953" s="6">
        <x:v>46296.78341516203</x:v>
      </x:c>
      <x:c r="L953" t="str" s="2">
        <x:v>Contacted</x:v>
      </x:c>
    </x:row>
    <x:row r="954">
      <x:c r="A954" t="str" s="2">
        <x:f>="Marquis Coleman"</x:f>
      </x:c>
      <x:c r="B954" t="str" s="2">
        <x:v>Heritage Housing of Tulsa</x:v>
      </x:c>
      <x:c r="C954" t="str" s="2">
        <x:v/>
      </x:c>
      <x:c r="D954" t="str" s="2">
        <x:v>9187343649</x:v>
      </x:c>
      <x:c r="E954" t="str" s="2">
        <x:v>macca5700@gmail.com</x:v>
      </x:c>
      <x:c r="F954" t="str" s="2">
        <x:v>Youtube</x:v>
      </x:c>
      <x:c r="G954" t="str" s="2">
        <x:v>Jenna Fransisco</x:v>
      </x:c>
      <x:c r="H954" s="6">
        <x:v>46283.764783136576</x:v>
      </x:c>
      <x:c r="I954" s="0"/>
      <x:c r="J954" s="0"/>
      <x:c r="K954" s="6">
        <x:v>46286.64598645833</x:v>
      </x:c>
      <x:c r="L954" t="str" s="2">
        <x:v>Contacted</x:v>
      </x:c>
    </x:row>
    <x:row r="955">
      <x:c r="A955" t="str" s="2">
        <x:f>="Domonique Lee"</x:f>
      </x:c>
      <x:c r="B955" t="str" s="2">
        <x:v>Heritage Housing of Canton</x:v>
      </x:c>
      <x:c r="C955" t="str" s="2">
        <x:v/>
      </x:c>
      <x:c r="D955" t="str" s="2">
        <x:v>8176554299</x:v>
      </x:c>
      <x:c r="E955" t="str" s="2">
        <x:v>domoniquelee68@gmail.com</x:v>
      </x:c>
      <x:c r="F955" t="str" s="2">
        <x:v>Landing_BPM</x:v>
      </x:c>
      <x:c r="G955" t="str" s="2">
        <x:v>Jacob Hatten</x:v>
      </x:c>
      <x:c r="H955" s="6">
        <x:v>46283.77172650463</x:v>
      </x:c>
      <x:c r="I955" s="0"/>
      <x:c r="J955" s="0"/>
      <x:c r="K955" s="6">
        <x:v>46286.87919540509</x:v>
      </x:c>
      <x:c r="L955" t="str" s="2">
        <x:v>Contacted</x:v>
      </x:c>
    </x:row>
    <x:row r="956">
      <x:c r="A956" t="str" s="2">
        <x:f>=HYPERLINK("https://rsms.futurehomex.com/lead/40146", "Chris Thompson")</x:f>
      </x:c>
      <x:c r="B956" t="str" s="2">
        <x:v>Heritage Housing Gainesville</x:v>
      </x:c>
      <x:c r="C956" t="str" s="2">
        <x:v/>
      </x:c>
      <x:c r="D956" t="str" s="2">
        <x:v>9404436852</x:v>
      </x:c>
      <x:c r="E956" t="str" s="2">
        <x:v>chris2002chevy@gmail.com</x:v>
      </x:c>
      <x:c r="F956" t="str" s="2">
        <x:v>Walk-in</x:v>
      </x:c>
      <x:c r="G956" t="str" s="2">
        <x:v>Kelly Ford</x:v>
      </x:c>
      <x:c r="H956" s="6">
        <x:v>46283.77293637732</x:v>
      </x:c>
      <x:c r="I956" t="str" s="2">
        <x:v>Kelly Ford</x:v>
      </x:c>
      <x:c r="J956" s="0"/>
      <x:c r="K956" s="6">
        <x:v>46293.82849244213</x:v>
      </x:c>
      <x:c r="L956" t="str" s="2">
        <x:v>Contacted</x:v>
      </x:c>
    </x:row>
    <x:row r="957">
      <x:c r="A957" t="str" s="2">
        <x:f>="Gabriel Lewis"</x:f>
      </x:c>
      <x:c r="B957" t="str" s="2">
        <x:v>Legacy Housing Corp. DBA Americasa</x:v>
      </x:c>
      <x:c r="C957" t="str" s="2">
        <x:v/>
      </x:c>
      <x:c r="D957" t="str" s="2">
        <x:v>2017957378</x:v>
      </x:c>
      <x:c r="E957" t="str" s="2">
        <x:v>gabriellewis0110@outlook.com</x:v>
      </x:c>
      <x:c r="F957" t="str" s="2">
        <x:v>Landing_BPM</x:v>
      </x:c>
      <x:c r="G957" t="str" s="2">
        <x:v>Joey Marquez</x:v>
      </x:c>
      <x:c r="H957" s="6">
        <x:v>46283.83714548611</x:v>
      </x:c>
      <x:c r="I957" s="0"/>
      <x:c r="J957" s="0"/>
      <x:c r="K957" s="6">
        <x:v>46283.886306597225</x:v>
      </x:c>
      <x:c r="L957" t="str" s="2">
        <x:v>Contacted</x:v>
      </x:c>
    </x:row>
    <x:row r="958">
      <x:c r="A958" t="str" s="2">
        <x:f>="DALLAS TEAGUE"</x:f>
      </x:c>
      <x:c r="B958" t="str" s="2">
        <x:v>Heritage Housing of Minden</x:v>
      </x:c>
      <x:c r="C958" t="str" s="2">
        <x:v>0/1</x:v>
      </x:c>
      <x:c r="D958" t="str" s="2">
        <x:v>3185054550</x:v>
      </x:c>
      <x:c r="E958" t="str" s="2">
        <x:v>dallassketches@gmail.com</x:v>
      </x:c>
      <x:c r="F958" t="str" s="2">
        <x:v>Landing_BPM</x:v>
      </x:c>
      <x:c r="G958" t="str" s="2">
        <x:v>Kyla Brown</x:v>
      </x:c>
      <x:c r="H958" s="6">
        <x:v>46283.85383596065</x:v>
      </x:c>
      <x:c r="I958" s="0"/>
      <x:c r="J958" s="0"/>
      <x:c r="K958" s="6">
        <x:v>46284.6729875</x:v>
      </x:c>
      <x:c r="L958" t="str" s="2">
        <x:v>Contacted</x:v>
      </x:c>
    </x:row>
    <x:row r="959">
      <x:c r="A959" t="str" s="2">
        <x:f>="James Mccrary"</x:f>
      </x:c>
      <x:c r="B959" t="str" s="2">
        <x:v>Heritage Housing of Albany</x:v>
      </x:c>
      <x:c r="C959" t="str" s="2">
        <x:v/>
      </x:c>
      <x:c r="D959" t="str" s="2">
        <x:v>2298485885</x:v>
      </x:c>
      <x:c r="E959" t="str" s="2">
        <x:v>ewok02focus@gmail.com</x:v>
      </x:c>
      <x:c r="F959" t="str" s="2">
        <x:v>Landing_BPM</x:v>
      </x:c>
      <x:c r="G959" t="str" s="2">
        <x:v>Yanet Alvarez</x:v>
      </x:c>
      <x:c r="H959" s="6">
        <x:v>46283.8713625</x:v>
      </x:c>
      <x:c r="I959" s="0"/>
      <x:c r="J959" s="0"/>
      <x:c r="K959" s="6">
        <x:v>46284.611791400464</x:v>
      </x:c>
      <x:c r="L959" t="str" s="2">
        <x:v>Contacted</x:v>
      </x:c>
    </x:row>
    <x:row r="960">
      <x:c r="A960" t="str" s="2">
        <x:f>=HYPERLINK("https://rsms.futurehomex.com/lead/40160", "Michelle Walker")</x:f>
      </x:c>
      <x:c r="B960" t="str" s="2">
        <x:v>Heritage Housing Gainesville</x:v>
      </x:c>
      <x:c r="C960" t="str" s="2">
        <x:v/>
      </x:c>
      <x:c r="D960" t="str" s="2">
        <x:v>9727415855</x:v>
      </x:c>
      <x:c r="E960" t="str" s="2">
        <x:v>Chaseaaron6@netscape.net</x:v>
      </x:c>
      <x:c r="F960" t="str" s="2">
        <x:v>Walk-in</x:v>
      </x:c>
      <x:c r="G960" t="str" s="2">
        <x:v>Kelly Ford</x:v>
      </x:c>
      <x:c r="H960" s="6">
        <x:v>46283.88170439815</x:v>
      </x:c>
      <x:c r="I960" t="str" s="2">
        <x:v>Kelly Ford</x:v>
      </x:c>
      <x:c r="J960" s="0"/>
      <x:c r="K960" s="6">
        <x:v>46293.79922581019</x:v>
      </x:c>
      <x:c r="L960" t="str" s="2">
        <x:v>Contacted</x:v>
      </x:c>
    </x:row>
    <x:row r="961">
      <x:c r="A961" t="str" s="2">
        <x:f>="Robert McKinney"</x:f>
      </x:c>
      <x:c r="B961" t="str" s="2">
        <x:v>Heritage Housing Gainesville</x:v>
      </x:c>
      <x:c r="C961" t="str" s="2">
        <x:v/>
      </x:c>
      <x:c r="D961" t="str" s="2">
        <x:v>9034216208</x:v>
      </x:c>
      <x:c r="E961" t="str" s="2">
        <x:v>rm4341819@gmail.comb</x:v>
      </x:c>
      <x:c r="F961" t="str" s="2">
        <x:v>Landing_BPM</x:v>
      </x:c>
      <x:c r="G961" t="str" s="2">
        <x:v>Kelly Ford</x:v>
      </x:c>
      <x:c r="H961" s="6">
        <x:v>46283.98090795139</x:v>
      </x:c>
      <x:c r="I961" s="0"/>
      <x:c r="J961" s="0"/>
      <x:c r="K961" s="6">
        <x:v>46284.90002508102</x:v>
      </x:c>
      <x:c r="L961" t="str" s="2">
        <x:v>Contacted</x:v>
      </x:c>
    </x:row>
    <x:row r="962">
      <x:c r="A962" t="str" s="2">
        <x:f>="Steven Enriquez"</x:f>
      </x:c>
      <x:c r="B962" t="str" s="2">
        <x:v>Heritage Housing of Canton</x:v>
      </x:c>
      <x:c r="C962" t="str" s="2">
        <x:v/>
      </x:c>
      <x:c r="D962" t="str" s="2">
        <x:v>4693567464</x:v>
      </x:c>
      <x:c r="E962" t="str" s="2">
        <x:v>stevenfixestx@gmail.com</x:v>
      </x:c>
      <x:c r="F962" t="str" s="2">
        <x:v>Financing Form</x:v>
      </x:c>
      <x:c r="G962" t="str" s="2">
        <x:v>Jacob Hatten</x:v>
      </x:c>
      <x:c r="H962" s="6">
        <x:v>46283.98887453703</x:v>
      </x:c>
      <x:c r="I962" s="0"/>
      <x:c r="J962" s="0"/>
      <x:c r="K962" s="6">
        <x:v>46286.87938298611</x:v>
      </x:c>
      <x:c r="L962" t="str" s="2">
        <x:v>Contacted</x:v>
      </x:c>
    </x:row>
    <x:row r="963">
      <x:c r="A963" t="str" s="2">
        <x:f>="Bridgett &amp; Curtis Smith"</x:f>
      </x:c>
      <x:c r="B963" t="str" s="2">
        <x:v>Heritage Housing of Canton</x:v>
      </x:c>
      <x:c r="C963" t="str" s="2">
        <x:v/>
      </x:c>
      <x:c r="D963" t="str" s="2">
        <x:v>2148818700</x:v>
      </x:c>
      <x:c r="E963" t="str" s="2">
        <x:v>bridgettsmith3685@yahoo.com</x:v>
      </x:c>
      <x:c r="F963" t="str" s="2">
        <x:v>Youtube</x:v>
      </x:c>
      <x:c r="G963" t="str" s="2">
        <x:v>Jacob Hatten</x:v>
      </x:c>
      <x:c r="H963" s="6">
        <x:v>46284.09533263889</x:v>
      </x:c>
      <x:c r="I963" s="0"/>
      <x:c r="J963" s="0"/>
      <x:c r="K963" s="6">
        <x:v>46286.879826006945</x:v>
      </x:c>
      <x:c r="L963" t="str" s="2">
        <x:v>Contacted</x:v>
      </x:c>
    </x:row>
    <x:row r="964">
      <x:c r="A964" t="str" s="2">
        <x:f>="Curtis McCain"</x:f>
      </x:c>
      <x:c r="B964" t="str" s="2">
        <x:v>Heritage Housing of Asheboro</x:v>
      </x:c>
      <x:c r="C964" t="str" s="2">
        <x:v/>
      </x:c>
      <x:c r="D964" t="str" s="2">
        <x:v>7862277147</x:v>
      </x:c>
      <x:c r="E964" t="str" s="2">
        <x:v>mauricemccain23@gmail.com</x:v>
      </x:c>
      <x:c r="F964" t="str" s="2">
        <x:v>Financing Form</x:v>
      </x:c>
      <x:c r="G964" t="str" s="2">
        <x:v>Kate Gutierrez</x:v>
      </x:c>
      <x:c r="H964" s="6">
        <x:v>46284.11136461805</x:v>
      </x:c>
      <x:c r="I964" s="0"/>
      <x:c r="J964" s="0"/>
      <x:c r="K964" s="6">
        <x:v>46284.57821519676</x:v>
      </x:c>
      <x:c r="L964" t="str" s="2">
        <x:v>Contacted</x:v>
      </x:c>
    </x:row>
    <x:row r="965">
      <x:c r="A965" t="str" s="2">
        <x:f>="Sharee Henderson"</x:f>
      </x:c>
      <x:c r="B965" t="str" s="2">
        <x:v>Legacy Housing Corp. DBA Americasa</x:v>
      </x:c>
      <x:c r="C965" t="str" s="2">
        <x:v/>
      </x:c>
      <x:c r="D965" t="str" s="2">
        <x:v>7138541736</x:v>
      </x:c>
      <x:c r="E965" t="str" s="2">
        <x:v>shareehenderson80@yahoo.com</x:v>
      </x:c>
      <x:c r="F965" t="str" s="2">
        <x:v>Landing_BPM</x:v>
      </x:c>
      <x:c r="G965" t="str" s="2">
        <x:v>Joey Marquez</x:v>
      </x:c>
      <x:c r="H965" s="6">
        <x:v>46284.129703900464</x:v>
      </x:c>
      <x:c r="I965" s="0"/>
      <x:c r="J965" s="0"/>
      <x:c r="K965" s="6">
        <x:v>46284.7038684375</x:v>
      </x:c>
      <x:c r="L965" t="str" s="2">
        <x:v>Contacted</x:v>
      </x:c>
    </x:row>
    <x:row r="966">
      <x:c r="A966" t="str" s="2">
        <x:f>="Brittany Flores"</x:f>
      </x:c>
      <x:c r="B966" t="str" s="2">
        <x:v>Heritage Housing of Canton</x:v>
      </x:c>
      <x:c r="C966" t="str" s="2">
        <x:v/>
      </x:c>
      <x:c r="D966" t="str" s="2">
        <x:v>4697652086</x:v>
      </x:c>
      <x:c r="E966" t="str" s="2">
        <x:v>brittanyflores05@gmail.com</x:v>
      </x:c>
      <x:c r="F966" t="str" s="2">
        <x:v>Youtube</x:v>
      </x:c>
      <x:c r="G966" t="str" s="2">
        <x:v>Jacob Hatten</x:v>
      </x:c>
      <x:c r="H966" s="6">
        <x:v>46284.157774155094</x:v>
      </x:c>
      <x:c r="I966" s="0"/>
      <x:c r="J966" s="0"/>
      <x:c r="K966" s="6">
        <x:v>46286.87992986111</x:v>
      </x:c>
      <x:c r="L966" t="str" s="2">
        <x:v>Contacted</x:v>
      </x:c>
    </x:row>
    <x:row r="967">
      <x:c r="A967" t="str" s="2">
        <x:f>="Allison Franklin"</x:f>
      </x:c>
      <x:c r="B967" t="str" s="2">
        <x:v>Heritage Housing Marble Falls</x:v>
      </x:c>
      <x:c r="C967" t="str" s="2">
        <x:v/>
      </x:c>
      <x:c r="D967" t="str" s="2">
        <x:v>2146088271</x:v>
      </x:c>
      <x:c r="E967" t="str" s="2">
        <x:v>lcody003@gmail.com</x:v>
      </x:c>
      <x:c r="F967" t="str" s="2">
        <x:v>Youtube</x:v>
      </x:c>
      <x:c r="G967" t="str" s="2">
        <x:v>Garrett Riedesel</x:v>
      </x:c>
      <x:c r="H967" s="6">
        <x:v>46284.163797719906</x:v>
      </x:c>
      <x:c r="I967" s="0"/>
      <x:c r="J967" s="0"/>
      <x:c r="K967" s="6">
        <x:v>46288.78326207176</x:v>
      </x:c>
      <x:c r="L967" t="str" s="2">
        <x:v>Contacted</x:v>
      </x:c>
    </x:row>
    <x:row r="968">
      <x:c r="A968" t="str" s="2">
        <x:f>="Kendel Bivins"</x:f>
      </x:c>
      <x:c r="B968" t="str" s="2">
        <x:v>Heritage Housing of Augusta</x:v>
      </x:c>
      <x:c r="C968" t="str" s="2">
        <x:v/>
      </x:c>
      <x:c r="D968" t="str" s="2">
        <x:v>3342755280</x:v>
      </x:c>
      <x:c r="E968" t="str" s="2">
        <x:v>quanskii04@gmail.com</x:v>
      </x:c>
      <x:c r="F968" t="str" s="2">
        <x:v>Landing_BPM</x:v>
      </x:c>
      <x:c r="G968" t="str" s="2">
        <x:v>Jose Chavez</x:v>
      </x:c>
      <x:c r="H968" s="6">
        <x:v>46284.30984887732</x:v>
      </x:c>
      <x:c r="I968" s="0"/>
      <x:c r="J968" s="0"/>
      <x:c r="K968" s="6">
        <x:v>46294.604204780095</x:v>
      </x:c>
      <x:c r="L968" t="str" s="2">
        <x:v>Contacted</x:v>
      </x:c>
    </x:row>
    <x:row r="969">
      <x:c r="A969" t="str" s="2">
        <x:f>="Javier Aguirre"</x:f>
      </x:c>
      <x:c r="B969" t="str" s="2">
        <x:v>Heritage Housing Gainesville</x:v>
      </x:c>
      <x:c r="C969" t="str" s="2">
        <x:v/>
      </x:c>
      <x:c r="D969" t="str" s="2">
        <x:v>8172621031</x:v>
      </x:c>
      <x:c r="E969" t="str" s="2">
        <x:v>xabi.skep@gmail.com</x:v>
      </x:c>
      <x:c r="F969" t="str" s="2">
        <x:v>Website</x:v>
      </x:c>
      <x:c r="G969" t="str" s="2">
        <x:v>Jeniffer Arellano</x:v>
      </x:c>
      <x:c r="H969" s="6">
        <x:v>46284.36578758102</x:v>
      </x:c>
      <x:c r="I969" s="0"/>
      <x:c r="J969" s="0"/>
      <x:c r="K969" s="6">
        <x:v>46308.71247445602</x:v>
      </x:c>
      <x:c r="L969" t="str" s="2">
        <x:v>Contacted</x:v>
      </x:c>
    </x:row>
    <x:row r="970">
      <x:c r="A970" t="str" s="2">
        <x:f>="Richard Holland Holland"</x:f>
      </x:c>
      <x:c r="B970" t="str" s="2">
        <x:v>Heritage Housing of Minden</x:v>
      </x:c>
      <x:c r="C970" t="str" s="2">
        <x:v>0/1</x:v>
      </x:c>
      <x:c r="D970" t="str" s="2">
        <x:v>3184550411</x:v>
      </x:c>
      <x:c r="E970" t="str" s="2">
        <x:v>rwhminden@gmail.com</x:v>
      </x:c>
      <x:c r="F970" t="str" s="2">
        <x:v>Landing_BPM</x:v>
      </x:c>
      <x:c r="G970" t="str" s="2">
        <x:v>Patrick Schuchart</x:v>
      </x:c>
      <x:c r="H970" s="6">
        <x:v>46284.418650694446</x:v>
      </x:c>
      <x:c r="I970" s="0"/>
      <x:c r="J970" s="0"/>
      <x:c r="K970" s="6">
        <x:v>46284.67247557871</x:v>
      </x:c>
      <x:c r="L970" t="str" s="2">
        <x:v>Contacted</x:v>
      </x:c>
    </x:row>
    <x:row r="971">
      <x:c r="A971" t="str" s="2">
        <x:f>="Jeffrey Kirkland"</x:f>
      </x:c>
      <x:c r="B971" t="str" s="2">
        <x:v>Heritage Housing Gainesville</x:v>
      </x:c>
      <x:c r="C971" t="str" s="2">
        <x:v/>
      </x:c>
      <x:c r="D971" t="str" s="2">
        <x:v>5738358615</x:v>
      </x:c>
      <x:c r="E971" t="str" s="2">
        <x:v>jsk69thewinner@gmail.com</x:v>
      </x:c>
      <x:c r="F971" t="str" s="2">
        <x:v>Landing_BPM</x:v>
      </x:c>
      <x:c r="G971" t="str" s="2">
        <x:v>Kelly Ford</x:v>
      </x:c>
      <x:c r="H971" s="6">
        <x:v>46284.422167743054</x:v>
      </x:c>
      <x:c r="I971" s="0"/>
      <x:c r="J971" s="0"/>
      <x:c r="K971" s="6">
        <x:v>46290.676550462966</x:v>
      </x:c>
      <x:c r="L971" t="str" s="2">
        <x:v>Contacted</x:v>
      </x:c>
    </x:row>
    <x:row r="972">
      <x:c r="A972" t="str" s="2">
        <x:f>="ENRY marroquin marroquin"</x:f>
      </x:c>
      <x:c r="B972" t="str" s="2">
        <x:v>Heritage Housing of Minden</x:v>
      </x:c>
      <x:c r="C972" t="str" s="2">
        <x:v>0/1</x:v>
      </x:c>
      <x:c r="D972" t="str" s="2">
        <x:v>5044394765</x:v>
      </x:c>
      <x:c r="E972" t="str" s="2">
        <x:v>disarqmarroquin@gmail.com</x:v>
      </x:c>
      <x:c r="F972" t="str" s="2">
        <x:v>Landing_BPM</x:v>
      </x:c>
      <x:c r="G972" t="str" s="2">
        <x:v>Kyla Brown</x:v>
      </x:c>
      <x:c r="H972" s="6">
        <x:v>46284.48389552083</x:v>
      </x:c>
      <x:c r="I972" s="0"/>
      <x:c r="J972" s="0"/>
      <x:c r="K972" s="6">
        <x:v>46284.67174181713</x:v>
      </x:c>
      <x:c r="L972" t="str" s="2">
        <x:v>Contacted</x:v>
      </x:c>
    </x:row>
    <x:row r="973">
      <x:c r="A973" t="str" s="2">
        <x:f>="Tameka Durham"</x:f>
      </x:c>
      <x:c r="B973" t="str" s="2">
        <x:v>Heritage Housing of Minden</x:v>
      </x:c>
      <x:c r="C973" t="str" s="2">
        <x:v>0/1</x:v>
      </x:c>
      <x:c r="D973" t="str" s="2">
        <x:v>3189906539</x:v>
      </x:c>
      <x:c r="E973" t="str" s="2">
        <x:v>tamekareneedurham@gmail.com</x:v>
      </x:c>
      <x:c r="F973" t="str" s="2">
        <x:v>Website</x:v>
      </x:c>
      <x:c r="G973" t="str" s="2">
        <x:v>Mervin Leslie Smith</x:v>
      </x:c>
      <x:c r="H973" s="6">
        <x:v>46284.691317094905</x:v>
      </x:c>
      <x:c r="I973" s="0"/>
      <x:c r="J973" s="0"/>
      <x:c r="K973" s="6">
        <x:v>46284.71987777778</x:v>
      </x:c>
      <x:c r="L973" t="str" s="2">
        <x:v>Contacted</x:v>
      </x:c>
    </x:row>
    <x:row r="974">
      <x:c r="A974" t="str" s="2">
        <x:f>="Jody Hewitt"</x:f>
      </x:c>
      <x:c r="B974" t="str" s="2">
        <x:v>Heritage Housing of Augusta</x:v>
      </x:c>
      <x:c r="C974" t="str" s="2">
        <x:v/>
      </x:c>
      <x:c r="D974" t="str" s="2">
        <x:v>4782902589</x:v>
      </x:c>
      <x:c r="E974" t="str" s="2">
        <x:v>mlee86564@gmail.com</x:v>
      </x:c>
      <x:c r="F974" t="str" s="2">
        <x:v>Youtube</x:v>
      </x:c>
      <x:c r="G974" t="str" s="2">
        <x:v>Faye Lively</x:v>
      </x:c>
      <x:c r="H974" s="6">
        <x:v>46284.709732951385</x:v>
      </x:c>
      <x:c r="I974" s="0"/>
      <x:c r="J974" s="0"/>
      <x:c r="K974" s="6">
        <x:v>46286.6402346875</x:v>
      </x:c>
      <x:c r="L974" t="str" s="2">
        <x:v>Contacted</x:v>
      </x:c>
    </x:row>
    <x:row r="975">
      <x:c r="A975" t="str" s="2">
        <x:f>="Stevie Green"</x:f>
      </x:c>
      <x:c r="B975" t="str" s="2">
        <x:v>Heritage Housing Gainesville</x:v>
      </x:c>
      <x:c r="C975" t="str" s="2">
        <x:v/>
      </x:c>
      <x:c r="D975" t="str" s="2">
        <x:v>9405808773</x:v>
      </x:c>
      <x:c r="E975" t="str" s="2">
        <x:v>wildwestcowboys1965@gmail.com</x:v>
      </x:c>
      <x:c r="F975" t="str" s="2">
        <x:v>Landing_BPM</x:v>
      </x:c>
      <x:c r="G975" t="str" s="2">
        <x:v>Jeniffer Arellano</x:v>
      </x:c>
      <x:c r="H975" s="6">
        <x:v>46284.7181602662</x:v>
      </x:c>
      <x:c r="I975" s="0"/>
      <x:c r="J975" s="0"/>
      <x:c r="K975" s="6">
        <x:v>46308.71238927083</x:v>
      </x:c>
      <x:c r="L975" t="str" s="2">
        <x:v>Contacted</x:v>
      </x:c>
    </x:row>
    <x:row r="976">
      <x:c r="A976" t="str" s="2">
        <x:f>="Aaron Priest"</x:f>
      </x:c>
      <x:c r="B976" t="str" s="2">
        <x:v>Heritage Housing of Canton</x:v>
      </x:c>
      <x:c r="C976" t="str" s="2">
        <x:v/>
      </x:c>
      <x:c r="D976" t="str" s="2">
        <x:v>3167271309</x:v>
      </x:c>
      <x:c r="E976" t="str" s="2">
        <x:v>deathwillraindown13@gmail.com</x:v>
      </x:c>
      <x:c r="F976" t="str" s="2">
        <x:v>Landing_BPM</x:v>
      </x:c>
      <x:c r="G976" t="str" s="2">
        <x:v>Jacob Hatten</x:v>
      </x:c>
      <x:c r="H976" s="6">
        <x:v>46284.7329653125</x:v>
      </x:c>
      <x:c r="I976" s="0"/>
      <x:c r="J976" s="0"/>
      <x:c r="K976" s="6">
        <x:v>46286.880365625</x:v>
      </x:c>
      <x:c r="L976" t="str" s="2">
        <x:v>Contacted</x:v>
      </x:c>
    </x:row>
    <x:row r="977">
      <x:c r="A977" t="str" s="2">
        <x:f>="Felishia Jackson"</x:f>
      </x:c>
      <x:c r="B977" t="str" s="2">
        <x:v>Heritage Housing of Albany</x:v>
      </x:c>
      <x:c r="C977" t="str" s="2">
        <x:v/>
      </x:c>
      <x:c r="D977" t="str" s="2">
        <x:v>6787552103</x:v>
      </x:c>
      <x:c r="E977" t="str" s="2">
        <x:v>felishia1988@gmail.com</x:v>
      </x:c>
      <x:c r="F977" t="str" s="2">
        <x:v>Youtube</x:v>
      </x:c>
      <x:c r="G977" t="str" s="2">
        <x:v>Justin Johnson</x:v>
      </x:c>
      <x:c r="H977" s="6">
        <x:v>46284.7834349537</x:v>
      </x:c>
      <x:c r="I977" s="0"/>
      <x:c r="J977" s="0"/>
      <x:c r="K977" s="6">
        <x:v>46284.876162465276</x:v>
      </x:c>
      <x:c r="L977" t="str" s="2">
        <x:v>Contacted</x:v>
      </x:c>
    </x:row>
    <x:row r="978">
      <x:c r="A978" t="str" s="2">
        <x:f>="marcia maxwell"</x:f>
      </x:c>
      <x:c r="B978" t="str" s="2">
        <x:v>Heritage Housing of Augusta</x:v>
      </x:c>
      <x:c r="C978" t="str" s="2">
        <x:v/>
      </x:c>
      <x:c r="D978" t="str" s="2">
        <x:v>4047234153</x:v>
      </x:c>
      <x:c r="E978" t="str" s="2">
        <x:v>marcia.maxwell@yahoo.com</x:v>
      </x:c>
      <x:c r="F978" t="str" s="2">
        <x:v>Website</x:v>
      </x:c>
      <x:c r="G978" t="str" s="2">
        <x:v>Jose Chavez</x:v>
      </x:c>
      <x:c r="H978" s="6">
        <x:v>46284.78393510417</x:v>
      </x:c>
      <x:c r="I978" s="0"/>
      <x:c r="J978" s="0"/>
      <x:c r="K978" s="6">
        <x:v>46286.639100844906</x:v>
      </x:c>
      <x:c r="L978" t="str" s="2">
        <x:v>Contacted</x:v>
      </x:c>
    </x:row>
    <x:row r="979">
      <x:c r="A979" t="str" s="2">
        <x:f>="Mae Payton"</x:f>
      </x:c>
      <x:c r="B979" t="str" s="2">
        <x:v>Heritage Housing of Athens</x:v>
      </x:c>
      <x:c r="C979" t="str" s="2">
        <x:v/>
      </x:c>
      <x:c r="D979" t="str" s="2">
        <x:v>4043578749</x:v>
      </x:c>
      <x:c r="E979" t="str" s="2">
        <x:v>paytonmae1968@gmail.com</x:v>
      </x:c>
      <x:c r="F979" t="str" s="2">
        <x:v>Website</x:v>
      </x:c>
      <x:c r="G979" t="str" s="2">
        <x:v>Ethan Fossett</x:v>
      </x:c>
      <x:c r="H979" s="6">
        <x:v>46284.78809880787</x:v>
      </x:c>
      <x:c r="I979" s="0"/>
      <x:c r="J979" s="0"/>
      <x:c r="K979" s="6">
        <x:v>46294.57931346065</x:v>
      </x:c>
      <x:c r="L979" t="str" s="2">
        <x:v>Contacted</x:v>
      </x:c>
    </x:row>
    <x:row r="980">
      <x:c r="A980" t="str" s="2">
        <x:f>="Deanna Jones"</x:f>
      </x:c>
      <x:c r="B980" t="str" s="2">
        <x:v>Heritage Housing of Athens</x:v>
      </x:c>
      <x:c r="C980" t="str" s="2">
        <x:v/>
      </x:c>
      <x:c r="D980" t="str" s="2">
        <x:v>8569741559</x:v>
      </x:c>
      <x:c r="E980" t="str" s="2">
        <x:v>deanna2012@gmail.com</x:v>
      </x:c>
      <x:c r="F980" t="str" s="2">
        <x:v>Youtube</x:v>
      </x:c>
      <x:c r="G980" t="str" s="2">
        <x:v>Nathan Bishop</x:v>
      </x:c>
      <x:c r="H980" s="6">
        <x:v>46284.82851701389</x:v>
      </x:c>
      <x:c r="I980" s="0"/>
      <x:c r="J980" s="0"/>
      <x:c r="K980" s="6">
        <x:v>46303.84425891204</x:v>
      </x:c>
      <x:c r="L980" t="str" s="2">
        <x:v>Contacted</x:v>
      </x:c>
    </x:row>
    <x:row r="981">
      <x:c r="A981" t="str" s="2">
        <x:f>="Rebekah Harvey"</x:f>
      </x:c>
      <x:c r="B981" t="str" s="2">
        <x:v>Heritage Housing Gainesville</x:v>
      </x:c>
      <x:c r="C981" t="str" s="2">
        <x:v/>
      </x:c>
      <x:c r="D981" t="str" s="2">
        <x:v>9402848795</x:v>
      </x:c>
      <x:c r="E981" t="str" s="2">
        <x:v>harveyrebekah35@gmail.com</x:v>
      </x:c>
      <x:c r="F981" t="str" s="2">
        <x:v>Landing_BPM</x:v>
      </x:c>
      <x:c r="G981" t="str" s="2">
        <x:v>Jeniffer Arellano</x:v>
      </x:c>
      <x:c r="H981" s="6">
        <x:v>46284.855560185184</x:v>
      </x:c>
      <x:c r="I981" s="0"/>
      <x:c r="J981" s="0"/>
      <x:c r="K981" s="6">
        <x:v>46308.712309027775</x:v>
      </x:c>
      <x:c r="L981" t="str" s="2">
        <x:v>Contacted</x:v>
      </x:c>
    </x:row>
    <x:row r="982">
      <x:c r="A982" t="str" s="2">
        <x:f>="Ava Leger"</x:f>
      </x:c>
      <x:c r="B982" t="str" s="2">
        <x:v>Heritage Housing of Athens</x:v>
      </x:c>
      <x:c r="C982" t="str" s="2">
        <x:v/>
      </x:c>
      <x:c r="D982" t="str" s="2">
        <x:v>4705096038</x:v>
      </x:c>
      <x:c r="E982" t="str" s="2">
        <x:v>avalikesfreestuff@gmail.com</x:v>
      </x:c>
      <x:c r="F982" t="str" s="2">
        <x:v>Landing_BPM</x:v>
      </x:c>
      <x:c r="G982" t="str" s="2">
        <x:v>Ethan Fossett</x:v>
      </x:c>
      <x:c r="H982" s="6">
        <x:v>46284.877000266206</x:v>
      </x:c>
      <x:c r="I982" s="0"/>
      <x:c r="J982" s="0"/>
      <x:c r="K982" s="6">
        <x:v>46294.57915431713</x:v>
      </x:c>
      <x:c r="L982" t="str" s="2">
        <x:v>Contacted</x:v>
      </x:c>
    </x:row>
    <x:row r="983">
      <x:c r="A983" t="str" s="2">
        <x:f>="Terri Horn"</x:f>
      </x:c>
      <x:c r="B983" t="str" s="2">
        <x:v>Heritage Housing of Greenville</x:v>
      </x:c>
      <x:c r="C983" t="str" s="2">
        <x:v/>
      </x:c>
      <x:c r="D983" t="str" s="2">
        <x:v>6822251175</x:v>
      </x:c>
      <x:c r="E983" t="str" s="2">
        <x:v>richhoop29@gmail.com</x:v>
      </x:c>
      <x:c r="F983" t="str" s="2">
        <x:v>Youtube</x:v>
      </x:c>
      <x:c r="G983" t="str" s="2">
        <x:v>Brooklynn Allen</x:v>
      </x:c>
      <x:c r="H983" s="6">
        <x:v>46284.908411655095</x:v>
      </x:c>
      <x:c r="I983" s="0"/>
      <x:c r="J983" s="0"/>
      <x:c r="K983" s="6">
        <x:v>46308.58880466435</x:v>
      </x:c>
      <x:c r="L983" t="str" s="2">
        <x:v>Contacted</x:v>
      </x:c>
    </x:row>
    <x:row r="984">
      <x:c r="A984" t="str" s="2">
        <x:f>="Courtney Robbins"</x:f>
      </x:c>
      <x:c r="B984" t="str" s="2">
        <x:v>Heritage Housing of Albany</x:v>
      </x:c>
      <x:c r="C984" t="str" s="2">
        <x:v/>
      </x:c>
      <x:c r="D984" t="str" s="2">
        <x:v>4705212235</x:v>
      </x:c>
      <x:c r="E984" t="str" s="2">
        <x:v>Robbins.c391@yahoo.com</x:v>
      </x:c>
      <x:c r="F984" t="str" s="2">
        <x:v>Landing_BPM</x:v>
      </x:c>
      <x:c r="G984" t="str" s="2">
        <x:v>Yanet Alvarez</x:v>
      </x:c>
      <x:c r="H984" s="6">
        <x:v>46284.945384108796</x:v>
      </x:c>
      <x:c r="I984" s="0"/>
      <x:c r="J984" s="0"/>
      <x:c r="K984" s="6">
        <x:v>46296.8036778125</x:v>
      </x:c>
      <x:c r="L984" t="str" s="2">
        <x:v>Contacted</x:v>
      </x:c>
    </x:row>
    <x:row r="985">
      <x:c r="A985" t="str" s="2">
        <x:f>="Elizabeth Hussein"</x:f>
      </x:c>
      <x:c r="B985" t="str" s="2">
        <x:v>Heritage Housing of Asheboro</x:v>
      </x:c>
      <x:c r="C985" t="str" s="2">
        <x:v/>
      </x:c>
      <x:c r="D985" t="str" s="2">
        <x:v>7046318293</x:v>
      </x:c>
      <x:c r="E985" t="str" s="2">
        <x:v>elizabethhussein61@yahoo.com</x:v>
      </x:c>
      <x:c r="F985" t="str" s="2">
        <x:v>Youtube</x:v>
      </x:c>
      <x:c r="G985" t="str" s="2">
        <x:v>Kate Gutierrez</x:v>
      </x:c>
      <x:c r="H985" s="6">
        <x:v>46284.965785416665</x:v>
      </x:c>
      <x:c r="I985" s="0"/>
      <x:c r="J985" s="0"/>
      <x:c r="K985" s="6">
        <x:v>46300.76397422454</x:v>
      </x:c>
      <x:c r="L985" t="str" s="2">
        <x:v>Contacted</x:v>
      </x:c>
    </x:row>
    <x:row r="986">
      <x:c r="A986" t="str" s="2">
        <x:f>="Teri Poole"</x:f>
      </x:c>
      <x:c r="B986" t="str" s="2">
        <x:v>Heritage Housing of Augusta</x:v>
      </x:c>
      <x:c r="C986" t="str" s="2">
        <x:v/>
      </x:c>
      <x:c r="D986" t="str" s="2">
        <x:v>4049136165</x:v>
      </x:c>
      <x:c r="E986" t="str" s="2">
        <x:v>therealnicohazee@icloud.com</x:v>
      </x:c>
      <x:c r="F986" t="str" s="2">
        <x:v>Financing Form</x:v>
      </x:c>
      <x:c r="G986" t="str" s="2">
        <x:v>Faye Lively</x:v>
      </x:c>
      <x:c r="H986" s="6">
        <x:v>46285.019620983796</x:v>
      </x:c>
      <x:c r="I986" s="0"/>
      <x:c r="J986" s="0"/>
      <x:c r="K986" s="6">
        <x:v>46286.63675046296</x:v>
      </x:c>
      <x:c r="L986" t="str" s="2">
        <x:v>Contacted</x:v>
      </x:c>
    </x:row>
    <x:row r="987">
      <x:c r="A987" t="str" s="2">
        <x:f>="James Thomas"</x:f>
      </x:c>
      <x:c r="B987" t="str" s="2">
        <x:v>Heritage Housing of Augusta</x:v>
      </x:c>
      <x:c r="C987" t="str" s="2">
        <x:v/>
      </x:c>
      <x:c r="D987" t="str" s="2">
        <x:v>8032216515</x:v>
      </x:c>
      <x:c r="E987" t="str" s="2">
        <x:v>bdizavy3@gmail.com</x:v>
      </x:c>
      <x:c r="F987" t="str" s="2">
        <x:v>Youtube</x:v>
      </x:c>
      <x:c r="G987" t="str" s="2">
        <x:v>Jose Chavez</x:v>
      </x:c>
      <x:c r="H987" s="6">
        <x:v>46285.02891408565</x:v>
      </x:c>
      <x:c r="I987" s="0"/>
      <x:c r="J987" s="0"/>
      <x:c r="K987" s="6">
        <x:v>46286.62927230324</x:v>
      </x:c>
      <x:c r="L987" t="str" s="2">
        <x:v>Contacted</x:v>
      </x:c>
    </x:row>
    <x:row r="988">
      <x:c r="A988" t="str" s="2">
        <x:f>="Verletta Green"</x:f>
      </x:c>
      <x:c r="B988" t="str" s="2">
        <x:v>Heritage Housing of Athens</x:v>
      </x:c>
      <x:c r="C988" t="str" s="2">
        <x:v/>
      </x:c>
      <x:c r="D988" t="str" s="2">
        <x:v>9032886163</x:v>
      </x:c>
      <x:c r="E988" t="str" s="2">
        <x:v>cottonsmith140@gmail.com</x:v>
      </x:c>
      <x:c r="F988" t="str" s="2">
        <x:v>Financing Form</x:v>
      </x:c>
      <x:c r="G988" t="str" s="2">
        <x:v>Ethan Fossett</x:v>
      </x:c>
      <x:c r="H988" s="6">
        <x:v>46285.098959953706</x:v>
      </x:c>
      <x:c r="I988" s="0"/>
      <x:c r="J988" s="0"/>
      <x:c r="K988" s="6">
        <x:v>46294.57865054398</x:v>
      </x:c>
      <x:c r="L988" t="str" s="2">
        <x:v>Contacted</x:v>
      </x:c>
    </x:row>
    <x:row r="989">
      <x:c r="A989" t="str" s="2">
        <x:f>="Alvin Harper"</x:f>
      </x:c>
      <x:c r="B989" t="str" s="2">
        <x:v>Heritage Housing Mt Pleasant</x:v>
      </x:c>
      <x:c r="C989" t="str" s="2">
        <x:v/>
      </x:c>
      <x:c r="D989" t="str" s="2">
        <x:v>4302939236</x:v>
      </x:c>
      <x:c r="E989" t="str" s="2">
        <x:v>snowman.harper@gmail.com</x:v>
      </x:c>
      <x:c r="F989" t="str" s="2">
        <x:v>Landing_BPM</x:v>
      </x:c>
      <x:c r="G989" t="str" s="2">
        <x:v>Garrett Riedesel</x:v>
      </x:c>
      <x:c r="H989" s="6">
        <x:v>46285.10274475694</x:v>
      </x:c>
      <x:c r="I989" s="0"/>
      <x:c r="J989" s="0"/>
      <x:c r="K989" s="6">
        <x:v>46289.66183063657</x:v>
      </x:c>
      <x:c r="L989" t="str" s="2">
        <x:v>Contacted</x:v>
      </x:c>
    </x:row>
    <x:row r="990">
      <x:c r="A990" t="str" s="2">
        <x:f>="Jeremy Boulanger"</x:f>
      </x:c>
      <x:c r="B990" t="str" s="2">
        <x:v>Heritage Housing of Canton</x:v>
      </x:c>
      <x:c r="C990" t="str" s="2">
        <x:v/>
      </x:c>
      <x:c r="D990" t="str" s="2">
        <x:v>6824981788</x:v>
      </x:c>
      <x:c r="E990" t="str" s="2">
        <x:v>rigid420@gmail.com</x:v>
      </x:c>
      <x:c r="F990" t="str" s="2">
        <x:v>Youtube</x:v>
      </x:c>
      <x:c r="G990" t="str" s="2">
        <x:v>Jacob Hatten</x:v>
      </x:c>
      <x:c r="H990" s="6">
        <x:v>46285.161318784725</x:v>
      </x:c>
      <x:c r="I990" s="0"/>
      <x:c r="J990" s="0"/>
      <x:c r="K990" s="6">
        <x:v>46286.88192114583</x:v>
      </x:c>
      <x:c r="L990" t="str" s="2">
        <x:v>Contacted</x:v>
      </x:c>
    </x:row>
    <x:row r="991">
      <x:c r="A991" t="str" s="2">
        <x:f>="Kenneth Lovendahl"</x:f>
      </x:c>
      <x:c r="B991" t="str" s="2">
        <x:v>Heritage Housing of Greenville</x:v>
      </x:c>
      <x:c r="C991" t="str" s="2">
        <x:v/>
      </x:c>
      <x:c r="D991" t="str" s="2">
        <x:v>9039444236</x:v>
      </x:c>
      <x:c r="E991" t="str" s="2">
        <x:v>bigdaddyk37@gmail.com</x:v>
      </x:c>
      <x:c r="F991" t="str" s="2">
        <x:v>Landing_BPM</x:v>
      </x:c>
      <x:c r="G991" t="str" s="2">
        <x:v>Brooklynn Allen</x:v>
      </x:c>
      <x:c r="H991" s="6">
        <x:v>46285.169578587964</x:v>
      </x:c>
      <x:c r="I991" s="0"/>
      <x:c r="J991" s="0"/>
      <x:c r="K991" s="6">
        <x:v>46286.61699540509</x:v>
      </x:c>
      <x:c r="L991" t="str" s="2">
        <x:v>Contacted</x:v>
      </x:c>
    </x:row>
    <x:row r="992">
      <x:c r="A992" t="str" s="2">
        <x:f>="Stephanie Rodriguez Rodriguez"</x:f>
      </x:c>
      <x:c r="B992" t="str" s="2">
        <x:v>Heritage Housing of Albany</x:v>
      </x:c>
      <x:c r="C992" t="str" s="2">
        <x:v>0/2</x:v>
      </x:c>
      <x:c r="D992" t="str" s="2">
        <x:v>2025554391</x:v>
      </x:c>
      <x:c r="E992" t="str" s="2">
        <x:v>jac.2150@gmail.com</x:v>
      </x:c>
      <x:c r="F992" t="str" s="2">
        <x:v>Website</x:v>
      </x:c>
      <x:c r="G992" t="str" s="2">
        <x:v>Yanet Alvarez</x:v>
      </x:c>
      <x:c r="H992" s="6">
        <x:v>46285.27880714121</x:v>
      </x:c>
      <x:c r="I992" s="0"/>
      <x:c r="J992" s="0"/>
      <x:c r="K992" s="6">
        <x:v>46307.89452855324</x:v>
      </x:c>
      <x:c r="L992" t="str" s="2">
        <x:v>Contacted</x:v>
      </x:c>
    </x:row>
    <x:row r="993">
      <x:c r="A993" t="str" s="2">
        <x:f>="Madalyn Cole"</x:f>
      </x:c>
      <x:c r="B993" t="str" s="2">
        <x:v>Heritage Housing of Augusta</x:v>
      </x:c>
      <x:c r="C993" t="str" s="2">
        <x:v/>
      </x:c>
      <x:c r="D993" t="str" s="2">
        <x:v>6788865124</x:v>
      </x:c>
      <x:c r="E993" t="str" s="2">
        <x:v>madalyncole9@gmail.com</x:v>
      </x:c>
      <x:c r="F993" t="str" s="2">
        <x:v>Youtube</x:v>
      </x:c>
      <x:c r="G993" t="str" s="2">
        <x:v>Faye Lively</x:v>
      </x:c>
      <x:c r="H993" s="6">
        <x:v>46285.53110767361</x:v>
      </x:c>
      <x:c r="I993" s="0"/>
      <x:c r="J993" s="0"/>
      <x:c r="K993" s="6">
        <x:v>46286.61861539352</x:v>
      </x:c>
      <x:c r="L993" t="str" s="2">
        <x:v>Contacted</x:v>
      </x:c>
    </x:row>
    <x:row r="994">
      <x:c r="A994" t="str" s="2">
        <x:f>="Christopher Lee"</x:f>
      </x:c>
      <x:c r="B994" t="str" s="2">
        <x:v>Heritage Housing of Canton</x:v>
      </x:c>
      <x:c r="C994" t="str" s="2">
        <x:v/>
      </x:c>
      <x:c r="D994" t="str" s="2">
        <x:v>9033684940</x:v>
      </x:c>
      <x:c r="E994" t="str" s="2">
        <x:v>cl9581890@gmail.com</x:v>
      </x:c>
      <x:c r="F994" t="str" s="2">
        <x:v>Landing_BPM</x:v>
      </x:c>
      <x:c r="G994" t="str" s="2">
        <x:v>Jacob Hatten</x:v>
      </x:c>
      <x:c r="H994" s="6">
        <x:v>46285.57935104167</x:v>
      </x:c>
      <x:c r="I994" s="0"/>
      <x:c r="J994" s="0"/>
      <x:c r="K994" s="6">
        <x:v>46286.88204927083</x:v>
      </x:c>
      <x:c r="L994" t="str" s="2">
        <x:v>Contacted</x:v>
      </x:c>
    </x:row>
    <x:row r="995">
      <x:c r="A995" t="str" s="2">
        <x:f>=HYPERLINK("https://rsms.futurehomex.com/lead/40234", "Lashay Little")</x:f>
      </x:c>
      <x:c r="B995" t="str" s="2">
        <x:v>Heritage Housing of Oklahoma City</x:v>
      </x:c>
      <x:c r="C995" t="str" s="2">
        <x:v/>
      </x:c>
      <x:c r="D995" t="str" s="2">
        <x:v>4585884279</x:v>
      </x:c>
      <x:c r="E995" t="str" s="2">
        <x:v>loteria288888@gmail.com</x:v>
      </x:c>
      <x:c r="F995" t="str" s="2">
        <x:v>Website</x:v>
      </x:c>
      <x:c r="G995" t="str" s="2">
        <x:v>Kelly Ford</x:v>
      </x:c>
      <x:c r="H995" s="6">
        <x:v>46285.59577954861</x:v>
      </x:c>
      <x:c r="I995" t="str" s="2">
        <x:v>Alejandra Calderon</x:v>
      </x:c>
      <x:c r="J995" s="0"/>
      <x:c r="K995" s="6">
        <x:v>46293.79720663194</x:v>
      </x:c>
      <x:c r="L995" t="str" s="2">
        <x:v>Contacted</x:v>
      </x:c>
    </x:row>
    <x:row r="996">
      <x:c r="A996" t="str" s="2">
        <x:f>="Patricia Bell"</x:f>
      </x:c>
      <x:c r="B996" t="str" s="2">
        <x:v>Heritage Housing of Athens</x:v>
      </x:c>
      <x:c r="C996" t="str" s="2">
        <x:v>1/2</x:v>
      </x:c>
      <x:c r="D996" t="str" s="2">
        <x:v>4708535941</x:v>
      </x:c>
      <x:c r="E996" t="str" s="2">
        <x:v>gann4518@gmail.com</x:v>
      </x:c>
      <x:c r="F996" t="str" s="2">
        <x:v>Youtube</x:v>
      </x:c>
      <x:c r="G996" t="str" s="2">
        <x:v>Ethan Fossett</x:v>
      </x:c>
      <x:c r="H996" s="6">
        <x:v>46285.59905471065</x:v>
      </x:c>
      <x:c r="I996" s="0"/>
      <x:c r="J996" s="0"/>
      <x:c r="K996" s="6">
        <x:v>46300.93111003472</x:v>
      </x:c>
      <x:c r="L996" t="str" s="2">
        <x:v>Contacted</x:v>
      </x:c>
    </x:row>
    <x:row r="997">
      <x:c r="A997" t="str" s="2">
        <x:f>="Nikki Spires"</x:f>
      </x:c>
      <x:c r="B997" t="str" s="2">
        <x:v>Heritage Housing of Albany</x:v>
      </x:c>
      <x:c r="C997" t="str" s="2">
        <x:v>0/2</x:v>
      </x:c>
      <x:c r="D997" t="str" s="2">
        <x:v>2294561666</x:v>
      </x:c>
      <x:c r="E997" t="str" s="2">
        <x:v>nikkeylynn2019@yahoo.com</x:v>
      </x:c>
      <x:c r="F997" t="str" s="2">
        <x:v>Landing_BPM</x:v>
      </x:c>
      <x:c r="G997" t="str" s="2">
        <x:v>Yanet Alvarez</x:v>
      </x:c>
      <x:c r="H997" s="6">
        <x:v>46285.602757789355</x:v>
      </x:c>
      <x:c r="I997" s="0"/>
      <x:c r="J997" s="0"/>
      <x:c r="K997" s="6">
        <x:v>46288.65039228009</x:v>
      </x:c>
      <x:c r="L997" t="str" s="2">
        <x:v>Contacted</x:v>
      </x:c>
    </x:row>
    <x:row r="998">
      <x:c r="A998" t="str" s="2">
        <x:f>="Michael Hicks"</x:f>
      </x:c>
      <x:c r="B998" t="str" s="2">
        <x:v>Heritage Housing Marble Falls</x:v>
      </x:c>
      <x:c r="C998" t="str" s="2">
        <x:v/>
      </x:c>
      <x:c r="D998" t="str" s="2">
        <x:v>7377012504</x:v>
      </x:c>
      <x:c r="E998" t="str" s="2">
        <x:v>Bevosbud1@gmail.com</x:v>
      </x:c>
      <x:c r="F998" t="str" s="2">
        <x:v>Landing_BPM</x:v>
      </x:c>
      <x:c r="G998" t="str" s="2">
        <x:v>Garrett Riedesel</x:v>
      </x:c>
      <x:c r="H998" s="6">
        <x:v>46285.62417427083</x:v>
      </x:c>
      <x:c r="I998" s="0"/>
      <x:c r="J998" s="0"/>
      <x:c r="K998" s="6">
        <x:v>46289.66160806713</x:v>
      </x:c>
      <x:c r="L998" t="str" s="2">
        <x:v>Contacted</x:v>
      </x:c>
    </x:row>
    <x:row r="999">
      <x:c r="A999" t="str" s="2">
        <x:f>="Kerry Williams"</x:f>
      </x:c>
      <x:c r="B999" t="str" s="2">
        <x:v>Heritage Housing of Augusta</x:v>
      </x:c>
      <x:c r="C999" t="str" s="2">
        <x:v/>
      </x:c>
      <x:c r="D999" t="str" s="2">
        <x:v>7709025160</x:v>
      </x:c>
      <x:c r="E999" t="str" s="2">
        <x:v>kerrywilliams9355@gmail.com</x:v>
      </x:c>
      <x:c r="F999" t="str" s="2">
        <x:v>Landing_BPM</x:v>
      </x:c>
      <x:c r="G999" t="str" s="2">
        <x:v>Jose Chavez</x:v>
      </x:c>
      <x:c r="H999" s="6">
        <x:v>46285.63346774306</x:v>
      </x:c>
      <x:c r="I999" s="0"/>
      <x:c r="J999" s="0"/>
      <x:c r="K999" s="6">
        <x:v>46286.61644621528</x:v>
      </x:c>
      <x:c r="L999" t="str" s="2">
        <x:v>Contacted</x:v>
      </x:c>
    </x:row>
    <x:row r="1000">
      <x:c r="A1000" t="str" s="2">
        <x:f>="Tikajya Montes"</x:f>
      </x:c>
      <x:c r="B1000" t="str" s="2">
        <x:v>Heritage Housing of Minden</x:v>
      </x:c>
      <x:c r="C1000" t="str" s="2">
        <x:v>0/1</x:v>
      </x:c>
      <x:c r="D1000" t="str" s="2">
        <x:v>3186907778</x:v>
      </x:c>
      <x:c r="E1000" t="str" s="2">
        <x:v>tikajyareed15@gmail.com</x:v>
      </x:c>
      <x:c r="F1000" t="str" s="2">
        <x:v>Landing_BPM</x:v>
      </x:c>
      <x:c r="G1000" t="str" s="2">
        <x:v>Patrick Schuchart</x:v>
      </x:c>
      <x:c r="H1000" s="6">
        <x:v>46285.670048761574</x:v>
      </x:c>
      <x:c r="I1000" s="0"/>
      <x:c r="J1000" s="0"/>
      <x:c r="K1000" s="6">
        <x:v>46286.77237295139</x:v>
      </x:c>
      <x:c r="L1000" t="str" s="2">
        <x:v>Contacted</x:v>
      </x:c>
    </x:row>
    <x:row r="1001">
      <x:c r="A1001" t="str" s="2">
        <x:f>="Thomas Haney"</x:f>
      </x:c>
      <x:c r="B1001" t="str" s="2">
        <x:v>Heritage Housing of Augusta</x:v>
      </x:c>
      <x:c r="C1001" t="str" s="2">
        <x:v/>
      </x:c>
      <x:c r="D1001" t="str" s="2">
        <x:v>7702171199</x:v>
      </x:c>
      <x:c r="E1001" t="str" s="2">
        <x:v>tdh372024@gmail.com</x:v>
      </x:c>
      <x:c r="F1001" t="str" s="2">
        <x:v>Youtube</x:v>
      </x:c>
      <x:c r="G1001" t="str" s="2">
        <x:v>Faye Lively</x:v>
      </x:c>
      <x:c r="H1001" s="6">
        <x:v>46285.67291940972</x:v>
      </x:c>
      <x:c r="I1001" s="0"/>
      <x:c r="J1001" s="0"/>
      <x:c r="K1001" s="6">
        <x:v>46286.615239467596</x:v>
      </x:c>
      <x:c r="L1001" t="str" s="2">
        <x:v>Contacted</x:v>
      </x:c>
    </x:row>
    <x:row r="1002">
      <x:c r="A1002" t="str" s="2">
        <x:f>="Justin Williams"</x:f>
      </x:c>
      <x:c r="B1002" t="str" s="2">
        <x:v>Heritage Housing of Augusta</x:v>
      </x:c>
      <x:c r="C1002" t="str" s="2">
        <x:v/>
      </x:c>
      <x:c r="D1002" t="str" s="2">
        <x:v>7063732578</x:v>
      </x:c>
      <x:c r="E1002" t="str" s="2">
        <x:v>justinwilliams915@gmail.com</x:v>
      </x:c>
      <x:c r="F1002" t="str" s="2">
        <x:v>Landing_BPM</x:v>
      </x:c>
      <x:c r="G1002" t="str" s="2">
        <x:v>Faye Lively</x:v>
      </x:c>
      <x:c r="H1002" s="6">
        <x:v>46285.70700462963</x:v>
      </x:c>
      <x:c r="I1002" s="0"/>
      <x:c r="J1002" s="0"/>
      <x:c r="K1002" s="6">
        <x:v>46286.61414290509</x:v>
      </x:c>
      <x:c r="L1002" t="str" s="2">
        <x:v>Contacted</x:v>
      </x:c>
    </x:row>
    <x:row r="1003">
      <x:c r="A1003" t="str" s="2">
        <x:f>="Nancy Moreno Steele"</x:f>
      </x:c>
      <x:c r="B1003" t="str" s="2">
        <x:v>Heritage Housing Gainesville</x:v>
      </x:c>
      <x:c r="C1003" t="str" s="2">
        <x:v/>
      </x:c>
      <x:c r="D1003" t="str" s="2">
        <x:v>7147284242</x:v>
      </x:c>
      <x:c r="E1003" t="str" s="2">
        <x:v>nancyv430@gmail.com</x:v>
      </x:c>
      <x:c r="F1003" t="str" s="2">
        <x:v>Bing - Search</x:v>
      </x:c>
      <x:c r="G1003" t="str" s="2">
        <x:v>Jeniffer Arellano</x:v>
      </x:c>
      <x:c r="H1003" s="6">
        <x:v>46285.7105037037</x:v>
      </x:c>
      <x:c r="I1003" s="0"/>
      <x:c r="J1003" s="0"/>
      <x:c r="K1003" s="6">
        <x:v>46308.712164965276</x:v>
      </x:c>
      <x:c r="L1003" t="str" s="2">
        <x:v>Contacted</x:v>
      </x:c>
    </x:row>
    <x:row r="1004">
      <x:c r="A1004" t="str" s="2">
        <x:f>="Sabra Davis"</x:f>
      </x:c>
      <x:c r="B1004" t="str" s="2">
        <x:v>Heritage Housing Gainesville</x:v>
      </x:c>
      <x:c r="C1004" t="str" s="2">
        <x:v/>
      </x:c>
      <x:c r="D1004" t="str" s="2">
        <x:v>6825324180</x:v>
      </x:c>
      <x:c r="E1004" t="str" s="2">
        <x:v>sabradavis002@gmail.com</x:v>
      </x:c>
      <x:c r="F1004" t="str" s="2">
        <x:v>Youtube</x:v>
      </x:c>
      <x:c r="G1004" t="str" s="2">
        <x:v>Kelly Ford</x:v>
      </x:c>
      <x:c r="H1004" s="6">
        <x:v>46285.7470784375</x:v>
      </x:c>
      <x:c r="I1004" s="0"/>
      <x:c r="J1004" s="0"/>
      <x:c r="K1004" s="6">
        <x:v>46293.82717754629</x:v>
      </x:c>
      <x:c r="L1004" t="str" s="2">
        <x:v>Contacted</x:v>
      </x:c>
    </x:row>
    <x:row r="1005">
      <x:c r="A1005" t="str" s="2">
        <x:f>="Daniel Mclaurin"</x:f>
      </x:c>
      <x:c r="B1005" t="str" s="2">
        <x:v>Heritage Housing of Albany</x:v>
      </x:c>
      <x:c r="C1005" t="str" s="2">
        <x:v>1/3</x:v>
      </x:c>
      <x:c r="D1005" t="str" s="2">
        <x:v>9105497340</x:v>
      </x:c>
      <x:c r="E1005" t="str" s="2">
        <x:v>danielglennmclaurin85@live.com</x:v>
      </x:c>
      <x:c r="F1005" t="str" s="2">
        <x:v>Financing Form</x:v>
      </x:c>
      <x:c r="G1005" t="str" s="2">
        <x:v>Justin Johnson</x:v>
      </x:c>
      <x:c r="H1005" s="6">
        <x:v>46285.75726805555</x:v>
      </x:c>
      <x:c r="I1005" s="0"/>
      <x:c r="J1005" s="0"/>
      <x:c r="K1005" s="6">
        <x:v>46286.87208880787</x:v>
      </x:c>
      <x:c r="L1005" t="str" s="2">
        <x:v>Contacted</x:v>
      </x:c>
    </x:row>
    <x:row r="1006">
      <x:c r="A1006" t="str" s="2">
        <x:f>="Tiffinie Rollen"</x:f>
      </x:c>
      <x:c r="B1006" t="str" s="2">
        <x:v>Heritage Housing of Minden</x:v>
      </x:c>
      <x:c r="C1006" t="str" s="2">
        <x:v/>
      </x:c>
      <x:c r="D1006" t="str" s="2">
        <x:v>3187518638</x:v>
      </x:c>
      <x:c r="E1006" t="str" s="2">
        <x:v>rollen945l@gmail.com</x:v>
      </x:c>
      <x:c r="F1006" t="str" s="2">
        <x:v>Landing_BPM</x:v>
      </x:c>
      <x:c r="G1006" t="str" s="2">
        <x:v>Kyla Brown</x:v>
      </x:c>
      <x:c r="H1006" s="6">
        <x:v>46285.77756137731</x:v>
      </x:c>
      <x:c r="I1006" s="0"/>
      <x:c r="J1006" s="0"/>
      <x:c r="K1006" s="6">
        <x:v>46286.77177179398</x:v>
      </x:c>
      <x:c r="L1006" t="str" s="2">
        <x:v>Contacted</x:v>
      </x:c>
    </x:row>
    <x:row r="1007">
      <x:c r="A1007" t="str" s="2">
        <x:f>="Denice White White"</x:f>
      </x:c>
      <x:c r="B1007" t="str" s="2">
        <x:v>Heritage Housing of Athens</x:v>
      </x:c>
      <x:c r="C1007" t="str" s="2">
        <x:v/>
      </x:c>
      <x:c r="D1007" t="str" s="2">
        <x:v>4709989920</x:v>
      </x:c>
      <x:c r="E1007" t="str" s="2">
        <x:v>denicew57@icloud.com</x:v>
      </x:c>
      <x:c r="F1007" t="str" s="2">
        <x:v>Landing_BPM</x:v>
      </x:c>
      <x:c r="G1007" t="str" s="2">
        <x:v>Ethan Fossett</x:v>
      </x:c>
      <x:c r="H1007" s="6">
        <x:v>46285.79220216435</x:v>
      </x:c>
      <x:c r="I1007" s="0"/>
      <x:c r="J1007" s="0"/>
      <x:c r="K1007" s="6">
        <x:v>46294.577711261576</x:v>
      </x:c>
      <x:c r="L1007" t="str" s="2">
        <x:v>Contacted</x:v>
      </x:c>
    </x:row>
    <x:row r="1008">
      <x:c r="A1008" t="str" s="2">
        <x:f>="Tammie Hokett"</x:f>
      </x:c>
      <x:c r="B1008" t="str" s="2">
        <x:v>Heritage Housing of Canton</x:v>
      </x:c>
      <x:c r="C1008" t="str" s="2">
        <x:v/>
      </x:c>
      <x:c r="D1008" t="str" s="2">
        <x:v>8302037962</x:v>
      </x:c>
      <x:c r="E1008" t="str" s="2">
        <x:v>tammiehokett438@gmail.com</x:v>
      </x:c>
      <x:c r="F1008" t="str" s="2">
        <x:v>Youtube</x:v>
      </x:c>
      <x:c r="G1008" t="str" s="2">
        <x:v>Jacob Hatten</x:v>
      </x:c>
      <x:c r="H1008" s="6">
        <x:v>46285.81934274305</x:v>
      </x:c>
      <x:c r="I1008" s="0"/>
      <x:c r="J1008" s="0"/>
      <x:c r="K1008" s="6">
        <x:v>46286.88215813658</x:v>
      </x:c>
      <x:c r="L1008" t="str" s="2">
        <x:v>Contacted</x:v>
      </x:c>
    </x:row>
    <x:row r="1009">
      <x:c r="A1009" t="str" s="2">
        <x:f>="Jamal Hendricks"</x:f>
      </x:c>
      <x:c r="B1009" t="str" s="2">
        <x:v>Heritage Housing of Athens</x:v>
      </x:c>
      <x:c r="C1009" t="str" s="2">
        <x:v>1/1</x:v>
      </x:c>
      <x:c r="D1009" t="str" s="2">
        <x:v>4709487309</x:v>
      </x:c>
      <x:c r="E1009" t="str" s="2">
        <x:v>browna103@yahoo.com</x:v>
      </x:c>
      <x:c r="F1009" t="str" s="2">
        <x:v>Landing_BPM</x:v>
      </x:c>
      <x:c r="G1009" t="str" s="2">
        <x:v>Ethan Fossett</x:v>
      </x:c>
      <x:c r="H1009" s="6">
        <x:v>46285.84458877315</x:v>
      </x:c>
      <x:c r="I1009" s="0"/>
      <x:c r="J1009" s="0"/>
      <x:c r="K1009" s="6">
        <x:v>46300.92834861111</x:v>
      </x:c>
      <x:c r="L1009" t="str" s="2">
        <x:v>Contacted</x:v>
      </x:c>
    </x:row>
    <x:row r="1010">
      <x:c r="A1010" t="str" s="2">
        <x:f>="Makeba Crawford"</x:f>
      </x:c>
      <x:c r="B1010" t="str" s="2">
        <x:v>Heritage Housing of Athens</x:v>
      </x:c>
      <x:c r="C1010" t="str" s="2">
        <x:v>0/3</x:v>
      </x:c>
      <x:c r="D1010" t="str" s="2">
        <x:v>4043979886</x:v>
      </x:c>
      <x:c r="E1010" t="str" s="2">
        <x:v>crawfordmakeba@yahoo.com</x:v>
      </x:c>
      <x:c r="F1010" t="str" s="2">
        <x:v>Landing_BPM</x:v>
      </x:c>
      <x:c r="G1010" t="str" s="2">
        <x:v>Ethan Fossett</x:v>
      </x:c>
      <x:c r="H1010" s="6">
        <x:v>46285.89450123843</x:v>
      </x:c>
      <x:c r="I1010" s="0"/>
      <x:c r="J1010" s="0"/>
      <x:c r="K1010" s="6">
        <x:v>46296.769238229164</x:v>
      </x:c>
      <x:c r="L1010" t="str" s="2">
        <x:v>Contacted</x:v>
      </x:c>
    </x:row>
    <x:row r="1011">
      <x:c r="A1011" t="str" s="2">
        <x:f>="Paige Gauntt"</x:f>
      </x:c>
      <x:c r="B1011" t="str" s="2">
        <x:v>Heritage Housing of Minden</x:v>
      </x:c>
      <x:c r="C1011" t="str" s="2">
        <x:v>0/1</x:v>
      </x:c>
      <x:c r="D1011" t="str" s="2">
        <x:v>3186630113</x:v>
      </x:c>
      <x:c r="E1011" t="str" s="2">
        <x:v>paigedalea.gauntt@gmail.com</x:v>
      </x:c>
      <x:c r="F1011" t="str" s="2">
        <x:v>Financing Form</x:v>
      </x:c>
      <x:c r="G1011" t="str" s="2">
        <x:v>Patrick Schuchart</x:v>
      </x:c>
      <x:c r="H1011" s="6">
        <x:v>46285.95637079861</x:v>
      </x:c>
      <x:c r="I1011" s="0"/>
      <x:c r="J1011" s="0"/>
      <x:c r="K1011" s="6">
        <x:v>46286.77129741898</x:v>
      </x:c>
      <x:c r="L1011" t="str" s="2">
        <x:v>Contacted</x:v>
      </x:c>
    </x:row>
    <x:row r="1012">
      <x:c r="A1012" t="str" s="2">
        <x:f>="Kentavious Allen"</x:f>
      </x:c>
      <x:c r="B1012" t="str" s="2">
        <x:v>Heritage Housing of Minden</x:v>
      </x:c>
      <x:c r="C1012" t="str" s="2">
        <x:v>0/1</x:v>
      </x:c>
      <x:c r="D1012" t="str" s="2">
        <x:v>3188716885</x:v>
      </x:c>
      <x:c r="E1012" t="str" s="2">
        <x:v>kentavious33@icloud.com</x:v>
      </x:c>
      <x:c r="F1012" t="str" s="2">
        <x:v>Landing_BPM</x:v>
      </x:c>
      <x:c r="G1012" t="str" s="2">
        <x:v>Kyla Brown</x:v>
      </x:c>
      <x:c r="H1012" s="6">
        <x:v>46285.97210748843</x:v>
      </x:c>
      <x:c r="I1012" s="0"/>
      <x:c r="J1012" s="0"/>
      <x:c r="K1012" s="6">
        <x:v>46286.77055304398</x:v>
      </x:c>
      <x:c r="L1012" t="str" s="2">
        <x:v>Contacted</x:v>
      </x:c>
    </x:row>
    <x:row r="1013">
      <x:c r="A1013" t="str" s="2">
        <x:f>="Kathryn Keepin"</x:f>
      </x:c>
      <x:c r="B1013" t="str" s="2">
        <x:v>Heritage Housing of Augusta</x:v>
      </x:c>
      <x:c r="C1013" t="str" s="2">
        <x:v/>
      </x:c>
      <x:c r="D1013" t="str" s="2">
        <x:v>8502921130</x:v>
      </x:c>
      <x:c r="E1013" t="str" s="2">
        <x:v>kathrynkeepin@gmail.com</x:v>
      </x:c>
      <x:c r="F1013" t="str" s="2">
        <x:v>Landing_BPM</x:v>
      </x:c>
      <x:c r="G1013" t="str" s="2">
        <x:v>Faye Lively</x:v>
      </x:c>
      <x:c r="H1013" s="6">
        <x:v>46285.975072685185</x:v>
      </x:c>
      <x:c r="I1013" s="0"/>
      <x:c r="J1013" s="0"/>
      <x:c r="K1013" s="6">
        <x:v>46286.612012881946</x:v>
      </x:c>
      <x:c r="L1013" t="str" s="2">
        <x:v>Contacted</x:v>
      </x:c>
    </x:row>
    <x:row r="1014">
      <x:c r="A1014" t="str" s="2">
        <x:f>="Maria Torres Torres"</x:f>
      </x:c>
      <x:c r="B1014" t="str" s="2">
        <x:v>Heritage Housing of Athens</x:v>
      </x:c>
      <x:c r="C1014" t="str" s="2">
        <x:v/>
      </x:c>
      <x:c r="D1014" t="str" s="2">
        <x:v>7066142317</x:v>
      </x:c>
      <x:c r="E1014" t="str" s="2">
        <x:v>uvita1078@gmail.com</x:v>
      </x:c>
      <x:c r="F1014" t="str" s="2">
        <x:v>Landing_BPM</x:v>
      </x:c>
      <x:c r="G1014" t="str" s="2">
        <x:v>Ethan Fossett</x:v>
      </x:c>
      <x:c r="H1014" s="6">
        <x:v>46286.05565405093</x:v>
      </x:c>
      <x:c r="I1014" s="0"/>
      <x:c r="J1014" s="0"/>
      <x:c r="K1014" s="6">
        <x:v>46300.92800146991</x:v>
      </x:c>
      <x:c r="L1014" t="str" s="2">
        <x:v>Contacted</x:v>
      </x:c>
    </x:row>
    <x:row r="1015">
      <x:c r="A1015" t="str" s="2">
        <x:f>="Shinta Scott"</x:f>
      </x:c>
      <x:c r="B1015" t="str" s="2">
        <x:v>Heritage Housing of Minden</x:v>
      </x:c>
      <x:c r="C1015" t="str" s="2">
        <x:v>0/1</x:v>
      </x:c>
      <x:c r="D1015" t="str" s="2">
        <x:v>5045635462</x:v>
      </x:c>
      <x:c r="E1015" t="str" s="2">
        <x:v>shinola2025@yahoo.com</x:v>
      </x:c>
      <x:c r="F1015" t="str" s="2">
        <x:v>Website</x:v>
      </x:c>
      <x:c r="G1015" t="str" s="2">
        <x:v>Patrick Schuchart</x:v>
      </x:c>
      <x:c r="H1015" s="6">
        <x:v>46286.164860185185</x:v>
      </x:c>
      <x:c r="I1015" s="0"/>
      <x:c r="J1015" s="0"/>
      <x:c r="K1015" s="6">
        <x:v>46286.76983321759</x:v>
      </x:c>
      <x:c r="L1015" t="str" s="2">
        <x:v>Contacted</x:v>
      </x:c>
    </x:row>
    <x:row r="1016">
      <x:c r="A1016" t="str" s="2">
        <x:f>="Rosie Lilly"</x:f>
      </x:c>
      <x:c r="B1016" t="str" s="2">
        <x:v>Heritage Housing of Minden</x:v>
      </x:c>
      <x:c r="C1016" t="str" s="2">
        <x:v>0/1</x:v>
      </x:c>
      <x:c r="D1016" t="str" s="2">
        <x:v>3182562847</x:v>
      </x:c>
      <x:c r="E1016" t="str" s="2">
        <x:v>rosielilly@gmail.com</x:v>
      </x:c>
      <x:c r="F1016" t="str" s="2">
        <x:v>Bing - Search</x:v>
      </x:c>
      <x:c r="G1016" t="str" s="2">
        <x:v>Kyla Brown</x:v>
      </x:c>
      <x:c r="H1016" s="6">
        <x:v>46286.26311770833</x:v>
      </x:c>
      <x:c r="I1016" s="0"/>
      <x:c r="J1016" s="0"/>
      <x:c r="K1016" s="6">
        <x:v>46286.76964837963</x:v>
      </x:c>
      <x:c r="L1016" t="str" s="2">
        <x:v>Contacted</x:v>
      </x:c>
    </x:row>
    <x:row r="1017">
      <x:c r="A1017" t="str" s="2">
        <x:f>="Tiffany Ammons"</x:f>
      </x:c>
      <x:c r="B1017" t="str" s="2">
        <x:v>Heritage Housing of Minden</x:v>
      </x:c>
      <x:c r="C1017" t="str" s="2">
        <x:v>0/1</x:v>
      </x:c>
      <x:c r="D1017" t="str" s="2">
        <x:v>3186482778</x:v>
      </x:c>
      <x:c r="E1017" t="str" s="2">
        <x:v>greeneyedangel1990@gmail.com</x:v>
      </x:c>
      <x:c r="F1017" t="str" s="2">
        <x:v>Financing Form</x:v>
      </x:c>
      <x:c r="G1017" t="str" s="2">
        <x:v>Patrick Schuchart</x:v>
      </x:c>
      <x:c r="H1017" s="6">
        <x:v>46286.32696334491</x:v>
      </x:c>
      <x:c r="I1017" s="0"/>
      <x:c r="J1017" s="0"/>
      <x:c r="K1017" s="6">
        <x:v>46286.76749780092</x:v>
      </x:c>
      <x:c r="L1017" t="str" s="2">
        <x:v>Contacted</x:v>
      </x:c>
    </x:row>
    <x:row r="1018">
      <x:c r="A1018" t="str" s="2">
        <x:f>="Mark Hedman"</x:f>
      </x:c>
      <x:c r="B1018" t="str" s="2">
        <x:v>Heritage Housing of Augusta</x:v>
      </x:c>
      <x:c r="C1018" t="str" s="2">
        <x:v/>
      </x:c>
      <x:c r="D1018" t="str" s="2">
        <x:v>8036348785</x:v>
      </x:c>
      <x:c r="E1018" t="str" s="2">
        <x:v>markhedman98@gmail.com</x:v>
      </x:c>
      <x:c r="F1018" t="str" s="2">
        <x:v>Website</x:v>
      </x:c>
      <x:c r="G1018" t="str" s="2">
        <x:v>Faye Lively</x:v>
      </x:c>
      <x:c r="H1018" s="6">
        <x:v>46286.37275015046</x:v>
      </x:c>
      <x:c r="I1018" s="0"/>
      <x:c r="J1018" s="0"/>
      <x:c r="K1018" s="6">
        <x:v>46286.61112149306</x:v>
      </x:c>
      <x:c r="L1018" t="str" s="2">
        <x:v>Contacted</x:v>
      </x:c>
    </x:row>
    <x:row r="1019">
      <x:c r="A1019" t="str" s="2">
        <x:f>="Alma Hare"</x:f>
      </x:c>
      <x:c r="B1019" t="str" s="2">
        <x:v>Heritage Housing of Canton</x:v>
      </x:c>
      <x:c r="C1019" t="str" s="2">
        <x:v/>
      </x:c>
      <x:c r="D1019" t="str" s="2">
        <x:v>4696614628</x:v>
      </x:c>
      <x:c r="E1019" t="str" s="2">
        <x:v>almahare172@gmail.com</x:v>
      </x:c>
      <x:c r="F1019" t="str" s="2">
        <x:v>Landing_BPM</x:v>
      </x:c>
      <x:c r="G1019" t="str" s="2">
        <x:v>Jacob Hatten</x:v>
      </x:c>
      <x:c r="H1019" s="6">
        <x:v>46286.373617094905</x:v>
      </x:c>
      <x:c r="I1019" s="0"/>
      <x:c r="J1019" s="0"/>
      <x:c r="K1019" s="6">
        <x:v>46286.88229383102</x:v>
      </x:c>
      <x:c r="L1019" t="str" s="2">
        <x:v>Contacted</x:v>
      </x:c>
    </x:row>
    <x:row r="1020">
      <x:c r="A1020" t="str" s="2">
        <x:f>="Sharonda Adusah"</x:f>
      </x:c>
      <x:c r="B1020" t="str" s="2">
        <x:v>Heritage Housing of Athens</x:v>
      </x:c>
      <x:c r="C1020" t="str" s="2">
        <x:v>1/2</x:v>
      </x:c>
      <x:c r="D1020" t="str" s="2">
        <x:v>4789980375</x:v>
      </x:c>
      <x:c r="E1020" t="str" s="2">
        <x:v>latreece71@gmail.com</x:v>
      </x:c>
      <x:c r="F1020" t="str" s="2">
        <x:v>Landing_BPM</x:v>
      </x:c>
      <x:c r="G1020" t="str" s="2">
        <x:v>Nathan Bishop</x:v>
      </x:c>
      <x:c r="H1020" s="6">
        <x:v>46286.407760497685</x:v>
      </x:c>
      <x:c r="I1020" s="0"/>
      <x:c r="J1020" s="0"/>
      <x:c r="K1020" s="6">
        <x:v>46294.653024768515</x:v>
      </x:c>
      <x:c r="L1020" t="str" s="2">
        <x:v>Contacted</x:v>
      </x:c>
    </x:row>
    <x:row r="1021">
      <x:c r="A1021" t="str" s="2">
        <x:f>="Andrea Blackwell Blackwell"</x:f>
      </x:c>
      <x:c r="B1021" t="str" s="2">
        <x:v>Heritage Housing of Asheboro</x:v>
      </x:c>
      <x:c r="C1021" t="str" s="2">
        <x:v/>
      </x:c>
      <x:c r="D1021" t="str" s="2">
        <x:v>9803698182</x:v>
      </x:c>
      <x:c r="E1021" t="str" s="2">
        <x:v>lea1018@icloud.com</x:v>
      </x:c>
      <x:c r="F1021" t="str" s="2">
        <x:v>Landing_BPM</x:v>
      </x:c>
      <x:c r="G1021" t="str" s="2">
        <x:v>Kate Gutierrez</x:v>
      </x:c>
      <x:c r="H1021" s="6">
        <x:v>46286.4386158912</x:v>
      </x:c>
      <x:c r="I1021" s="0"/>
      <x:c r="J1021" s="0"/>
      <x:c r="K1021" s="6">
        <x:v>46300.763423414355</x:v>
      </x:c>
      <x:c r="L1021" t="str" s="2">
        <x:v>Contacted</x:v>
      </x:c>
    </x:row>
    <x:row r="1022">
      <x:c r="A1022" t="str" s="2">
        <x:f>="Keryonna Eldridge"</x:f>
      </x:c>
      <x:c r="B1022" t="str" s="2">
        <x:v>Heritage Housing of Athens</x:v>
      </x:c>
      <x:c r="C1022" t="str" s="2">
        <x:v/>
      </x:c>
      <x:c r="D1022" t="str" s="2">
        <x:v>9035169153</x:v>
      </x:c>
      <x:c r="E1022" t="str" s="2">
        <x:v>keryonna.eldridge66@gmail.com</x:v>
      </x:c>
      <x:c r="F1022" t="str" s="2">
        <x:v>Landing_BPM</x:v>
      </x:c>
      <x:c r="G1022" t="str" s="2">
        <x:v>Ethan Fossett</x:v>
      </x:c>
      <x:c r="H1022" s="6">
        <x:v>46286.45704699074</x:v>
      </x:c>
      <x:c r="I1022" s="0"/>
      <x:c r="J1022" s="0"/>
      <x:c r="K1022" s="6">
        <x:v>46300.92774818287</x:v>
      </x:c>
      <x:c r="L1022" t="str" s="2">
        <x:v>Contacted</x:v>
      </x:c>
    </x:row>
    <x:row r="1023">
      <x:c r="A1023" t="str" s="2">
        <x:f>="NATHAN ROBINSON"</x:f>
      </x:c>
      <x:c r="B1023" t="str" s="2">
        <x:v>Heritage Housing of Athens</x:v>
      </x:c>
      <x:c r="C1023" t="str" s="2">
        <x:v>0/1</x:v>
      </x:c>
      <x:c r="D1023" t="str" s="2">
        <x:v>4787199594</x:v>
      </x:c>
      <x:c r="E1023" t="str" s="2">
        <x:v>n8thgr81972@gmail.com</x:v>
      </x:c>
      <x:c r="F1023" t="str" s="2">
        <x:v>Youtube</x:v>
      </x:c>
      <x:c r="G1023" t="str" s="2">
        <x:v>Ethan Fossett</x:v>
      </x:c>
      <x:c r="H1023" s="6">
        <x:v>46286.53386096065</x:v>
      </x:c>
      <x:c r="I1023" s="0"/>
      <x:c r="J1023" s="0"/>
      <x:c r="K1023" s="6">
        <x:v>46286.77324270833</x:v>
      </x:c>
      <x:c r="L1023" t="str" s="2">
        <x:v>Contacted</x:v>
      </x:c>
    </x:row>
    <x:row r="1024">
      <x:c r="A1024" t="str" s="2">
        <x:f>="Mary Ann Martinez"</x:f>
      </x:c>
      <x:c r="B1024" t="str" s="2">
        <x:v>Heritage Housing Gainesville</x:v>
      </x:c>
      <x:c r="C1024" t="str" s="2">
        <x:v/>
      </x:c>
      <x:c r="D1024" t="str" s="2">
        <x:v>2143178391</x:v>
      </x:c>
      <x:c r="E1024" t="str" s="2">
        <x:v>ladyace43@gmail.com</x:v>
      </x:c>
      <x:c r="F1024" t="str" s="2">
        <x:v>Landing_BPM</x:v>
      </x:c>
      <x:c r="G1024" t="str" s="2">
        <x:v>Jeniffer Arellano</x:v>
      </x:c>
      <x:c r="H1024" s="6">
        <x:v>46286.569189699076</x:v>
      </x:c>
      <x:c r="I1024" s="0"/>
      <x:c r="J1024" s="0"/>
      <x:c r="K1024" s="6">
        <x:v>46308.71208707176</x:v>
      </x:c>
      <x:c r="L1024" t="str" s="2">
        <x:v>Contacted</x:v>
      </x:c>
    </x:row>
    <x:row r="1025">
      <x:c r="A1025" t="str" s="2">
        <x:f>="Connie Anderson"</x:f>
      </x:c>
      <x:c r="B1025" t="str" s="2">
        <x:v>Heritage Housing of Augusta</x:v>
      </x:c>
      <x:c r="C1025" t="str" s="2">
        <x:v/>
      </x:c>
      <x:c r="D1025" t="str" s="2">
        <x:v>8393990404</x:v>
      </x:c>
      <x:c r="E1025" t="str" s="2">
        <x:v>leozeda256@gmail.com</x:v>
      </x:c>
      <x:c r="F1025" t="str" s="2">
        <x:v>Bing - Search</x:v>
      </x:c>
      <x:c r="G1025" t="str" s="2">
        <x:v>Jose Chavez</x:v>
      </x:c>
      <x:c r="H1025" s="6">
        <x:v>46286.57691033565</x:v>
      </x:c>
      <x:c r="I1025" s="0"/>
      <x:c r="J1025" s="0"/>
      <x:c r="K1025" s="6">
        <x:v>46286.60958561343</x:v>
      </x:c>
      <x:c r="L1025" t="str" s="2">
        <x:v>Contacted</x:v>
      </x:c>
    </x:row>
    <x:row r="1026">
      <x:c r="A1026" t="str" s="2">
        <x:f>="Aleah Anderson"</x:f>
      </x:c>
      <x:c r="B1026" t="str" s="2">
        <x:v>Heritage Housing of Asheboro</x:v>
      </x:c>
      <x:c r="C1026" t="str" s="2">
        <x:v/>
      </x:c>
      <x:c r="D1026" t="str" s="2">
        <x:v>4076279743</x:v>
      </x:c>
      <x:c r="E1026" t="str" s="2">
        <x:v>andersonaleah56@gmail.com</x:v>
      </x:c>
      <x:c r="F1026" t="str" s="2">
        <x:v>Youtube</x:v>
      </x:c>
      <x:c r="G1026" t="str" s="2">
        <x:v>Kate Gutierrez</x:v>
      </x:c>
      <x:c r="H1026" s="6">
        <x:v>46286.58129976852</x:v>
      </x:c>
      <x:c r="I1026" s="0"/>
      <x:c r="J1026" s="0"/>
      <x:c r="K1026" s="6">
        <x:v>46286.59366380787</x:v>
      </x:c>
      <x:c r="L1026" t="str" s="2">
        <x:v>Contacted</x:v>
      </x:c>
    </x:row>
    <x:row r="1027">
      <x:c r="A1027" t="str" s="2">
        <x:f>="Faith Coley"</x:f>
      </x:c>
      <x:c r="B1027" t="str" s="2">
        <x:v>Heritage Housing of Albany</x:v>
      </x:c>
      <x:c r="C1027" t="str" s="2">
        <x:v/>
      </x:c>
      <x:c r="D1027" t="str" s="2">
        <x:v>4043958770</x:v>
      </x:c>
      <x:c r="E1027" t="str" s="2">
        <x:v>faithscoley@gmail.com</x:v>
      </x:c>
      <x:c r="F1027" t="str" s="2">
        <x:v>Youtube</x:v>
      </x:c>
      <x:c r="G1027" t="str" s="2">
        <x:v>Justin Johnson</x:v>
      </x:c>
      <x:c r="H1027" s="6">
        <x:v>46286.63021469907</x:v>
      </x:c>
      <x:c r="I1027" s="0"/>
      <x:c r="J1027" s="0"/>
      <x:c r="K1027" s="6">
        <x:v>46286.70811076389</x:v>
      </x:c>
      <x:c r="L1027" t="str" s="2">
        <x:v>Contacted</x:v>
      </x:c>
    </x:row>
    <x:row r="1028">
      <x:c r="A1028" t="str" s="2">
        <x:f>="Anthony Sims"</x:f>
      </x:c>
      <x:c r="B1028" t="str" s="2">
        <x:v>Heritage Housing of Athens</x:v>
      </x:c>
      <x:c r="C1028" t="str" s="2">
        <x:v/>
      </x:c>
      <x:c r="D1028" t="str" s="2">
        <x:v>6787544997</x:v>
      </x:c>
      <x:c r="E1028" t="str" s="2">
        <x:v>ams68gold@gmail.com</x:v>
      </x:c>
      <x:c r="F1028" t="str" s="2">
        <x:v>Youtube</x:v>
      </x:c>
      <x:c r="G1028" t="str" s="2">
        <x:v>Ethan Fossett</x:v>
      </x:c>
      <x:c r="H1028" s="6">
        <x:v>46286.6454465625</x:v>
      </x:c>
      <x:c r="I1028" s="0"/>
      <x:c r="J1028" s="0"/>
      <x:c r="K1028" s="6">
        <x:v>46286.714733483794</x:v>
      </x:c>
      <x:c r="L1028" t="str" s="2">
        <x:v>Contacted</x:v>
      </x:c>
    </x:row>
    <x:row r="1029">
      <x:c r="A1029" t="str" s="2">
        <x:f>="Robertrer RobertrerGM"</x:f>
      </x:c>
      <x:c r="B1029" t="str" s="2">
        <x:v>Heritage Housing of Greenville</x:v>
      </x:c>
      <x:c r="C1029" t="str" s="2">
        <x:v/>
      </x:c>
      <x:c r="D1029" t="str" s="2">
        <x:v>85335851698</x:v>
      </x:c>
      <x:c r="E1029" t="str" s="2">
        <x:v>vgonvpt@acrarsn.gtu</x:v>
      </x:c>
      <x:c r="F1029" t="str" s="2">
        <x:v>Website</x:v>
      </x:c>
      <x:c r="G1029" t="str" s="2">
        <x:v>Brooklynn Allen</x:v>
      </x:c>
      <x:c r="H1029" s="6">
        <x:v>46286.64776936342</x:v>
      </x:c>
      <x:c r="I1029" s="0"/>
      <x:c r="J1029" s="0"/>
      <x:c r="K1029" s="6">
        <x:v>46287.5833184375</x:v>
      </x:c>
      <x:c r="L1029" t="str" s="2">
        <x:v>Contacted</x:v>
      </x:c>
    </x:row>
    <x:row r="1030">
      <x:c r="A1030" t="str" s="2">
        <x:f>="Melvin Freeman"</x:f>
      </x:c>
      <x:c r="B1030" t="str" s="2">
        <x:v>Heritage Housing of Albany</x:v>
      </x:c>
      <x:c r="C1030" t="str" s="2">
        <x:v/>
      </x:c>
      <x:c r="D1030" t="str" s="2">
        <x:v>4709710116</x:v>
      </x:c>
      <x:c r="E1030" t="str" s="2">
        <x:v>melvinjfreeman205@gmail.com</x:v>
      </x:c>
      <x:c r="F1030" t="str" s="2">
        <x:v>Youtube</x:v>
      </x:c>
      <x:c r="G1030" t="str" s="2">
        <x:v>Justin Johnson</x:v>
      </x:c>
      <x:c r="H1030" s="6">
        <x:v>46286.676907141205</x:v>
      </x:c>
      <x:c r="I1030" s="0"/>
      <x:c r="J1030" s="0"/>
      <x:c r="K1030" s="6">
        <x:v>46286.721863425926</x:v>
      </x:c>
      <x:c r="L1030" t="str" s="2">
        <x:v>Contacted</x:v>
      </x:c>
    </x:row>
    <x:row r="1031">
      <x:c r="A1031" t="str" s="2">
        <x:f>="Stephanie Wilder"</x:f>
      </x:c>
      <x:c r="B1031" t="str" s="2">
        <x:v>Heritage Housing of Athens</x:v>
      </x:c>
      <x:c r="C1031" t="str" s="2">
        <x:v>0/3</x:v>
      </x:c>
      <x:c r="D1031" t="str" s="2">
        <x:v>4049858661</x:v>
      </x:c>
      <x:c r="E1031" t="str" s="2">
        <x:v>StephanieWilder21@gmail.com</x:v>
      </x:c>
      <x:c r="F1031" t="str" s="2">
        <x:v>Landing_BPM</x:v>
      </x:c>
      <x:c r="G1031" t="str" s="2">
        <x:v>Ethan Fossett</x:v>
      </x:c>
      <x:c r="H1031" s="6">
        <x:v>46286.6826778125</x:v>
      </x:c>
      <x:c r="I1031" s="0"/>
      <x:c r="J1031" s="0"/>
      <x:c r="K1031" s="6">
        <x:v>46300.92715520833</x:v>
      </x:c>
      <x:c r="L1031" t="str" s="2">
        <x:v>Contacted</x:v>
      </x:c>
    </x:row>
    <x:row r="1032">
      <x:c r="A1032" t="str" s="2">
        <x:f>="Morgan Taylor"</x:f>
      </x:c>
      <x:c r="B1032" t="str" s="2">
        <x:v>Heritage Housing of Canton</x:v>
      </x:c>
      <x:c r="C1032" t="str" s="2">
        <x:v/>
      </x:c>
      <x:c r="D1032" t="str" s="2">
        <x:v>4693770017</x:v>
      </x:c>
      <x:c r="E1032" t="str" s="2">
        <x:v>charliejoyce88@yahoo.com</x:v>
      </x:c>
      <x:c r="F1032" t="str" s="2">
        <x:v>Landing_BPM</x:v>
      </x:c>
      <x:c r="G1032" t="str" s="2">
        <x:v>Jacob Hatten</x:v>
      </x:c>
      <x:c r="H1032" s="6">
        <x:v>46286.77735625</x:v>
      </x:c>
      <x:c r="I1032" s="0"/>
      <x:c r="J1032" s="0"/>
      <x:c r="K1032" s="6">
        <x:v>46286.88398556713</x:v>
      </x:c>
      <x:c r="L1032" t="str" s="2">
        <x:v>Contacted</x:v>
      </x:c>
    </x:row>
    <x:row r="1033">
      <x:c r="A1033" t="str" s="2">
        <x:f>="Willie daniel"</x:f>
      </x:c>
      <x:c r="B1033" t="str" s="2">
        <x:v>Heritage Housing of Albany</x:v>
      </x:c>
      <x:c r="C1033" t="str" s="2">
        <x:v/>
      </x:c>
      <x:c r="D1033" t="str" s="2">
        <x:v>4788325118</x:v>
      </x:c>
      <x:c r="E1033" t="str" s="2">
        <x:v>denisewillie66@gmail.com</x:v>
      </x:c>
      <x:c r="F1033" t="str" s="2">
        <x:v>Financing Form</x:v>
      </x:c>
      <x:c r="G1033" t="str" s="2">
        <x:v>Justin Johnson</x:v>
      </x:c>
      <x:c r="H1033" s="6">
        <x:v>46286.895928125</x:v>
      </x:c>
      <x:c r="I1033" s="0"/>
      <x:c r="J1033" s="0"/>
      <x:c r="K1033" s="6">
        <x:v>46286.907952002315</x:v>
      </x:c>
      <x:c r="L1033" t="str" s="2">
        <x:v>Contacted</x:v>
      </x:c>
    </x:row>
    <x:row r="1034">
      <x:c r="A1034" t="str" s="2">
        <x:f>="Christina Munoz"</x:f>
      </x:c>
      <x:c r="B1034" t="str" s="2">
        <x:v>Heritage Housing Gainesville</x:v>
      </x:c>
      <x:c r="C1034" t="str" s="2">
        <x:v/>
      </x:c>
      <x:c r="D1034" t="str" s="2">
        <x:v>2103154517</x:v>
      </x:c>
      <x:c r="E1034" t="str" s="2">
        <x:v>gordoandbabe12@gmail.com</x:v>
      </x:c>
      <x:c r="F1034" t="str" s="2">
        <x:v>Financing Form</x:v>
      </x:c>
      <x:c r="G1034" t="str" s="2">
        <x:v>Kelly Ford</x:v>
      </x:c>
      <x:c r="H1034" s="6">
        <x:v>46286.922679247684</x:v>
      </x:c>
      <x:c r="I1034" s="0"/>
      <x:c r="J1034" s="0"/>
      <x:c r="K1034" s="6">
        <x:v>46293.82794313657</x:v>
      </x:c>
      <x:c r="L1034" t="str" s="2">
        <x:v>Contacted</x:v>
      </x:c>
    </x:row>
    <x:row r="1035">
      <x:c r="A1035" t="str" s="2">
        <x:f>="Kevin Martin Martin"</x:f>
      </x:c>
      <x:c r="B1035" t="str" s="2">
        <x:v>Heritage Housing of Albany</x:v>
      </x:c>
      <x:c r="C1035" t="str" s="2">
        <x:v/>
      </x:c>
      <x:c r="D1035" t="str" s="2">
        <x:v>2025550151</x:v>
      </x:c>
      <x:c r="E1035" t="str" s="2">
        <x:v>ame.atteby@gmail.com</x:v>
      </x:c>
      <x:c r="F1035" t="str" s="2">
        <x:v>Website</x:v>
      </x:c>
      <x:c r="G1035" t="str" s="2">
        <x:v>Yanet Alvarez</x:v>
      </x:c>
      <x:c r="H1035" s="6">
        <x:v>46286.924474189815</x:v>
      </x:c>
      <x:c r="I1035" s="0"/>
      <x:c r="J1035" s="0"/>
      <x:c r="K1035" s="6">
        <x:v>46307.893589548614</x:v>
      </x:c>
      <x:c r="L1035" t="str" s="2">
        <x:v>Contacted</x:v>
      </x:c>
    </x:row>
    <x:row r="1036">
      <x:c r="A1036" t="str" s="2">
        <x:f>="Benjamin Adams"</x:f>
      </x:c>
      <x:c r="B1036" t="str" s="2">
        <x:v>Heritage Housing of Athens</x:v>
      </x:c>
      <x:c r="C1036" t="str" s="2">
        <x:v/>
      </x:c>
      <x:c r="D1036" t="str" s="2">
        <x:v>9432066629</x:v>
      </x:c>
      <x:c r="E1036" t="str" s="2">
        <x:v>benjaminadams94@gmail.com</x:v>
      </x:c>
      <x:c r="F1036" t="str" s="2">
        <x:v>Landing_BPM</x:v>
      </x:c>
      <x:c r="G1036" t="str" s="2">
        <x:v>Nathan Bishop</x:v>
      </x:c>
      <x:c r="H1036" s="6">
        <x:v>46286.93934297454</x:v>
      </x:c>
      <x:c r="I1036" s="0"/>
      <x:c r="J1036" s="0"/>
      <x:c r="K1036" s="6">
        <x:v>46287.59252511574</x:v>
      </x:c>
      <x:c r="L1036" t="str" s="2">
        <x:v>Contacted</x:v>
      </x:c>
    </x:row>
    <x:row r="1037">
      <x:c r="A1037" t="str" s="2">
        <x:f>="Susan Fostee"</x:f>
      </x:c>
      <x:c r="B1037" t="str" s="2">
        <x:v>Heritage Housing Marble Falls</x:v>
      </x:c>
      <x:c r="C1037" t="str" s="2">
        <x:v/>
      </x:c>
      <x:c r="D1037" t="str" s="2">
        <x:v>2549756819</x:v>
      </x:c>
      <x:c r="E1037" t="str" s="2">
        <x:v>supriem@yahoo.com</x:v>
      </x:c>
      <x:c r="F1037" t="str" s="2">
        <x:v>Landing_BPM</x:v>
      </x:c>
      <x:c r="G1037" t="str" s="2">
        <x:v>Garrett Riedesel</x:v>
      </x:c>
      <x:c r="H1037" s="6">
        <x:v>46286.94277685185</x:v>
      </x:c>
      <x:c r="I1037" s="0"/>
      <x:c r="J1037" s="0"/>
      <x:c r="K1037" s="6">
        <x:v>46290.852689039355</x:v>
      </x:c>
      <x:c r="L1037" t="str" s="2">
        <x:v>Contacted</x:v>
      </x:c>
    </x:row>
    <x:row r="1038">
      <x:c r="A1038" t="str" s="2">
        <x:f>="Ann Pardue Meeks"</x:f>
      </x:c>
      <x:c r="B1038" t="str" s="2">
        <x:v>Heritage Housing of Minden</x:v>
      </x:c>
      <x:c r="C1038" t="str" s="2">
        <x:v>0/1</x:v>
      </x:c>
      <x:c r="D1038" t="str" s="2">
        <x:v>3182652958</x:v>
      </x:c>
      <x:c r="E1038" t="str" s="2">
        <x:v>ann.pardue.1987@gmail.com</x:v>
      </x:c>
      <x:c r="F1038" t="str" s="2">
        <x:v>Landing_BPM</x:v>
      </x:c>
      <x:c r="G1038" t="str" s="2">
        <x:v>Kyla Brown</x:v>
      </x:c>
      <x:c r="H1038" s="6">
        <x:v>46286.94719224537</x:v>
      </x:c>
      <x:c r="I1038" s="0"/>
      <x:c r="J1038" s="0"/>
      <x:c r="K1038" s="6">
        <x:v>46287.91641200231</x:v>
      </x:c>
      <x:c r="L1038" t="str" s="2">
        <x:v>Contacted</x:v>
      </x:c>
    </x:row>
    <x:row r="1039">
      <x:c r="A1039" t="str" s="2">
        <x:f>="Brittni Morgan"</x:f>
      </x:c>
      <x:c r="B1039" t="str" s="2">
        <x:v>Heritage Housing Gainesville</x:v>
      </x:c>
      <x:c r="C1039" t="str" s="2">
        <x:v/>
      </x:c>
      <x:c r="D1039" t="str" s="2">
        <x:v>9407271857</x:v>
      </x:c>
      <x:c r="E1039" t="str" s="2">
        <x:v>www.brittni.hatten2014@gmail.com</x:v>
      </x:c>
      <x:c r="F1039" t="str" s="2">
        <x:v>Website</x:v>
      </x:c>
      <x:c r="G1039" t="str" s="2">
        <x:v>Jeniffer Arellano</x:v>
      </x:c>
      <x:c r="H1039" s="6">
        <x:v>46286.96744383102</x:v>
      </x:c>
      <x:c r="I1039" s="0"/>
      <x:c r="J1039" s="0"/>
      <x:c r="K1039" s="6">
        <x:v>46308.711981747685</x:v>
      </x:c>
      <x:c r="L1039" t="str" s="2">
        <x:v>Contacted</x:v>
      </x:c>
    </x:row>
    <x:row r="1040">
      <x:c r="A1040" t="str" s="2">
        <x:f>="Tamica Heard"</x:f>
      </x:c>
      <x:c r="B1040" t="str" s="2">
        <x:v>Heritage Housing of Albany</x:v>
      </x:c>
      <x:c r="C1040" t="str" s="2">
        <x:v/>
      </x:c>
      <x:c r="D1040" t="str" s="2">
        <x:v>4045328434</x:v>
      </x:c>
      <x:c r="E1040" t="str" s="2">
        <x:v>mekmekheard@gmail.com</x:v>
      </x:c>
      <x:c r="F1040" t="str" s="2">
        <x:v>Youtube</x:v>
      </x:c>
      <x:c r="G1040" t="str" s="2">
        <x:v>Justin Johnson</x:v>
      </x:c>
      <x:c r="H1040" s="6">
        <x:v>46286.970580671295</x:v>
      </x:c>
      <x:c r="I1040" s="0"/>
      <x:c r="J1040" s="0"/>
      <x:c r="K1040" s="6">
        <x:v>46287.73411883102</x:v>
      </x:c>
      <x:c r="L1040" t="str" s="2">
        <x:v>Contacted</x:v>
      </x:c>
    </x:row>
    <x:row r="1041">
      <x:c r="A1041" t="str" s="2">
        <x:f>="Ava Martin Martin"</x:f>
      </x:c>
      <x:c r="B1041" t="str" s="2">
        <x:v>Heritage Housing of Albany</x:v>
      </x:c>
      <x:c r="C1041" t="str" s="2">
        <x:v/>
      </x:c>
      <x:c r="D1041" t="str" s="2">
        <x:v>2025557468</x:v>
      </x:c>
      <x:c r="E1041" t="str" s="2">
        <x:v>deliaakers@comcast.net</x:v>
      </x:c>
      <x:c r="F1041" t="str" s="2">
        <x:v>Website</x:v>
      </x:c>
      <x:c r="G1041" t="str" s="2">
        <x:v>Yanet Alvarez</x:v>
      </x:c>
      <x:c r="H1041" s="6">
        <x:v>46287.03577461805</x:v>
      </x:c>
      <x:c r="I1041" s="0"/>
      <x:c r="J1041" s="0"/>
      <x:c r="K1041" s="6">
        <x:v>46307.89338174769</x:v>
      </x:c>
      <x:c r="L1041" t="str" s="2">
        <x:v>Contacted</x:v>
      </x:c>
    </x:row>
    <x:row r="1042">
      <x:c r="A1042" t="str" s="2">
        <x:f>="Daniel Wilson Wilson"</x:f>
      </x:c>
      <x:c r="B1042" t="str" s="2">
        <x:v>Heritage Housing of Albany</x:v>
      </x:c>
      <x:c r="C1042" t="str" s="2">
        <x:v/>
      </x:c>
      <x:c r="D1042" t="str" s="2">
        <x:v>2025553159</x:v>
      </x:c>
      <x:c r="E1042" t="str" s="2">
        <x:v>khuynhpersonal@gmail.com</x:v>
      </x:c>
      <x:c r="F1042" t="str" s="2">
        <x:v>Website</x:v>
      </x:c>
      <x:c r="G1042" t="str" s="2">
        <x:v>Yanet Alvarez</x:v>
      </x:c>
      <x:c r="H1042" s="6">
        <x:v>46287.05182068287</x:v>
      </x:c>
      <x:c r="I1042" s="0"/>
      <x:c r="J1042" s="0"/>
      <x:c r="K1042" s="6">
        <x:v>46307.89329355324</x:v>
      </x:c>
      <x:c r="L1042" t="str" s="2">
        <x:v>Contacted</x:v>
      </x:c>
    </x:row>
    <x:row r="1043">
      <x:c r="A1043" t="str" s="2">
        <x:f>="Jeffery Spires"</x:f>
      </x:c>
      <x:c r="B1043" t="str" s="2">
        <x:v>Heritage Housing of Jennings</x:v>
      </x:c>
      <x:c r="C1043" t="str" s="2">
        <x:v>0/1</x:v>
      </x:c>
      <x:c r="D1043" t="str" s="2">
        <x:v>7692799519</x:v>
      </x:c>
      <x:c r="E1043" t="str" s="2">
        <x:v>jefferyspires@yahoo.com</x:v>
      </x:c>
      <x:c r="F1043" t="str" s="2">
        <x:v>Landing_BPM</x:v>
      </x:c>
      <x:c r="G1043" t="str" s="2">
        <x:v>Clint O'Neal</x:v>
      </x:c>
      <x:c r="H1043" s="6">
        <x:v>46287.07257091435</x:v>
      </x:c>
      <x:c r="I1043" s="0"/>
      <x:c r="J1043" s="0"/>
      <x:c r="K1043" s="6">
        <x:v>46303.86535625</x:v>
      </x:c>
      <x:c r="L1043" t="str" s="2">
        <x:v>Contacted</x:v>
      </x:c>
    </x:row>
    <x:row r="1044">
      <x:c r="A1044" t="str" s="2">
        <x:f>="Lagwentric Frazier"</x:f>
      </x:c>
      <x:c r="B1044" t="str" s="2">
        <x:v>Heritage Housing of Minden</x:v>
      </x:c>
      <x:c r="C1044" t="str" s="2">
        <x:v>0/1</x:v>
      </x:c>
      <x:c r="D1044" t="str" s="2">
        <x:v>3185106052</x:v>
      </x:c>
      <x:c r="E1044" t="str" s="2">
        <x:v>lagwentric@gmail.com</x:v>
      </x:c>
      <x:c r="F1044" t="str" s="2">
        <x:v>Landing_BPM</x:v>
      </x:c>
      <x:c r="G1044" t="str" s="2">
        <x:v>Patrick Schuchart</x:v>
      </x:c>
      <x:c r="H1044" s="6">
        <x:v>46287.08262248843</x:v>
      </x:c>
      <x:c r="I1044" s="0"/>
      <x:c r="J1044" s="0"/>
      <x:c r="K1044" s="6">
        <x:v>46287.91363329861</x:v>
      </x:c>
      <x:c r="L1044" t="str" s="2">
        <x:v>Contacted</x:v>
      </x:c>
    </x:row>
    <x:row r="1045">
      <x:c r="A1045" t="str" s="2">
        <x:f>="Marcell Arjona"</x:f>
      </x:c>
      <x:c r="B1045" t="str" s="2">
        <x:v>Heritage Housing of Asheboro</x:v>
      </x:c>
      <x:c r="C1045" t="str" s="2">
        <x:v/>
      </x:c>
      <x:c r="D1045" t="str" s="2">
        <x:v>8037356474</x:v>
      </x:c>
      <x:c r="E1045" t="str" s="2">
        <x:v>marjona55@gmail.com</x:v>
      </x:c>
      <x:c r="F1045" t="str" s="2">
        <x:v>Financing Form</x:v>
      </x:c>
      <x:c r="G1045" t="str" s="2">
        <x:v>Maria Lopez</x:v>
      </x:c>
      <x:c r="H1045" s="6">
        <x:v>46287.116912847225</x:v>
      </x:c>
      <x:c r="I1045" s="0"/>
      <x:c r="J1045" s="0"/>
      <x:c r="K1045" s="6">
        <x:v>46287.925174421296</x:v>
      </x:c>
      <x:c r="L1045" t="str" s="2">
        <x:v>Contacted</x:v>
      </x:c>
    </x:row>
    <x:row r="1046">
      <x:c r="A1046" t="str" s="2">
        <x:f>="Nancy Rodgers"</x:f>
      </x:c>
      <x:c r="B1046" t="str" s="2">
        <x:v>Heritage Housing Mt Pleasant</x:v>
      </x:c>
      <x:c r="C1046" t="str" s="2">
        <x:v/>
      </x:c>
      <x:c r="D1046" t="str" s="2">
        <x:v>5805792763</x:v>
      </x:c>
      <x:c r="E1046" t="str" s="2">
        <x:v>nancy.rodgers1@gmail.com</x:v>
      </x:c>
      <x:c r="F1046" t="str" s="2">
        <x:v>Landing_BPM</x:v>
      </x:c>
      <x:c r="G1046" t="str" s="2">
        <x:v>Yarelis Torres</x:v>
      </x:c>
      <x:c r="H1046" s="6">
        <x:v>46287.14837685185</x:v>
      </x:c>
      <x:c r="I1046" s="0"/>
      <x:c r="J1046" s="0"/>
      <x:c r="K1046" s="6">
        <x:v>46290.742916400464</x:v>
      </x:c>
      <x:c r="L1046" t="str" s="2">
        <x:v>Contacted</x:v>
      </x:c>
    </x:row>
    <x:row r="1047">
      <x:c r="A1047" t="str" s="2">
        <x:f>="Eli Hembree"</x:f>
      </x:c>
      <x:c r="B1047" t="str" s="2">
        <x:v>Heritage Housing of Athens</x:v>
      </x:c>
      <x:c r="C1047" t="str" s="2">
        <x:v/>
      </x:c>
      <x:c r="D1047" t="str" s="2">
        <x:v>7063719630</x:v>
      </x:c>
      <x:c r="E1047" t="str" s="2">
        <x:v>elihembree613@gmail.com</x:v>
      </x:c>
      <x:c r="F1047" t="str" s="2">
        <x:v>Website</x:v>
      </x:c>
      <x:c r="G1047" t="str" s="2">
        <x:v>Ethan Fossett</x:v>
      </x:c>
      <x:c r="H1047" s="6">
        <x:v>46287.27034649305</x:v>
      </x:c>
      <x:c r="I1047" s="0"/>
      <x:c r="J1047" s="0"/>
      <x:c r="K1047" s="6">
        <x:v>46291.86728799769</x:v>
      </x:c>
      <x:c r="L1047" t="str" s="2">
        <x:v>Contacted</x:v>
      </x:c>
    </x:row>
    <x:row r="1048">
      <x:c r="A1048" t="str" s="2">
        <x:f>="Kesha Sims"</x:f>
      </x:c>
      <x:c r="B1048" t="str" s="2">
        <x:v>Heritage Housing of Minden</x:v>
      </x:c>
      <x:c r="C1048" t="str" s="2">
        <x:v>0/1</x:v>
      </x:c>
      <x:c r="D1048" t="str" s="2">
        <x:v>3182162341</x:v>
      </x:c>
      <x:c r="E1048" t="str" s="2">
        <x:v>keshasims37@gmail.com</x:v>
      </x:c>
      <x:c r="F1048" t="str" s="2">
        <x:v>Landing_BPM</x:v>
      </x:c>
      <x:c r="G1048" t="str" s="2">
        <x:v>Kyla Brown</x:v>
      </x:c>
      <x:c r="H1048" s="6">
        <x:v>46287.55232638889</x:v>
      </x:c>
      <x:c r="I1048" s="0"/>
      <x:c r="J1048" s="0"/>
      <x:c r="K1048" s="6">
        <x:v>46287.91289626157</x:v>
      </x:c>
      <x:c r="L1048" t="str" s="2">
        <x:v>Contacted</x:v>
      </x:c>
    </x:row>
    <x:row r="1049">
      <x:c r="A1049" t="str" s="2">
        <x:f>="Isabella Thompson Thompson"</x:f>
      </x:c>
      <x:c r="B1049" t="str" s="2">
        <x:v>Heritage Housing of Albany</x:v>
      </x:c>
      <x:c r="C1049" t="str" s="2">
        <x:v/>
      </x:c>
      <x:c r="D1049" t="str" s="2">
        <x:v>2025557696</x:v>
      </x:c>
      <x:c r="E1049" t="str" s="2">
        <x:v>dave.butler.at@gmail.com</x:v>
      </x:c>
      <x:c r="F1049" t="str" s="2">
        <x:v>Website</x:v>
      </x:c>
      <x:c r="G1049" t="str" s="2">
        <x:v>Justin Johnson</x:v>
      </x:c>
      <x:c r="H1049" s="6">
        <x:v>46287.554892280095</x:v>
      </x:c>
      <x:c r="I1049" s="0"/>
      <x:c r="J1049" s="0"/>
      <x:c r="K1049" s="6">
        <x:v>46287.7333477662</x:v>
      </x:c>
      <x:c r="L1049" t="str" s="2">
        <x:v>Contacted</x:v>
      </x:c>
    </x:row>
    <x:row r="1050">
      <x:c r="A1050" t="str" s="2">
        <x:f>="Raymond Holmes"</x:f>
      </x:c>
      <x:c r="B1050" t="str" s="2">
        <x:v>Heritage Housing of Albany</x:v>
      </x:c>
      <x:c r="C1050" t="str" s="2">
        <x:v/>
      </x:c>
      <x:c r="D1050" t="str" s="2">
        <x:v>8634094592</x:v>
      </x:c>
      <x:c r="E1050" t="str" s="2">
        <x:v>rayholmes125@gmail.com</x:v>
      </x:c>
      <x:c r="F1050" t="str" s="2">
        <x:v>Landing_BPM</x:v>
      </x:c>
      <x:c r="G1050" t="str" s="2">
        <x:v>Yanet Alvarez</x:v>
      </x:c>
      <x:c r="H1050" s="6">
        <x:v>46287.60775505787</x:v>
      </x:c>
      <x:c r="I1050" s="0"/>
      <x:c r="J1050" s="0"/>
      <x:c r="K1050" s="6">
        <x:v>46307.749487581015</x:v>
      </x:c>
      <x:c r="L1050" t="str" s="2">
        <x:v>Contacted</x:v>
      </x:c>
    </x:row>
    <x:row r="1051">
      <x:c r="A1051" t="str" s="2">
        <x:f>="Tamra Taylor"</x:f>
      </x:c>
      <x:c r="B1051" t="str" s="2">
        <x:v>Heritage Housing of Albany</x:v>
      </x:c>
      <x:c r="C1051" t="str" s="2">
        <x:v/>
      </x:c>
      <x:c r="D1051" t="str" s="2">
        <x:v>2293753652</x:v>
      </x:c>
      <x:c r="E1051" t="str" s="2">
        <x:v>blalock.tammy@yahoo.com</x:v>
      </x:c>
      <x:c r="F1051" t="str" s="2">
        <x:v>Landing_BPM</x:v>
      </x:c>
      <x:c r="G1051" t="str" s="2">
        <x:v>Justin Johnson</x:v>
      </x:c>
      <x:c r="H1051" s="6">
        <x:v>46287.65655219907</x:v>
      </x:c>
      <x:c r="I1051" s="0"/>
      <x:c r="J1051" s="0"/>
      <x:c r="K1051" s="6">
        <x:v>46287.73049695602</x:v>
      </x:c>
      <x:c r="L1051" t="str" s="2">
        <x:v>Contacted</x:v>
      </x:c>
    </x:row>
    <x:row r="1052">
      <x:c r="A1052" t="str" s="2">
        <x:f>="Destiny Trowell"</x:f>
      </x:c>
      <x:c r="B1052" t="str" s="2">
        <x:v>Heritage Housing of Albany</x:v>
      </x:c>
      <x:c r="C1052" t="str" s="2">
        <x:v>1/2</x:v>
      </x:c>
      <x:c r="D1052" t="str" s="2">
        <x:v>4709070527</x:v>
      </x:c>
      <x:c r="E1052" t="str" s="2">
        <x:v>destinytrowell6@gmail.com</x:v>
      </x:c>
      <x:c r="F1052" t="str" s="2">
        <x:v>Financing Form</x:v>
      </x:c>
      <x:c r="G1052" t="str" s="2">
        <x:v>Yanet Alvarez</x:v>
      </x:c>
      <x:c r="H1052" s="6">
        <x:v>46287.73923090278</x:v>
      </x:c>
      <x:c r="I1052" s="0"/>
      <x:c r="J1052" s="0"/>
      <x:c r="K1052" s="6">
        <x:v>46287.74804189815</x:v>
      </x:c>
      <x:c r="L1052" t="str" s="2">
        <x:v>Contacted</x:v>
      </x:c>
    </x:row>
    <x:row r="1053">
      <x:c r="A1053" t="str" s="2">
        <x:f>="Lucy Neal Hardwick"</x:f>
      </x:c>
      <x:c r="B1053" t="str" s="2">
        <x:v>Heritage Housing Gainesville</x:v>
      </x:c>
      <x:c r="C1053" t="str" s="2">
        <x:v/>
      </x:c>
      <x:c r="D1053" t="str" s="2">
        <x:v>4695809380</x:v>
      </x:c>
      <x:c r="E1053" t="str" s="2">
        <x:v>lucynealhardwick@gmail.com</x:v>
      </x:c>
      <x:c r="F1053" t="str" s="2">
        <x:v>Landing_BPM</x:v>
      </x:c>
      <x:c r="G1053" t="str" s="2">
        <x:v>Kelly Ford</x:v>
      </x:c>
      <x:c r="H1053" s="6">
        <x:v>46287.78578510417</x:v>
      </x:c>
      <x:c r="I1053" s="0"/>
      <x:c r="J1053" s="0"/>
      <x:c r="K1053" s="6">
        <x:v>46288.84551724537</x:v>
      </x:c>
      <x:c r="L1053" t="str" s="2">
        <x:v>Contacted</x:v>
      </x:c>
    </x:row>
    <x:row r="1054">
      <x:c r="A1054" t="str" s="2">
        <x:f>="ALEYDA NARVAEZ"</x:f>
      </x:c>
      <x:c r="B1054" t="str" s="2">
        <x:v>Heritage Housing Marble Falls</x:v>
      </x:c>
      <x:c r="C1054" t="str" s="2">
        <x:v/>
      </x:c>
      <x:c r="D1054" t="str" s="2">
        <x:v>9562902809</x:v>
      </x:c>
      <x:c r="E1054" t="str" s="2">
        <x:v>narvaezaleyda@yahoo.com</x:v>
      </x:c>
      <x:c r="F1054" t="str" s="2">
        <x:v>Financing Form</x:v>
      </x:c>
      <x:c r="G1054" t="str" s="2">
        <x:v>Garrett Riedesel</x:v>
      </x:c>
      <x:c r="H1054" s="6">
        <x:v>46287.7948908912</x:v>
      </x:c>
      <x:c r="I1054" s="0"/>
      <x:c r="J1054" s="0"/>
      <x:c r="K1054" s="6">
        <x:v>46289.657230289355</x:v>
      </x:c>
      <x:c r="L1054" t="str" s="2">
        <x:v>Contacted</x:v>
      </x:c>
    </x:row>
    <x:row r="1055">
      <x:c r="A1055" t="str" s="2">
        <x:f>="Larryguict LarryguictPA"</x:f>
      </x:c>
      <x:c r="B1055" t="str" s="2">
        <x:v>Heritage Housing of Greenville</x:v>
      </x:c>
      <x:c r="C1055" t="str" s="2">
        <x:v/>
      </x:c>
      <x:c r="D1055" t="str" s="2">
        <x:v>82587437875</x:v>
      </x:c>
      <x:c r="E1055" t="str" s="2">
        <x:v>djdhuhe@dtqhtll.jwb</x:v>
      </x:c>
      <x:c r="F1055" t="str" s="2">
        <x:v>Website</x:v>
      </x:c>
      <x:c r="G1055" t="str" s="2">
        <x:v>Brooklynn Allen</x:v>
      </x:c>
      <x:c r="H1055" s="6">
        <x:v>46287.98527619213</x:v>
      </x:c>
      <x:c r="I1055" s="0"/>
      <x:c r="J1055" s="0"/>
      <x:c r="K1055" s="6">
        <x:v>46288.61480559028</x:v>
      </x:c>
      <x:c r="L1055" t="str" s="2">
        <x:v>Contacted</x:v>
      </x:c>
    </x:row>
    <x:row r="1056">
      <x:c r="A1056" t="str" s="2">
        <x:f>="Elizabeth Martinez Martinez"</x:f>
      </x:c>
      <x:c r="B1056" t="str" s="2">
        <x:v>Heritage Housing of Albany</x:v>
      </x:c>
      <x:c r="C1056" t="str" s="2">
        <x:v/>
      </x:c>
      <x:c r="D1056" t="str" s="2">
        <x:v>2025559535</x:v>
      </x:c>
      <x:c r="E1056" t="str" s="2">
        <x:v>bdyangyuan@163.com</x:v>
      </x:c>
      <x:c r="F1056" t="str" s="2">
        <x:v>Website</x:v>
      </x:c>
      <x:c r="G1056" t="str" s="2">
        <x:v>Justin Johnson</x:v>
      </x:c>
      <x:c r="H1056" s="6">
        <x:v>46288.01048660879</x:v>
      </x:c>
      <x:c r="I1056" s="0"/>
      <x:c r="J1056" s="0"/>
      <x:c r="K1056" s="6">
        <x:v>46288.573610416664</x:v>
      </x:c>
      <x:c r="L1056" t="str" s="2">
        <x:v>Contacted</x:v>
      </x:c>
    </x:row>
    <x:row r="1057">
      <x:c r="A1057" t="str" s="2">
        <x:f>="Keith Bowman"</x:f>
      </x:c>
      <x:c r="B1057" t="str" s="2">
        <x:v>Heritage Housing of Albany</x:v>
      </x:c>
      <x:c r="C1057" t="str" s="2">
        <x:v/>
      </x:c>
      <x:c r="D1057" t="str" s="2">
        <x:v>3397565010</x:v>
      </x:c>
      <x:c r="E1057" t="str" s="2">
        <x:v>KEITH61bowman@gmail.com</x:v>
      </x:c>
      <x:c r="F1057" t="str" s="2">
        <x:v>Financing Form</x:v>
      </x:c>
      <x:c r="G1057" t="str" s="2">
        <x:v>Yanet Alvarez</x:v>
      </x:c>
      <x:c r="H1057" s="6">
        <x:v>46288.02096354167</x:v>
      </x:c>
      <x:c r="I1057" s="0"/>
      <x:c r="J1057" s="0"/>
      <x:c r="K1057" s="6">
        <x:v>46307.89301114583</x:v>
      </x:c>
      <x:c r="L1057" t="str" s="2">
        <x:v>Contacted</x:v>
      </x:c>
    </x:row>
    <x:row r="1058">
      <x:c r="A1058" t="str" s="2">
        <x:f>="Emily Johnson Johnson"</x:f>
      </x:c>
      <x:c r="B1058" t="str" s="2">
        <x:v>Heritage Housing of Albany</x:v>
      </x:c>
      <x:c r="C1058" t="str" s="2">
        <x:v/>
      </x:c>
      <x:c r="D1058" t="str" s="2">
        <x:v>2025550168</x:v>
      </x:c>
      <x:c r="E1058" t="str" s="2">
        <x:v>mxuliana@gmail.com</x:v>
      </x:c>
      <x:c r="F1058" t="str" s="2">
        <x:v>Website</x:v>
      </x:c>
      <x:c r="G1058" t="str" s="2">
        <x:v>Yanet Alvarez</x:v>
      </x:c>
      <x:c r="H1058" s="6">
        <x:v>46288.04581739583</x:v>
      </x:c>
      <x:c r="I1058" s="0"/>
      <x:c r="J1058" s="0"/>
      <x:c r="K1058" s="6">
        <x:v>46307.750264780094</x:v>
      </x:c>
      <x:c r="L1058" t="str" s="2">
        <x:v>Contacted</x:v>
      </x:c>
    </x:row>
    <x:row r="1059">
      <x:c r="A1059" t="str" s="2">
        <x:f>="Dylan Martinez"</x:f>
      </x:c>
      <x:c r="B1059" t="str" s="2">
        <x:v>Heritage Housing Gainesville</x:v>
      </x:c>
      <x:c r="C1059" t="str" s="2">
        <x:v/>
      </x:c>
      <x:c r="D1059" t="str" s="2">
        <x:v>7262603089</x:v>
      </x:c>
      <x:c r="E1059" t="str" s="2">
        <x:v>smartmailboxcompany@gmail.com</x:v>
      </x:c>
      <x:c r="F1059" t="str" s="2">
        <x:v>Financing Form</x:v>
      </x:c>
      <x:c r="G1059" t="str" s="2">
        <x:v>Jeniffer Arellano</x:v>
      </x:c>
      <x:c r="H1059" s="6">
        <x:v>46288.154175613425</x:v>
      </x:c>
      <x:c r="I1059" s="0"/>
      <x:c r="J1059" s="0"/>
      <x:c r="K1059" s="6">
        <x:v>46308.71189568287</x:v>
      </x:c>
      <x:c r="L1059" t="str" s="2">
        <x:v>Contacted</x:v>
      </x:c>
    </x:row>
    <x:row r="1060">
      <x:c r="A1060" t="str" s="2">
        <x:f>="Amanda Alessi"</x:f>
      </x:c>
      <x:c r="B1060" t="str" s="2">
        <x:v>Heritage Housing of Minden</x:v>
      </x:c>
      <x:c r="C1060" t="str" s="2">
        <x:v>0/1</x:v>
      </x:c>
      <x:c r="D1060" t="str" s="2">
        <x:v>3186783423</x:v>
      </x:c>
      <x:c r="E1060" t="str" s="2">
        <x:v>amandaalessi1111@gmail.com</x:v>
      </x:c>
      <x:c r="F1060" t="str" s="2">
        <x:v>Financing Form</x:v>
      </x:c>
      <x:c r="G1060" t="str" s="2">
        <x:v>Patrick Schuchart</x:v>
      </x:c>
      <x:c r="H1060" s="6">
        <x:v>46288.16271859954</x:v>
      </x:c>
      <x:c r="I1060" s="0"/>
      <x:c r="J1060" s="0"/>
      <x:c r="K1060" s="6">
        <x:v>46288.77844297454</x:v>
      </x:c>
      <x:c r="L1060" t="str" s="2">
        <x:v>Contacted</x:v>
      </x:c>
    </x:row>
    <x:row r="1061">
      <x:c r="A1061" t="str" s="2">
        <x:f>="Bre Brown"</x:f>
      </x:c>
      <x:c r="B1061" t="str" s="2">
        <x:v>Heritage Housing of Athens</x:v>
      </x:c>
      <x:c r="C1061" t="str" s="2">
        <x:v/>
      </x:c>
      <x:c r="D1061" t="str" s="2">
        <x:v>9434735065</x:v>
      </x:c>
      <x:c r="E1061" t="str" s="2">
        <x:v>brownbreanna949@gmail.com</x:v>
      </x:c>
      <x:c r="F1061" t="str" s="2">
        <x:v>Landing_BPM</x:v>
      </x:c>
      <x:c r="G1061" t="str" s="2">
        <x:v>Ethan Fossett</x:v>
      </x:c>
      <x:c r="H1061" s="6">
        <x:v>46288.386717939815</x:v>
      </x:c>
      <x:c r="I1061" s="0"/>
      <x:c r="J1061" s="0"/>
      <x:c r="K1061" s="6">
        <x:v>46300.92690049769</x:v>
      </x:c>
      <x:c r="L1061" t="str" s="2">
        <x:v>Contacted</x:v>
      </x:c>
    </x:row>
    <x:row r="1062">
      <x:c r="A1062" t="str" s="2">
        <x:f>="DEREK CHAKA"</x:f>
      </x:c>
      <x:c r="B1062" t="str" s="2">
        <x:v>Heritage Housing of Albany</x:v>
      </x:c>
      <x:c r="C1062" t="str" s="2">
        <x:v/>
      </x:c>
      <x:c r="D1062" t="str" s="2">
        <x:v>4702223689</x:v>
      </x:c>
      <x:c r="E1062" t="str" s="2">
        <x:v>derekchaka@gmail.com</x:v>
      </x:c>
      <x:c r="F1062" t="str" s="2">
        <x:v>Landing_BPM</x:v>
      </x:c>
      <x:c r="G1062" t="str" s="2">
        <x:v>Justin Johnson</x:v>
      </x:c>
      <x:c r="H1062" s="6">
        <x:v>46288.490148958335</x:v>
      </x:c>
      <x:c r="I1062" s="0"/>
      <x:c r="J1062" s="0"/>
      <x:c r="K1062" s="6">
        <x:v>46288.57405957176</x:v>
      </x:c>
      <x:c r="L1062" t="str" s="2">
        <x:v>Contacted</x:v>
      </x:c>
    </x:row>
    <x:row r="1063">
      <x:c r="A1063" t="str" s="2">
        <x:f>="Jennifer Smith"</x:f>
      </x:c>
      <x:c r="B1063" t="str" s="2">
        <x:v>Heritage Housing of Athens</x:v>
      </x:c>
      <x:c r="C1063" t="str" s="2">
        <x:v>0/2</x:v>
      </x:c>
      <x:c r="D1063" t="str" s="2">
        <x:v>7624454382</x:v>
      </x:c>
      <x:c r="E1063" t="str" s="2">
        <x:v>jakaylasmith19822@gmail.com</x:v>
      </x:c>
      <x:c r="F1063" t="str" s="2">
        <x:v>Landing_BPM</x:v>
      </x:c>
      <x:c r="G1063" t="str" s="2">
        <x:v>Ethan Fossett</x:v>
      </x:c>
      <x:c r="H1063" s="6">
        <x:v>46288.662453125</x:v>
      </x:c>
      <x:c r="I1063" s="0"/>
      <x:c r="J1063" s="0"/>
      <x:c r="K1063" s="6">
        <x:v>46302.90067199074</x:v>
      </x:c>
      <x:c r="L1063" t="str" s="2">
        <x:v>Contacted</x:v>
      </x:c>
    </x:row>
    <x:row r="1064">
      <x:c r="A1064" t="str" s="2">
        <x:f>="Robert Williams Williams"</x:f>
      </x:c>
      <x:c r="B1064" t="str" s="2">
        <x:v>Heritage Housing of Albany</x:v>
      </x:c>
      <x:c r="C1064" t="str" s="2">
        <x:v/>
      </x:c>
      <x:c r="D1064" t="str" s="2">
        <x:v>2025555455</x:v>
      </x:c>
      <x:c r="E1064" t="str" s="2">
        <x:v>tamburini1adrien1@gmail.com</x:v>
      </x:c>
      <x:c r="F1064" t="str" s="2">
        <x:v>Website</x:v>
      </x:c>
      <x:c r="G1064" t="str" s="2">
        <x:v>Yanet Alvarez</x:v>
      </x:c>
      <x:c r="H1064" s="6">
        <x:v>46288.70739976852</x:v>
      </x:c>
      <x:c r="I1064" s="0"/>
      <x:c r="J1064" s="0"/>
      <x:c r="K1064" s="6">
        <x:v>46307.89239525463</x:v>
      </x:c>
      <x:c r="L1064" t="str" s="2">
        <x:v>Contacted</x:v>
      </x:c>
    </x:row>
    <x:row r="1065">
      <x:c r="A1065" t="str" s="2">
        <x:f>="Noah Wyatt"</x:f>
      </x:c>
      <x:c r="B1065" t="str" s="2">
        <x:v>Heritage Housing of Minden</x:v>
      </x:c>
      <x:c r="C1065" t="str" s="2">
        <x:v>0/1</x:v>
      </x:c>
      <x:c r="D1065" t="str" s="2">
        <x:v>9039161768</x:v>
      </x:c>
      <x:c r="E1065" t="str" s="2">
        <x:v>noah1wyatt1@gmail.com</x:v>
      </x:c>
      <x:c r="F1065" t="str" s="2">
        <x:v>Website</x:v>
      </x:c>
      <x:c r="G1065" t="str" s="2">
        <x:v>Kyla Brown</x:v>
      </x:c>
      <x:c r="H1065" s="6">
        <x:v>46288.790833680556</x:v>
      </x:c>
      <x:c r="I1065" s="0"/>
      <x:c r="J1065" s="0"/>
      <x:c r="K1065" s="6">
        <x:v>46288.87407827546</x:v>
      </x:c>
      <x:c r="L1065" t="str" s="2">
        <x:v>Contacted</x:v>
      </x:c>
    </x:row>
    <x:row r="1066">
      <x:c r="A1066" t="str" s="2">
        <x:f>="Tiffany Lewis"</x:f>
      </x:c>
      <x:c r="B1066" t="str" s="2">
        <x:v>Heritage Housing of Albany</x:v>
      </x:c>
      <x:c r="C1066" t="str" s="2">
        <x:v/>
      </x:c>
      <x:c r="D1066" t="str" s="2">
        <x:v>7623854499</x:v>
      </x:c>
      <x:c r="E1066" t="str" s="2">
        <x:v>tiplewis06@gmail.com</x:v>
      </x:c>
      <x:c r="F1066" t="str" s="2">
        <x:v>Landing_BPM</x:v>
      </x:c>
      <x:c r="G1066" t="str" s="2">
        <x:v>Justin Johnson</x:v>
      </x:c>
      <x:c r="H1066" s="6">
        <x:v>46288.7951415162</x:v>
      </x:c>
      <x:c r="I1066" s="0"/>
      <x:c r="J1066" s="0"/>
      <x:c r="K1066" s="6">
        <x:v>46289.624408993055</x:v>
      </x:c>
      <x:c r="L1066" t="str" s="2">
        <x:v>Contacted</x:v>
      </x:c>
    </x:row>
    <x:row r="1067">
      <x:c r="A1067" t="str" s="2">
        <x:f>=HYPERLINK("https://rsms.futurehomex.com/lead/40313", "Brian Guillen")</x:f>
      </x:c>
      <x:c r="B1067" t="str" s="2">
        <x:v>Heritage Housing Gainesville</x:v>
      </x:c>
      <x:c r="C1067" t="str" s="2">
        <x:v/>
      </x:c>
      <x:c r="D1067" t="str" s="2">
        <x:v>8302134562</x:v>
      </x:c>
      <x:c r="E1067" t="str" s="2">
        <x:v>8302134562</x:v>
      </x:c>
      <x:c r="F1067" t="str" s="2">
        <x:v>Walk-in</x:v>
      </x:c>
      <x:c r="G1067" t="str" s="2">
        <x:v>Kelly Ford</x:v>
      </x:c>
      <x:c r="H1067" s="6">
        <x:v>46288.84442592593</x:v>
      </x:c>
      <x:c r="I1067" t="str" s="2">
        <x:v>Kelly Ford</x:v>
      </x:c>
      <x:c r="J1067" s="0"/>
      <x:c r="K1067" s="6">
        <x:v>46289.87944741898</x:v>
      </x:c>
      <x:c r="L1067" t="str" s="2">
        <x:v>Contacted</x:v>
      </x:c>
    </x:row>
    <x:row r="1068">
      <x:c r="A1068" t="str" s="2">
        <x:f>="Nicole Smith"</x:f>
      </x:c>
      <x:c r="B1068" t="str" s="2">
        <x:v>Heritage Housing of Minden</x:v>
      </x:c>
      <x:c r="C1068" t="str" s="2">
        <x:v>0/1</x:v>
      </x:c>
      <x:c r="D1068" t="str" s="2">
        <x:v>9792016529</x:v>
      </x:c>
      <x:c r="E1068" t="str" s="2">
        <x:v>nicole.taymck@gmail.com</x:v>
      </x:c>
      <x:c r="F1068" t="str" s="2">
        <x:v>Landing_BPM</x:v>
      </x:c>
      <x:c r="G1068" t="str" s="2">
        <x:v>Patrick Schuchart</x:v>
      </x:c>
      <x:c r="H1068" s="6">
        <x:v>46288.84598302083</x:v>
      </x:c>
      <x:c r="I1068" s="0"/>
      <x:c r="J1068" s="0"/>
      <x:c r="K1068" s="6">
        <x:v>46288.873467094905</x:v>
      </x:c>
      <x:c r="L1068" t="str" s="2">
        <x:v>Contacted</x:v>
      </x:c>
    </x:row>
    <x:row r="1069">
      <x:c r="A1069" t="str" s="2">
        <x:f>="Ashley Jones Jones"</x:f>
      </x:c>
      <x:c r="B1069" t="str" s="2">
        <x:v>Heritage Housing of Albany</x:v>
      </x:c>
      <x:c r="C1069" t="str" s="2">
        <x:v/>
      </x:c>
      <x:c r="D1069" t="str" s="2">
        <x:v>2025550116</x:v>
      </x:c>
      <x:c r="E1069" t="str" s="2">
        <x:v>domkchan@hotmail.com</x:v>
      </x:c>
      <x:c r="F1069" t="str" s="2">
        <x:v>Website</x:v>
      </x:c>
      <x:c r="G1069" t="str" s="2">
        <x:v>Yanet Alvarez</x:v>
      </x:c>
      <x:c r="H1069" s="6">
        <x:v>46288.930065127315</x:v>
      </x:c>
      <x:c r="I1069" s="0"/>
      <x:c r="J1069" s="0"/>
      <x:c r="K1069" s="6">
        <x:v>46307.89212060185</x:v>
      </x:c>
      <x:c r="L1069" t="str" s="2">
        <x:v>Contacted</x:v>
      </x:c>
    </x:row>
    <x:row r="1070">
      <x:c r="A1070" t="str" s="2">
        <x:f>="Seaira Jackson"</x:f>
      </x:c>
      <x:c r="B1070" t="str" s="2">
        <x:v>Heritage Housing of Albany</x:v>
      </x:c>
      <x:c r="C1070" t="str" s="2">
        <x:v>0/2</x:v>
      </x:c>
      <x:c r="D1070" t="str" s="2">
        <x:v>2294579875</x:v>
      </x:c>
      <x:c r="E1070" t="str" s="2">
        <x:v>seairamoon07@gmail.com</x:v>
      </x:c>
      <x:c r="F1070" t="str" s="2">
        <x:v>Landing_BPM</x:v>
      </x:c>
      <x:c r="G1070" t="str" s="2">
        <x:v>Yanet Alvarez</x:v>
      </x:c>
      <x:c r="H1070" s="6">
        <x:v>46288.941804166665</x:v>
      </x:c>
      <x:c r="I1070" s="0"/>
      <x:c r="J1070" s="0"/>
      <x:c r="K1070" s="6">
        <x:v>46303.82758981481</x:v>
      </x:c>
      <x:c r="L1070" t="str" s="2">
        <x:v>Contacted</x:v>
      </x:c>
    </x:row>
    <x:row r="1071">
      <x:c r="A1071" t="str" s="2">
        <x:f>="Taurus Carter"</x:f>
      </x:c>
      <x:c r="B1071" t="str" s="2">
        <x:v>Heritage Housing of Minden</x:v>
      </x:c>
      <x:c r="C1071" t="str" s="2">
        <x:v/>
      </x:c>
      <x:c r="D1071" t="str" s="2">
        <x:v>3188297981</x:v>
      </x:c>
      <x:c r="E1071" t="str" s="2">
        <x:v>yardpeople824@gmail.com</x:v>
      </x:c>
      <x:c r="F1071" t="str" s="2">
        <x:v>Landing_BPM</x:v>
      </x:c>
      <x:c r="G1071" t="str" s="2">
        <x:v>Kyla Brown</x:v>
      </x:c>
      <x:c r="H1071" s="6">
        <x:v>46288.99683329861</x:v>
      </x:c>
      <x:c r="I1071" s="0"/>
      <x:c r="J1071" s="0"/>
      <x:c r="K1071" s="6">
        <x:v>46289.68575902778</x:v>
      </x:c>
      <x:c r="L1071" t="str" s="2">
        <x:v>Contacted</x:v>
      </x:c>
    </x:row>
    <x:row r="1072">
      <x:c r="A1072" t="str" s="2">
        <x:f>="Amanda Jaco"</x:f>
      </x:c>
      <x:c r="B1072" t="str" s="2">
        <x:v>Heritage Housing Mt Pleasant</x:v>
      </x:c>
      <x:c r="C1072" t="str" s="2">
        <x:v/>
      </x:c>
      <x:c r="D1072" t="str" s="2">
        <x:v>9033054453</x:v>
      </x:c>
      <x:c r="E1072" t="str" s="2">
        <x:v>mandyjaco28@gmail.com</x:v>
      </x:c>
      <x:c r="F1072" t="str" s="2">
        <x:v>Landing_BPM</x:v>
      </x:c>
      <x:c r="G1072" t="str" s="2">
        <x:v>Yarelis Torres</x:v>
      </x:c>
      <x:c r="H1072" s="6">
        <x:v>46289.275213692126</x:v>
      </x:c>
      <x:c r="I1072" s="0"/>
      <x:c r="J1072" s="0"/>
      <x:c r="K1072" s="6">
        <x:v>46290.76361863426</x:v>
      </x:c>
      <x:c r="L1072" t="str" s="2">
        <x:v>Contacted</x:v>
      </x:c>
    </x:row>
    <x:row r="1073">
      <x:c r="A1073" t="str" s="2">
        <x:f>="Jennifer Morris"</x:f>
      </x:c>
      <x:c r="B1073" t="str" s="2">
        <x:v>Heritage Housing of Albany</x:v>
      </x:c>
      <x:c r="C1073" t="str" s="2">
        <x:v/>
      </x:c>
      <x:c r="D1073" t="str" s="2">
        <x:v>4782088329</x:v>
      </x:c>
      <x:c r="E1073" t="str" s="2">
        <x:v>jmorri76.jm@gmail.com</x:v>
      </x:c>
      <x:c r="F1073" t="str" s="2">
        <x:v>Landing_BPM</x:v>
      </x:c>
      <x:c r="G1073" t="str" s="2">
        <x:v>Yanet Alvarez</x:v>
      </x:c>
      <x:c r="H1073" s="6">
        <x:v>46289.431305555554</x:v>
      </x:c>
      <x:c r="I1073" s="0"/>
      <x:c r="J1073" s="0"/>
      <x:c r="K1073" s="6">
        <x:v>46307.89015486111</x:v>
      </x:c>
      <x:c r="L1073" t="str" s="2">
        <x:v>Contacted</x:v>
      </x:c>
    </x:row>
    <x:row r="1074">
      <x:c r="A1074" t="str" s="2">
        <x:f>="Nakisha McRae"</x:f>
      </x:c>
      <x:c r="B1074" t="str" s="2">
        <x:v>Heritage Housing of Albany</x:v>
      </x:c>
      <x:c r="C1074" t="str" s="2">
        <x:v/>
      </x:c>
      <x:c r="D1074" t="str" s="2">
        <x:v>4782796295</x:v>
      </x:c>
      <x:c r="E1074" t="str" s="2">
        <x:v>nikkimcrae11@gmail.com</x:v>
      </x:c>
      <x:c r="F1074" t="str" s="2">
        <x:v>Landing_BPM</x:v>
      </x:c>
      <x:c r="G1074" t="str" s="2">
        <x:v>Yanet Alvarez</x:v>
      </x:c>
      <x:c r="H1074" s="6">
        <x:v>46289.43438707176</x:v>
      </x:c>
      <x:c r="I1074" s="0"/>
      <x:c r="J1074" s="0"/>
      <x:c r="K1074" s="6">
        <x:v>46307.88988333334</x:v>
      </x:c>
      <x:c r="L1074" t="str" s="2">
        <x:v>Contacted</x:v>
      </x:c>
    </x:row>
    <x:row r="1075">
      <x:c r="A1075" t="str" s="2">
        <x:f>="Karen Smith"</x:f>
      </x:c>
      <x:c r="B1075" t="str" s="2">
        <x:v>Heritage Housing of Athens</x:v>
      </x:c>
      <x:c r="C1075" t="str" s="2">
        <x:v/>
      </x:c>
      <x:c r="D1075" t="str" s="2">
        <x:v>8392377638</x:v>
      </x:c>
      <x:c r="E1075" t="str" s="2">
        <x:v>therapyhelpseveryone@gmail.com</x:v>
      </x:c>
      <x:c r="F1075" t="str" s="2">
        <x:v>Landing_BPM</x:v>
      </x:c>
      <x:c r="G1075" t="str" s="2">
        <x:v>Ethan Fossett</x:v>
      </x:c>
      <x:c r="H1075" s="6">
        <x:v>46289.60534618056</x:v>
      </x:c>
      <x:c r="I1075" s="0"/>
      <x:c r="J1075" s="0"/>
      <x:c r="K1075" s="6">
        <x:v>46302.89979008102</x:v>
      </x:c>
      <x:c r="L1075" t="str" s="2">
        <x:v>Contacted</x:v>
      </x:c>
    </x:row>
    <x:row r="1076">
      <x:c r="A1076" t="str" s="2">
        <x:f>="Jose Amador"</x:f>
      </x:c>
      <x:c r="B1076" t="str" s="2">
        <x:v>Heritage Housing Gainesville</x:v>
      </x:c>
      <x:c r="C1076" t="str" s="2">
        <x:v/>
      </x:c>
      <x:c r="D1076" t="str" s="2">
        <x:v>9402290827</x:v>
      </x:c>
      <x:c r="E1076" t="str" s="2">
        <x:v>jamador218@gmail.com</x:v>
      </x:c>
      <x:c r="F1076" t="str" s="2">
        <x:v>Website</x:v>
      </x:c>
      <x:c r="G1076" t="str" s="2">
        <x:v>Jeniffer Arellano</x:v>
      </x:c>
      <x:c r="H1076" s="6">
        <x:v>46289.60651261574</x:v>
      </x:c>
      <x:c r="I1076" s="0"/>
      <x:c r="J1076" s="0"/>
      <x:c r="K1076" s="6">
        <x:v>46308.711815891205</x:v>
      </x:c>
      <x:c r="L1076" t="str" s="2">
        <x:v>Contacted</x:v>
      </x:c>
    </x:row>
    <x:row r="1077">
      <x:c r="A1077" t="str" s="2">
        <x:f>="HAROLD PLAYER"</x:f>
      </x:c>
      <x:c r="B1077" t="str" s="2">
        <x:v>Heritage Housing of Minden</x:v>
      </x:c>
      <x:c r="C1077" t="str" s="2">
        <x:v/>
      </x:c>
      <x:c r="D1077" t="str" s="2">
        <x:v>3253053802</x:v>
      </x:c>
      <x:c r="E1077" t="str" s="2">
        <x:v>Haroldplayer30@gmail.com</x:v>
      </x:c>
      <x:c r="F1077" t="str" s="2">
        <x:v>Landing_BPM</x:v>
      </x:c>
      <x:c r="G1077" t="str" s="2">
        <x:v>Kyla Brown</x:v>
      </x:c>
      <x:c r="H1077" s="6">
        <x:v>46289.61775373843</x:v>
      </x:c>
      <x:c r="I1077" s="0"/>
      <x:c r="J1077" s="0"/>
      <x:c r="K1077" s="6">
        <x:v>46289.683645335645</x:v>
      </x:c>
      <x:c r="L1077" t="str" s="2">
        <x:v>Contacted</x:v>
      </x:c>
    </x:row>
    <x:row r="1078">
      <x:c r="A1078" t="str" s="2">
        <x:f>="Ruthie Coulon"</x:f>
      </x:c>
      <x:c r="B1078" t="str" s="2">
        <x:v>Heritage Housing of Athens</x:v>
      </x:c>
      <x:c r="C1078" t="str" s="2">
        <x:v/>
      </x:c>
      <x:c r="D1078" t="str" s="2">
        <x:v>7065672023</x:v>
      </x:c>
      <x:c r="E1078" t="str" s="2">
        <x:v>janieoutz6@gmail.com</x:v>
      </x:c>
      <x:c r="F1078" t="str" s="2">
        <x:v>Financing Form</x:v>
      </x:c>
      <x:c r="G1078" t="str" s="2">
        <x:v>Nathan Bishop</x:v>
      </x:c>
      <x:c r="H1078" s="6">
        <x:v>46289.63602734954</x:v>
      </x:c>
      <x:c r="I1078" s="0"/>
      <x:c r="J1078" s="0"/>
      <x:c r="K1078" s="6">
        <x:v>46291.84366519676</x:v>
      </x:c>
      <x:c r="L1078" t="str" s="2">
        <x:v>Contacted</x:v>
      </x:c>
    </x:row>
    <x:row r="1079">
      <x:c r="A1079" t="str" s="2">
        <x:f>="Dan Arnold Arnold"</x:f>
      </x:c>
      <x:c r="B1079" t="str" s="2">
        <x:v>Heritage Housing Gainesville</x:v>
      </x:c>
      <x:c r="C1079" t="str" s="2">
        <x:v/>
      </x:c>
      <x:c r="D1079" t="str" s="2">
        <x:v>8177349258</x:v>
      </x:c>
      <x:c r="E1079" t="str" s="2">
        <x:v>danarnold5277@gmail.com</x:v>
      </x:c>
      <x:c r="F1079" t="str" s="2">
        <x:v>Landing_BPM</x:v>
      </x:c>
      <x:c r="G1079" t="str" s="2">
        <x:v>Jeniffer Arellano</x:v>
      </x:c>
      <x:c r="H1079" s="6">
        <x:v>46289.63846357639</x:v>
      </x:c>
      <x:c r="I1079" s="0"/>
      <x:c r="J1079" s="0"/>
      <x:c r="K1079" s="6">
        <x:v>46308.71171790509</x:v>
      </x:c>
      <x:c r="L1079" t="str" s="2">
        <x:v>Contacted</x:v>
      </x:c>
    </x:row>
    <x:row r="1080">
      <x:c r="A1080" t="str" s="2">
        <x:f>="Stephanie Leavins"</x:f>
      </x:c>
      <x:c r="B1080" t="str" s="2">
        <x:v>Heritage Housing of Albany</x:v>
      </x:c>
      <x:c r="C1080" t="str" s="2">
        <x:v/>
      </x:c>
      <x:c r="D1080" t="str" s="2">
        <x:v>7622580320</x:v>
      </x:c>
      <x:c r="E1080" t="str" s="2">
        <x:v>stefmadison@gmail.com</x:v>
      </x:c>
      <x:c r="F1080" t="str" s="2">
        <x:v>Landing_BPM</x:v>
      </x:c>
      <x:c r="G1080" t="str" s="2">
        <x:v>Yanet Alvarez</x:v>
      </x:c>
      <x:c r="H1080" s="6">
        <x:v>46289.67021377315</x:v>
      </x:c>
      <x:c r="I1080" s="0"/>
      <x:c r="J1080" s="0"/>
      <x:c r="K1080" s="6">
        <x:v>46307.88917931713</x:v>
      </x:c>
      <x:c r="L1080" t="str" s="2">
        <x:v>Contacted</x:v>
      </x:c>
    </x:row>
    <x:row r="1081">
      <x:c r="A1081" t="str" s="2">
        <x:f>="Barry Scales"</x:f>
      </x:c>
      <x:c r="B1081" t="str" s="2">
        <x:v>Heritage Housing Marble Falls</x:v>
      </x:c>
      <x:c r="C1081" t="str" s="2">
        <x:v/>
      </x:c>
      <x:c r="D1081" t="str" s="2">
        <x:v>7373367238</x:v>
      </x:c>
      <x:c r="E1081" t="str" s="2">
        <x:v>bdotscales21@gmail.com</x:v>
      </x:c>
      <x:c r="F1081" t="str" s="2">
        <x:v>Landing_BPM</x:v>
      </x:c>
      <x:c r="G1081" t="str" s="2">
        <x:v>Garrett Riedesel</x:v>
      </x:c>
      <x:c r="H1081" s="6">
        <x:v>46289.67716423611</x:v>
      </x:c>
      <x:c r="I1081" s="0"/>
      <x:c r="J1081" s="0"/>
      <x:c r="K1081" s="6">
        <x:v>46290.851648414355</x:v>
      </x:c>
      <x:c r="L1081" t="str" s="2">
        <x:v>Contacted</x:v>
      </x:c>
    </x:row>
    <x:row r="1082">
      <x:c r="A1082" t="str" s="2">
        <x:f>="Pauline bush"</x:f>
      </x:c>
      <x:c r="B1082" t="str" s="2">
        <x:v>Heritage Housing of Albany</x:v>
      </x:c>
      <x:c r="C1082" t="str" s="2">
        <x:v/>
      </x:c>
      <x:c r="D1082" t="str" s="2">
        <x:v>4783082245</x:v>
      </x:c>
      <x:c r="E1082" t="str" s="2">
        <x:v>paulinebush78@gmail.com</x:v>
      </x:c>
      <x:c r="F1082" t="str" s="2">
        <x:v>Landing_BPM</x:v>
      </x:c>
      <x:c r="G1082" t="str" s="2">
        <x:v>Justin Johnson</x:v>
      </x:c>
      <x:c r="H1082" s="6">
        <x:v>46289.736337002316</x:v>
      </x:c>
      <x:c r="I1082" s="0"/>
      <x:c r="J1082" s="0"/>
      <x:c r="K1082" s="6">
        <x:v>46289.78756990741</x:v>
      </x:c>
      <x:c r="L1082" t="str" s="2">
        <x:v>Contacted</x:v>
      </x:c>
    </x:row>
    <x:row r="1083">
      <x:c r="A1083" t="str" s="2">
        <x:f>="Nichole Cervenka Cervenka"</x:f>
      </x:c>
      <x:c r="B1083" t="str" s="2">
        <x:v>Heritage Housing Marble Falls</x:v>
      </x:c>
      <x:c r="C1083" t="str" s="2">
        <x:v/>
      </x:c>
      <x:c r="D1083" t="str" s="2">
        <x:v>5125899723</x:v>
      </x:c>
      <x:c r="E1083" t="str" s="2">
        <x:v>nicholecervenka42@gmail.com</x:v>
      </x:c>
      <x:c r="F1083" t="str" s="2">
        <x:v>Landing_BPM</x:v>
      </x:c>
      <x:c r="G1083" t="str" s="2">
        <x:v>Garrett Riedesel</x:v>
      </x:c>
      <x:c r="H1083" s="6">
        <x:v>46290.12518931713</x:v>
      </x:c>
      <x:c r="I1083" s="0"/>
      <x:c r="J1083" s="0"/>
      <x:c r="K1083" s="6">
        <x:v>46293.61983607639</x:v>
      </x:c>
      <x:c r="L1083" t="str" s="2">
        <x:v>Contacted</x:v>
      </x:c>
    </x:row>
    <x:row r="1084">
      <x:c r="A1084" t="str" s="2">
        <x:f>="Johnny Lamb"</x:f>
      </x:c>
      <x:c r="B1084" t="str" s="2">
        <x:v>Heritage Housing of Albany</x:v>
      </x:c>
      <x:c r="C1084" t="str" s="2">
        <x:v/>
      </x:c>
      <x:c r="D1084" t="str" s="2">
        <x:v>2294825260</x:v>
      </x:c>
      <x:c r="E1084" t="str" s="2">
        <x:v>jalamb1212@gmail.com</x:v>
      </x:c>
      <x:c r="F1084" t="str" s="2">
        <x:v>Website</x:v>
      </x:c>
      <x:c r="G1084" t="str" s="2">
        <x:v>Yanet Alvarez</x:v>
      </x:c>
      <x:c r="H1084" s="6">
        <x:v>46290.15225366898</x:v>
      </x:c>
      <x:c r="I1084" s="0"/>
      <x:c r="J1084" s="0"/>
      <x:c r="K1084" s="6">
        <x:v>46307.88575216435</x:v>
      </x:c>
      <x:c r="L1084" t="str" s="2">
        <x:v>Contacted</x:v>
      </x:c>
    </x:row>
    <x:row r="1085">
      <x:c r="A1085" t="str" s="2">
        <x:f>="Robert Walker"</x:f>
      </x:c>
      <x:c r="B1085" t="str" s="2">
        <x:v>Heritage Housing Mt Pleasant</x:v>
      </x:c>
      <x:c r="C1085" t="str" s="2">
        <x:v/>
      </x:c>
      <x:c r="D1085" t="str" s="2">
        <x:v>9033717941</x:v>
      </x:c>
      <x:c r="E1085" t="str" s="2">
        <x:v>p11111bobby4@gmail.com</x:v>
      </x:c>
      <x:c r="F1085" t="str" s="2">
        <x:v>Landing_BPM</x:v>
      </x:c>
      <x:c r="G1085" t="str" s="2">
        <x:v>Elias Gallardo</x:v>
      </x:c>
      <x:c r="H1085" s="6">
        <x:v>46290.652959375</x:v>
      </x:c>
      <x:c r="I1085" s="0"/>
      <x:c r="J1085" s="0"/>
      <x:c r="K1085" s="6">
        <x:v>46290.66766917824</x:v>
      </x:c>
      <x:c r="L1085" t="str" s="2">
        <x:v>Contacted</x:v>
      </x:c>
    </x:row>
    <x:row r="1086">
      <x:c r="A1086" t="str" s="2">
        <x:f>="Marissa Casper"</x:f>
      </x:c>
      <x:c r="B1086" t="str" s="2">
        <x:v>Heritage Housing of Minden</x:v>
      </x:c>
      <x:c r="C1086" t="str" s="2">
        <x:v/>
      </x:c>
      <x:c r="D1086" t="str" s="2">
        <x:v>2255751278</x:v>
      </x:c>
      <x:c r="E1086" t="str" s="2">
        <x:v>casper33marissa@icloud.com</x:v>
      </x:c>
      <x:c r="F1086" t="str" s="2">
        <x:v>Landing_BPM</x:v>
      </x:c>
      <x:c r="G1086" t="str" s="2">
        <x:v>Kyla Brown</x:v>
      </x:c>
      <x:c r="H1086" s="6">
        <x:v>46290.78330309028</x:v>
      </x:c>
      <x:c r="I1086" s="0"/>
      <x:c r="J1086" s="0"/>
      <x:c r="K1086" s="6">
        <x:v>46291.69756357639</x:v>
      </x:c>
      <x:c r="L1086" t="str" s="2">
        <x:v>Contacted</x:v>
      </x:c>
    </x:row>
    <x:row r="1087">
      <x:c r="A1087" t="str" s="2">
        <x:f>="Travis Benfield"</x:f>
      </x:c>
      <x:c r="B1087" t="str" s="2">
        <x:v>Heritage Housing of Asheboro</x:v>
      </x:c>
      <x:c r="C1087" t="str" s="2">
        <x:v/>
      </x:c>
      <x:c r="D1087" t="str" s="2">
        <x:v>9802341532</x:v>
      </x:c>
      <x:c r="E1087" t="str" s="2">
        <x:v>benfieldsdieselrepair@gmail.com</x:v>
      </x:c>
      <x:c r="F1087" t="str" s="2">
        <x:v>Financing Form</x:v>
      </x:c>
      <x:c r="G1087" t="str" s="2">
        <x:v>Joe Lopez</x:v>
      </x:c>
      <x:c r="H1087" s="6">
        <x:v>46290.82040188657</x:v>
      </x:c>
      <x:c r="I1087" s="0"/>
      <x:c r="J1087" s="0"/>
      <x:c r="K1087" s="6">
        <x:v>46293.72536053241</x:v>
      </x:c>
      <x:c r="L1087" t="str" s="2">
        <x:v>Contacted</x:v>
      </x:c>
    </x:row>
    <x:row r="1088">
      <x:c r="A1088" t="str" s="2">
        <x:f>="Ro Herron"</x:f>
      </x:c>
      <x:c r="B1088" t="str" s="2">
        <x:v>Heritage Housing Gainesville</x:v>
      </x:c>
      <x:c r="C1088" t="str" s="2">
        <x:v/>
      </x:c>
      <x:c r="D1088" t="str" s="2">
        <x:v>9032465471</x:v>
      </x:c>
      <x:c r="E1088" t="str" s="2">
        <x:v>bambercole@gmail.com</x:v>
      </x:c>
      <x:c r="F1088" t="str" s="2">
        <x:v>Landing_BPM</x:v>
      </x:c>
      <x:c r="G1088" t="str" s="2">
        <x:v>Jeniffer Arellano</x:v>
      </x:c>
      <x:c r="H1088" s="6">
        <x:v>46291.098385613426</x:v>
      </x:c>
      <x:c r="I1088" s="0"/>
      <x:c r="J1088" s="0"/>
      <x:c r="K1088" s="6">
        <x:v>46308.7116334838</x:v>
      </x:c>
      <x:c r="L1088" t="str" s="2">
        <x:v>Contacted</x:v>
      </x:c>
    </x:row>
    <x:row r="1089">
      <x:c r="A1089" t="str" s="2">
        <x:f>="JoAnn Gaspard"</x:f>
      </x:c>
      <x:c r="B1089" t="str" s="2">
        <x:v>Heritage Housing of Jennings</x:v>
      </x:c>
      <x:c r="C1089" t="str" s="2">
        <x:v/>
      </x:c>
      <x:c r="D1089" t="str" s="2">
        <x:v>3373700019</x:v>
      </x:c>
      <x:c r="E1089" t="str" s="2">
        <x:v>gaspardjo418@gmail.com</x:v>
      </x:c>
      <x:c r="F1089" t="str" s="2">
        <x:v>Landing_BPM</x:v>
      </x:c>
      <x:c r="G1089" t="str" s="2">
        <x:v>Mervin Leslie Smith</x:v>
      </x:c>
      <x:c r="H1089" s="6">
        <x:v>46291.13013839121</x:v>
      </x:c>
      <x:c r="I1089" s="0"/>
      <x:c r="J1089" s="0"/>
      <x:c r="K1089" s="6">
        <x:v>46303.83636516204</x:v>
      </x:c>
      <x:c r="L1089" t="str" s="2">
        <x:v>Contacted</x:v>
      </x:c>
    </x:row>
    <x:row r="1090">
      <x:c r="A1090" t="str" s="2">
        <x:f>="Rayshelle Davis"</x:f>
      </x:c>
      <x:c r="B1090" t="str" s="2">
        <x:v>Heritage Housing of Albany</x:v>
      </x:c>
      <x:c r="C1090" t="str" s="2">
        <x:v/>
      </x:c>
      <x:c r="D1090" t="str" s="2">
        <x:v>4236055669</x:v>
      </x:c>
      <x:c r="E1090" t="str" s="2">
        <x:v>nicolejohnson44556@gmail.com</x:v>
      </x:c>
      <x:c r="F1090" t="str" s="2">
        <x:v>Financing Form</x:v>
      </x:c>
      <x:c r="G1090" t="str" s="2">
        <x:v>Yanet Alvarez</x:v>
      </x:c>
      <x:c r="H1090" s="6">
        <x:v>46291.16998028935</x:v>
      </x:c>
      <x:c r="I1090" s="0"/>
      <x:c r="J1090" s="0"/>
      <x:c r="K1090" s="6">
        <x:v>46307.88532739583</x:v>
      </x:c>
      <x:c r="L1090" t="str" s="2">
        <x:v>Contacted</x:v>
      </x:c>
    </x:row>
    <x:row r="1091">
      <x:c r="A1091" t="str" s="2">
        <x:f>="Stevie Rose"</x:f>
      </x:c>
      <x:c r="B1091" t="str" s="2">
        <x:v>Heritage Housing of Minden</x:v>
      </x:c>
      <x:c r="C1091" t="str" s="2">
        <x:v>0/2</x:v>
      </x:c>
      <x:c r="D1091" t="str" s="2">
        <x:v>3185866985</x:v>
      </x:c>
      <x:c r="E1091" t="str" s="2">
        <x:v>stevierose43@gmail.com</x:v>
      </x:c>
      <x:c r="F1091" t="str" s="2">
        <x:v>Landing_BPM</x:v>
      </x:c>
      <x:c r="G1091" t="str" s="2">
        <x:v>Patrick Schuchart</x:v>
      </x:c>
      <x:c r="H1091" s="6">
        <x:v>46291.198907060185</x:v>
      </x:c>
      <x:c r="I1091" s="0"/>
      <x:c r="J1091" s="0"/>
      <x:c r="K1091" s="6">
        <x:v>46291.69682361111</x:v>
      </x:c>
      <x:c r="L1091" t="str" s="2">
        <x:v>Contacted</x:v>
      </x:c>
    </x:row>
    <x:row r="1092">
      <x:c r="A1092" t="str" s="2">
        <x:f>="Terri Farris"</x:f>
      </x:c>
      <x:c r="B1092" t="str" s="2">
        <x:v>Heritage Housing of Greenville</x:v>
      </x:c>
      <x:c r="C1092" t="str" s="2">
        <x:v/>
      </x:c>
      <x:c r="D1092" t="str" s="2">
        <x:v>2146646342</x:v>
      </x:c>
      <x:c r="E1092" t="str" s="2">
        <x:v>terrifarris8@gmail.com</x:v>
      </x:c>
      <x:c r="F1092" t="str" s="2">
        <x:v>Landing_BPM</x:v>
      </x:c>
      <x:c r="G1092" t="str" s="2">
        <x:v>Ana Garcia</x:v>
      </x:c>
      <x:c r="H1092" s="6">
        <x:v>46291.34677503472</x:v>
      </x:c>
      <x:c r="I1092" s="0"/>
      <x:c r="J1092" s="0"/>
      <x:c r="K1092" s="6">
        <x:v>46293.87551924768</x:v>
      </x:c>
      <x:c r="L1092" t="str" s="2">
        <x:v>Contacted</x:v>
      </x:c>
    </x:row>
    <x:row r="1093">
      <x:c r="A1093" t="str" s="2">
        <x:f>="TAMEKA MAXWELL"</x:f>
      </x:c>
      <x:c r="B1093" t="str" s="2">
        <x:v>Heritage Housing of Athens</x:v>
      </x:c>
      <x:c r="C1093" t="str" s="2">
        <x:v/>
      </x:c>
      <x:c r="D1093" t="str" s="2">
        <x:v>4705609076</x:v>
      </x:c>
      <x:c r="E1093" t="str" s="2">
        <x:v>tameka.maxwell35@gmail.com</x:v>
      </x:c>
      <x:c r="F1093" t="str" s="2">
        <x:v>Landing_BPM</x:v>
      </x:c>
      <x:c r="G1093" t="str" s="2">
        <x:v>Ethan Fossett</x:v>
      </x:c>
      <x:c r="H1093" s="6">
        <x:v>46291.481255405095</x:v>
      </x:c>
      <x:c r="I1093" s="0"/>
      <x:c r="J1093" s="0"/>
      <x:c r="K1093" s="6">
        <x:v>46300.893876967595</x:v>
      </x:c>
      <x:c r="L1093" t="str" s="2">
        <x:v>Contacted</x:v>
      </x:c>
    </x:row>
    <x:row r="1094">
      <x:c r="A1094" t="str" s="2">
        <x:f>="Heather Carlisle"</x:f>
      </x:c>
      <x:c r="B1094" t="str" s="2">
        <x:v>Heritage Housing of Minden</x:v>
      </x:c>
      <x:c r="C1094" t="str" s="2">
        <x:v>0/1</x:v>
      </x:c>
      <x:c r="D1094" t="str" s="2">
        <x:v>2252976216</x:v>
      </x:c>
      <x:c r="E1094" t="str" s="2">
        <x:v>heathercarlisle678@gmail.com</x:v>
      </x:c>
      <x:c r="F1094" t="str" s="2">
        <x:v>Landing_BPM</x:v>
      </x:c>
      <x:c r="G1094" t="str" s="2">
        <x:v>Kyla Brown</x:v>
      </x:c>
      <x:c r="H1094" s="6">
        <x:v>46291.70997033565</x:v>
      </x:c>
      <x:c r="I1094" s="0"/>
      <x:c r="J1094" s="0"/>
      <x:c r="K1094" s="6">
        <x:v>46291.750559224536</x:v>
      </x:c>
      <x:c r="L1094" t="str" s="2">
        <x:v>Contacted</x:v>
      </x:c>
    </x:row>
    <x:row r="1095">
      <x:c r="A1095" t="str" s="2">
        <x:f>="Amanda Mccoy"</x:f>
      </x:c>
      <x:c r="B1095" t="str" s="2">
        <x:v>Heritage Housing Gainesville</x:v>
      </x:c>
      <x:c r="C1095" t="str" s="2">
        <x:v/>
      </x:c>
      <x:c r="D1095" t="str" s="2">
        <x:v>9407273037</x:v>
      </x:c>
      <x:c r="E1095" t="str" s="2">
        <x:v>amandagale.me@gmail.com</x:v>
      </x:c>
      <x:c r="F1095" t="str" s="2">
        <x:v>Website</x:v>
      </x:c>
      <x:c r="G1095" t="str" s="2">
        <x:v>Kelly Ford</x:v>
      </x:c>
      <x:c r="H1095" s="6">
        <x:v>46291.73967109954</x:v>
      </x:c>
      <x:c r="I1095" s="0"/>
      <x:c r="J1095" s="0"/>
      <x:c r="K1095" s="6">
        <x:v>46300.87551292824</x:v>
      </x:c>
      <x:c r="L1095" t="str" s="2">
        <x:v>Contacted</x:v>
      </x:c>
    </x:row>
    <x:row r="1096">
      <x:c r="A1096" t="str" s="2">
        <x:f>="Larryguict LarryguictPA"</x:f>
      </x:c>
      <x:c r="B1096" t="str" s="2">
        <x:v>Heritage Housing of Greenville</x:v>
      </x:c>
      <x:c r="C1096" t="str" s="2">
        <x:v/>
      </x:c>
      <x:c r="D1096" t="str" s="2">
        <x:v>81128652368</x:v>
      </x:c>
      <x:c r="E1096" t="str" s="2">
        <x:v>sxvffxd@rlrgpmw.vbo</x:v>
      </x:c>
      <x:c r="F1096" t="str" s="2">
        <x:v>Website</x:v>
      </x:c>
      <x:c r="G1096" t="str" s="2">
        <x:v>Brooklynn Allen</x:v>
      </x:c>
      <x:c r="H1096" s="6">
        <x:v>46291.776258564816</x:v>
      </x:c>
      <x:c r="I1096" s="0"/>
      <x:c r="J1096" s="0"/>
      <x:c r="K1096" s="6">
        <x:v>46293.59005868056</x:v>
      </x:c>
      <x:c r="L1096" t="str" s="2">
        <x:v>Contacted</x:v>
      </x:c>
    </x:row>
    <x:row r="1097">
      <x:c r="A1097" t="str" s="2">
        <x:f>=HYPERLINK("https://rsms.futurehomex.com/lead/40399", "Joshawa Wilkerson")</x:f>
      </x:c>
      <x:c r="B1097" t="str" s="2">
        <x:v>Heritage Housing of Jennings</x:v>
      </x:c>
      <x:c r="C1097" t="str" s="2">
        <x:v/>
      </x:c>
      <x:c r="D1097" t="str" s="2">
        <x:v>9857720575</x:v>
      </x:c>
      <x:c r="E1097" t="str" s="2">
        <x:v>joshwilkerson@yahoo.com</x:v>
      </x:c>
      <x:c r="F1097" t="str" s="2">
        <x:v>Walk-in</x:v>
      </x:c>
      <x:c r="G1097" t="str" s="2">
        <x:v>Mervin Leslie Smith</x:v>
      </x:c>
      <x:c r="H1097" s="6">
        <x:v>46291.832068090276</x:v>
      </x:c>
      <x:c r="I1097" t="str" s="2">
        <x:v>Mervin Leslie Smith</x:v>
      </x:c>
      <x:c r="J1097" s="0"/>
      <x:c r="K1097" s="6">
        <x:v>46296.779088854164</x:v>
      </x:c>
      <x:c r="L1097" t="str" s="2">
        <x:v>Contacted</x:v>
      </x:c>
    </x:row>
    <x:row r="1098">
      <x:c r="A1098" t="str" s="2">
        <x:f>="Robertrer JamesrerGM"</x:f>
      </x:c>
      <x:c r="B1098" t="str" s="2">
        <x:v>Heritage Housing of Greenville</x:v>
      </x:c>
      <x:c r="C1098" t="str" s="2">
        <x:v/>
      </x:c>
      <x:c r="D1098" t="str" s="2">
        <x:v>83657938812</x:v>
      </x:c>
      <x:c r="E1098" t="str" s="2">
        <x:v>bsftahw@vnjstlx.pns</x:v>
      </x:c>
      <x:c r="F1098" t="str" s="2">
        <x:v>Website</x:v>
      </x:c>
      <x:c r="G1098" t="str" s="2">
        <x:v>Ana Garcia</x:v>
      </x:c>
      <x:c r="H1098" s="6">
        <x:v>46291.888633993054</x:v>
      </x:c>
      <x:c r="I1098" s="0"/>
      <x:c r="J1098" s="0"/>
      <x:c r="K1098" s="6">
        <x:v>46293.875640011574</x:v>
      </x:c>
      <x:c r="L1098" t="str" s="2">
        <x:v>Contacted</x:v>
      </x:c>
    </x:row>
    <x:row r="1099">
      <x:c r="A1099" t="str" s="2">
        <x:f>="Angela Brave"</x:f>
      </x:c>
      <x:c r="B1099" t="str" s="2">
        <x:v>Heritage Housing of Athens</x:v>
      </x:c>
      <x:c r="C1099" t="str" s="2">
        <x:v/>
      </x:c>
      <x:c r="D1099" t="str" s="2">
        <x:v>6788863271</x:v>
      </x:c>
      <x:c r="E1099" t="str" s="2">
        <x:v>naviboo77@gmail.com</x:v>
      </x:c>
      <x:c r="F1099" t="str" s="2">
        <x:v>Landing_BPM</x:v>
      </x:c>
      <x:c r="G1099" t="str" s="2">
        <x:v>Ethan Fossett</x:v>
      </x:c>
      <x:c r="H1099" s="6">
        <x:v>46292.08439818287</x:v>
      </x:c>
      <x:c r="I1099" s="0"/>
      <x:c r="J1099" s="0"/>
      <x:c r="K1099" s="6">
        <x:v>46303.68683931713</x:v>
      </x:c>
      <x:c r="L1099" t="str" s="2">
        <x:v>Contacted</x:v>
      </x:c>
    </x:row>
    <x:row r="1100">
      <x:c r="A1100" t="str" s="2">
        <x:f>="KADEN RABORN"</x:f>
      </x:c>
      <x:c r="B1100" t="str" s="2">
        <x:v>Heritage Housing Gainesville</x:v>
      </x:c>
      <x:c r="C1100" t="str" s="2">
        <x:v/>
      </x:c>
      <x:c r="D1100" t="str" s="2">
        <x:v>9037184677</x:v>
      </x:c>
      <x:c r="E1100" t="str" s="2">
        <x:v>kadenraborn3@gmail.com</x:v>
      </x:c>
      <x:c r="F1100" t="str" s="2">
        <x:v>Financing Form</x:v>
      </x:c>
      <x:c r="G1100" t="str" s="2">
        <x:v>Jeniffer Arellano</x:v>
      </x:c>
      <x:c r="H1100" s="6">
        <x:v>46292.317561689815</x:v>
      </x:c>
      <x:c r="I1100" s="0"/>
      <x:c r="J1100" s="0"/>
      <x:c r="K1100" s="6">
        <x:v>46308.71155702546</x:v>
      </x:c>
      <x:c r="L1100" t="str" s="2">
        <x:v>Contacted</x:v>
      </x:c>
    </x:row>
    <x:row r="1101">
      <x:c r="A1101" t="str" s="2">
        <x:f>="Karianne Smith"</x:f>
      </x:c>
      <x:c r="B1101" t="str" s="2">
        <x:v>Heritage Housing of Albany</x:v>
      </x:c>
      <x:c r="C1101" t="str" s="2">
        <x:v/>
      </x:c>
      <x:c r="D1101" t="str" s="2">
        <x:v>2298480357</x:v>
      </x:c>
      <x:c r="E1101" t="str" s="2">
        <x:v>kariannepotter@gmail.com</x:v>
      </x:c>
      <x:c r="F1101" t="str" s="2">
        <x:v>Landing_BPM</x:v>
      </x:c>
      <x:c r="G1101" t="str" s="2">
        <x:v>Yanet Alvarez</x:v>
      </x:c>
      <x:c r="H1101" s="6">
        <x:v>46292.64432523148</x:v>
      </x:c>
      <x:c r="I1101" s="0"/>
      <x:c r="J1101" s="0"/>
      <x:c r="K1101" s="6">
        <x:v>46303.76229806713</x:v>
      </x:c>
      <x:c r="L1101" t="str" s="2">
        <x:v>Contacted</x:v>
      </x:c>
    </x:row>
    <x:row r="1102">
      <x:c r="A1102" t="str" s="2">
        <x:f>="Gayle Brooks"</x:f>
      </x:c>
      <x:c r="B1102" t="str" s="2">
        <x:v>Heritage Housing of Minden</x:v>
      </x:c>
      <x:c r="C1102" t="str" s="2">
        <x:v/>
      </x:c>
      <x:c r="D1102" t="str" s="2">
        <x:v>3183767417</x:v>
      </x:c>
      <x:c r="E1102" t="str" s="2">
        <x:v>brooksgayle45@gmail.com</x:v>
      </x:c>
      <x:c r="F1102" t="str" s="2">
        <x:v>Landing_BPM</x:v>
      </x:c>
      <x:c r="G1102" t="str" s="2">
        <x:v>Patrick Schuchart</x:v>
      </x:c>
      <x:c r="H1102" s="6">
        <x:v>46292.67395309028</x:v>
      </x:c>
      <x:c r="I1102" s="0"/>
      <x:c r="J1102" s="0"/>
      <x:c r="K1102" s="6">
        <x:v>46293.70690524305</x:v>
      </x:c>
      <x:c r="L1102" t="str" s="2">
        <x:v>Contacted</x:v>
      </x:c>
    </x:row>
    <x:row r="1103">
      <x:c r="A1103" t="str" s="2">
        <x:f>="Kenny Taylor"</x:f>
      </x:c>
      <x:c r="B1103" t="str" s="2">
        <x:v>Heritage Housing of Minden</x:v>
      </x:c>
      <x:c r="C1103" t="str" s="2">
        <x:v/>
      </x:c>
      <x:c r="D1103" t="str" s="2">
        <x:v>8708840709</x:v>
      </x:c>
      <x:c r="E1103" t="str" s="2">
        <x:v>kennyjtaylor88@gmail.com</x:v>
      </x:c>
      <x:c r="F1103" t="str" s="2">
        <x:v>Financing Form</x:v>
      </x:c>
      <x:c r="G1103" t="str" s="2">
        <x:v>Kyla Brown</x:v>
      </x:c>
      <x:c r="H1103" s="6">
        <x:v>46292.6783872338</x:v>
      </x:c>
      <x:c r="I1103" s="0"/>
      <x:c r="J1103" s="0"/>
      <x:c r="K1103" s="6">
        <x:v>46293.70730289352</x:v>
      </x:c>
      <x:c r="L1103" t="str" s="2">
        <x:v>Contacted</x:v>
      </x:c>
    </x:row>
    <x:row r="1104">
      <x:c r="A1104" t="str" s="2">
        <x:f>="Diane Senter"</x:f>
      </x:c>
      <x:c r="B1104" t="str" s="2">
        <x:v>Heritage Housing of Asheboro</x:v>
      </x:c>
      <x:c r="C1104" t="str" s="2">
        <x:v/>
      </x:c>
      <x:c r="D1104" t="str" s="2">
        <x:v>8287502185</x:v>
      </x:c>
      <x:c r="E1104" t="str" s="2">
        <x:v>dnsenter@gmail.com</x:v>
      </x:c>
      <x:c r="F1104" t="str" s="2">
        <x:v>Landing_BPM</x:v>
      </x:c>
      <x:c r="G1104" t="str" s="2">
        <x:v>Joe Lopez</x:v>
      </x:c>
      <x:c r="H1104" s="6">
        <x:v>46292.680090856484</x:v>
      </x:c>
      <x:c r="I1104" s="0"/>
      <x:c r="J1104" s="0"/>
      <x:c r="K1104" s="6">
        <x:v>46293.62190269676</x:v>
      </x:c>
      <x:c r="L1104" t="str" s="2">
        <x:v>Contacted</x:v>
      </x:c>
    </x:row>
    <x:row r="1105">
      <x:c r="A1105" t="str" s="2">
        <x:f>="Derlys Butron Butron"</x:f>
      </x:c>
      <x:c r="B1105" t="str" s="2">
        <x:v>Heritage Housing Marble Falls</x:v>
      </x:c>
      <x:c r="C1105" t="str" s="2">
        <x:v/>
      </x:c>
      <x:c r="D1105" t="str" s="2">
        <x:v>8177702526</x:v>
      </x:c>
      <x:c r="E1105" t="str" s="2">
        <x:v>derlysbutron@gmail.com</x:v>
      </x:c>
      <x:c r="F1105" t="str" s="2">
        <x:v>Landing_BPM</x:v>
      </x:c>
      <x:c r="G1105" t="str" s="2">
        <x:v>Stephen Sanders</x:v>
      </x:c>
      <x:c r="H1105" s="6">
        <x:v>46292.75264864583</x:v>
      </x:c>
      <x:c r="I1105" s="0"/>
      <x:c r="J1105" s="0"/>
      <x:c r="K1105" s="6">
        <x:v>46296.68917920139</x:v>
      </x:c>
      <x:c r="L1105" t="str" s="2">
        <x:v>Contacted</x:v>
      </x:c>
    </x:row>
    <x:row r="1106">
      <x:c r="A1106" t="str" s="2">
        <x:f>="Kimberly Schilling"</x:f>
      </x:c>
      <x:c r="B1106" t="str" s="2">
        <x:v>Heritage Housing of Jennings</x:v>
      </x:c>
      <x:c r="C1106" t="str" s="2">
        <x:v/>
      </x:c>
      <x:c r="D1106" t="str" s="2">
        <x:v>9853350709</x:v>
      </x:c>
      <x:c r="E1106" t="str" s="2">
        <x:v>kimberly.schilling26@gmail.com</x:v>
      </x:c>
      <x:c r="F1106" t="str" s="2">
        <x:v>Financing Form</x:v>
      </x:c>
      <x:c r="G1106" t="str" s="2">
        <x:v>Mervin Leslie Smith</x:v>
      </x:c>
      <x:c r="H1106" s="6">
        <x:v>46292.96779806713</x:v>
      </x:c>
      <x:c r="I1106" s="0"/>
      <x:c r="J1106" s="0"/>
      <x:c r="K1106" s="6">
        <x:v>46303.835331979164</x:v>
      </x:c>
      <x:c r="L1106" t="str" s="2">
        <x:v>Contacted</x:v>
      </x:c>
    </x:row>
    <x:row r="1107">
      <x:c r="A1107" t="str" s="2">
        <x:f>="Tahirah Sharif"</x:f>
      </x:c>
      <x:c r="B1107" t="str" s="2">
        <x:v>Heritage Housing of Athens</x:v>
      </x:c>
      <x:c r="C1107" t="str" s="2">
        <x:v>1/2</x:v>
      </x:c>
      <x:c r="D1107" t="str" s="2">
        <x:v>7182698633</x:v>
      </x:c>
      <x:c r="E1107" t="str" s="2">
        <x:v>monroepfiefer@gmail.com</x:v>
      </x:c>
      <x:c r="F1107" t="str" s="2">
        <x:v>Financing Form</x:v>
      </x:c>
      <x:c r="G1107" t="str" s="2">
        <x:v>Ethan Fossett</x:v>
      </x:c>
      <x:c r="H1107" s="6">
        <x:v>46293.16585297454</x:v>
      </x:c>
      <x:c r="I1107" s="0"/>
      <x:c r="J1107" s="0"/>
      <x:c r="K1107" s="6">
        <x:v>46296.76346021991</x:v>
      </x:c>
      <x:c r="L1107" t="str" s="2">
        <x:v>Contacted</x:v>
      </x:c>
    </x:row>
    <x:row r="1108">
      <x:c r="A1108" t="str" s="2">
        <x:f>="Kenzie Rader"</x:f>
      </x:c>
      <x:c r="B1108" t="str" s="2">
        <x:v>Heritage Housing Gainesville</x:v>
      </x:c>
      <x:c r="C1108" t="str" s="2">
        <x:v/>
      </x:c>
      <x:c r="D1108" t="str" s="2">
        <x:v>9453619196</x:v>
      </x:c>
      <x:c r="E1108" t="str" s="2">
        <x:v>raderkenzie3@gmail.com</x:v>
      </x:c>
      <x:c r="F1108" t="str" s="2">
        <x:v>Landing_BPM</x:v>
      </x:c>
      <x:c r="G1108" t="str" s="2">
        <x:v>Jeniffer Arellano</x:v>
      </x:c>
      <x:c r="H1108" s="6">
        <x:v>46293.56490621528</x:v>
      </x:c>
      <x:c r="I1108" s="0"/>
      <x:c r="J1108" s="0"/>
      <x:c r="K1108" s="6">
        <x:v>46308.71148209491</x:v>
      </x:c>
      <x:c r="L1108" t="str" s="2">
        <x:v>Contacted</x:v>
      </x:c>
    </x:row>
    <x:row r="1109">
      <x:c r="A1109" t="str" s="2">
        <x:f>="Kimberly Rusch"</x:f>
      </x:c>
      <x:c r="B1109" t="str" s="2">
        <x:v>Heritage Housing of Athens</x:v>
      </x:c>
      <x:c r="C1109" t="str" s="2">
        <x:v>1/1</x:v>
      </x:c>
      <x:c r="D1109" t="str" s="2">
        <x:v>7064296386</x:v>
      </x:c>
      <x:c r="E1109" t="str" s="2">
        <x:v>kim.rusch11@gmail.com</x:v>
      </x:c>
      <x:c r="F1109" t="str" s="2">
        <x:v>Financing Form</x:v>
      </x:c>
      <x:c r="G1109" t="str" s="2">
        <x:v>Ethan Fossett</x:v>
      </x:c>
      <x:c r="H1109" s="6">
        <x:v>46293.60417103009</x:v>
      </x:c>
      <x:c r="I1109" s="0"/>
      <x:c r="J1109" s="0"/>
      <x:c r="K1109" s="6">
        <x:v>46307.9382662037</x:v>
      </x:c>
      <x:c r="L1109" t="str" s="2">
        <x:v>Contacted</x:v>
      </x:c>
    </x:row>
    <x:row r="1110">
      <x:c r="A1110" t="str" s="2">
        <x:f>="Marco De la cruz"</x:f>
      </x:c>
      <x:c r="B1110" t="str" s="2">
        <x:v>Heritage Housing of Minden</x:v>
      </x:c>
      <x:c r="C1110" t="str" s="2">
        <x:v/>
      </x:c>
      <x:c r="D1110" t="str" s="2">
        <x:v>3189577058</x:v>
      </x:c>
      <x:c r="E1110" t="str" s="2">
        <x:v>delacruzmarcoantonio6@gmail.com</x:v>
      </x:c>
      <x:c r="F1110" t="str" s="2">
        <x:v>Landing_BPM</x:v>
      </x:c>
      <x:c r="G1110" t="str" s="2">
        <x:v>Patrick Schuchart</x:v>
      </x:c>
      <x:c r="H1110" s="6">
        <x:v>46293.608401157406</x:v>
      </x:c>
      <x:c r="I1110" s="0"/>
      <x:c r="J1110" s="0"/>
      <x:c r="K1110" s="6">
        <x:v>46293.70756681713</x:v>
      </x:c>
      <x:c r="L1110" t="str" s="2">
        <x:v>Contacted</x:v>
      </x:c>
    </x:row>
    <x:row r="1111">
      <x:c r="A1111" t="str" s="2">
        <x:f>="Hector Villalpando"</x:f>
      </x:c>
      <x:c r="B1111" t="str" s="2">
        <x:v>Heritage Housing Marble Falls</x:v>
      </x:c>
      <x:c r="C1111" t="str" s="2">
        <x:v/>
      </x:c>
      <x:c r="D1111" t="str" s="2">
        <x:v>2545351696</x:v>
      </x:c>
      <x:c r="E1111" t="str" s="2">
        <x:v>villalpandoh1987@gmail.com</x:v>
      </x:c>
      <x:c r="F1111" t="str" s="2">
        <x:v>Landing_BPM</x:v>
      </x:c>
      <x:c r="G1111" t="str" s="2">
        <x:v>Garrett Riedesel</x:v>
      </x:c>
      <x:c r="H1111" s="6">
        <x:v>46293.64226987268</x:v>
      </x:c>
      <x:c r="I1111" s="0"/>
      <x:c r="J1111" s="0"/>
      <x:c r="K1111" s="6">
        <x:v>46293.860024340276</x:v>
      </x:c>
      <x:c r="L1111" t="str" s="2">
        <x:v>Contacted</x:v>
      </x:c>
    </x:row>
    <x:row r="1112">
      <x:c r="A1112" t="str" s="2">
        <x:f>="Raiza Gomez Gomez"</x:f>
      </x:c>
      <x:c r="B1112" t="str" s="2">
        <x:v>Heritage Housing of Asheboro</x:v>
      </x:c>
      <x:c r="C1112" t="str" s="2">
        <x:v/>
      </x:c>
      <x:c r="D1112" t="str" s="2">
        <x:v>9843536000</x:v>
      </x:c>
      <x:c r="E1112" t="str" s="2">
        <x:v>raiza.pintado@live.com</x:v>
      </x:c>
      <x:c r="F1112" t="str" s="2">
        <x:v>Landing_BPM</x:v>
      </x:c>
      <x:c r="G1112" t="str" s="2">
        <x:v>Kate Gutierrez</x:v>
      </x:c>
      <x:c r="H1112" s="6">
        <x:v>46293.66041952546</x:v>
      </x:c>
      <x:c r="I1112" s="0"/>
      <x:c r="J1112" s="0"/>
      <x:c r="K1112" s="6">
        <x:v>46297.79895239583</x:v>
      </x:c>
      <x:c r="L1112" t="str" s="2">
        <x:v>Contacted</x:v>
      </x:c>
    </x:row>
    <x:row r="1113">
      <x:c r="A1113" t="str" s="2">
        <x:f>="Angela Wilson"</x:f>
      </x:c>
      <x:c r="B1113" t="str" s="2">
        <x:v>Heritage Housing of Asheboro</x:v>
      </x:c>
      <x:c r="C1113" t="str" s="2">
        <x:v/>
      </x:c>
      <x:c r="D1113" t="str" s="2">
        <x:v>9106247818</x:v>
      </x:c>
      <x:c r="E1113" t="str" s="2">
        <x:v>wilson.a04111977@gmail.com</x:v>
      </x:c>
      <x:c r="F1113" t="str" s="2">
        <x:v>Landing_BPM</x:v>
      </x:c>
      <x:c r="G1113" t="str" s="2">
        <x:v>Joe Lopez</x:v>
      </x:c>
      <x:c r="H1113" s="6">
        <x:v>46293.70330559028</x:v>
      </x:c>
      <x:c r="I1113" s="0"/>
      <x:c r="J1113" s="0"/>
      <x:c r="K1113" s="6">
        <x:v>46293.72324355324</x:v>
      </x:c>
      <x:c r="L1113" t="str" s="2">
        <x:v>Contacted</x:v>
      </x:c>
    </x:row>
    <x:row r="1114">
      <x:c r="A1114" t="str" s="2">
        <x:f>="LaToya Burks"</x:f>
      </x:c>
      <x:c r="B1114" t="str" s="2">
        <x:v>Heritage Housing of Minden</x:v>
      </x:c>
      <x:c r="C1114" t="str" s="2">
        <x:v>0/1</x:v>
      </x:c>
      <x:c r="D1114" t="str" s="2">
        <x:v>5012095956</x:v>
      </x:c>
      <x:c r="E1114" t="str" s="2">
        <x:v>camBur9184@gmail.com</x:v>
      </x:c>
      <x:c r="F1114" t="str" s="2">
        <x:v>Landing_BPM</x:v>
      </x:c>
      <x:c r="G1114" t="str" s="2">
        <x:v>Kyla Brown</x:v>
      </x:c>
      <x:c r="H1114" s="6">
        <x:v>46293.723776273146</x:v>
      </x:c>
      <x:c r="I1114" s="0"/>
      <x:c r="J1114" s="0"/>
      <x:c r="K1114" s="6">
        <x:v>46293.73707241898</x:v>
      </x:c>
      <x:c r="L1114" t="str" s="2">
        <x:v>Contacted</x:v>
      </x:c>
    </x:row>
    <x:row r="1115">
      <x:c r="A1115" t="str" s="2">
        <x:f>="Samantha Pealock Pealock"</x:f>
      </x:c>
      <x:c r="B1115" t="str" s="2">
        <x:v>Heritage Housing of Athens</x:v>
      </x:c>
      <x:c r="C1115" t="str" s="2">
        <x:v>1/1</x:v>
      </x:c>
      <x:c r="D1115" t="str" s="2">
        <x:v>7062037034</x:v>
      </x:c>
      <x:c r="E1115" t="str" s="2">
        <x:v>pealock2706@gmail.com</x:v>
      </x:c>
      <x:c r="F1115" t="str" s="2">
        <x:v>Landing_BPM</x:v>
      </x:c>
      <x:c r="G1115" t="str" s="2">
        <x:v>Ethan Fossett</x:v>
      </x:c>
      <x:c r="H1115" s="6">
        <x:v>46293.737118206016</x:v>
      </x:c>
      <x:c r="I1115" s="0"/>
      <x:c r="J1115" s="0"/>
      <x:c r="K1115" s="6">
        <x:v>46294.85546979167</x:v>
      </x:c>
      <x:c r="L1115" t="str" s="2">
        <x:v>Contacted</x:v>
      </x:c>
    </x:row>
    <x:row r="1116">
      <x:c r="A1116" t="str" s="2">
        <x:f>="Kayeloni Mitchell"</x:f>
      </x:c>
      <x:c r="B1116" t="str" s="2">
        <x:v>Heritage Housing Marble Falls</x:v>
      </x:c>
      <x:c r="C1116" t="str" s="2">
        <x:v/>
      </x:c>
      <x:c r="D1116" t="str" s="2">
        <x:v>3135741185</x:v>
      </x:c>
      <x:c r="E1116" t="str" s="2">
        <x:v>mraitgrad@gmail.com</x:v>
      </x:c>
      <x:c r="F1116" t="str" s="2">
        <x:v>Landing_BPM</x:v>
      </x:c>
      <x:c r="G1116" t="str" s="2">
        <x:v>Stephen Sanders</x:v>
      </x:c>
      <x:c r="H1116" s="6">
        <x:v>46293.785357789355</x:v>
      </x:c>
      <x:c r="I1116" s="0"/>
      <x:c r="J1116" s="0"/>
      <x:c r="K1116" s="6">
        <x:v>46295.83670616898</x:v>
      </x:c>
      <x:c r="L1116" t="str" s="2">
        <x:v>Contacted</x:v>
      </x:c>
    </x:row>
    <x:row r="1117">
      <x:c r="A1117" t="str" s="2">
        <x:f>="Dani Evans Evans"</x:f>
      </x:c>
      <x:c r="B1117" t="str" s="2">
        <x:v>Heritage Housing of Augusta</x:v>
      </x:c>
      <x:c r="C1117" t="str" s="2">
        <x:v/>
      </x:c>
      <x:c r="D1117" t="str" s="2">
        <x:v>3362550381</x:v>
      </x:c>
      <x:c r="E1117" t="str" s="2">
        <x:v>adashortwo@gmail.com</x:v>
      </x:c>
      <x:c r="F1117" t="str" s="2">
        <x:v>Landing_BPM</x:v>
      </x:c>
      <x:c r="G1117" t="str" s="2">
        <x:v>Jennifer Johnson</x:v>
      </x:c>
      <x:c r="H1117" s="6">
        <x:v>46293.793649189814</x:v>
      </x:c>
      <x:c r="I1117" s="0"/>
      <x:c r="J1117" s="0"/>
      <x:c r="K1117" s="6">
        <x:v>46300.87363190972</x:v>
      </x:c>
      <x:c r="L1117" t="str" s="2">
        <x:v>Contacted</x:v>
      </x:c>
    </x:row>
    <x:row r="1118">
      <x:c r="A1118" t="str" s="2">
        <x:f>="Pedro Richard"</x:f>
      </x:c>
      <x:c r="B1118" t="str" s="2">
        <x:v>Heritage Housing of Minden</x:v>
      </x:c>
      <x:c r="C1118" t="str" s="2">
        <x:v>0/1</x:v>
      </x:c>
      <x:c r="D1118" t="str" s="2">
        <x:v>3182108532</x:v>
      </x:c>
      <x:c r="E1118" t="str" s="2">
        <x:v>pedro_richard49@yahoo.com</x:v>
      </x:c>
      <x:c r="F1118" t="str" s="2">
        <x:v>Landing_BPM</x:v>
      </x:c>
      <x:c r="G1118" t="str" s="2">
        <x:v>Patrick Schuchart</x:v>
      </x:c>
      <x:c r="H1118" s="6">
        <x:v>46293.79665578704</x:v>
      </x:c>
      <x:c r="I1118" s="0"/>
      <x:c r="J1118" s="0"/>
      <x:c r="K1118" s="6">
        <x:v>46294.816788460645</x:v>
      </x:c>
      <x:c r="L1118" t="str" s="2">
        <x:v>Contacted</x:v>
      </x:c>
    </x:row>
    <x:row r="1119">
      <x:c r="A1119" t="str" s="2">
        <x:f>="Ricky Hightower Hightower"</x:f>
      </x:c>
      <x:c r="B1119" t="str" s="2">
        <x:v>Heritage Housing of Athens</x:v>
      </x:c>
      <x:c r="C1119" t="str" s="2">
        <x:v/>
      </x:c>
      <x:c r="D1119" t="str" s="2">
        <x:v>8642215560</x:v>
      </x:c>
      <x:c r="E1119" t="str" s="2">
        <x:v>slimzlandscape@gmail.com</x:v>
      </x:c>
      <x:c r="F1119" t="str" s="2">
        <x:v>Landing_BPM</x:v>
      </x:c>
      <x:c r="G1119" t="str" s="2">
        <x:v>Nathan Bishop</x:v>
      </x:c>
      <x:c r="H1119" s="6">
        <x:v>46293.81416519676</x:v>
      </x:c>
      <x:c r="I1119" s="0"/>
      <x:c r="J1119" s="0"/>
      <x:c r="K1119" s="6">
        <x:v>46293.941314351854</x:v>
      </x:c>
      <x:c r="L1119" t="str" s="2">
        <x:v>Contacted</x:v>
      </x:c>
    </x:row>
    <x:row r="1120">
      <x:c r="A1120" t="str" s="2">
        <x:f>="Patricia Alexander"</x:f>
      </x:c>
      <x:c r="B1120" t="str" s="2">
        <x:v>Heritage Housing of Athens</x:v>
      </x:c>
      <x:c r="C1120" t="str" s="2">
        <x:v/>
      </x:c>
      <x:c r="D1120" t="str" s="2">
        <x:v>8648247396</x:v>
      </x:c>
      <x:c r="E1120" t="str" s="2">
        <x:v>luvindanes@yahoo.com</x:v>
      </x:c>
      <x:c r="F1120" t="str" s="2">
        <x:v>Landing_BPM</x:v>
      </x:c>
      <x:c r="G1120" t="str" s="2">
        <x:v>Ethan Fossett</x:v>
      </x:c>
      <x:c r="H1120" s="6">
        <x:v>46293.90249494213</x:v>
      </x:c>
      <x:c r="I1120" s="0"/>
      <x:c r="J1120" s="0"/>
      <x:c r="K1120" s="6">
        <x:v>46307.93806299769</x:v>
      </x:c>
      <x:c r="L1120" t="str" s="2">
        <x:v>Contacted</x:v>
      </x:c>
    </x:row>
    <x:row r="1121">
      <x:c r="A1121" t="str" s="2">
        <x:f>="Wilfredo Velez"</x:f>
      </x:c>
      <x:c r="B1121" t="str" s="2">
        <x:v>Heritage Housing of Asheboro</x:v>
      </x:c>
      <x:c r="C1121" t="str" s="2">
        <x:v/>
      </x:c>
      <x:c r="D1121" t="str" s="2">
        <x:v>939-247-9509</x:v>
      </x:c>
      <x:c r="E1121" t="str" s="2">
        <x:v>wvelezmalave@gmail.com</x:v>
      </x:c>
      <x:c r="F1121" t="str" s="2">
        <x:v>Landing_BPM</x:v>
      </x:c>
      <x:c r="G1121" t="str" s="2">
        <x:v>Joe Lopez</x:v>
      </x:c>
      <x:c r="H1121" s="6">
        <x:v>46294.08521311342</x:v>
      </x:c>
      <x:c r="I1121" s="0"/>
      <x:c r="J1121" s="0"/>
      <x:c r="K1121" s="6">
        <x:v>46296.59690243055</x:v>
      </x:c>
      <x:c r="L1121" t="str" s="2">
        <x:v>Contacted</x:v>
      </x:c>
    </x:row>
    <x:row r="1122">
      <x:c r="A1122" t="str" s="2">
        <x:f>="Larry Mendoza"</x:f>
      </x:c>
      <x:c r="B1122" t="str" s="2">
        <x:v>Heritage Housing of Greenville</x:v>
      </x:c>
      <x:c r="C1122" t="str" s="2">
        <x:v/>
      </x:c>
      <x:c r="D1122" t="str" s="2">
        <x:v>5056377581</x:v>
      </x:c>
      <x:c r="E1122" t="str" s="2">
        <x:v>Lemarsv20@gmail.com</x:v>
      </x:c>
      <x:c r="F1122" t="str" s="2">
        <x:v>LandingPage</x:v>
      </x:c>
      <x:c r="G1122" t="str" s="2">
        <x:v>Brooklynn Allen</x:v>
      </x:c>
      <x:c r="H1122" s="6">
        <x:v>46294.52120135417</x:v>
      </x:c>
      <x:c r="I1122" s="0"/>
      <x:c r="J1122" s="0"/>
      <x:c r="K1122" s="6">
        <x:v>46295.59269262732</x:v>
      </x:c>
      <x:c r="L1122" t="str" s="2">
        <x:v>Contacted</x:v>
      </x:c>
    </x:row>
    <x:row r="1123">
      <x:c r="A1123" t="str" s="2">
        <x:f>="Jeri Cox"</x:f>
      </x:c>
      <x:c r="B1123" t="str" s="2">
        <x:v>Heritage Housing Gainesville</x:v>
      </x:c>
      <x:c r="C1123" t="str" s="2">
        <x:v/>
      </x:c>
      <x:c r="D1123" t="str" s="2">
        <x:v>5802247342</x:v>
      </x:c>
      <x:c r="E1123" t="str" s="2">
        <x:v>jerilcox80@gmail.com</x:v>
      </x:c>
      <x:c r="F1123" t="str" s="2">
        <x:v>Financing Form</x:v>
      </x:c>
      <x:c r="G1123" t="str" s="2">
        <x:v>Jeniffer Arellano</x:v>
      </x:c>
      <x:c r="H1123" s="6">
        <x:v>46294.62762847222</x:v>
      </x:c>
      <x:c r="I1123" s="0"/>
      <x:c r="J1123" s="0"/>
      <x:c r="K1123" s="6">
        <x:v>46308.711391122684</x:v>
      </x:c>
      <x:c r="L1123" t="str" s="2">
        <x:v>Contacted</x:v>
      </x:c>
    </x:row>
    <x:row r="1124">
      <x:c r="A1124" t="str" s="2">
        <x:f>="Jordan Faulconer"</x:f>
      </x:c>
      <x:c r="B1124" t="str" s="2">
        <x:v>Heritage Housing of Athens</x:v>
      </x:c>
      <x:c r="C1124" t="str" s="2">
        <x:v/>
      </x:c>
      <x:c r="D1124" t="str" s="2">
        <x:v>7068164672</x:v>
      </x:c>
      <x:c r="E1124" t="str" s="2">
        <x:v>Cloud9georgia@gmail.com</x:v>
      </x:c>
      <x:c r="F1124" t="str" s="2">
        <x:v>Financing Form</x:v>
      </x:c>
      <x:c r="G1124" t="str" s="2">
        <x:v>Ethan Fossett</x:v>
      </x:c>
      <x:c r="H1124" s="6">
        <x:v>46294.76126994213</x:v>
      </x:c>
      <x:c r="I1124" s="0"/>
      <x:c r="J1124" s="0"/>
      <x:c r="K1124" s="6">
        <x:v>46307.937859178244</x:v>
      </x:c>
      <x:c r="L1124" t="str" s="2">
        <x:v>Contacted</x:v>
      </x:c>
    </x:row>
    <x:row r="1125">
      <x:c r="A1125" t="str" s="2">
        <x:f>="Roman Dhooghe"</x:f>
      </x:c>
      <x:c r="B1125" t="str" s="2">
        <x:v>Heritage Housing Gainesville</x:v>
      </x:c>
      <x:c r="C1125" t="str" s="2">
        <x:v>1/1</x:v>
      </x:c>
      <x:c r="D1125" t="str" s="2">
        <x:v>9403047304</x:v>
      </x:c>
      <x:c r="E1125" t="str" s="2">
        <x:v>romandhooghe94@gmail.com</x:v>
      </x:c>
      <x:c r="F1125" t="str" s="2">
        <x:v>Website</x:v>
      </x:c>
      <x:c r="G1125" t="str" s="2">
        <x:v>Kelly Ford</x:v>
      </x:c>
      <x:c r="H1125" s="6">
        <x:v>46294.925853472225</x:v>
      </x:c>
      <x:c r="I1125" s="0"/>
      <x:c r="J1125" s="0"/>
      <x:c r="K1125" s="6">
        <x:v>46300.8753315625</x:v>
      </x:c>
      <x:c r="L1125" t="str" s="2">
        <x:v>Contacted</x:v>
      </x:c>
    </x:row>
    <x:row r="1126">
      <x:c r="A1126" t="str" s="2">
        <x:f>="Jacob Nix"</x:f>
      </x:c>
      <x:c r="B1126" t="str" s="2">
        <x:v>Heritage Housing of Athens</x:v>
      </x:c>
      <x:c r="C1126" t="str" s="2">
        <x:v/>
      </x:c>
      <x:c r="D1126" t="str" s="2">
        <x:v>7063521034</x:v>
      </x:c>
      <x:c r="E1126" t="str" s="2">
        <x:v>samantharice500@gmail.com</x:v>
      </x:c>
      <x:c r="F1126" t="str" s="2">
        <x:v>Landing_BPM</x:v>
      </x:c>
      <x:c r="G1126" t="str" s="2">
        <x:v>Ethan Fossett</x:v>
      </x:c>
      <x:c r="H1126" s="6">
        <x:v>46294.9557721875</x:v>
      </x:c>
      <x:c r="I1126" s="0"/>
      <x:c r="J1126" s="0"/>
      <x:c r="K1126" s="6">
        <x:v>46300.81242607639</x:v>
      </x:c>
      <x:c r="L1126" t="str" s="2">
        <x:v>Contacted</x:v>
      </x:c>
    </x:row>
    <x:row r="1127">
      <x:c r="A1127" t="str" s="2">
        <x:f>="philip varner"</x:f>
      </x:c>
      <x:c r="B1127" t="str" s="2">
        <x:v>Heritage Housing Gainesville</x:v>
      </x:c>
      <x:c r="C1127" t="str" s="2">
        <x:v/>
      </x:c>
      <x:c r="D1127" t="str" s="2">
        <x:v>6784780360</x:v>
      </x:c>
      <x:c r="E1127" t="str" s="2">
        <x:v>philipgvarnerjr@gmail.com</x:v>
      </x:c>
      <x:c r="F1127" t="str" s="2">
        <x:v>Landing_BPM</x:v>
      </x:c>
      <x:c r="G1127" t="str" s="2">
        <x:v>Jeniffer Arellano</x:v>
      </x:c>
      <x:c r="H1127" s="6">
        <x:v>46294.9682503125</x:v>
      </x:c>
      <x:c r="I1127" s="0"/>
      <x:c r="J1127" s="0"/>
      <x:c r="K1127" s="6">
        <x:v>46308.711296215275</x:v>
      </x:c>
      <x:c r="L1127" t="str" s="2">
        <x:v>Contacted</x:v>
      </x:c>
    </x:row>
    <x:row r="1128">
      <x:c r="A1128" t="str" s="2">
        <x:f>="Casey Thornsberry"</x:f>
      </x:c>
      <x:c r="B1128" t="str" s="2">
        <x:v>Heritage Housing of Minden</x:v>
      </x:c>
      <x:c r="C1128" t="str" s="2">
        <x:v>0/1</x:v>
      </x:c>
      <x:c r="D1128" t="str" s="2">
        <x:v>6512869139</x:v>
      </x:c>
      <x:c r="E1128" t="str" s="2">
        <x:v>caseythornsberry70@gmail.com</x:v>
      </x:c>
      <x:c r="F1128" t="str" s="2">
        <x:v>Financing Form</x:v>
      </x:c>
      <x:c r="G1128" t="str" s="2">
        <x:v>Kyla Brown</x:v>
      </x:c>
      <x:c r="H1128" s="6">
        <x:v>46294.97089679398</x:v>
      </x:c>
      <x:c r="I1128" s="0"/>
      <x:c r="J1128" s="0"/>
      <x:c r="K1128" s="6">
        <x:v>46295.63629328704</x:v>
      </x:c>
      <x:c r="L1128" t="str" s="2">
        <x:v>Contacted</x:v>
      </x:c>
    </x:row>
    <x:row r="1129">
      <x:c r="A1129" t="str" s="2">
        <x:f>="amber vice"</x:f>
      </x:c>
      <x:c r="B1129" t="str" s="2">
        <x:v>Heritage Housing of Jennings</x:v>
      </x:c>
      <x:c r="C1129" t="str" s="2">
        <x:v/>
      </x:c>
      <x:c r="D1129" t="str" s="2">
        <x:v>3373244981</x:v>
      </x:c>
      <x:c r="E1129" t="str" s="2">
        <x:v>brandonmoody5858@yahoo.com</x:v>
      </x:c>
      <x:c r="F1129" t="str" s="2">
        <x:v>Landing_BPM</x:v>
      </x:c>
      <x:c r="G1129" t="str" s="2">
        <x:v>Mervin Leslie Smith</x:v>
      </x:c>
      <x:c r="H1129" s="6">
        <x:v>46294.9826193287</x:v>
      </x:c>
      <x:c r="I1129" s="0"/>
      <x:c r="J1129" s="0"/>
      <x:c r="K1129" s="6">
        <x:v>46303.83451693287</x:v>
      </x:c>
      <x:c r="L1129" t="str" s="2">
        <x:v>Contacted</x:v>
      </x:c>
    </x:row>
    <x:row r="1130">
      <x:c r="A1130" t="str" s="2">
        <x:f>="Patricia Jones"</x:f>
      </x:c>
      <x:c r="B1130" t="str" s="2">
        <x:v>Heritage Housing of Minden</x:v>
      </x:c>
      <x:c r="C1130" t="str" s="2">
        <x:v/>
      </x:c>
      <x:c r="D1130" t="str" s="2">
        <x:v>3189472821</x:v>
      </x:c>
      <x:c r="E1130" t="str" s="2">
        <x:v>jonespatricia668@gmail.com</x:v>
      </x:c>
      <x:c r="F1130" t="str" s="2">
        <x:v>Landing_BPM</x:v>
      </x:c>
      <x:c r="G1130" t="str" s="2">
        <x:v>Patrick Schuchart</x:v>
      </x:c>
      <x:c r="H1130" s="6">
        <x:v>46295.12040003472</x:v>
      </x:c>
      <x:c r="I1130" s="0"/>
      <x:c r="J1130" s="0"/>
      <x:c r="K1130" s="6">
        <x:v>46295.6357096412</x:v>
      </x:c>
      <x:c r="L1130" t="str" s="2">
        <x:v>Contacted</x:v>
      </x:c>
    </x:row>
    <x:row r="1131">
      <x:c r="A1131" t="str" s="2">
        <x:f>="Susan Abeyta Abeyta"</x:f>
      </x:c>
      <x:c r="B1131" t="str" s="2">
        <x:v>Heritage Housing of Minden</x:v>
      </x:c>
      <x:c r="C1131" t="str" s="2">
        <x:v>0/1</x:v>
      </x:c>
      <x:c r="D1131" t="str" s="2">
        <x:v>8708666908</x:v>
      </x:c>
      <x:c r="E1131" t="str" s="2">
        <x:v>abeyta.susan@icloud.com</x:v>
      </x:c>
      <x:c r="F1131" t="str" s="2">
        <x:v>Landing_BPM</x:v>
      </x:c>
      <x:c r="G1131" t="str" s="2">
        <x:v>Kyla Brown</x:v>
      </x:c>
      <x:c r="H1131" s="6">
        <x:v>46295.53933587963</x:v>
      </x:c>
      <x:c r="I1131" s="0"/>
      <x:c r="J1131" s="0"/>
      <x:c r="K1131" s="6">
        <x:v>46295.63503943287</x:v>
      </x:c>
      <x:c r="L1131" t="str" s="2">
        <x:v>Contacted</x:v>
      </x:c>
    </x:row>
    <x:row r="1132">
      <x:c r="A1132" t="str" s="2">
        <x:f>="Jessica Amrine"</x:f>
      </x:c>
      <x:c r="B1132" t="str" s="2">
        <x:v>Heritage Housing Gainesville</x:v>
      </x:c>
      <x:c r="C1132" t="str" s="2">
        <x:v/>
      </x:c>
      <x:c r="D1132" t="str" s="2">
        <x:v>6828043595</x:v>
      </x:c>
      <x:c r="E1132" t="str" s="2">
        <x:v>jess.whaley605@gmail.com</x:v>
      </x:c>
      <x:c r="F1132" t="str" s="2">
        <x:v>Landing_BPM</x:v>
      </x:c>
      <x:c r="G1132" t="str" s="2">
        <x:v>Kelly Ford</x:v>
      </x:c>
      <x:c r="H1132" s="6">
        <x:v>46295.77671203703</x:v>
      </x:c>
      <x:c r="I1132" s="0"/>
      <x:c r="J1132" s="0"/>
      <x:c r="K1132" s="6">
        <x:v>46300.85775663194</x:v>
      </x:c>
      <x:c r="L1132" t="str" s="2">
        <x:v>Contacted</x:v>
      </x:c>
    </x:row>
    <x:row r="1133">
      <x:c r="A1133" t="str" s="2">
        <x:f>="samantha Clark"</x:f>
      </x:c>
      <x:c r="B1133" t="str" s="2">
        <x:v>Heritage Housing Gainesville</x:v>
      </x:c>
      <x:c r="C1133" t="str" s="2">
        <x:v/>
      </x:c>
      <x:c r="D1133" t="str" s="2">
        <x:v>4052401100</x:v>
      </x:c>
      <x:c r="E1133" t="str" s="2">
        <x:v>jaycenn.clark09@gmail.com</x:v>
      </x:c>
      <x:c r="F1133" t="str" s="2">
        <x:v>Website</x:v>
      </x:c>
      <x:c r="G1133" t="str" s="2">
        <x:v>Jeniffer Arellano</x:v>
      </x:c>
      <x:c r="H1133" s="6">
        <x:v>46295.834824652775</x:v>
      </x:c>
      <x:c r="I1133" s="0"/>
      <x:c r="J1133" s="0"/>
      <x:c r="K1133" s="6">
        <x:v>46308.71121825231</x:v>
      </x:c>
      <x:c r="L1133" t="str" s="2">
        <x:v>Contacted</x:v>
      </x:c>
    </x:row>
    <x:row r="1134">
      <x:c r="A1134" t="str" s="2">
        <x:f>="Jennifer Lara"</x:f>
      </x:c>
      <x:c r="B1134" t="str" s="2">
        <x:v>Heritage Housing of Greenville</x:v>
      </x:c>
      <x:c r="C1134" t="str" s="2">
        <x:v/>
      </x:c>
      <x:c r="D1134" t="str" s="2">
        <x:v>4693895594</x:v>
      </x:c>
      <x:c r="E1134" t="str" s="2">
        <x:v>jenlara0323@gmail.com</x:v>
      </x:c>
      <x:c r="F1134" t="str" s="2">
        <x:v>Landing_BPM</x:v>
      </x:c>
      <x:c r="G1134" t="str" s="2">
        <x:v>Brooklynn Allen</x:v>
      </x:c>
      <x:c r="H1134" s="6">
        <x:v>46295.86270686342</x:v>
      </x:c>
      <x:c r="I1134" s="0"/>
      <x:c r="J1134" s="0"/>
      <x:c r="K1134" s="6">
        <x:v>46304.599987650465</x:v>
      </x:c>
      <x:c r="L1134" t="str" s="2">
        <x:v>Contacted</x:v>
      </x:c>
    </x:row>
    <x:row r="1135">
      <x:c r="A1135" t="str" s="2">
        <x:f>="Debbie Blackman"</x:f>
      </x:c>
      <x:c r="B1135" t="str" s="2">
        <x:v>Heritage Housing of Minden</x:v>
      </x:c>
      <x:c r="C1135" t="str" s="2">
        <x:v>0/1</x:v>
      </x:c>
      <x:c r="D1135" t="str" s="2">
        <x:v>3183661471</x:v>
      </x:c>
      <x:c r="E1135" t="str" s="2">
        <x:v>nana.debs1966@gmail.com</x:v>
      </x:c>
      <x:c r="F1135" t="str" s="2">
        <x:v>Landing_BPM</x:v>
      </x:c>
      <x:c r="G1135" t="str" s="2">
        <x:v>Patrick Schuchart</x:v>
      </x:c>
      <x:c r="H1135" s="6">
        <x:v>46295.87368680556</x:v>
      </x:c>
      <x:c r="I1135" s="0"/>
      <x:c r="J1135" s="0"/>
      <x:c r="K1135" s="6">
        <x:v>46295.971454479164</x:v>
      </x:c>
      <x:c r="L1135" t="str" s="2">
        <x:v>Contacted</x:v>
      </x:c>
    </x:row>
    <x:row r="1136">
      <x:c r="A1136" t="str" s="2">
        <x:f>="JAMAL moseley"</x:f>
      </x:c>
      <x:c r="B1136" t="str" s="2">
        <x:v>Heritage Housing of Minden</x:v>
      </x:c>
      <x:c r="C1136" t="str" s="2">
        <x:v>0/1</x:v>
      </x:c>
      <x:c r="D1136" t="str" s="2">
        <x:v>9852412353</x:v>
      </x:c>
      <x:c r="E1136" t="str" s="2">
        <x:v>malywaly985@gmail.com</x:v>
      </x:c>
      <x:c r="F1136" t="str" s="2">
        <x:v>Landing_BPM</x:v>
      </x:c>
      <x:c r="G1136" t="str" s="2">
        <x:v>Kyla Brown</x:v>
      </x:c>
      <x:c r="H1136" s="6">
        <x:v>46295.92470413195</x:v>
      </x:c>
      <x:c r="I1136" s="0"/>
      <x:c r="J1136" s="0"/>
      <x:c r="K1136" s="6">
        <x:v>46295.9708383912</x:v>
      </x:c>
      <x:c r="L1136" t="str" s="2">
        <x:v>Contacted</x:v>
      </x:c>
    </x:row>
    <x:row r="1137">
      <x:c r="A1137" t="str" s="2">
        <x:f>="KerryAnn Bailey"</x:f>
      </x:c>
      <x:c r="B1137" t="str" s="2">
        <x:v>Heritage Housing of Greenville</x:v>
      </x:c>
      <x:c r="C1137" t="str" s="2">
        <x:v/>
      </x:c>
      <x:c r="D1137" t="str" s="2">
        <x:v>9032436841</x:v>
      </x:c>
      <x:c r="E1137" t="str" s="2">
        <x:v>kerrykatt992@gmail.com</x:v>
      </x:c>
      <x:c r="F1137" t="str" s="2">
        <x:v>Landing_BPM</x:v>
      </x:c>
      <x:c r="G1137" t="str" s="2">
        <x:v>Brooklynn Allen</x:v>
      </x:c>
      <x:c r="H1137" s="6">
        <x:v>46296.06859814815</x:v>
      </x:c>
      <x:c r="I1137" s="0"/>
      <x:c r="J1137" s="0"/>
      <x:c r="K1137" s="6">
        <x:v>46296.604413078705</x:v>
      </x:c>
      <x:c r="L1137" t="str" s="2">
        <x:v>Contacted</x:v>
      </x:c>
    </x:row>
    <x:row r="1138">
      <x:c r="A1138" t="str" s="2">
        <x:f>="Julie Eibert"</x:f>
      </x:c>
      <x:c r="B1138" t="str" s="2">
        <x:v>Heritage Housing of Jennings</x:v>
      </x:c>
      <x:c r="C1138" t="str" s="2">
        <x:v/>
      </x:c>
      <x:c r="D1138" t="str" s="2">
        <x:v>2252101604</x:v>
      </x:c>
      <x:c r="E1138" t="str" s="2">
        <x:v>jeibert@Mail.com</x:v>
      </x:c>
      <x:c r="F1138" t="str" s="2">
        <x:v>Landing_BPM</x:v>
      </x:c>
      <x:c r="G1138" t="str" s="2">
        <x:v>Mervin Leslie Smith</x:v>
      </x:c>
      <x:c r="H1138" s="6">
        <x:v>46296.10398703704</x:v>
      </x:c>
      <x:c r="I1138" s="0"/>
      <x:c r="J1138" s="0"/>
      <x:c r="K1138" s="6">
        <x:v>46303.83358070602</x:v>
      </x:c>
      <x:c r="L1138" t="str" s="2">
        <x:v>Contacted</x:v>
      </x:c>
    </x:row>
    <x:row r="1139">
      <x:c r="A1139" t="str" s="2">
        <x:f>="Christopher Simmons"</x:f>
      </x:c>
      <x:c r="B1139" t="str" s="2">
        <x:v>Heritage Housing Gainesville</x:v>
      </x:c>
      <x:c r="C1139" t="str" s="2">
        <x:v/>
      </x:c>
      <x:c r="D1139" t="str" s="2">
        <x:v>4693870275</x:v>
      </x:c>
      <x:c r="E1139" t="str" s="2">
        <x:v>chrismelon22@gmail.com</x:v>
      </x:c>
      <x:c r="F1139" t="str" s="2">
        <x:v>Landing_BPM</x:v>
      </x:c>
      <x:c r="G1139" t="str" s="2">
        <x:v>Kelly Ford</x:v>
      </x:c>
      <x:c r="H1139" s="6">
        <x:v>46296.10886107639</x:v>
      </x:c>
      <x:c r="I1139" s="0"/>
      <x:c r="J1139" s="0"/>
      <x:c r="K1139" s="6">
        <x:v>46296.68006855324</x:v>
      </x:c>
      <x:c r="L1139" t="str" s="2">
        <x:v>Contacted</x:v>
      </x:c>
    </x:row>
    <x:row r="1140">
      <x:c r="A1140" t="str" s="2">
        <x:f>="Asya Gresham"</x:f>
      </x:c>
      <x:c r="B1140" t="str" s="2">
        <x:v>Heritage Housing of Albany</x:v>
      </x:c>
      <x:c r="C1140" t="str" s="2">
        <x:v/>
      </x:c>
      <x:c r="D1140" t="str" s="2">
        <x:v>2294189983</x:v>
      </x:c>
      <x:c r="E1140" t="str" s="2">
        <x:v>asyagresham20@gmail.com</x:v>
      </x:c>
      <x:c r="F1140" t="str" s="2">
        <x:v>Financing Form</x:v>
      </x:c>
      <x:c r="G1140" t="str" s="2">
        <x:v>Yanet Alvarez</x:v>
      </x:c>
      <x:c r="H1140" s="6">
        <x:v>46296.1687431713</x:v>
      </x:c>
      <x:c r="I1140" s="0"/>
      <x:c r="J1140" s="0"/>
      <x:c r="K1140" s="6">
        <x:v>46302.61950011574</x:v>
      </x:c>
      <x:c r="L1140" t="str" s="2">
        <x:v>Contacted</x:v>
      </x:c>
    </x:row>
    <x:row r="1141">
      <x:c r="A1141" t="str" s="2">
        <x:f>="Sherondon Nwokolo Nwokolo"</x:f>
      </x:c>
      <x:c r="B1141" t="str" s="2">
        <x:v>Heritage Housing Gainesville</x:v>
      </x:c>
      <x:c r="C1141" t="str" s="2">
        <x:v/>
      </x:c>
      <x:c r="D1141" t="str" s="2">
        <x:v>4699337752</x:v>
      </x:c>
      <x:c r="E1141" t="str" s="2">
        <x:v>sdw71203@gmail.com</x:v>
      </x:c>
      <x:c r="F1141" t="str" s="2">
        <x:v>Landing_BPM</x:v>
      </x:c>
      <x:c r="G1141" t="str" s="2">
        <x:v>Jeniffer Arellano</x:v>
      </x:c>
      <x:c r="H1141" s="6">
        <x:v>46296.19356142361</x:v>
      </x:c>
      <x:c r="I1141" s="0"/>
      <x:c r="J1141" s="0"/>
      <x:c r="K1141" s="6">
        <x:v>46308.711158252314</x:v>
      </x:c>
      <x:c r="L1141" t="str" s="2">
        <x:v>Contacted</x:v>
      </x:c>
    </x:row>
    <x:row r="1142">
      <x:c r="A1142" t="str" s="2">
        <x:f>="Christina Cripe"</x:f>
      </x:c>
      <x:c r="B1142" t="str" s="2">
        <x:v>Heritage Housing Gainesville</x:v>
      </x:c>
      <x:c r="C1142" t="str" s="2">
        <x:v/>
      </x:c>
      <x:c r="D1142" t="str" s="2">
        <x:v>9032099513</x:v>
      </x:c>
      <x:c r="E1142" t="str" s="2">
        <x:v>ChristinaCripe@aol.com</x:v>
      </x:c>
      <x:c r="F1142" t="str" s="2">
        <x:v>LandingPage</x:v>
      </x:c>
      <x:c r="G1142" t="str" s="2">
        <x:v>Kelly Ford</x:v>
      </x:c>
      <x:c r="H1142" s="6">
        <x:v>46296.261148530095</x:v>
      </x:c>
      <x:c r="I1142" s="0"/>
      <x:c r="J1142" s="0"/>
      <x:c r="K1142" s="6">
        <x:v>46300.85507210648</x:v>
      </x:c>
      <x:c r="L1142" t="str" s="2">
        <x:v>Contacted</x:v>
      </x:c>
    </x:row>
    <x:row r="1143">
      <x:c r="A1143" t="str" s="2">
        <x:f>="Edith Smyers"</x:f>
      </x:c>
      <x:c r="B1143" t="str" s="2">
        <x:v>Heritage Housing of Minden</x:v>
      </x:c>
      <x:c r="C1143" t="str" s="2">
        <x:v/>
      </x:c>
      <x:c r="D1143" t="str" s="2">
        <x:v>3185104157</x:v>
      </x:c>
      <x:c r="E1143" t="str" s="2">
        <x:v>amandasmyers.pbca@gmail.com</x:v>
      </x:c>
      <x:c r="F1143" t="str" s="2">
        <x:v>Landing_BPM</x:v>
      </x:c>
      <x:c r="G1143" t="str" s="2">
        <x:v>Patrick Schuchart</x:v>
      </x:c>
      <x:c r="H1143" s="6">
        <x:v>46296.355679479166</x:v>
      </x:c>
      <x:c r="I1143" s="0"/>
      <x:c r="J1143" s="0"/>
      <x:c r="K1143" s="6">
        <x:v>46296.696935381944</x:v>
      </x:c>
      <x:c r="L1143" t="str" s="2">
        <x:v>Contacted</x:v>
      </x:c>
    </x:row>
    <x:row r="1144">
      <x:c r="A1144" t="str" s="2">
        <x:f>="Dustin Payne"</x:f>
      </x:c>
      <x:c r="B1144" t="str" s="2">
        <x:v>Heritage Housing of Greenville</x:v>
      </x:c>
      <x:c r="C1144" t="str" s="2">
        <x:v/>
      </x:c>
      <x:c r="D1144" t="str" s="2">
        <x:v>9038504165</x:v>
      </x:c>
      <x:c r="E1144" t="str" s="2">
        <x:v>dustinpayne5@icloud.com</x:v>
      </x:c>
      <x:c r="F1144" t="str" s="2">
        <x:v>Landing_BPM</x:v>
      </x:c>
      <x:c r="G1144" t="str" s="2">
        <x:v>Brooklynn Allen</x:v>
      </x:c>
      <x:c r="H1144" s="6">
        <x:v>46296.71295462963</x:v>
      </x:c>
      <x:c r="I1144" s="0"/>
      <x:c r="J1144" s="0"/>
      <x:c r="K1144" s="6">
        <x:v>46297.603283449076</x:v>
      </x:c>
      <x:c r="L1144" t="str" s="2">
        <x:v>Contacted</x:v>
      </x:c>
    </x:row>
    <x:row r="1145">
      <x:c r="A1145" t="str" s="2">
        <x:f>=HYPERLINK("https://rsms.futurehomex.com/lead/40515", "Kris Holder")</x:f>
      </x:c>
      <x:c r="B1145" t="str" s="2">
        <x:v>Heritage Housing Gainesville</x:v>
      </x:c>
      <x:c r="C1145" t="str" s="2">
        <x:v/>
      </x:c>
      <x:c r="D1145" t="str" s="2">
        <x:v>9408596476</x:v>
      </x:c>
      <x:c r="E1145" t="str" s="2">
        <x:v>9408596476</x:v>
      </x:c>
      <x:c r="F1145" t="str" s="2">
        <x:v>Walk-in</x:v>
      </x:c>
      <x:c r="G1145" t="str" s="2">
        <x:v>Kelly Ford</x:v>
      </x:c>
      <x:c r="H1145" s="6">
        <x:v>46296.844671527775</x:v>
      </x:c>
      <x:c r="I1145" t="str" s="2">
        <x:v>Kelly Ford</x:v>
      </x:c>
      <x:c r="J1145" s="0"/>
      <x:c r="K1145" s="6">
        <x:v>46300.854203159724</x:v>
      </x:c>
      <x:c r="L1145" t="str" s="2">
        <x:v>Contacted</x:v>
      </x:c>
    </x:row>
    <x:row r="1146">
      <x:c r="A1146" t="str" s="2">
        <x:f>="Joan Biggs Ramer Biggs Ramer"</x:f>
      </x:c>
      <x:c r="B1146" t="str" s="2">
        <x:v>Heritage Housing of Asheboro</x:v>
      </x:c>
      <x:c r="C1146" t="str" s="2">
        <x:v/>
      </x:c>
      <x:c r="D1146" t="str" s="2">
        <x:v>3362397461</x:v>
      </x:c>
      <x:c r="E1146" t="str" s="2">
        <x:v>bramerjoan@gmail.com</x:v>
      </x:c>
      <x:c r="F1146" t="str" s="2">
        <x:v>Landing_BPM</x:v>
      </x:c>
      <x:c r="G1146" t="str" s="2">
        <x:v>Kate Gutierrez</x:v>
      </x:c>
      <x:c r="H1146" s="6">
        <x:v>46296.84689771991</x:v>
      </x:c>
      <x:c r="I1146" s="0"/>
      <x:c r="J1146" s="0"/>
      <x:c r="K1146" s="6">
        <x:v>46304.75356142361</x:v>
      </x:c>
      <x:c r="L1146" t="str" s="2">
        <x:v>Contacted</x:v>
      </x:c>
    </x:row>
    <x:row r="1147">
      <x:c r="A1147" t="str" s="2">
        <x:f>="Melody Ryan"</x:f>
      </x:c>
      <x:c r="B1147" t="str" s="2">
        <x:v>Heritage Housing of Minden</x:v>
      </x:c>
      <x:c r="C1147" t="str" s="2">
        <x:v>1/1</x:v>
      </x:c>
      <x:c r="D1147" t="str" s="2">
        <x:v>8703142469</x:v>
      </x:c>
      <x:c r="E1147" t="str" s="2">
        <x:v>melodyford1211@gmail.com</x:v>
      </x:c>
      <x:c r="F1147" t="str" s="2">
        <x:v>Landing_BPM</x:v>
      </x:c>
      <x:c r="G1147" t="str" s="2">
        <x:v>Kyla Brown</x:v>
      </x:c>
      <x:c r="H1147" s="6">
        <x:v>46296.856005520836</x:v>
      </x:c>
      <x:c r="I1147" s="0"/>
      <x:c r="J1147" s="0"/>
      <x:c r="K1147" s="6">
        <x:v>46296.939992858795</x:v>
      </x:c>
      <x:c r="L1147" t="str" s="2">
        <x:v>Contacted</x:v>
      </x:c>
    </x:row>
    <x:row r="1148">
      <x:c r="A1148" t="str" s="2">
        <x:f>="Shea Nash"</x:f>
      </x:c>
      <x:c r="B1148" t="str" s="2">
        <x:v>Heritage Housing Marble Falls</x:v>
      </x:c>
      <x:c r="C1148" t="str" s="2">
        <x:v/>
      </x:c>
      <x:c r="D1148" t="str" s="2">
        <x:v>2543376145</x:v>
      </x:c>
      <x:c r="E1148" t="str" s="2">
        <x:v>sheanash22@gmail.com</x:v>
      </x:c>
      <x:c r="F1148" t="str" s="2">
        <x:v>Landing_BPM</x:v>
      </x:c>
      <x:c r="G1148" t="str" s="2">
        <x:v>Stephen Sanders</x:v>
      </x:c>
      <x:c r="H1148" s="6">
        <x:v>46296.96447021991</x:v>
      </x:c>
      <x:c r="I1148" s="0"/>
      <x:c r="J1148" s="0"/>
      <x:c r="K1148" s="6">
        <x:v>46298.77982179398</x:v>
      </x:c>
      <x:c r="L1148" t="str" s="2">
        <x:v>Contacted</x:v>
      </x:c>
    </x:row>
    <x:row r="1149">
      <x:c r="A1149" t="str" s="2">
        <x:f>="Shawn Sparks"</x:f>
      </x:c>
      <x:c r="B1149" t="str" s="2">
        <x:v>Heritage Housing Gainesville</x:v>
      </x:c>
      <x:c r="C1149" t="str" s="2">
        <x:v/>
      </x:c>
      <x:c r="D1149" t="str" s="2">
        <x:v>6824293923</x:v>
      </x:c>
      <x:c r="E1149" t="str" s="2">
        <x:v>sparksshawn83@gmail.com</x:v>
      </x:c>
      <x:c r="F1149" t="str" s="2">
        <x:v>Landing_BPM</x:v>
      </x:c>
      <x:c r="G1149" t="str" s="2">
        <x:v>Jeniffer Arellano</x:v>
      </x:c>
      <x:c r="H1149" s="6">
        <x:v>46297.39902334491</x:v>
      </x:c>
      <x:c r="I1149" s="0"/>
      <x:c r="J1149" s="0"/>
      <x:c r="K1149" s="6">
        <x:v>46308.71108688657</x:v>
      </x:c>
      <x:c r="L1149" t="str" s="2">
        <x:v>Contacted</x:v>
      </x:c>
    </x:row>
    <x:row r="1150">
      <x:c r="A1150" t="str" s="2">
        <x:f>="William McCans"</x:f>
      </x:c>
      <x:c r="B1150" t="str" s="2">
        <x:v>Heritage Housing Gainesville</x:v>
      </x:c>
      <x:c r="C1150" t="str" s="2">
        <x:v/>
      </x:c>
      <x:c r="D1150" t="str" s="2">
        <x:v>2142299882</x:v>
      </x:c>
      <x:c r="E1150" t="str" s="2">
        <x:v>wmccans@gmail.com</x:v>
      </x:c>
      <x:c r="F1150" t="str" s="2">
        <x:v>Landing_BPM</x:v>
      </x:c>
      <x:c r="G1150" t="str" s="2">
        <x:v>Kelly Ford</x:v>
      </x:c>
      <x:c r="H1150" s="6">
        <x:v>46297.589346099536</x:v>
      </x:c>
      <x:c r="I1150" s="0"/>
      <x:c r="J1150" s="0"/>
      <x:c r="K1150" s="6">
        <x:v>46300.82471392361</x:v>
      </x:c>
      <x:c r="L1150" t="str" s="2">
        <x:v>Contacted</x:v>
      </x:c>
    </x:row>
    <x:row r="1151">
      <x:c r="A1151" t="str" s="2">
        <x:f>="pin_btKl P_ezKlO"</x:f>
      </x:c>
      <x:c r="B1151" t="str" s="2">
        <x:v>Heritage Housing of Greenville</x:v>
      </x:c>
      <x:c r="C1151" t="str" s="2">
        <x:v/>
      </x:c>
      <x:c r="D1151" t="str" s="2">
        <x:v>9462875</x:v>
      </x:c>
      <x:c r="E1151" t="str" s="2">
        <x:v>idgmncx@xkuidmb.xxi</x:v>
      </x:c>
      <x:c r="F1151" t="str" s="2">
        <x:v>Website</x:v>
      </x:c>
      <x:c r="G1151" t="str" s="2">
        <x:v>Brooklynn Allen</x:v>
      </x:c>
      <x:c r="H1151" s="6">
        <x:v>46297.84776211806</x:v>
      </x:c>
      <x:c r="I1151" s="0"/>
      <x:c r="J1151" s="0"/>
      <x:c r="K1151" s="6">
        <x:v>46300.64490130787</x:v>
      </x:c>
      <x:c r="L1151" t="str" s="2">
        <x:v>Contacted</x:v>
      </x:c>
    </x:row>
    <x:row r="1152">
      <x:c r="A1152" t="str" s="2">
        <x:f>="Ashley Farrington Farrington"</x:f>
      </x:c>
      <x:c r="B1152" t="str" s="2">
        <x:v>Heritage Housing Marble Falls</x:v>
      </x:c>
      <x:c r="C1152" t="str" s="2">
        <x:v/>
      </x:c>
      <x:c r="D1152" t="str" s="2">
        <x:v>5125346854</x:v>
      </x:c>
      <x:c r="E1152" t="str" s="2">
        <x:v>ashleyfarrington30@icloud.com</x:v>
      </x:c>
      <x:c r="F1152" t="str" s="2">
        <x:v>Landing_BPM</x:v>
      </x:c>
      <x:c r="G1152" t="str" s="2">
        <x:v>Garrett Riedesel</x:v>
      </x:c>
      <x:c r="H1152" s="6">
        <x:v>46297.904914467596</x:v>
      </x:c>
      <x:c r="I1152" s="0"/>
      <x:c r="J1152" s="0"/>
      <x:c r="K1152" s="6">
        <x:v>46300.59698383102</x:v>
      </x:c>
      <x:c r="L1152" t="str" s="2">
        <x:v>Contacted</x:v>
      </x:c>
    </x:row>
    <x:row r="1153">
      <x:c r="A1153" t="str" s="2">
        <x:f>="Debra Shook"</x:f>
      </x:c>
      <x:c r="B1153" t="str" s="2">
        <x:v>Heritage Housing of Minden</x:v>
      </x:c>
      <x:c r="C1153" t="str" s="2">
        <x:v>0/1</x:v>
      </x:c>
      <x:c r="D1153" t="str" s="2">
        <x:v>9016280270</x:v>
      </x:c>
      <x:c r="E1153" t="str" s="2">
        <x:v>debishook10@gmail.com</x:v>
      </x:c>
      <x:c r="F1153" t="str" s="2">
        <x:v>Landing_BPM</x:v>
      </x:c>
      <x:c r="G1153" t="str" s="2">
        <x:v>Michael Davis</x:v>
      </x:c>
      <x:c r="H1153" s="6">
        <x:v>46298.15631967592</x:v>
      </x:c>
      <x:c r="I1153" s="0"/>
      <x:c r="J1153" s="0"/>
      <x:c r="K1153" s="6">
        <x:v>46303.73724945602</x:v>
      </x:c>
      <x:c r="L1153" t="str" s="2">
        <x:v>Contacted</x:v>
      </x:c>
    </x:row>
    <x:row r="1154">
      <x:c r="A1154" t="str" s="2">
        <x:f>="Candice Cobbs"</x:f>
      </x:c>
      <x:c r="B1154" t="str" s="2">
        <x:v>Heritage Housing of Minden</x:v>
      </x:c>
      <x:c r="C1154" t="str" s="2">
        <x:v>1/1</x:v>
      </x:c>
      <x:c r="D1154" t="str" s="2">
        <x:v>3186768410</x:v>
      </x:c>
      <x:c r="E1154" t="str" s="2">
        <x:v>candicecobbs2018@gmail.com</x:v>
      </x:c>
      <x:c r="F1154" t="str" s="2">
        <x:v>Financing Form</x:v>
      </x:c>
      <x:c r="G1154" t="str" s="2">
        <x:v>Caulia Washington</x:v>
      </x:c>
      <x:c r="H1154" s="6">
        <x:v>46298.19245065972</x:v>
      </x:c>
      <x:c r="I1154" s="0"/>
      <x:c r="J1154" s="0"/>
      <x:c r="K1154" s="6">
        <x:v>46300.801694594906</x:v>
      </x:c>
      <x:c r="L1154" t="str" s="2">
        <x:v>Contacted</x:v>
      </x:c>
    </x:row>
    <x:row r="1155">
      <x:c r="A1155" t="str" s="2">
        <x:f>="Eltron Trahan"</x:f>
      </x:c>
      <x:c r="B1155" t="str" s="2">
        <x:v>Heritage Housing of Jennings</x:v>
      </x:c>
      <x:c r="C1155" t="str" s="2">
        <x:v/>
      </x:c>
      <x:c r="D1155" t="str" s="2">
        <x:v>3373665533</x:v>
      </x:c>
      <x:c r="E1155" t="str" s="2">
        <x:v>eltrontrahan0@gmail.com</x:v>
      </x:c>
      <x:c r="F1155" t="str" s="2">
        <x:v>Landing_BPM</x:v>
      </x:c>
      <x:c r="G1155" t="str" s="2">
        <x:v>Mervin Leslie Smith</x:v>
      </x:c>
      <x:c r="H1155" s="6">
        <x:v>46298.297861770836</x:v>
      </x:c>
      <x:c r="I1155" s="0"/>
      <x:c r="J1155" s="0"/>
      <x:c r="K1155" s="6">
        <x:v>46303.81008202546</x:v>
      </x:c>
      <x:c r="L1155" t="str" s="2">
        <x:v>Contacted</x:v>
      </x:c>
    </x:row>
    <x:row r="1156">
      <x:c r="A1156" t="str" s="2">
        <x:f>="Wisneisha Lemene"</x:f>
      </x:c>
      <x:c r="B1156" t="str" s="2">
        <x:v>Heritage Housing of Albany</x:v>
      </x:c>
      <x:c r="C1156" t="str" s="2">
        <x:v/>
      </x:c>
      <x:c r="D1156" t="str" s="2">
        <x:v>5619840646</x:v>
      </x:c>
      <x:c r="E1156" t="str" s="2">
        <x:v>wisneishalemene090897@gmail.com</x:v>
      </x:c>
      <x:c r="F1156" t="str" s="2">
        <x:v>Landing_BPM</x:v>
      </x:c>
      <x:c r="G1156" t="str" s="2">
        <x:v>Yanet Alvarez</x:v>
      </x:c>
      <x:c r="H1156" s="6">
        <x:v>46298.80452997685</x:v>
      </x:c>
      <x:c r="I1156" s="0"/>
      <x:c r="J1156" s="0"/>
      <x:c r="K1156" s="6">
        <x:v>46307.8807278125</x:v>
      </x:c>
      <x:c r="L1156" t="str" s="2">
        <x:v>Contacted</x:v>
      </x:c>
    </x:row>
    <x:row r="1157">
      <x:c r="A1157" t="str" s="2">
        <x:f>="LaDawn Hubbard"</x:f>
      </x:c>
      <x:c r="B1157" t="str" s="2">
        <x:v>Heritage Housing of Minden</x:v>
      </x:c>
      <x:c r="C1157" t="str" s="2">
        <x:v/>
      </x:c>
      <x:c r="D1157" t="str" s="2">
        <x:v>8704400177</x:v>
      </x:c>
      <x:c r="E1157" t="str" s="2">
        <x:v>ladawnhubbard41@gmail.com</x:v>
      </x:c>
      <x:c r="F1157" t="str" s="2">
        <x:v>Landing_BPM</x:v>
      </x:c>
      <x:c r="G1157" t="str" s="2">
        <x:v>Patrick Schuchart</x:v>
      </x:c>
      <x:c r="H1157" s="6">
        <x:v>46298.85678854166</x:v>
      </x:c>
      <x:c r="I1157" s="0"/>
      <x:c r="J1157" s="0"/>
      <x:c r="K1157" s="6">
        <x:v>46298.867946377315</x:v>
      </x:c>
      <x:c r="L1157" t="str" s="2">
        <x:v>Contacted</x:v>
      </x:c>
    </x:row>
    <x:row r="1158">
      <x:c r="A1158" t="str" s="2">
        <x:f>=HYPERLINK("https://rsms.futurehomex.com/lead/40566", "Ezra Fields")</x:f>
      </x:c>
      <x:c r="B1158" t="str" s="2">
        <x:v>Heritage Housing of Minden</x:v>
      </x:c>
      <x:c r="C1158" t="str" s="2">
        <x:v>1/1</x:v>
      </x:c>
      <x:c r="D1158" t="str" s="2">
        <x:v>3185790224</x:v>
      </x:c>
      <x:c r="E1158" t="str" s="2">
        <x:v>3185790224</x:v>
      </x:c>
      <x:c r="F1158" t="str" s="2">
        <x:v>Walk-in</x:v>
      </x:c>
      <x:c r="G1158" t="str" s="2">
        <x:v>Patrick Schuchart</x:v>
      </x:c>
      <x:c r="H1158" s="6">
        <x:v>46298.85864181713</x:v>
      </x:c>
      <x:c r="I1158" t="str" s="2">
        <x:v>Patrick Schuchart</x:v>
      </x:c>
      <x:c r="J1158" s="0"/>
      <x:c r="K1158" s="6">
        <x:v>46302.909302395834</x:v>
      </x:c>
      <x:c r="L1158" t="str" s="2">
        <x:v>Contacted</x:v>
      </x:c>
    </x:row>
    <x:row r="1159">
      <x:c r="A1159" t="str" s="2">
        <x:f>="Jarrod Sibley"</x:f>
      </x:c>
      <x:c r="B1159" t="str" s="2">
        <x:v>Heritage Housing of Minden</x:v>
      </x:c>
      <x:c r="C1159" t="str" s="2">
        <x:v>1/1</x:v>
      </x:c>
      <x:c r="D1159" t="str" s="2">
        <x:v>3182658997</x:v>
      </x:c>
      <x:c r="E1159" t="str" s="2">
        <x:v>highlines12foreman.js@gmail.com</x:v>
      </x:c>
      <x:c r="F1159" t="str" s="2">
        <x:v>Landing_BPM</x:v>
      </x:c>
      <x:c r="G1159" t="str" s="2">
        <x:v>Kyla Brown</x:v>
      </x:c>
      <x:c r="H1159" s="6">
        <x:v>46299.06846909722</x:v>
      </x:c>
      <x:c r="I1159" s="0"/>
      <x:c r="J1159" s="0"/>
      <x:c r="K1159" s="6">
        <x:v>46300.819142939814</x:v>
      </x:c>
      <x:c r="L1159" t="str" s="2">
        <x:v>Contacted</x:v>
      </x:c>
    </x:row>
    <x:row r="1160">
      <x:c r="A1160" t="str" s="2">
        <x:f>="Rheon Baldridge"</x:f>
      </x:c>
      <x:c r="B1160" t="str" s="2">
        <x:v>Heritage Housing of Asheboro</x:v>
      </x:c>
      <x:c r="C1160" t="str" s="2">
        <x:v/>
      </x:c>
      <x:c r="D1160" t="str" s="2">
        <x:v>5407739413</x:v>
      </x:c>
      <x:c r="E1160" t="str" s="2">
        <x:v>rbmisc3612@gmail.com</x:v>
      </x:c>
      <x:c r="F1160" t="str" s="2">
        <x:v>Landing_BPM</x:v>
      </x:c>
      <x:c r="G1160" t="str" s="2">
        <x:v>Joe Lopez</x:v>
      </x:c>
      <x:c r="H1160" s="6">
        <x:v>46299.22033387732</x:v>
      </x:c>
      <x:c r="I1160" s="0"/>
      <x:c r="J1160" s="0"/>
      <x:c r="K1160" s="6">
        <x:v>46301.556596875</x:v>
      </x:c>
      <x:c r="L1160" t="str" s="2">
        <x:v>Contacted</x:v>
      </x:c>
    </x:row>
    <x:row r="1161">
      <x:c r="A1161" t="str" s="2">
        <x:f>="Misty Smith brown"</x:f>
      </x:c>
      <x:c r="B1161" t="str" s="2">
        <x:v>Heritage Housing of Minden</x:v>
      </x:c>
      <x:c r="C1161" t="str" s="2">
        <x:v>1/1</x:v>
      </x:c>
      <x:c r="D1161" t="str" s="2">
        <x:v>3183499809</x:v>
      </x:c>
      <x:c r="E1161" t="str" s="2">
        <x:v>minnie7077@gmail.com</x:v>
      </x:c>
      <x:c r="F1161" t="str" s="2">
        <x:v>Website</x:v>
      </x:c>
      <x:c r="G1161" t="str" s="2">
        <x:v>Patrick Schuchart</x:v>
      </x:c>
      <x:c r="H1161" s="6">
        <x:v>46299.24998298611</x:v>
      </x:c>
      <x:c r="I1161" s="0"/>
      <x:c r="J1161" s="0"/>
      <x:c r="K1161" s="6">
        <x:v>46300.818445289355</x:v>
      </x:c>
      <x:c r="L1161" t="str" s="2">
        <x:v>Contacted</x:v>
      </x:c>
    </x:row>
    <x:row r="1162">
      <x:c r="A1162" t="str" s="2">
        <x:f>="Taralyn Gee"</x:f>
      </x:c>
      <x:c r="B1162" t="str" s="2">
        <x:v>Heritage Housing Gainesville</x:v>
      </x:c>
      <x:c r="C1162" t="str" s="2">
        <x:v/>
      </x:c>
      <x:c r="D1162" t="str" s="2">
        <x:v>2544225143</x:v>
      </x:c>
      <x:c r="E1162" t="str" s="2">
        <x:v>taralyngee1@gmail.com</x:v>
      </x:c>
      <x:c r="F1162" t="str" s="2">
        <x:v>Landing_BPM</x:v>
      </x:c>
      <x:c r="G1162" t="str" s="2">
        <x:v>Jeniffer Arellano</x:v>
      </x:c>
      <x:c r="H1162" s="6">
        <x:v>46299.250059872684</x:v>
      </x:c>
      <x:c r="I1162" s="0"/>
      <x:c r="J1162" s="0"/>
      <x:c r="K1162" s="6">
        <x:v>46308.71097465278</x:v>
      </x:c>
      <x:c r="L1162" t="str" s="2">
        <x:v>Contacted</x:v>
      </x:c>
    </x:row>
    <x:row r="1163">
      <x:c r="A1163" t="str" s="2">
        <x:f>="Jeremy Engles"</x:f>
      </x:c>
      <x:c r="B1163" t="str" s="2">
        <x:v>Heritage Housing of Minden</x:v>
      </x:c>
      <x:c r="C1163" t="str" s="2">
        <x:v>1/1</x:v>
      </x:c>
      <x:c r="D1163" t="str" s="2">
        <x:v>3184131620</x:v>
      </x:c>
      <x:c r="E1163" t="str" s="2">
        <x:v>jeremyengles@yahoo.com</x:v>
      </x:c>
      <x:c r="F1163" t="str" s="2">
        <x:v>Landing_BPM</x:v>
      </x:c>
      <x:c r="G1163" t="str" s="2">
        <x:v>Kyla Brown</x:v>
      </x:c>
      <x:c r="H1163" s="6">
        <x:v>46299.539017627314</x:v>
      </x:c>
      <x:c r="I1163" s="0"/>
      <x:c r="J1163" s="0"/>
      <x:c r="K1163" s="6">
        <x:v>46300.81224255787</x:v>
      </x:c>
      <x:c r="L1163" t="str" s="2">
        <x:v>Contacted</x:v>
      </x:c>
    </x:row>
    <x:row r="1164">
      <x:c r="A1164" t="str" s="2">
        <x:f>="Beau Hundley"</x:f>
      </x:c>
      <x:c r="B1164" t="str" s="2">
        <x:v>Heritage Housing of Albany</x:v>
      </x:c>
      <x:c r="C1164" t="str" s="2">
        <x:v/>
      </x:c>
      <x:c r="D1164" t="str" s="2">
        <x:v>7708951208</x:v>
      </x:c>
      <x:c r="E1164" t="str" s="2">
        <x:v>bo6265@gmail.com</x:v>
      </x:c>
      <x:c r="F1164" t="str" s="2">
        <x:v>Financing Form</x:v>
      </x:c>
      <x:c r="G1164" t="str" s="2">
        <x:v>Yanet Alvarez</x:v>
      </x:c>
      <x:c r="H1164" s="6">
        <x:v>46299.54958665509</x:v>
      </x:c>
      <x:c r="I1164" s="0"/>
      <x:c r="J1164" s="0"/>
      <x:c r="K1164" s="6">
        <x:v>46303.59831246528</x:v>
      </x:c>
      <x:c r="L1164" t="str" s="2">
        <x:v>Contacted</x:v>
      </x:c>
    </x:row>
    <x:row r="1165">
      <x:c r="A1165" t="str" s="2">
        <x:f>="Cullen Moss"</x:f>
      </x:c>
      <x:c r="B1165" t="str" s="2">
        <x:v>Heritage Housing of Athens</x:v>
      </x:c>
      <x:c r="C1165" t="str" s="2">
        <x:v>2/2</x:v>
      </x:c>
      <x:c r="D1165" t="str" s="2">
        <x:v>6787771375</x:v>
      </x:c>
      <x:c r="E1165" t="str" s="2">
        <x:v>bigpapa1005@yahoo.com</x:v>
      </x:c>
      <x:c r="F1165" t="str" s="2">
        <x:v>Landing_BPM</x:v>
      </x:c>
      <x:c r="G1165" t="str" s="2">
        <x:v>Ethan Fossett</x:v>
      </x:c>
      <x:c r="H1165" s="6">
        <x:v>46299.606451354164</x:v>
      </x:c>
      <x:c r="I1165" s="0"/>
      <x:c r="J1165" s="0"/>
      <x:c r="K1165" s="6">
        <x:v>46307.9351503125</x:v>
      </x:c>
      <x:c r="L1165" t="str" s="2">
        <x:v>Contacted</x:v>
      </x:c>
    </x:row>
    <x:row r="1166">
      <x:c r="A1166" t="str" s="2">
        <x:f>="RHEDDA FOREMAN"</x:f>
      </x:c>
      <x:c r="B1166" t="str" s="2">
        <x:v>Heritage Housing Gainesville</x:v>
      </x:c>
      <x:c r="C1166" t="str" s="2">
        <x:v/>
      </x:c>
      <x:c r="D1166" t="str" s="2">
        <x:v>5802771431</x:v>
      </x:c>
      <x:c r="E1166" t="str" s="2">
        <x:v>rhedda32@yahoo.com</x:v>
      </x:c>
      <x:c r="F1166" t="str" s="2">
        <x:v>Landing_BPM</x:v>
      </x:c>
      <x:c r="G1166" t="str" s="2">
        <x:v>Kelly Ford</x:v>
      </x:c>
      <x:c r="H1166" s="6">
        <x:v>46299.64068665509</x:v>
      </x:c>
      <x:c r="I1166" s="0"/>
      <x:c r="J1166" s="0"/>
      <x:c r="K1166" s="6">
        <x:v>46300.82368086805</x:v>
      </x:c>
      <x:c r="L1166" t="str" s="2">
        <x:v>Contacted</x:v>
      </x:c>
    </x:row>
    <x:row r="1167">
      <x:c r="A1167" t="str" s="2">
        <x:f>="Rashomdra Hollins"</x:f>
      </x:c>
      <x:c r="B1167" t="str" s="2">
        <x:v>Heritage Housing of Minden</x:v>
      </x:c>
      <x:c r="C1167" t="str" s="2">
        <x:v>1/1</x:v>
      </x:c>
      <x:c r="D1167" t="str" s="2">
        <x:v>9432433929</x:v>
      </x:c>
      <x:c r="E1167" t="str" s="2">
        <x:v>danqunettehollins47@gmail.com</x:v>
      </x:c>
      <x:c r="F1167" t="str" s="2">
        <x:v>Landing_BPM</x:v>
      </x:c>
      <x:c r="G1167" t="str" s="2">
        <x:v>Patrick Schuchart</x:v>
      </x:c>
      <x:c r="H1167" s="6">
        <x:v>46299.76777569445</x:v>
      </x:c>
      <x:c r="I1167" s="0"/>
      <x:c r="J1167" s="0"/>
      <x:c r="K1167" s="6">
        <x:v>46300.81148383102</x:v>
      </x:c>
      <x:c r="L1167" t="str" s="2">
        <x:v>Contacted</x:v>
      </x:c>
    </x:row>
    <x:row r="1168">
      <x:c r="A1168" t="str" s="2">
        <x:f>="Earnestean Lyons"</x:f>
      </x:c>
      <x:c r="B1168" t="str" s="2">
        <x:v>Heritage Housing of Minden</x:v>
      </x:c>
      <x:c r="C1168" t="str" s="2">
        <x:v>2/2</x:v>
      </x:c>
      <x:c r="D1168" t="str" s="2">
        <x:v>3185486993</x:v>
      </x:c>
      <x:c r="E1168" t="str" s="2">
        <x:v>Earnesteanl@gmail.com</x:v>
      </x:c>
      <x:c r="F1168" t="str" s="2">
        <x:v>Website</x:v>
      </x:c>
      <x:c r="G1168" t="str" s="2">
        <x:v>Kyla Brown</x:v>
      </x:c>
      <x:c r="H1168" s="6">
        <x:v>46299.78191982639</x:v>
      </x:c>
      <x:c r="I1168" s="0"/>
      <x:c r="J1168" s="0"/>
      <x:c r="K1168" s="6">
        <x:v>46305.75951130787</x:v>
      </x:c>
      <x:c r="L1168" t="str" s="2">
        <x:v>Contacted</x:v>
      </x:c>
    </x:row>
    <x:row r="1169">
      <x:c r="A1169" t="str" s="2">
        <x:f>="Brandon Allen Allen"</x:f>
      </x:c>
      <x:c r="B1169" t="str" s="2">
        <x:v>Heritage Housing of Minden</x:v>
      </x:c>
      <x:c r="C1169" t="str" s="2">
        <x:v>1/2</x:v>
      </x:c>
      <x:c r="D1169" t="str" s="2">
        <x:v>3183502778</x:v>
      </x:c>
      <x:c r="E1169" t="str" s="2">
        <x:v>allenbrandon856@gmail.com</x:v>
      </x:c>
      <x:c r="F1169" t="str" s="2">
        <x:v>Landing_BPM</x:v>
      </x:c>
      <x:c r="G1169" t="str" s="2">
        <x:v>Patrick Schuchart</x:v>
      </x:c>
      <x:c r="H1169" s="6">
        <x:v>46299.79344537037</x:v>
      </x:c>
      <x:c r="I1169" s="0"/>
      <x:c r="J1169" s="0"/>
      <x:c r="K1169" s="6">
        <x:v>46300.80799108796</x:v>
      </x:c>
      <x:c r="L1169" t="str" s="2">
        <x:v>Contacted</x:v>
      </x:c>
    </x:row>
    <x:row r="1170">
      <x:c r="A1170" t="str" s="2">
        <x:f>="Christie Gunter"</x:f>
      </x:c>
      <x:c r="B1170" t="str" s="2">
        <x:v>Heritage Housing of Athens</x:v>
      </x:c>
      <x:c r="C1170" t="str" s="2">
        <x:v/>
      </x:c>
      <x:c r="D1170" t="str" s="2">
        <x:v>7068050224</x:v>
      </x:c>
      <x:c r="E1170" t="str" s="2">
        <x:v>sturgeonjoshua56@gmail.com</x:v>
      </x:c>
      <x:c r="F1170" t="str" s="2">
        <x:v>Landing_BPM</x:v>
      </x:c>
      <x:c r="G1170" t="str" s="2">
        <x:v>Ethan Fossett</x:v>
      </x:c>
      <x:c r="H1170" s="6">
        <x:v>46299.810505636575</x:v>
      </x:c>
      <x:c r="I1170" s="0"/>
      <x:c r="J1170" s="0"/>
      <x:c r="K1170" s="6">
        <x:v>46307.93447071759</x:v>
      </x:c>
      <x:c r="L1170" t="str" s="2">
        <x:v>Contacted</x:v>
      </x:c>
    </x:row>
    <x:row r="1171">
      <x:c r="A1171" t="str" s="2">
        <x:f>="Jennifer Caldwell"</x:f>
      </x:c>
      <x:c r="B1171" t="str" s="2">
        <x:v>Heritage Housing Marble Falls</x:v>
      </x:c>
      <x:c r="C1171" t="str" s="2">
        <x:v/>
      </x:c>
      <x:c r="D1171" t="str" s="2">
        <x:v>5759370805</x:v>
      </x:c>
      <x:c r="E1171" t="str" s="2">
        <x:v>jenn.d.caldwell@gmail.com</x:v>
      </x:c>
      <x:c r="F1171" t="str" s="2">
        <x:v>Landing_BPM</x:v>
      </x:c>
      <x:c r="G1171" t="str" s="2">
        <x:v>Garrett Riedesel</x:v>
      </x:c>
      <x:c r="H1171" s="6">
        <x:v>46299.83368915509</x:v>
      </x:c>
      <x:c r="I1171" s="0"/>
      <x:c r="J1171" s="0"/>
      <x:c r="K1171" s="6">
        <x:v>46300.59777881944</x:v>
      </x:c>
      <x:c r="L1171" t="str" s="2">
        <x:v>Contacted</x:v>
      </x:c>
    </x:row>
    <x:row r="1172">
      <x:c r="A1172" t="str" s="2">
        <x:f>="Calandra Branch"</x:f>
      </x:c>
      <x:c r="B1172" t="str" s="2">
        <x:v>Heritage Housing of Asheboro</x:v>
      </x:c>
      <x:c r="C1172" t="str" s="2">
        <x:v/>
      </x:c>
      <x:c r="D1172" t="str" s="2">
        <x:v>9108919491</x:v>
      </x:c>
      <x:c r="E1172" t="str" s="2">
        <x:v>branchcalandra@gmail.com</x:v>
      </x:c>
      <x:c r="F1172" t="str" s="2">
        <x:v>Landing_BPM</x:v>
      </x:c>
      <x:c r="G1172" t="str" s="2">
        <x:v>Joe Lopez</x:v>
      </x:c>
      <x:c r="H1172" s="6">
        <x:v>46299.843526770834</x:v>
      </x:c>
      <x:c r="I1172" s="0"/>
      <x:c r="J1172" s="0"/>
      <x:c r="K1172" s="6">
        <x:v>46301.55576481482</x:v>
      </x:c>
      <x:c r="L1172" t="str" s="2">
        <x:v>Contacted</x:v>
      </x:c>
    </x:row>
    <x:row r="1173">
      <x:c r="A1173" t="str" s="2">
        <x:f>="September McCallum"</x:f>
      </x:c>
      <x:c r="B1173" t="str" s="2">
        <x:v>Heritage Housing of Jennings</x:v>
      </x:c>
      <x:c r="C1173" t="str" s="2">
        <x:v/>
      </x:c>
      <x:c r="D1173" t="str" s="2">
        <x:v>6893452440</x:v>
      </x:c>
      <x:c r="E1173" t="str" s="2">
        <x:v>septembernovella@gmail.com</x:v>
      </x:c>
      <x:c r="F1173" t="str" s="2">
        <x:v>Landing_BPM</x:v>
      </x:c>
      <x:c r="G1173" t="str" s="2">
        <x:v>Mervin Leslie Smith</x:v>
      </x:c>
      <x:c r="H1173" s="6">
        <x:v>46299.928177581016</x:v>
      </x:c>
      <x:c r="I1173" s="0"/>
      <x:c r="J1173" s="0"/>
      <x:c r="K1173" s="6">
        <x:v>46303.8148502662</x:v>
      </x:c>
      <x:c r="L1173" t="str" s="2">
        <x:v>Contacted</x:v>
      </x:c>
    </x:row>
    <x:row r="1174">
      <x:c r="A1174" t="str" s="2">
        <x:f>="Sonja Davis"</x:f>
      </x:c>
      <x:c r="B1174" t="str" s="2">
        <x:v>Heritage Housing of Athens</x:v>
      </x:c>
      <x:c r="C1174" t="str" s="2">
        <x:v/>
      </x:c>
      <x:c r="D1174" t="str" s="2">
        <x:v>2139540094</x:v>
      </x:c>
      <x:c r="E1174" t="str" s="2">
        <x:v>sedavis0821@gmail.com</x:v>
      </x:c>
      <x:c r="F1174" t="str" s="2">
        <x:v>Landing_BPM</x:v>
      </x:c>
      <x:c r="G1174" t="str" s="2">
        <x:v>Ethan Fossett</x:v>
      </x:c>
      <x:c r="H1174" s="6">
        <x:v>46299.9867715625</x:v>
      </x:c>
      <x:c r="I1174" s="0"/>
      <x:c r="J1174" s="0"/>
      <x:c r="K1174" s="6">
        <x:v>46307.92903383102</x:v>
      </x:c>
      <x:c r="L1174" t="str" s="2">
        <x:v>Contacted</x:v>
      </x:c>
    </x:row>
    <x:row r="1175">
      <x:c r="A1175" t="str" s="2">
        <x:f>="Kerry Coleman"</x:f>
      </x:c>
      <x:c r="B1175" t="str" s="2">
        <x:v>Heritage Housing Gainesville</x:v>
      </x:c>
      <x:c r="C1175" t="str" s="2">
        <x:v/>
      </x:c>
      <x:c r="D1175" t="str" s="2">
        <x:v>9407031560</x:v>
      </x:c>
      <x:c r="E1175" t="str" s="2">
        <x:v>kdc84cb@gmail.com</x:v>
      </x:c>
      <x:c r="F1175" t="str" s="2">
        <x:v>Landing_BPM</x:v>
      </x:c>
      <x:c r="G1175" t="str" s="2">
        <x:v>Jeniffer Arellano</x:v>
      </x:c>
      <x:c r="H1175" s="6">
        <x:v>46299.990892361115</x:v>
      </x:c>
      <x:c r="I1175" s="0"/>
      <x:c r="J1175" s="0"/>
      <x:c r="K1175" s="6">
        <x:v>46308.710907326385</x:v>
      </x:c>
      <x:c r="L1175" t="str" s="2">
        <x:v>Contacted</x:v>
      </x:c>
    </x:row>
    <x:row r="1176">
      <x:c r="A1176" t="str" s="2">
        <x:f>="Michael Lewis"</x:f>
      </x:c>
      <x:c r="B1176" t="str" s="2">
        <x:v>Heritage Housing of Athens</x:v>
      </x:c>
      <x:c r="C1176" t="str" s="2">
        <x:v/>
      </x:c>
      <x:c r="D1176" t="str" s="2">
        <x:v>8173002599</x:v>
      </x:c>
      <x:c r="E1176" t="str" s="2">
        <x:v>lewis6375@gmail.com</x:v>
      </x:c>
      <x:c r="F1176" t="str" s="2">
        <x:v>Landing_BPM</x:v>
      </x:c>
      <x:c r="G1176" t="str" s="2">
        <x:v>Nathan Bishop</x:v>
      </x:c>
      <x:c r="H1176" s="6">
        <x:v>46300.049927465276</x:v>
      </x:c>
      <x:c r="I1176" s="0"/>
      <x:c r="J1176" s="0"/>
      <x:c r="K1176" s="6">
        <x:v>46302.79723440972</x:v>
      </x:c>
      <x:c r="L1176" t="str" s="2">
        <x:v>Contacted</x:v>
      </x:c>
    </x:row>
    <x:row r="1177">
      <x:c r="A1177" t="str" s="2">
        <x:f>="Stephen Barnard"</x:f>
      </x:c>
      <x:c r="B1177" t="str" s="2">
        <x:v>Heritage Housing Gainesville</x:v>
      </x:c>
      <x:c r="C1177" t="str" s="2">
        <x:v/>
      </x:c>
      <x:c r="D1177" t="str" s="2">
        <x:v>8178973083</x:v>
      </x:c>
      <x:c r="E1177" t="str" s="2">
        <x:v>stephen.barnard@fortworthtexas.gov</x:v>
      </x:c>
      <x:c r="F1177" t="str" s="2">
        <x:v>Website</x:v>
      </x:c>
      <x:c r="G1177" t="str" s="2">
        <x:v>Kelly Ford</x:v>
      </x:c>
      <x:c r="H1177" s="6">
        <x:v>46300.05973179398</x:v>
      </x:c>
      <x:c r="I1177" s="0"/>
      <x:c r="J1177" s="0"/>
      <x:c r="K1177" s="6">
        <x:v>46300.82287329861</x:v>
      </x:c>
      <x:c r="L1177" t="str" s="2">
        <x:v>Contacted</x:v>
      </x:c>
    </x:row>
    <x:row r="1178">
      <x:c r="A1178" t="str" s="2">
        <x:f>="Shaaraim Fitz"</x:f>
      </x:c>
      <x:c r="B1178" t="str" s="2">
        <x:v>Heritage Housing of Greenville</x:v>
      </x:c>
      <x:c r="C1178" t="str" s="2">
        <x:v/>
      </x:c>
      <x:c r="D1178" t="str" s="2">
        <x:v>4303627533</x:v>
      </x:c>
      <x:c r="E1178" t="str" s="2">
        <x:v>alekefitz@gmail.com</x:v>
      </x:c>
      <x:c r="F1178" t="str" s="2">
        <x:v>Landing_BPM</x:v>
      </x:c>
      <x:c r="G1178" t="str" s="2">
        <x:v>Ana Garcia</x:v>
      </x:c>
      <x:c r="H1178" s="6">
        <x:v>46300.06119571759</x:v>
      </x:c>
      <x:c r="I1178" s="0"/>
      <x:c r="J1178" s="0"/>
      <x:c r="K1178" s="6">
        <x:v>46300.52797415509</x:v>
      </x:c>
      <x:c r="L1178" t="str" s="2">
        <x:v>Contacted</x:v>
      </x:c>
    </x:row>
    <x:row r="1179">
      <x:c r="A1179" t="str" s="2">
        <x:f>="EARLENE TINGLE"</x:f>
      </x:c>
      <x:c r="B1179" t="str" s="2">
        <x:v>Legacy Housing Corp. DBA Americasa</x:v>
      </x:c>
      <x:c r="C1179" t="str" s="2">
        <x:v/>
      </x:c>
      <x:c r="D1179" t="str" s="2">
        <x:v>2819649556</x:v>
      </x:c>
      <x:c r="E1179" t="str" s="2">
        <x:v>tinglerae@gmail.com</x:v>
      </x:c>
      <x:c r="F1179" t="str" s="2">
        <x:v>Landing_BPM</x:v>
      </x:c>
      <x:c r="G1179" t="str" s="2">
        <x:v>Joey Marquez</x:v>
      </x:c>
      <x:c r="H1179" s="6">
        <x:v>46300.0992977662</x:v>
      </x:c>
      <x:c r="I1179" s="0"/>
      <x:c r="J1179" s="0"/>
      <x:c r="K1179" s="6">
        <x:v>46300.81790509259</x:v>
      </x:c>
      <x:c r="L1179" t="str" s="2">
        <x:v>Contacted</x:v>
      </x:c>
    </x:row>
    <x:row r="1180">
      <x:c r="A1180" t="str" s="2">
        <x:f>="Helain Williams Berkley"</x:f>
      </x:c>
      <x:c r="B1180" t="str" s="2">
        <x:v>Heritage Housing of Asheboro</x:v>
      </x:c>
      <x:c r="C1180" t="str" s="2">
        <x:v/>
      </x:c>
      <x:c r="D1180" t="str" s="2">
        <x:v>9193085025</x:v>
      </x:c>
      <x:c r="E1180" t="str" s="2">
        <x:v>createacleanheart4me@gmail.com</x:v>
      </x:c>
      <x:c r="F1180" t="str" s="2">
        <x:v>Landing_BPM</x:v>
      </x:c>
      <x:c r="G1180" t="str" s="2">
        <x:v>Kate Gutierrez</x:v>
      </x:c>
      <x:c r="H1180" s="6">
        <x:v>46300.15707288194</x:v>
      </x:c>
      <x:c r="I1180" s="0"/>
      <x:c r="J1180" s="0"/>
      <x:c r="K1180" s="6">
        <x:v>46304.75285258102</x:v>
      </x:c>
      <x:c r="L1180" t="str" s="2">
        <x:v>Contacted</x:v>
      </x:c>
    </x:row>
    <x:row r="1181">
      <x:c r="A1181" t="str" s="2">
        <x:f>="Shawhitney kershawn Harris"</x:f>
      </x:c>
      <x:c r="B1181" t="str" s="2">
        <x:v>Heritage Housing of Minden</x:v>
      </x:c>
      <x:c r="C1181" t="str" s="2">
        <x:v>1/1</x:v>
      </x:c>
      <x:c r="D1181" t="str" s="2">
        <x:v>3187599990</x:v>
      </x:c>
      <x:c r="E1181" t="str" s="2">
        <x:v>kashiesthurwood@gmail.com</x:v>
      </x:c>
      <x:c r="F1181" t="str" s="2">
        <x:v>Landing_BPM</x:v>
      </x:c>
      <x:c r="G1181" t="str" s="2">
        <x:v>Kyla Brown</x:v>
      </x:c>
      <x:c r="H1181" s="6">
        <x:v>46300.217213738426</x:v>
      </x:c>
      <x:c r="I1181" s="0"/>
      <x:c r="J1181" s="0"/>
      <x:c r="K1181" s="6">
        <x:v>46300.80645471065</x:v>
      </x:c>
      <x:c r="L1181" t="str" s="2">
        <x:v>Contacted</x:v>
      </x:c>
    </x:row>
    <x:row r="1182">
      <x:c r="A1182" t="str" s="2">
        <x:f>="Samuel White"</x:f>
      </x:c>
      <x:c r="B1182" t="str" s="2">
        <x:v>Heritage Housing of Minden</x:v>
      </x:c>
      <x:c r="C1182" t="str" s="2">
        <x:v>1/2</x:v>
      </x:c>
      <x:c r="D1182" t="str" s="2">
        <x:v>7693132895</x:v>
      </x:c>
      <x:c r="E1182" t="str" s="2">
        <x:v>samiam19023@gmail.com</x:v>
      </x:c>
      <x:c r="F1182" t="str" s="2">
        <x:v>Landing_BPM</x:v>
      </x:c>
      <x:c r="G1182" t="str" s="2">
        <x:v>Patrick Schuchart</x:v>
      </x:c>
      <x:c r="H1182" s="6">
        <x:v>46300.37808568287</x:v>
      </x:c>
      <x:c r="I1182" s="0"/>
      <x:c r="J1182" s="0"/>
      <x:c r="K1182" s="6">
        <x:v>46303.73787025463</x:v>
      </x:c>
      <x:c r="L1182" t="str" s="2">
        <x:v>Contacted</x:v>
      </x:c>
    </x:row>
    <x:row r="1183">
      <x:c r="A1183" t="str" s="2">
        <x:f>="Gregory Miller"</x:f>
      </x:c>
      <x:c r="B1183" t="str" s="2">
        <x:v>Heritage Housing of Albany</x:v>
      </x:c>
      <x:c r="C1183" t="str" s="2">
        <x:v/>
      </x:c>
      <x:c r="D1183" t="str" s="2">
        <x:v>2294395579</x:v>
      </x:c>
      <x:c r="E1183" t="str" s="2">
        <x:v>gregorymiller110@aol.com</x:v>
      </x:c>
      <x:c r="F1183" t="str" s="2">
        <x:v>Financing Form</x:v>
      </x:c>
      <x:c r="G1183" t="str" s="2">
        <x:v>Justin Johnson</x:v>
      </x:c>
      <x:c r="H1183" s="6">
        <x:v>46300.53079228009</x:v>
      </x:c>
      <x:c r="I1183" s="0"/>
      <x:c r="J1183" s="0"/>
      <x:c r="K1183" s="6">
        <x:v>46301.84163336806</x:v>
      </x:c>
      <x:c r="L1183" t="str" s="2">
        <x:v>Contacted</x:v>
      </x:c>
    </x:row>
    <x:row r="1184">
      <x:c r="A1184" t="str" s="2">
        <x:f>="Cancy Cabler"</x:f>
      </x:c>
      <x:c r="B1184" t="str" s="2">
        <x:v>Heritage Housing Marble Falls</x:v>
      </x:c>
      <x:c r="C1184" t="str" s="2">
        <x:v/>
      </x:c>
      <x:c r="D1184" t="str" s="2">
        <x:v>8063682862</x:v>
      </x:c>
      <x:c r="E1184" t="str" s="2">
        <x:v>cancyb@gmail.com</x:v>
      </x:c>
      <x:c r="F1184" t="str" s="2">
        <x:v>Landing_BPM</x:v>
      </x:c>
      <x:c r="G1184" t="str" s="2">
        <x:v>Garrett Riedesel</x:v>
      </x:c>
      <x:c r="H1184" s="6">
        <x:v>46300.5597287037</x:v>
      </x:c>
      <x:c r="I1184" s="0"/>
      <x:c r="J1184" s="0"/>
      <x:c r="K1184" s="6">
        <x:v>46300.59877241898</x:v>
      </x:c>
      <x:c r="L1184" t="str" s="2">
        <x:v>Contacted</x:v>
      </x:c>
    </x:row>
    <x:row r="1185">
      <x:c r="A1185" t="str" s="2">
        <x:f>="Amy Clancy"</x:f>
      </x:c>
      <x:c r="B1185" t="str" s="2">
        <x:v>Heritage Housing of Minden</x:v>
      </x:c>
      <x:c r="C1185" t="str" s="2">
        <x:v>2/3</x:v>
      </x:c>
      <x:c r="D1185" t="str" s="2">
        <x:v>8706329635</x:v>
      </x:c>
      <x:c r="E1185" t="str" s="2">
        <x:v>amyoswalt7@gmail.com</x:v>
      </x:c>
      <x:c r="F1185" t="str" s="2">
        <x:v>Website</x:v>
      </x:c>
      <x:c r="G1185" t="str" s="2">
        <x:v>Jacob Hatten</x:v>
      </x:c>
      <x:c r="H1185" s="6">
        <x:v>46300.69908232639</x:v>
      </x:c>
      <x:c r="I1185" s="0"/>
      <x:c r="J1185" s="0"/>
      <x:c r="K1185" s="6">
        <x:v>46303.739027233794</x:v>
      </x:c>
      <x:c r="L1185" t="str" s="2">
        <x:v>Contacted</x:v>
      </x:c>
    </x:row>
    <x:row r="1186">
      <x:c r="A1186" t="str" s="2">
        <x:f>="Janet Hobbs"</x:f>
      </x:c>
      <x:c r="B1186" t="str" s="2">
        <x:v>Heritage Housing Gainesville</x:v>
      </x:c>
      <x:c r="C1186" t="str" s="2">
        <x:v/>
      </x:c>
      <x:c r="D1186" t="str" s="2">
        <x:v>9034717321</x:v>
      </x:c>
      <x:c r="E1186" t="str" s="2">
        <x:v>janetgale1205@gmail.com</x:v>
      </x:c>
      <x:c r="F1186" t="str" s="2">
        <x:v>Landing_BPM</x:v>
      </x:c>
      <x:c r="G1186" t="str" s="2">
        <x:v>Jeniffer Arellano</x:v>
      </x:c>
      <x:c r="H1186" s="6">
        <x:v>46300.70513329861</x:v>
      </x:c>
      <x:c r="I1186" s="0"/>
      <x:c r="J1186" s="0"/>
      <x:c r="K1186" s="6">
        <x:v>46308.71082600694</x:v>
      </x:c>
      <x:c r="L1186" t="str" s="2">
        <x:v>Contacted</x:v>
      </x:c>
    </x:row>
    <x:row r="1187">
      <x:c r="A1187" t="str" s="2">
        <x:f>="Nicholaus Jordan"</x:f>
      </x:c>
      <x:c r="B1187" t="str" s="2">
        <x:v>Heritage Housing of Minden</x:v>
      </x:c>
      <x:c r="C1187" t="str" s="2">
        <x:v/>
      </x:c>
      <x:c r="D1187" t="str" s="2">
        <x:v>3374242648</x:v>
      </x:c>
      <x:c r="E1187" t="str" s="2">
        <x:v>Nicholausjordan87@icloud.com</x:v>
      </x:c>
      <x:c r="F1187" t="str" s="2">
        <x:v>Financing Form</x:v>
      </x:c>
      <x:c r="G1187" t="str" s="2">
        <x:v>Patrick Schuchart</x:v>
      </x:c>
      <x:c r="H1187" s="6">
        <x:v>46300.818564849535</x:v>
      </x:c>
      <x:c r="I1187" s="0"/>
      <x:c r="J1187" s="0"/>
      <x:c r="K1187" s="6">
        <x:v>46301.7639875</x:v>
      </x:c>
      <x:c r="L1187" t="str" s="2">
        <x:v>Contacted</x:v>
      </x:c>
    </x:row>
    <x:row r="1188">
      <x:c r="A1188" t="str" s="2">
        <x:f>="Selena Sánchez Moreira"</x:f>
      </x:c>
      <x:c r="B1188" t="str" s="2">
        <x:v>Heritage Housing of Asheboro</x:v>
      </x:c>
      <x:c r="C1188" t="str" s="2">
        <x:v/>
      </x:c>
      <x:c r="D1188" t="str" s="2">
        <x:v>9194529745</x:v>
      </x:c>
      <x:c r="E1188" t="str" s="2">
        <x:v>selenasanchez959@gmail.com</x:v>
      </x:c>
      <x:c r="F1188" t="str" s="2">
        <x:v>Meta Ads - Traffic</x:v>
      </x:c>
      <x:c r="G1188" t="str" s="2">
        <x:v>Kate Gutierrez</x:v>
      </x:c>
      <x:c r="H1188" s="6">
        <x:v>46300.88603958333</x:v>
      </x:c>
      <x:c r="I1188" s="0"/>
      <x:c r="J1188" s="0"/>
      <x:c r="K1188" s="6">
        <x:v>46304.75252542824</x:v>
      </x:c>
      <x:c r="L1188" t="str" s="2">
        <x:v>Contacted</x:v>
      </x:c>
    </x:row>
    <x:row r="1189">
      <x:c r="A1189" t="str" s="2">
        <x:f>="Krystal Anders Anders"</x:f>
      </x:c>
      <x:c r="B1189" t="str" s="2">
        <x:v>Heritage Housing of Minden</x:v>
      </x:c>
      <x:c r="C1189" t="str" s="2">
        <x:v/>
      </x:c>
      <x:c r="D1189" t="str" s="2">
        <x:v>3183159380</x:v>
      </x:c>
      <x:c r="E1189" t="str" s="2">
        <x:v>ksanders96@liberty.edu</x:v>
      </x:c>
      <x:c r="F1189" t="str" s="2">
        <x:v>Landing_BPM</x:v>
      </x:c>
      <x:c r="G1189" t="str" s="2">
        <x:v>Kyla Brown</x:v>
      </x:c>
      <x:c r="H1189" s="6">
        <x:v>46300.921674108795</x:v>
      </x:c>
      <x:c r="I1189" s="0"/>
      <x:c r="J1189" s="0"/>
      <x:c r="K1189" s="6">
        <x:v>46301.76666721065</x:v>
      </x:c>
      <x:c r="L1189" t="str" s="2">
        <x:v>Contacted</x:v>
      </x:c>
    </x:row>
    <x:row r="1190">
      <x:c r="A1190" t="str" s="2">
        <x:f>="Kennady Martindale"</x:f>
      </x:c>
      <x:c r="B1190" t="str" s="2">
        <x:v>Heritage Housing of Minden</x:v>
      </x:c>
      <x:c r="C1190" t="str" s="2">
        <x:v>1/1</x:v>
      </x:c>
      <x:c r="D1190" t="str" s="2">
        <x:v>8703155852</x:v>
      </x:c>
      <x:c r="E1190" t="str" s="2">
        <x:v>kamartindale3679@muleriders.saumag.edu</x:v>
      </x:c>
      <x:c r="F1190" t="str" s="2">
        <x:v>Financing Form</x:v>
      </x:c>
      <x:c r="G1190" t="str" s="2">
        <x:v>Patrick Schuchart</x:v>
      </x:c>
      <x:c r="H1190" s="6">
        <x:v>46300.922122372685</x:v>
      </x:c>
      <x:c r="I1190" s="0"/>
      <x:c r="J1190" s="0"/>
      <x:c r="K1190" s="6">
        <x:v>46301.76768707176</x:v>
      </x:c>
      <x:c r="L1190" t="str" s="2">
        <x:v>Contacted</x:v>
      </x:c>
    </x:row>
    <x:row r="1191">
      <x:c r="A1191" t="str" s="2">
        <x:f>="Tiana Montgomery"</x:f>
      </x:c>
      <x:c r="B1191" t="str" s="2">
        <x:v>Heritage Housing of Minden</x:v>
      </x:c>
      <x:c r="C1191" t="str" s="2">
        <x:v>1/1</x:v>
      </x:c>
      <x:c r="D1191" t="str" s="2">
        <x:v>3182301077</x:v>
      </x:c>
      <x:c r="E1191" t="str" s="2">
        <x:v>tianalenae46@icloud.com</x:v>
      </x:c>
      <x:c r="F1191" t="str" s="2">
        <x:v>Landing_BPM</x:v>
      </x:c>
      <x:c r="G1191" t="str" s="2">
        <x:v>Kyla Brown</x:v>
      </x:c>
      <x:c r="H1191" s="6">
        <x:v>46300.95379232639</x:v>
      </x:c>
      <x:c r="I1191" s="0"/>
      <x:c r="J1191" s="0"/>
      <x:c r="K1191" s="6">
        <x:v>46301.76858822917</x:v>
      </x:c>
      <x:c r="L1191" t="str" s="2">
        <x:v>Contacted</x:v>
      </x:c>
    </x:row>
    <x:row r="1192">
      <x:c r="A1192" t="str" s="2">
        <x:f>="Christopher Martinez Martinez"</x:f>
      </x:c>
      <x:c r="B1192" t="str" s="2">
        <x:v>Heritage Housing of Albany</x:v>
      </x:c>
      <x:c r="C1192" t="str" s="2">
        <x:v/>
      </x:c>
      <x:c r="D1192" t="str" s="2">
        <x:v>2025551256</x:v>
      </x:c>
      <x:c r="E1192" t="str" s="2">
        <x:v>isobellarella313@gmail.com</x:v>
      </x:c>
      <x:c r="F1192" t="str" s="2">
        <x:v>Website</x:v>
      </x:c>
      <x:c r="G1192" t="str" s="2">
        <x:v>Justin Johnson</x:v>
      </x:c>
      <x:c r="H1192" s="6">
        <x:v>46300.96804594908</x:v>
      </x:c>
      <x:c r="I1192" s="0"/>
      <x:c r="J1192" s="0"/>
      <x:c r="K1192" s="6">
        <x:v>46301.84285320602</x:v>
      </x:c>
      <x:c r="L1192" t="str" s="2">
        <x:v>Contacted</x:v>
      </x:c>
    </x:row>
    <x:row r="1193">
      <x:c r="A1193" t="str" s="2">
        <x:f>="Abby Aguilera"</x:f>
      </x:c>
      <x:c r="B1193" t="str" s="2">
        <x:v>Heritage Housing Marble Falls</x:v>
      </x:c>
      <x:c r="C1193" t="str" s="2">
        <x:v/>
      </x:c>
      <x:c r="D1193" t="str" s="2">
        <x:v>5122845676</x:v>
      </x:c>
      <x:c r="E1193" t="str" s="2">
        <x:v>abby.aguilera1119@gmail.com</x:v>
      </x:c>
      <x:c r="F1193" t="str" s="2">
        <x:v>Landing_BPM</x:v>
      </x:c>
      <x:c r="G1193" t="str" s="2">
        <x:v>Stephen Sanders</x:v>
      </x:c>
      <x:c r="H1193" s="6">
        <x:v>46300.99512982639</x:v>
      </x:c>
      <x:c r="I1193" s="0"/>
      <x:c r="J1193" s="0"/>
      <x:c r="K1193" s="6">
        <x:v>46301.63667133102</x:v>
      </x:c>
      <x:c r="L1193" t="str" s="2">
        <x:v>Contacted</x:v>
      </x:c>
    </x:row>
    <x:row r="1194">
      <x:c r="A1194" t="str" s="2">
        <x:f>="Tosa Florez"</x:f>
      </x:c>
      <x:c r="B1194" t="str" s="2">
        <x:v>Heritage Housing Gainesville</x:v>
      </x:c>
      <x:c r="C1194" t="str" s="2">
        <x:v/>
      </x:c>
      <x:c r="D1194" t="str" s="2">
        <x:v>6828471225</x:v>
      </x:c>
      <x:c r="E1194" t="str" s="2">
        <x:v>rosy.321970@gmail.com</x:v>
      </x:c>
      <x:c r="F1194" t="str" s="2">
        <x:v>Meta Ads - Traffic</x:v>
      </x:c>
      <x:c r="G1194" t="str" s="2">
        <x:v>Jeniffer Arellano</x:v>
      </x:c>
      <x:c r="H1194" s="6">
        <x:v>46301.105761342595</x:v>
      </x:c>
      <x:c r="I1194" s="0"/>
      <x:c r="J1194" s="0"/>
      <x:c r="K1194" s="6">
        <x:v>46308.71074876157</x:v>
      </x:c>
      <x:c r="L1194" t="str" s="2">
        <x:v>Contacted</x:v>
      </x:c>
    </x:row>
    <x:row r="1195">
      <x:c r="A1195" t="str" s="2">
        <x:f>="Enrique Garcia"</x:f>
      </x:c>
      <x:c r="B1195" t="str" s="2">
        <x:v>Heritage Housing Gainesville</x:v>
      </x:c>
      <x:c r="C1195" t="str" s="2">
        <x:v/>
      </x:c>
      <x:c r="D1195" t="str" s="2">
        <x:v>4699264382</x:v>
      </x:c>
      <x:c r="E1195" t="str" s="2">
        <x:v>rickygar2013@gmail.com</x:v>
      </x:c>
      <x:c r="F1195" t="str" s="2">
        <x:v>Meta Ads - Traffic</x:v>
      </x:c>
      <x:c r="G1195" t="str" s="2">
        <x:v>Jeniffer Arellano</x:v>
      </x:c>
      <x:c r="H1195" s="6">
        <x:v>46301.15085690972</x:v>
      </x:c>
      <x:c r="I1195" s="0"/>
      <x:c r="J1195" s="0"/>
      <x:c r="K1195" s="6">
        <x:v>46308.71067260417</x:v>
      </x:c>
      <x:c r="L1195" t="str" s="2">
        <x:v>Contacted</x:v>
      </x:c>
    </x:row>
    <x:row r="1196">
      <x:c r="A1196" t="str" s="2">
        <x:f>="Bernice Gonzalez"</x:f>
      </x:c>
      <x:c r="B1196" t="str" s="2">
        <x:v>Heritage Housing of Greenville</x:v>
      </x:c>
      <x:c r="C1196" t="str" s="2">
        <x:v/>
      </x:c>
      <x:c r="D1196" t="str" s="2">
        <x:v>9034135421</x:v>
      </x:c>
      <x:c r="E1196" t="str" s="2">
        <x:v>bernicegonzalez2025@gmail.con</x:v>
      </x:c>
      <x:c r="F1196" t="str" s="2">
        <x:v>LandingPage</x:v>
      </x:c>
      <x:c r="G1196" t="str" s="2">
        <x:v>Brooklynn Allen</x:v>
      </x:c>
      <x:c r="H1196" s="6">
        <x:v>46301.23426704861</x:v>
      </x:c>
      <x:c r="I1196" s="0"/>
      <x:c r="J1196" s="0"/>
      <x:c r="K1196" s="6">
        <x:v>46301.590014664354</x:v>
      </x:c>
      <x:c r="L1196" t="str" s="2">
        <x:v>Contacted</x:v>
      </x:c>
    </x:row>
    <x:row r="1197">
      <x:c r="A1197" t="str" s="2">
        <x:f>="diamond wright"</x:f>
      </x:c>
      <x:c r="B1197" t="str" s="2">
        <x:v>Heritage Housing of Athens</x:v>
      </x:c>
      <x:c r="C1197" t="str" s="2">
        <x:v>1/1</x:v>
      </x:c>
      <x:c r="D1197" t="str" s="2">
        <x:v>7622051393</x:v>
      </x:c>
      <x:c r="E1197" t="str" s="2">
        <x:v>jalyricwright21@gmail.com</x:v>
      </x:c>
      <x:c r="F1197" t="str" s="2">
        <x:v>Landing_BPM</x:v>
      </x:c>
      <x:c r="G1197" t="str" s="2">
        <x:v>Ethan Fossett</x:v>
      </x:c>
      <x:c r="H1197" s="6">
        <x:v>46301.24393179398</x:v>
      </x:c>
      <x:c r="I1197" s="0"/>
      <x:c r="J1197" s="0"/>
      <x:c r="K1197" s="6">
        <x:v>46305.88640616898</x:v>
      </x:c>
      <x:c r="L1197" t="str" s="2">
        <x:v>Contacted</x:v>
      </x:c>
    </x:row>
    <x:row r="1198">
      <x:c r="A1198" t="str" s="2">
        <x:f>="Tina Kibodeaux"</x:f>
      </x:c>
      <x:c r="B1198" t="str" s="2">
        <x:v>Heritage Housing of Jennings</x:v>
      </x:c>
      <x:c r="C1198" t="str" s="2">
        <x:v/>
      </x:c>
      <x:c r="D1198" t="str" s="2">
        <x:v>3372503659</x:v>
      </x:c>
      <x:c r="E1198" t="str" s="2">
        <x:v>tinamkibodeaux@gmail.com</x:v>
      </x:c>
      <x:c r="F1198" t="str" s="2">
        <x:v>Landing_BPM</x:v>
      </x:c>
      <x:c r="G1198" t="str" s="2">
        <x:v>Mervin Leslie Smith</x:v>
      </x:c>
      <x:c r="H1198" s="6">
        <x:v>46301.3251474537</x:v>
      </x:c>
      <x:c r="I1198" s="0"/>
      <x:c r="J1198" s="0"/>
      <x:c r="K1198" s="6">
        <x:v>46303.81393912037</x:v>
      </x:c>
      <x:c r="L1198" t="str" s="2">
        <x:v>Contacted</x:v>
      </x:c>
    </x:row>
    <x:row r="1199">
      <x:c r="A1199" t="str" s="2">
        <x:f>="Ma del Carmen Rodriguez"</x:f>
      </x:c>
      <x:c r="B1199" t="str" s="2">
        <x:v>Heritage Housing of Greenville</x:v>
      </x:c>
      <x:c r="C1199" t="str" s="2">
        <x:v/>
      </x:c>
      <x:c r="D1199" t="str" s="2">
        <x:v>2142895124</x:v>
      </x:c>
      <x:c r="E1199" t="str" s="2">
        <x:v>mdcrodriguez777@gmail.com</x:v>
      </x:c>
      <x:c r="F1199" t="str" s="2">
        <x:v>Landing_BPM</x:v>
      </x:c>
      <x:c r="G1199" t="str" s="2">
        <x:v>Brooklynn Allen</x:v>
      </x:c>
      <x:c r="H1199" s="6">
        <x:v>46301.48139035879</x:v>
      </x:c>
      <x:c r="I1199" s="0"/>
      <x:c r="J1199" s="0"/>
      <x:c r="K1199" s="6">
        <x:v>46303.618171875</x:v>
      </x:c>
      <x:c r="L1199" t="str" s="2">
        <x:v>Contacted</x:v>
      </x:c>
    </x:row>
    <x:row r="1200">
      <x:c r="A1200" t="str" s="2">
        <x:f>="Roy Craft"</x:f>
      </x:c>
      <x:c r="B1200" t="str" s="2">
        <x:v>Heritage Housing of Greenville</x:v>
      </x:c>
      <x:c r="C1200" t="str" s="2">
        <x:v/>
      </x:c>
      <x:c r="D1200" t="str" s="2">
        <x:v>8177245466</x:v>
      </x:c>
      <x:c r="E1200" t="str" s="2">
        <x:v>roycraft96@gmail.com</x:v>
      </x:c>
      <x:c r="F1200" t="str" s="2">
        <x:v>Landing_BPM</x:v>
      </x:c>
      <x:c r="G1200" t="str" s="2">
        <x:v>Brooklynn Allen</x:v>
      </x:c>
      <x:c r="H1200" s="6">
        <x:v>46301.513423958335</x:v>
      </x:c>
      <x:c r="I1200" s="0"/>
      <x:c r="J1200" s="0"/>
      <x:c r="K1200" s="6">
        <x:v>46303.61808480324</x:v>
      </x:c>
      <x:c r="L1200" t="str" s="2">
        <x:v>Contacted</x:v>
      </x:c>
    </x:row>
    <x:row r="1201">
      <x:c r="A1201" t="str" s="2">
        <x:f>="Meshell Cook McKinney"</x:f>
      </x:c>
      <x:c r="B1201" t="str" s="2">
        <x:v>Heritage Housing of Albany</x:v>
      </x:c>
      <x:c r="C1201" t="str" s="2">
        <x:v/>
      </x:c>
      <x:c r="D1201" t="str" s="2">
        <x:v>4787145790</x:v>
      </x:c>
      <x:c r="E1201" t="str" s="2">
        <x:v>cookbraddy@gmail.com</x:v>
      </x:c>
      <x:c r="F1201" t="str" s="2">
        <x:v>Landing_BPM</x:v>
      </x:c>
      <x:c r="G1201" t="str" s="2">
        <x:v>Justin Johnson</x:v>
      </x:c>
      <x:c r="H1201" s="6">
        <x:v>46301.55201184028</x:v>
      </x:c>
      <x:c r="I1201" s="0"/>
      <x:c r="J1201" s="0"/>
      <x:c r="K1201" s="6">
        <x:v>46301.84363483796</x:v>
      </x:c>
      <x:c r="L1201" t="str" s="2">
        <x:v>Contacted</x:v>
      </x:c>
    </x:row>
    <x:row r="1202">
      <x:c r="A1202" t="str" s="2">
        <x:f>="Antonio De Aquino quino Espinoza"</x:f>
      </x:c>
      <x:c r="B1202" t="str" s="2">
        <x:v>Heritage Housing Gainesville</x:v>
      </x:c>
      <x:c r="C1202" t="str" s="2">
        <x:v/>
      </x:c>
      <x:c r="D1202" t="str" s="2">
        <x:v>2147720306</x:v>
      </x:c>
      <x:c r="E1202" t="str" s="2">
        <x:v>thews777@yahoo.com</x:v>
      </x:c>
      <x:c r="F1202" t="str" s="2">
        <x:v>Landing_BPM</x:v>
      </x:c>
      <x:c r="G1202" t="str" s="2">
        <x:v>Kelly Ford</x:v>
      </x:c>
      <x:c r="H1202" s="6">
        <x:v>46301.55793434028</x:v>
      </x:c>
      <x:c r="I1202" s="0"/>
      <x:c r="J1202" s="0"/>
      <x:c r="K1202" s="6">
        <x:v>46302.60798263889</x:v>
      </x:c>
      <x:c r="L1202" t="str" s="2">
        <x:v>Contacted</x:v>
      </x:c>
    </x:row>
    <x:row r="1203">
      <x:c r="A1203" t="str" s="2">
        <x:f>="Ross Sepulveda"</x:f>
      </x:c>
      <x:c r="B1203" t="str" s="2">
        <x:v>Heritage Housing Gainesville</x:v>
      </x:c>
      <x:c r="C1203" t="str" s="2">
        <x:v/>
      </x:c>
      <x:c r="D1203" t="str" s="2">
        <x:v>2142902366</x:v>
      </x:c>
      <x:c r="E1203" t="str" s="2">
        <x:v>rosbelsepulveda@outlook.com</x:v>
      </x:c>
      <x:c r="F1203" t="str" s="2">
        <x:v>Meta Ads - Traffic</x:v>
      </x:c>
      <x:c r="G1203" t="str" s="2">
        <x:v>Jeniffer Arellano</x:v>
      </x:c>
      <x:c r="H1203" s="6">
        <x:v>46301.67569887731</x:v>
      </x:c>
      <x:c r="I1203" s="0"/>
      <x:c r="J1203" s="0"/>
      <x:c r="K1203" s="6">
        <x:v>46308.710613159725</x:v>
      </x:c>
      <x:c r="L1203" t="str" s="2">
        <x:v>Contacted</x:v>
      </x:c>
    </x:row>
    <x:row r="1204">
      <x:c r="A1204" t="str" s="2">
        <x:f>="Teundre Burston"</x:f>
      </x:c>
      <x:c r="B1204" t="str" s="2">
        <x:v>Heritage Housing of Athens</x:v>
      </x:c>
      <x:c r="C1204" t="str" s="2">
        <x:v/>
      </x:c>
      <x:c r="D1204" t="str" s="2">
        <x:v>7624186786</x:v>
      </x:c>
      <x:c r="E1204" t="str" s="2">
        <x:v>teundreb84@gmail.com</x:v>
      </x:c>
      <x:c r="F1204" t="str" s="2">
        <x:v>Landing_BPM</x:v>
      </x:c>
      <x:c r="G1204" t="str" s="2">
        <x:v>Ethan Fossett</x:v>
      </x:c>
      <x:c r="H1204" s="6">
        <x:v>46301.70977581019</x:v>
      </x:c>
      <x:c r="I1204" s="0"/>
      <x:c r="J1204" s="0"/>
      <x:c r="K1204" s="6">
        <x:v>46302.563351157405</x:v>
      </x:c>
      <x:c r="L1204" t="str" s="2">
        <x:v>Contacted</x:v>
      </x:c>
    </x:row>
    <x:row r="1205">
      <x:c r="A1205" t="str" s="2">
        <x:f>="Noe Valdivia"</x:f>
      </x:c>
      <x:c r="B1205" t="str" s="2">
        <x:v>Heritage Housing of Greenville</x:v>
      </x:c>
      <x:c r="C1205" t="str" s="2">
        <x:v/>
      </x:c>
      <x:c r="D1205" t="str" s="2">
        <x:v>4695804381</x:v>
      </x:c>
      <x:c r="E1205" t="str" s="2">
        <x:v>vnoe8778@gmail.com</x:v>
      </x:c>
      <x:c r="F1205" t="str" s="2">
        <x:v>Financing Form</x:v>
      </x:c>
      <x:c r="G1205" t="str" s="2">
        <x:v>Ana Garcia</x:v>
      </x:c>
      <x:c r="H1205" s="6">
        <x:v>46301.711352893515</x:v>
      </x:c>
      <x:c r="I1205" s="0"/>
      <x:c r="J1205" s="0"/>
      <x:c r="K1205" s="6">
        <x:v>46303.5970340625</x:v>
      </x:c>
      <x:c r="L1205" t="str" s="2">
        <x:v>Contacted</x:v>
      </x:c>
    </x:row>
    <x:row r="1206">
      <x:c r="A1206" t="str" s="2">
        <x:f>="Cyndi Whitlow Whitlow"</x:f>
      </x:c>
      <x:c r="B1206" t="str" s="2">
        <x:v>Heritage Housing of Minden</x:v>
      </x:c>
      <x:c r="C1206" t="str" s="2">
        <x:v>1/1</x:v>
      </x:c>
      <x:c r="D1206" t="str" s="2">
        <x:v>9034905463</x:v>
      </x:c>
      <x:c r="E1206" t="str" s="2">
        <x:v>cjw62118@gmail.com</x:v>
      </x:c>
      <x:c r="F1206" t="str" s="2">
        <x:v>Landing_BPM</x:v>
      </x:c>
      <x:c r="G1206" t="str" s="2">
        <x:v>Patrick Schuchart</x:v>
      </x:c>
      <x:c r="H1206" s="6">
        <x:v>46301.7985053588</x:v>
      </x:c>
      <x:c r="I1206" s="0"/>
      <x:c r="J1206" s="0"/>
      <x:c r="K1206" s="6">
        <x:v>46302.759728703706</x:v>
      </x:c>
      <x:c r="L1206" t="str" s="2">
        <x:v>Contacted</x:v>
      </x:c>
    </x:row>
    <x:row r="1207">
      <x:c r="A1207" t="str" s="2">
        <x:f>="Rachel Gonzalez"</x:f>
      </x:c>
      <x:c r="B1207" t="str" s="2">
        <x:v>Heritage Housing of Greenville</x:v>
      </x:c>
      <x:c r="C1207" t="str" s="2">
        <x:v/>
      </x:c>
      <x:c r="D1207" t="str" s="2">
        <x:v>68243106712</x:v>
      </x:c>
      <x:c r="E1207" t="str" s="2">
        <x:v>laselam1965@gmail.com</x:v>
      </x:c>
      <x:c r="F1207" t="str" s="2">
        <x:v>Landing_BPM</x:v>
      </x:c>
      <x:c r="G1207" t="str" s="2">
        <x:v>Brooklynn Allen</x:v>
      </x:c>
      <x:c r="H1207" s="6">
        <x:v>46301.86242337963</x:v>
      </x:c>
      <x:c r="I1207" s="0"/>
      <x:c r="J1207" s="0"/>
      <x:c r="K1207" s="6">
        <x:v>46303.61923387732</x:v>
      </x:c>
      <x:c r="L1207" t="str" s="2">
        <x:v>Contacted</x:v>
      </x:c>
    </x:row>
    <x:row r="1208">
      <x:c r="A1208" t="str" s="2">
        <x:f>="Elizabeth Welborn Welborn"</x:f>
      </x:c>
      <x:c r="B1208" t="str" s="2">
        <x:v>Heritage Housing of Greenville</x:v>
      </x:c>
      <x:c r="C1208" t="str" s="2">
        <x:v/>
      </x:c>
      <x:c r="D1208" t="str" s="2">
        <x:v>2542168137</x:v>
      </x:c>
      <x:c r="E1208" t="str" s="2">
        <x:v>welbornelizabeth13@gmail.com</x:v>
      </x:c>
      <x:c r="F1208" t="str" s="2">
        <x:v>Landing_BPM</x:v>
      </x:c>
      <x:c r="G1208" t="str" s="2">
        <x:v>Brooklynn Allen</x:v>
      </x:c>
      <x:c r="H1208" s="6">
        <x:v>46301.87249019676</x:v>
      </x:c>
      <x:c r="I1208" s="0"/>
      <x:c r="J1208" s="0"/>
      <x:c r="K1208" s="6">
        <x:v>46303.620702465276</x:v>
      </x:c>
      <x:c r="L1208" t="str" s="2">
        <x:v>Contacted</x:v>
      </x:c>
    </x:row>
    <x:row r="1209">
      <x:c r="A1209" t="str" s="2">
        <x:f>="natalie moreno"</x:f>
      </x:c>
      <x:c r="B1209" t="str" s="2">
        <x:v>Heritage Housing Gainesville</x:v>
      </x:c>
      <x:c r="C1209" t="str" s="2">
        <x:v/>
      </x:c>
      <x:c r="D1209" t="str" s="2">
        <x:v>3182657589</x:v>
      </x:c>
      <x:c r="E1209" t="str" s="2">
        <x:v>morenonatalie705@gmail.com</x:v>
      </x:c>
      <x:c r="F1209" t="str" s="2">
        <x:v>LandingPage</x:v>
      </x:c>
      <x:c r="G1209" t="str" s="2">
        <x:v>Kelly Ford</x:v>
      </x:c>
      <x:c r="H1209" s="6">
        <x:v>46301.87526820602</x:v>
      </x:c>
      <x:c r="I1209" s="0"/>
      <x:c r="J1209" s="0"/>
      <x:c r="K1209" s="6">
        <x:v>46302.609417974534</x:v>
      </x:c>
      <x:c r="L1209" t="str" s="2">
        <x:v>Contacted</x:v>
      </x:c>
    </x:row>
    <x:row r="1210">
      <x:c r="A1210" t="str" s="2">
        <x:f>="Jessie Ware"</x:f>
      </x:c>
      <x:c r="B1210" t="str" s="2">
        <x:v>Heritage Housing of Minden</x:v>
      </x:c>
      <x:c r="C1210" t="str" s="2">
        <x:v>1/1</x:v>
      </x:c>
      <x:c r="D1210" t="str" s="2">
        <x:v>9039314682</x:v>
      </x:c>
      <x:c r="E1210" t="str" s="2">
        <x:v>bigjess2590@gmail.com</x:v>
      </x:c>
      <x:c r="F1210" t="str" s="2">
        <x:v>Financing Form</x:v>
      </x:c>
      <x:c r="G1210" t="str" s="2">
        <x:v>Kyla Brown</x:v>
      </x:c>
      <x:c r="H1210" s="6">
        <x:v>46301.91734988426</x:v>
      </x:c>
      <x:c r="I1210" s="0"/>
      <x:c r="J1210" s="0"/>
      <x:c r="K1210" s="6">
        <x:v>46302.75826736111</x:v>
      </x:c>
      <x:c r="L1210" t="str" s="2">
        <x:v>Contacted</x:v>
      </x:c>
    </x:row>
    <x:row r="1211">
      <x:c r="A1211" t="str" s="2">
        <x:f>="Sybille Schmitz"</x:f>
      </x:c>
      <x:c r="B1211" t="str" s="2">
        <x:v>Heritage Housing of Athens</x:v>
      </x:c>
      <x:c r="C1211" t="str" s="2">
        <x:v/>
      </x:c>
      <x:c r="D1211" t="str" s="2">
        <x:v>9549997648</x:v>
      </x:c>
      <x:c r="E1211" t="str" s="2">
        <x:v>schmitzchopper@yahoo.com</x:v>
      </x:c>
      <x:c r="F1211" t="str" s="2">
        <x:v>Landing_BPM</x:v>
      </x:c>
      <x:c r="G1211" t="str" s="2">
        <x:v>Ethan Fossett</x:v>
      </x:c>
      <x:c r="H1211" s="6">
        <x:v>46301.95672149306</x:v>
      </x:c>
      <x:c r="I1211" s="0"/>
      <x:c r="J1211" s="0"/>
      <x:c r="K1211" s="6">
        <x:v>46307.92488568287</x:v>
      </x:c>
      <x:c r="L1211" t="str" s="2">
        <x:v>Contacted</x:v>
      </x:c>
    </x:row>
    <x:row r="1212">
      <x:c r="A1212" t="str" s="2">
        <x:f>="Charles Rodriguez Rodriguez"</x:f>
      </x:c>
      <x:c r="B1212" t="str" s="2">
        <x:v>Heritage Housing of Albany</x:v>
      </x:c>
      <x:c r="C1212" t="str" s="2">
        <x:v>1/1</x:v>
      </x:c>
      <x:c r="D1212" t="str" s="2">
        <x:v>2025550153</x:v>
      </x:c>
      <x:c r="E1212" t="str" s="2">
        <x:v>chrmndrsmusic@gmail.com</x:v>
      </x:c>
      <x:c r="F1212" t="str" s="2">
        <x:v>Website</x:v>
      </x:c>
      <x:c r="G1212" t="str" s="2">
        <x:v>Justin Johnson</x:v>
      </x:c>
      <x:c r="H1212" s="6">
        <x:v>46302.56595315972</x:v>
      </x:c>
      <x:c r="I1212" s="0"/>
      <x:c r="J1212" s="0"/>
      <x:c r="K1212" s="6">
        <x:v>46302.61405532408</x:v>
      </x:c>
      <x:c r="L1212" t="str" s="2">
        <x:v>Contacted</x:v>
      </x:c>
    </x:row>
    <x:row r="1213">
      <x:c r="A1213" t="str" s="2">
        <x:f>="Jerrickson Tardi Rivera"</x:f>
      </x:c>
      <x:c r="B1213" t="str" s="2">
        <x:v>Heritage Housing of Asheboro</x:v>
      </x:c>
      <x:c r="C1213" t="str" s="2">
        <x:v/>
      </x:c>
      <x:c r="D1213" t="str" s="2">
        <x:v>3369636007</x:v>
      </x:c>
      <x:c r="E1213" t="str" s="2">
        <x:v>jerricksontardi@yahoo.com</x:v>
      </x:c>
      <x:c r="F1213" t="str" s="2">
        <x:v>Website</x:v>
      </x:c>
      <x:c r="G1213" t="str" s="2">
        <x:v>Joe Lopez</x:v>
      </x:c>
      <x:c r="H1213" s="6">
        <x:v>46302.68464533565</x:v>
      </x:c>
      <x:c r="I1213" s="0"/>
      <x:c r="J1213" s="0"/>
      <x:c r="K1213" s="6">
        <x:v>46303.613658877315</x:v>
      </x:c>
      <x:c r="L1213" t="str" s="2">
        <x:v>Contacted</x:v>
      </x:c>
    </x:row>
    <x:row r="1214">
      <x:c r="A1214" t="str" s="2">
        <x:f>="Connor Coggins"</x:f>
      </x:c>
      <x:c r="B1214" t="str" s="2">
        <x:v>Heritage Housing of Athens</x:v>
      </x:c>
      <x:c r="C1214" t="str" s="2">
        <x:v/>
      </x:c>
      <x:c r="D1214" t="str" s="2">
        <x:v>7064108783</x:v>
      </x:c>
      <x:c r="E1214" t="str" s="2">
        <x:v>connorc_97@yahoo.com</x:v>
      </x:c>
      <x:c r="F1214" t="str" s="2">
        <x:v>Landing_BPM</x:v>
      </x:c>
      <x:c r="G1214" t="str" s="2">
        <x:v>Ethan Fossett</x:v>
      </x:c>
      <x:c r="H1214" s="6">
        <x:v>46302.69709957176</x:v>
      </x:c>
      <x:c r="I1214" s="0"/>
      <x:c r="J1214" s="0"/>
      <x:c r="K1214" s="6">
        <x:v>46307.92449545139</x:v>
      </x:c>
      <x:c r="L1214" t="str" s="2">
        <x:v>Contacted</x:v>
      </x:c>
    </x:row>
    <x:row r="1215">
      <x:c r="A1215" t="str" s="2">
        <x:f>="Eden Amick"</x:f>
      </x:c>
      <x:c r="B1215" t="str" s="2">
        <x:v>Heritage Housing of Asheboro</x:v>
      </x:c>
      <x:c r="C1215" t="str" s="2">
        <x:v/>
      </x:c>
      <x:c r="D1215" t="str" s="2">
        <x:v>3363079290</x:v>
      </x:c>
      <x:c r="E1215" t="str" s="2">
        <x:v>edenamick74@gmail.com</x:v>
      </x:c>
      <x:c r="F1215" t="str" s="2">
        <x:v>Landing_BPM</x:v>
      </x:c>
      <x:c r="G1215" t="str" s="2">
        <x:v>Joe Lopez</x:v>
      </x:c>
      <x:c r="H1215" s="6">
        <x:v>46302.76311400463</x:v>
      </x:c>
      <x:c r="I1215" s="0"/>
      <x:c r="J1215" s="0"/>
      <x:c r="K1215" s="6">
        <x:v>46302.85278515046</x:v>
      </x:c>
      <x:c r="L1215" t="str" s="2">
        <x:v>Contacted</x:v>
      </x:c>
    </x:row>
    <x:row r="1216">
      <x:c r="A1216" t="str" s="2">
        <x:f>="Dustin Funderburk"</x:f>
      </x:c>
      <x:c r="B1216" t="str" s="2">
        <x:v>Heritage Housing of Greenville</x:v>
      </x:c>
      <x:c r="C1216" t="str" s="2">
        <x:v/>
      </x:c>
      <x:c r="D1216" t="str" s="2">
        <x:v>9033310742</x:v>
      </x:c>
      <x:c r="E1216" t="str" s="2">
        <x:v>dfunderburk58@gmail.com</x:v>
      </x:c>
      <x:c r="F1216" t="str" s="2">
        <x:v>Landing_BPM</x:v>
      </x:c>
      <x:c r="G1216" t="str" s="2">
        <x:v>Ana Garcia</x:v>
      </x:c>
      <x:c r="H1216" s="6">
        <x:v>46302.78942908565</x:v>
      </x:c>
      <x:c r="I1216" s="0"/>
      <x:c r="J1216" s="0"/>
      <x:c r="K1216" s="6">
        <x:v>46303.59713568287</x:v>
      </x:c>
      <x:c r="L1216" t="str" s="2">
        <x:v>Contacted</x:v>
      </x:c>
    </x:row>
    <x:row r="1217">
      <x:c r="A1217" t="str" s="2">
        <x:f>="Kailyn Wilson"</x:f>
      </x:c>
      <x:c r="B1217" t="str" s="2">
        <x:v>Heritage Housing of Asheboro</x:v>
      </x:c>
      <x:c r="C1217" t="str" s="2">
        <x:v/>
      </x:c>
      <x:c r="D1217" t="str" s="2">
        <x:v>9194204785</x:v>
      </x:c>
      <x:c r="E1217" t="str" s="2">
        <x:v>kailyn.wilson24@gmail.com</x:v>
      </x:c>
      <x:c r="F1217" t="str" s="2">
        <x:v>Landing_BPM</x:v>
      </x:c>
      <x:c r="G1217" t="str" s="2">
        <x:v>Joe Lopez</x:v>
      </x:c>
      <x:c r="H1217" s="6">
        <x:v>46302.83286203704</x:v>
      </x:c>
      <x:c r="I1217" s="0"/>
      <x:c r="J1217" s="0"/>
      <x:c r="K1217" s="6">
        <x:v>46303.61467190972</x:v>
      </x:c>
      <x:c r="L1217" t="str" s="2">
        <x:v>Contacted</x:v>
      </x:c>
    </x:row>
    <x:row r="1218">
      <x:c r="A1218" t="str" s="2">
        <x:f>="Robertrer JackrerGM"</x:f>
      </x:c>
      <x:c r="B1218" t="str" s="2">
        <x:v>Heritage Housing of Greenville</x:v>
      </x:c>
      <x:c r="C1218" t="str" s="2">
        <x:v/>
      </x:c>
      <x:c r="D1218" t="str" s="2">
        <x:v>87776564967</x:v>
      </x:c>
      <x:c r="E1218" t="str" s="2">
        <x:v>qvutwgt@atesowk.sgk</x:v>
      </x:c>
      <x:c r="F1218" t="str" s="2">
        <x:v>Website</x:v>
      </x:c>
      <x:c r="G1218" t="str" s="2">
        <x:v>Brooklynn Allen</x:v>
      </x:c>
      <x:c r="H1218" s="6">
        <x:v>46302.85875532407</x:v>
      </x:c>
      <x:c r="I1218" s="0"/>
      <x:c r="J1218" s="0"/>
      <x:c r="K1218" s="6">
        <x:v>46303.6210821412</x:v>
      </x:c>
      <x:c r="L1218" t="str" s="2">
        <x:v>Contacted</x:v>
      </x:c>
    </x:row>
    <x:row r="1219">
      <x:c r="A1219" t="str" s="2">
        <x:f>="Marco Sandoval Sandoval"</x:f>
      </x:c>
      <x:c r="B1219" t="str" s="2">
        <x:v>Heritage Housing of Minden</x:v>
      </x:c>
      <x:c r="C1219" t="str" s="2">
        <x:v>1/2</x:v>
      </x:c>
      <x:c r="D1219" t="str" s="2">
        <x:v>5056296606</x:v>
      </x:c>
      <x:c r="E1219" t="str" s="2">
        <x:v>sandovalsfreightways@gmail.com</x:v>
      </x:c>
      <x:c r="F1219" t="str" s="2">
        <x:v>Landing_BPM</x:v>
      </x:c>
      <x:c r="G1219" t="str" s="2">
        <x:v>Maira Garcia</x:v>
      </x:c>
      <x:c r="H1219" s="6">
        <x:v>46302.89003556713</x:v>
      </x:c>
      <x:c r="I1219" s="0"/>
      <x:c r="J1219" s="0"/>
      <x:c r="K1219" s="6">
        <x:v>46302.90737746528</x:v>
      </x:c>
      <x:c r="L1219" t="str" s="2">
        <x:v>Contacted</x:v>
      </x:c>
    </x:row>
    <x:row r="1220">
      <x:c r="A1220" t="str" s="2">
        <x:f>="Kenyada Merritt"</x:f>
      </x:c>
      <x:c r="B1220" t="str" s="2">
        <x:v>Heritage Housing of Albany</x:v>
      </x:c>
      <x:c r="C1220" t="str" s="2">
        <x:v>1/3</x:v>
      </x:c>
      <x:c r="D1220" t="str" s="2">
        <x:v>2294992832</x:v>
      </x:c>
      <x:c r="E1220" t="str" s="2">
        <x:v>merrittkenyada30@gmail.com</x:v>
      </x:c>
      <x:c r="F1220" t="str" s="2">
        <x:v>Financing Form</x:v>
      </x:c>
      <x:c r="G1220" t="str" s="2">
        <x:v>Justin Johnson</x:v>
      </x:c>
      <x:c r="H1220" s="6">
        <x:v>46302.89402384259</x:v>
      </x:c>
      <x:c r="I1220" s="0"/>
      <x:c r="J1220" s="0"/>
      <x:c r="K1220" s="6">
        <x:v>46305.82867623842</x:v>
      </x:c>
      <x:c r="L1220" t="str" s="2">
        <x:v>Contacted</x:v>
      </x:c>
    </x:row>
    <x:row r="1221">
      <x:c r="A1221" t="str" s="2">
        <x:f>="Víctor Duron"</x:f>
      </x:c>
      <x:c r="B1221" t="str" s="2">
        <x:v>Heritage Housing of Asheboro</x:v>
      </x:c>
      <x:c r="C1221" t="str" s="2">
        <x:v/>
      </x:c>
      <x:c r="D1221" t="str" s="2">
        <x:v>9103728019</x:v>
      </x:c>
      <x:c r="E1221" t="str" s="2">
        <x:v>Duronribaldo@gmail.com</x:v>
      </x:c>
      <x:c r="F1221" t="str" s="2">
        <x:v>Meta Ads - Forms</x:v>
      </x:c>
      <x:c r="G1221" t="str" s="2">
        <x:v>Joe Lopez</x:v>
      </x:c>
      <x:c r="H1221" s="6">
        <x:v>46302.93828283565</x:v>
      </x:c>
      <x:c r="I1221" s="0"/>
      <x:c r="J1221" s="0"/>
      <x:c r="K1221" s="6">
        <x:v>46303.60932743055</x:v>
      </x:c>
      <x:c r="L1221" t="str" s="2">
        <x:v>Contacted</x:v>
      </x:c>
    </x:row>
    <x:row r="1222">
      <x:c r="A1222" t="str" s="2">
        <x:f>="Orlando Estradq"</x:f>
      </x:c>
      <x:c r="B1222" t="str" s="2">
        <x:v>Heritage Housing of Greenville</x:v>
      </x:c>
      <x:c r="C1222" t="str" s="2">
        <x:v/>
      </x:c>
      <x:c r="D1222" t="str" s="2">
        <x:v>9723336036</x:v>
      </x:c>
      <x:c r="E1222" t="str" s="2">
        <x:v>tiannajjohnson1719@gmail.com</x:v>
      </x:c>
      <x:c r="F1222" t="str" s="2">
        <x:v>Landing_BPM</x:v>
      </x:c>
      <x:c r="G1222" t="str" s="2">
        <x:v>Brooklynn Allen</x:v>
      </x:c>
      <x:c r="H1222" s="6">
        <x:v>46302.95355494213</x:v>
      </x:c>
      <x:c r="I1222" s="0"/>
      <x:c r="J1222" s="0"/>
      <x:c r="K1222" s="6">
        <x:v>46303.622323379626</x:v>
      </x:c>
      <x:c r="L1222" t="str" s="2">
        <x:v>Contacted</x:v>
      </x:c>
    </x:row>
    <x:row r="1223">
      <x:c r="A1223" t="str" s="2">
        <x:f>="Latasha Livings"</x:f>
      </x:c>
      <x:c r="B1223" t="str" s="2">
        <x:v>Heritage Housing of Jennings</x:v>
      </x:c>
      <x:c r="C1223" t="str" s="2">
        <x:v>1/1</x:v>
      </x:c>
      <x:c r="D1223" t="str" s="2">
        <x:v>3373260739</x:v>
      </x:c>
      <x:c r="E1223" t="str" s="2">
        <x:v>tshlivings@yahoo.com</x:v>
      </x:c>
      <x:c r="F1223" t="str" s="2">
        <x:v>Landing_BPM</x:v>
      </x:c>
      <x:c r="G1223" t="str" s="2">
        <x:v>Mervin Leslie Smith</x:v>
      </x:c>
      <x:c r="H1223" s="6">
        <x:v>46303.015698842595</x:v>
      </x:c>
      <x:c r="I1223" s="0"/>
      <x:c r="J1223" s="0"/>
      <x:c r="K1223" s="6">
        <x:v>46303.62992496528</x:v>
      </x:c>
      <x:c r="L1223" t="str" s="2">
        <x:v>Contacted</x:v>
      </x:c>
    </x:row>
    <x:row r="1224">
      <x:c r="A1224" t="str" s="2">
        <x:f>="Matthew J J"</x:f>
      </x:c>
      <x:c r="B1224" t="str" s="2">
        <x:v>Heritage Housing of Minden</x:v>
      </x:c>
      <x:c r="C1224" t="str" s="2">
        <x:v>1/1</x:v>
      </x:c>
      <x:c r="D1224" t="str" s="2">
        <x:v>6127094475</x:v>
      </x:c>
      <x:c r="E1224" t="str" s="2">
        <x:v>matthewjanderson1958@gmail.com</x:v>
      </x:c>
      <x:c r="F1224" t="str" s="2">
        <x:v>Landing_BPM</x:v>
      </x:c>
      <x:c r="G1224" t="str" s="2">
        <x:v>Kyla Brown</x:v>
      </x:c>
      <x:c r="H1224" s="6">
        <x:v>46303.02025046296</x:v>
      </x:c>
      <x:c r="I1224" s="0"/>
      <x:c r="J1224" s="0"/>
      <x:c r="K1224" s="6">
        <x:v>46303.69536003472</x:v>
      </x:c>
      <x:c r="L1224" t="str" s="2">
        <x:v>Contacted</x:v>
      </x:c>
    </x:row>
    <x:row r="1225">
      <x:c r="A1225" t="str" s="2">
        <x:f>="Carla Valsin Valsin"</x:f>
      </x:c>
      <x:c r="B1225" t="str" s="2">
        <x:v>Heritage Housing of Jennings</x:v>
      </x:c>
      <x:c r="C1225" t="str" s="2">
        <x:v/>
      </x:c>
      <x:c r="D1225" t="str" s="2">
        <x:v>3372424318</x:v>
      </x:c>
      <x:c r="E1225" t="str" s="2">
        <x:v>carlafaye1107@gmail.com</x:v>
      </x:c>
      <x:c r="F1225" t="str" s="2">
        <x:v>Landing_BPM</x:v>
      </x:c>
      <x:c r="G1225" t="str" s="2">
        <x:v>Clint O'Neal</x:v>
      </x:c>
      <x:c r="H1225" s="6">
        <x:v>46303.06658961806</x:v>
      </x:c>
      <x:c r="I1225" s="0"/>
      <x:c r="J1225" s="0"/>
      <x:c r="K1225" s="6">
        <x:v>46303.732710219905</x:v>
      </x:c>
      <x:c r="L1225" t="str" s="2">
        <x:v>Contacted</x:v>
      </x:c>
    </x:row>
    <x:row r="1226">
      <x:c r="A1226" t="str" s="2">
        <x:f>="Betsy Kendrick"</x:f>
      </x:c>
      <x:c r="B1226" t="str" s="2">
        <x:v>Heritage Housing of Athens</x:v>
      </x:c>
      <x:c r="C1226" t="str" s="2">
        <x:v>1/1</x:v>
      </x:c>
      <x:c r="D1226" t="str" s="2">
        <x:v>4705604299</x:v>
      </x:c>
      <x:c r="E1226" t="str" s="2">
        <x:v>smokymountaingirl56@gmail.com</x:v>
      </x:c>
      <x:c r="F1226" t="str" s="2">
        <x:v>Landing_BPM</x:v>
      </x:c>
      <x:c r="G1226" t="str" s="2">
        <x:v>Ethan Fossett</x:v>
      </x:c>
      <x:c r="H1226" s="6">
        <x:v>46303.06991643518</x:v>
      </x:c>
      <x:c r="I1226" s="0"/>
      <x:c r="J1226" s="0"/>
      <x:c r="K1226" s="6">
        <x:v>46305.726795104165</x:v>
      </x:c>
      <x:c r="L1226" t="str" s="2">
        <x:v>Contacted</x:v>
      </x:c>
    </x:row>
    <x:row r="1227">
      <x:c r="A1227" t="str" s="2">
        <x:f>="Gretchen Davis"</x:f>
      </x:c>
      <x:c r="B1227" t="str" s="2">
        <x:v>Heritage Housing of Greenville</x:v>
      </x:c>
      <x:c r="C1227" t="str" s="2">
        <x:v/>
      </x:c>
      <x:c r="D1227" t="str" s="2">
        <x:v>9453498209</x:v>
      </x:c>
      <x:c r="E1227" t="str" s="2">
        <x:v>sagerone41@gmail.com</x:v>
      </x:c>
      <x:c r="F1227" t="str" s="2">
        <x:v>Landing_BPM</x:v>
      </x:c>
      <x:c r="G1227" t="str" s="2">
        <x:v>Brooklynn Allen</x:v>
      </x:c>
      <x:c r="H1227" s="6">
        <x:v>46303.09072693287</x:v>
      </x:c>
      <x:c r="I1227" s="0"/>
      <x:c r="J1227" s="0"/>
      <x:c r="K1227" s="6">
        <x:v>46303.62324487269</x:v>
      </x:c>
      <x:c r="L1227" t="str" s="2">
        <x:v>Contacted</x:v>
      </x:c>
    </x:row>
    <x:row r="1228">
      <x:c r="A1228" t="str" s="2">
        <x:f>="Johnny Urraca"</x:f>
      </x:c>
      <x:c r="B1228" t="str" s="2">
        <x:v>Heritage Housing of Athens</x:v>
      </x:c>
      <x:c r="C1228" t="str" s="2">
        <x:v/>
      </x:c>
      <x:c r="D1228" t="str" s="2">
        <x:v>7867186226</x:v>
      </x:c>
      <x:c r="E1228" t="str" s="2">
        <x:v>jurraca@gmail.com</x:v>
      </x:c>
      <x:c r="F1228" t="str" s="2">
        <x:v>Landing_BPM</x:v>
      </x:c>
      <x:c r="G1228" t="str" s="2">
        <x:v>Nathan Bishop</x:v>
      </x:c>
      <x:c r="H1228" s="6">
        <x:v>46303.174661192126</x:v>
      </x:c>
      <x:c r="I1228" s="0"/>
      <x:c r="J1228" s="0"/>
      <x:c r="K1228" s="6">
        <x:v>46304.822752465276</x:v>
      </x:c>
      <x:c r="L1228" t="str" s="2">
        <x:v>Contacted</x:v>
      </x:c>
    </x:row>
    <x:row r="1229">
      <x:c r="A1229" t="str" s="2">
        <x:f>="Donna Dellapenta"</x:f>
      </x:c>
      <x:c r="B1229" t="str" s="2">
        <x:v>Heritage Housing of Jennings</x:v>
      </x:c>
      <x:c r="C1229" t="str" s="2">
        <x:v/>
      </x:c>
      <x:c r="D1229" t="str" s="2">
        <x:v>3372815970</x:v>
      </x:c>
      <x:c r="E1229" t="str" s="2">
        <x:v>donnadellapenta1@gmail.com</x:v>
      </x:c>
      <x:c r="F1229" t="str" s="2">
        <x:v>Landing_BPM</x:v>
      </x:c>
      <x:c r="G1229" t="str" s="2">
        <x:v>Mervin Leslie Smith</x:v>
      </x:c>
      <x:c r="H1229" s="6">
        <x:v>46303.22379452546</x:v>
      </x:c>
      <x:c r="I1229" s="0"/>
      <x:c r="J1229" s="0"/>
      <x:c r="K1229" s="6">
        <x:v>46303.646851006946</x:v>
      </x:c>
      <x:c r="L1229" t="str" s="2">
        <x:v>Contacted</x:v>
      </x:c>
    </x:row>
    <x:row r="1230">
      <x:c r="A1230" t="str" s="2">
        <x:f>="Rachel Taylor Taylor"</x:f>
      </x:c>
      <x:c r="B1230" t="str" s="2">
        <x:v>Heritage Housing of Albany</x:v>
      </x:c>
      <x:c r="C1230" t="str" s="2">
        <x:v/>
      </x:c>
      <x:c r="D1230" t="str" s="2">
        <x:v>2025557158</x:v>
      </x:c>
      <x:c r="E1230" t="str" s="2">
        <x:v>victorlu.upv@gmail.com</x:v>
      </x:c>
      <x:c r="F1230" t="str" s="2">
        <x:v>Website</x:v>
      </x:c>
      <x:c r="G1230" t="str" s="2">
        <x:v>Yanet Alvarez</x:v>
      </x:c>
      <x:c r="H1230" s="6">
        <x:v>46303.418105289355</x:v>
      </x:c>
      <x:c r="I1230" s="0"/>
      <x:c r="J1230" s="0"/>
      <x:c r="K1230" s="6">
        <x:v>46303.869940474535</x:v>
      </x:c>
      <x:c r="L1230" t="str" s="2">
        <x:v>Contacted</x:v>
      </x:c>
    </x:row>
    <x:row r="1231">
      <x:c r="A1231" t="str" s="2">
        <x:f>="John Pham"</x:f>
      </x:c>
      <x:c r="B1231" t="str" s="2">
        <x:v>Heritage Housing of Jennings</x:v>
      </x:c>
      <x:c r="C1231" t="str" s="2">
        <x:v/>
      </x:c>
      <x:c r="D1231" t="str" s="2">
        <x:v>3374923110</x:v>
      </x:c>
      <x:c r="E1231" t="str" s="2">
        <x:v>skyhigh337jp@gmail.com</x:v>
      </x:c>
      <x:c r="F1231" t="str" s="2">
        <x:v>Landing_BPM</x:v>
      </x:c>
      <x:c r="G1231" t="str" s="2">
        <x:v>Clint O'Neal</x:v>
      </x:c>
      <x:c r="H1231" s="6">
        <x:v>46303.43806851852</x:v>
      </x:c>
      <x:c r="I1231" s="0"/>
      <x:c r="J1231" s="0"/>
      <x:c r="K1231" s="6">
        <x:v>46303.732375231484</x:v>
      </x:c>
      <x:c r="L1231" t="str" s="2">
        <x:v>Contacted</x:v>
      </x:c>
    </x:row>
    <x:row r="1232">
      <x:c r="A1232" t="str" s="2">
        <x:f>="Ashley Jones Jones"</x:f>
      </x:c>
      <x:c r="B1232" t="str" s="2">
        <x:v>Heritage Housing of Albany</x:v>
      </x:c>
      <x:c r="C1232" t="str" s="2">
        <x:v/>
      </x:c>
      <x:c r="D1232" t="str" s="2">
        <x:v>2025559013</x:v>
      </x:c>
      <x:c r="E1232" t="str" s="2">
        <x:v>richardapearson2@gmail.com</x:v>
      </x:c>
      <x:c r="F1232" t="str" s="2">
        <x:v>Website</x:v>
      </x:c>
      <x:c r="G1232" t="str" s="2">
        <x:v>Justin Johnson</x:v>
      </x:c>
      <x:c r="H1232" s="6">
        <x:v>46303.490494178244</x:v>
      </x:c>
      <x:c r="I1232" s="0"/>
      <x:c r="J1232" s="0"/>
      <x:c r="K1232" s="6">
        <x:v>46305.887177743054</x:v>
      </x:c>
      <x:c r="L1232" t="str" s="2">
        <x:v>Contacted</x:v>
      </x:c>
    </x:row>
    <x:row r="1233">
      <x:c r="A1233" t="str" s="2">
        <x:f>="Lisa Stratton Stratton"</x:f>
      </x:c>
      <x:c r="B1233" t="str" s="2">
        <x:v>Heritage Housing of Athens</x:v>
      </x:c>
      <x:c r="C1233" t="str" s="2">
        <x:v/>
      </x:c>
      <x:c r="D1233" t="str" s="2">
        <x:v>6786776383</x:v>
      </x:c>
      <x:c r="E1233" t="str" s="2">
        <x:v>lisa_stratton78@icloud.com</x:v>
      </x:c>
      <x:c r="F1233" t="str" s="2">
        <x:v>Landing_BPM</x:v>
      </x:c>
      <x:c r="G1233" t="str" s="2">
        <x:v>Ethan Fossett</x:v>
      </x:c>
      <x:c r="H1233" s="6">
        <x:v>46303.55211859954</x:v>
      </x:c>
      <x:c r="I1233" s="0"/>
      <x:c r="J1233" s="0"/>
      <x:c r="K1233" s="6">
        <x:v>46307.92383665509</x:v>
      </x:c>
      <x:c r="L1233" t="str" s="2">
        <x:v>Contacted</x:v>
      </x:c>
    </x:row>
    <x:row r="1234">
      <x:c r="A1234" t="str" s="2">
        <x:f>="Patricia Mc Donald"</x:f>
      </x:c>
      <x:c r="B1234" t="str" s="2">
        <x:v>Heritage Housing Gainesville</x:v>
      </x:c>
      <x:c r="C1234" t="str" s="2">
        <x:v/>
      </x:c>
      <x:c r="D1234" t="str" s="2">
        <x:v>9454004737</x:v>
      </x:c>
      <x:c r="E1234" t="str" s="2">
        <x:v>patmac8654@yahoo.com</x:v>
      </x:c>
      <x:c r="F1234" t="str" s="2">
        <x:v>Landing_BPM</x:v>
      </x:c>
      <x:c r="G1234" t="str" s="2">
        <x:v>Jeniffer Arellano</x:v>
      </x:c>
      <x:c r="H1234" s="6">
        <x:v>46303.58901913194</x:v>
      </x:c>
      <x:c r="I1234" s="0"/>
      <x:c r="J1234" s="0"/>
      <x:c r="K1234" s="6">
        <x:v>46308.71054494213</x:v>
      </x:c>
      <x:c r="L1234" t="str" s="2">
        <x:v>Contacted</x:v>
      </x:c>
    </x:row>
    <x:row r="1235">
      <x:c r="A1235" t="str" s="2">
        <x:f>="gabrielle ivory"</x:f>
      </x:c>
      <x:c r="B1235" t="str" s="2">
        <x:v>Heritage Housing of Athens</x:v>
      </x:c>
      <x:c r="C1235" t="str" s="2">
        <x:v>1/1</x:v>
      </x:c>
      <x:c r="D1235" t="str" s="2">
        <x:v>4706317704</x:v>
      </x:c>
      <x:c r="E1235" t="str" s="2">
        <x:v>gabbieivory@gmail.com</x:v>
      </x:c>
      <x:c r="F1235" t="str" s="2">
        <x:v>Landing_BPM</x:v>
      </x:c>
      <x:c r="G1235" t="str" s="2">
        <x:v>Ethan Fossett</x:v>
      </x:c>
      <x:c r="H1235" s="6">
        <x:v>46303.60829675926</x:v>
      </x:c>
      <x:c r="I1235" s="0"/>
      <x:c r="J1235" s="0"/>
      <x:c r="K1235" s="6">
        <x:v>46305.700602164354</x:v>
      </x:c>
      <x:c r="L1235" t="str" s="2">
        <x:v>Contacted</x:v>
      </x:c>
    </x:row>
    <x:row r="1236">
      <x:c r="A1236" t="str" s="2">
        <x:f>="Barbara Bora"</x:f>
      </x:c>
      <x:c r="B1236" t="str" s="2">
        <x:v>Heritage Housing of Athens</x:v>
      </x:c>
      <x:c r="C1236" t="str" s="2">
        <x:v/>
      </x:c>
      <x:c r="D1236" t="str" s="2">
        <x:v>7069884341</x:v>
      </x:c>
      <x:c r="E1236" t="str" s="2">
        <x:v>barbarabora66@gmail.com</x:v>
      </x:c>
      <x:c r="F1236" t="str" s="2">
        <x:v>Landing_BPM</x:v>
      </x:c>
      <x:c r="G1236" t="str" s="2">
        <x:v>Ethan Fossett</x:v>
      </x:c>
      <x:c r="H1236" s="6">
        <x:v>46303.625593206016</x:v>
      </x:c>
      <x:c r="I1236" s="0"/>
      <x:c r="J1236" s="0"/>
      <x:c r="K1236" s="6">
        <x:v>46303.90727905092</x:v>
      </x:c>
      <x:c r="L1236" t="str" s="2">
        <x:v>Contacted</x:v>
      </x:c>
    </x:row>
    <x:row r="1237">
      <x:c r="A1237" t="str" s="2">
        <x:f>=HYPERLINK("https://rsms.futurehomex.com/lead/40669", "Kelsey White")</x:f>
      </x:c>
      <x:c r="B1237" t="str" s="2">
        <x:v>Heritage Housing of Greenville</x:v>
      </x:c>
      <x:c r="C1237" t="str" s="2">
        <x:v/>
      </x:c>
      <x:c r="D1237" t="str" s="2">
        <x:v>4698915080</x:v>
      </x:c>
      <x:c r="E1237" t="str" s="2">
        <x:v>kelseywhite81539@gmail.com</x:v>
      </x:c>
      <x:c r="F1237" t="str" s="2">
        <x:v>Financing Form</x:v>
      </x:c>
      <x:c r="G1237" t="str" s="2">
        <x:v>Brooklynn Allen</x:v>
      </x:c>
      <x:c r="H1237" s="6">
        <x:v>46303.62706392361</x:v>
      </x:c>
      <x:c r="I1237" t="str" s="2">
        <x:v>Brooklynn Allen</x:v>
      </x:c>
      <x:c r="J1237" s="0"/>
      <x:c r="K1237" s="6">
        <x:v>46303.79581412037</x:v>
      </x:c>
      <x:c r="L1237" t="str" s="2">
        <x:v>Contacted</x:v>
      </x:c>
    </x:row>
    <x:row r="1238">
      <x:c r="A1238" t="str" s="2">
        <x:f>=HYPERLINK("https://rsms.futurehomex.com/lead/40664", "Roy Wilkerson")</x:f>
      </x:c>
      <x:c r="B1238" t="str" s="2">
        <x:v>Heritage Housing of Minden</x:v>
      </x:c>
      <x:c r="C1238" t="str" s="2">
        <x:v>1/1</x:v>
      </x:c>
      <x:c r="D1238" t="str" s="2">
        <x:v>3188413264</x:v>
      </x:c>
      <x:c r="E1238" t="str" s="2">
        <x:v>3188413264</x:v>
      </x:c>
      <x:c r="F1238" t="str" s="2">
        <x:v>Referrals</x:v>
      </x:c>
      <x:c r="G1238" t="str" s="2">
        <x:v>Patrick Schuchart</x:v>
      </x:c>
      <x:c r="H1238" s="6">
        <x:v>46303.69364077546</x:v>
      </x:c>
      <x:c r="I1238" t="str" s="2">
        <x:v>Patrick Schuchart</x:v>
      </x:c>
      <x:c r="J1238" s="0"/>
      <x:c r="K1238" s="6">
        <x:v>46305.62834082176</x:v>
      </x:c>
      <x:c r="L1238" t="str" s="2">
        <x:v>Contacted</x:v>
      </x:c>
    </x:row>
    <x:row r="1239">
      <x:c r="A1239" t="str" s="2">
        <x:f>="Aleshia Wilson"</x:f>
      </x:c>
      <x:c r="B1239" t="str" s="2">
        <x:v>Heritage Housing Gainesville</x:v>
      </x:c>
      <x:c r="C1239" t="str" s="2">
        <x:v/>
      </x:c>
      <x:c r="D1239" t="str" s="2">
        <x:v>9808661434</x:v>
      </x:c>
      <x:c r="E1239" t="str" s="2">
        <x:v>awilson6037@yahoo.com</x:v>
      </x:c>
      <x:c r="F1239" t="str" s="2">
        <x:v>Landing_BPM</x:v>
      </x:c>
      <x:c r="G1239" t="str" s="2">
        <x:v>Kelly Ford</x:v>
      </x:c>
      <x:c r="H1239" s="6">
        <x:v>46303.72182372685</x:v>
      </x:c>
      <x:c r="I1239" s="0"/>
      <x:c r="J1239" s="0"/>
      <x:c r="K1239" s="6">
        <x:v>46304.610422418984</x:v>
      </x:c>
      <x:c r="L1239" t="str" s="2">
        <x:v>Contacted</x:v>
      </x:c>
    </x:row>
    <x:row r="1240">
      <x:c r="A1240" t="str" s="2">
        <x:f>="Sarah Williams Williams"</x:f>
      </x:c>
      <x:c r="B1240" t="str" s="2">
        <x:v>Heritage Housing of Albany</x:v>
      </x:c>
      <x:c r="C1240" t="str" s="2">
        <x:v/>
      </x:c>
      <x:c r="D1240" t="str" s="2">
        <x:v>2025551156</x:v>
      </x:c>
      <x:c r="E1240" t="str" s="2">
        <x:v>aleister2k@gmail.com</x:v>
      </x:c>
      <x:c r="F1240" t="str" s="2">
        <x:v>Website</x:v>
      </x:c>
      <x:c r="G1240" t="str" s="2">
        <x:v>Justin Johnson</x:v>
      </x:c>
      <x:c r="H1240" s="6">
        <x:v>46303.73784699074</x:v>
      </x:c>
      <x:c r="I1240" s="0"/>
      <x:c r="J1240" s="0"/>
      <x:c r="K1240" s="6">
        <x:v>46305.88656493056</x:v>
      </x:c>
      <x:c r="L1240" t="str" s="2">
        <x:v>Contacted</x:v>
      </x:c>
    </x:row>
    <x:row r="1241">
      <x:c r="A1241" t="str" s="2">
        <x:f>="Santos Gomez"</x:f>
      </x:c>
      <x:c r="B1241" t="str" s="2">
        <x:v>Heritage Housing Gainesville</x:v>
      </x:c>
      <x:c r="C1241" t="str" s="2">
        <x:v/>
      </x:c>
      <x:c r="D1241" t="str" s="2">
        <x:v>8178859094</x:v>
      </x:c>
      <x:c r="E1241" t="str" s="2">
        <x:v>sguzman1971@yahoo.com</x:v>
      </x:c>
      <x:c r="F1241" t="str" s="2">
        <x:v>Landing_BPM</x:v>
      </x:c>
      <x:c r="G1241" t="str" s="2">
        <x:v>Jeniffer Arellano</x:v>
      </x:c>
      <x:c r="H1241" s="6">
        <x:v>46303.82960096065</x:v>
      </x:c>
      <x:c r="I1241" s="0"/>
      <x:c r="J1241" s="0"/>
      <x:c r="K1241" s="6">
        <x:v>46308.708671643515</x:v>
      </x:c>
      <x:c r="L1241" t="str" s="2">
        <x:v>Contacted</x:v>
      </x:c>
    </x:row>
    <x:row r="1242">
      <x:c r="A1242" t="str" s="2">
        <x:f>="Juan Alvarez"</x:f>
      </x:c>
      <x:c r="B1242" t="str" s="2">
        <x:v>Heritage Housing Gainesville</x:v>
      </x:c>
      <x:c r="C1242" t="str" s="2">
        <x:v/>
      </x:c>
      <x:c r="D1242" t="str" s="2">
        <x:v>3613050121</x:v>
      </x:c>
      <x:c r="E1242" t="str" s="2">
        <x:v>juan6alvarez73@gmail.com</x:v>
      </x:c>
      <x:c r="F1242" t="str" s="2">
        <x:v>Youtube</x:v>
      </x:c>
      <x:c r="G1242" t="str" s="2">
        <x:v>Kelly Ford</x:v>
      </x:c>
      <x:c r="H1242" s="6">
        <x:v>46303.83347994213</x:v>
      </x:c>
      <x:c r="I1242" s="0"/>
      <x:c r="J1242" s="0"/>
      <x:c r="K1242" s="6">
        <x:v>46304.6342753125</x:v>
      </x:c>
      <x:c r="L1242" t="str" s="2">
        <x:v>Contacted</x:v>
      </x:c>
    </x:row>
    <x:row r="1243">
      <x:c r="A1243" t="str" s="2">
        <x:f>="Jessy Rangel"</x:f>
      </x:c>
      <x:c r="B1243" t="str" s="2">
        <x:v>Heritage Housing Gainesville</x:v>
      </x:c>
      <x:c r="C1243" t="str" s="2">
        <x:v/>
      </x:c>
      <x:c r="D1243" t="str" s="2">
        <x:v>2147134610</x:v>
      </x:c>
      <x:c r="E1243" t="str" s="2">
        <x:v>antoniozalazar125@gmail.com</x:v>
      </x:c>
      <x:c r="F1243" t="str" s="2">
        <x:v>Meta Ads - Forms</x:v>
      </x:c>
      <x:c r="G1243" t="str" s="2">
        <x:v>Jeniffer Arellano</x:v>
      </x:c>
      <x:c r="H1243" s="6">
        <x:v>46303.89447071759</x:v>
      </x:c>
      <x:c r="I1243" s="0"/>
      <x:c r="J1243" s="0"/>
      <x:c r="K1243" s="6">
        <x:v>46308.71045185185</x:v>
      </x:c>
      <x:c r="L1243" t="str" s="2">
        <x:v>Contacted</x:v>
      </x:c>
    </x:row>
    <x:row r="1244">
      <x:c r="A1244" t="str" s="2">
        <x:f>="Audra Eppinette"</x:f>
      </x:c>
      <x:c r="B1244" t="str" s="2">
        <x:v>Heritage Housing of Jennings</x:v>
      </x:c>
      <x:c r="C1244" t="str" s="2">
        <x:v/>
      </x:c>
      <x:c r="D1244" t="str" s="2">
        <x:v>3182970543</x:v>
      </x:c>
      <x:c r="E1244" t="str" s="2">
        <x:v>annetteeppinette@gmail.com</x:v>
      </x:c>
      <x:c r="F1244" t="str" s="2">
        <x:v>Landing_BPM</x:v>
      </x:c>
      <x:c r="G1244" t="str" s="2">
        <x:v>Clint O'Neal</x:v>
      </x:c>
      <x:c r="H1244" s="6">
        <x:v>46303.89801550926</x:v>
      </x:c>
      <x:c r="I1244" s="0"/>
      <x:c r="J1244" s="0"/>
      <x:c r="K1244" s="6">
        <x:v>46304.61370876157</x:v>
      </x:c>
      <x:c r="L1244" t="str" s="2">
        <x:v>Contacted</x:v>
      </x:c>
    </x:row>
    <x:row r="1245">
      <x:c r="A1245" t="str" s="2">
        <x:f>="pinco_exOa P_wjOaO"</x:f>
      </x:c>
      <x:c r="B1245" t="str" s="2">
        <x:v>Heritage Housing of Greenville</x:v>
      </x:c>
      <x:c r="C1245" t="str" s="2">
        <x:v/>
      </x:c>
      <x:c r="D1245" t="str" s="2">
        <x:v>9521558</x:v>
      </x:c>
      <x:c r="E1245" t="str" s="2">
        <x:v>vijqqlj@golunjd.mut</x:v>
      </x:c>
      <x:c r="F1245" t="str" s="2">
        <x:v>Website</x:v>
      </x:c>
      <x:c r="G1245" t="str" s="2">
        <x:v>Brooklynn Allen</x:v>
      </x:c>
      <x:c r="H1245" s="6">
        <x:v>46303.917356516205</x:v>
      </x:c>
      <x:c r="I1245" s="0"/>
      <x:c r="J1245" s="0"/>
      <x:c r="K1245" s="6">
        <x:v>46304.600423414355</x:v>
      </x:c>
      <x:c r="L1245" t="str" s="2">
        <x:v>Contacted</x:v>
      </x:c>
    </x:row>
    <x:row r="1246">
      <x:c r="A1246" t="str" s="2">
        <x:f>="woran_heka W_dfkaO"</x:f>
      </x:c>
      <x:c r="B1246" t="str" s="2">
        <x:v>Heritage Housing of Greenville</x:v>
      </x:c>
      <x:c r="C1246" t="str" s="2">
        <x:v/>
      </x:c>
      <x:c r="D1246" t="str" s="2">
        <x:v>4254654</x:v>
      </x:c>
      <x:c r="E1246" t="str" s="2">
        <x:v>cfmerax@xninpbp.fng</x:v>
      </x:c>
      <x:c r="F1246" t="str" s="2">
        <x:v>Website</x:v>
      </x:c>
      <x:c r="G1246" t="str" s="2">
        <x:v>Brooklynn Allen</x:v>
      </x:c>
      <x:c r="H1246" s="6">
        <x:v>46303.91735697917</x:v>
      </x:c>
      <x:c r="I1246" s="0"/>
      <x:c r="J1246" s="0"/>
      <x:c r="K1246" s="6">
        <x:v>46304.60047453704</x:v>
      </x:c>
      <x:c r="L1246" t="str" s="2">
        <x:v>Contacted</x:v>
      </x:c>
    </x:row>
    <x:row r="1247">
      <x:c r="A1247" t="str" s="2">
        <x:f>="_evrimi__emst __uwstO"</x:f>
      </x:c>
      <x:c r="B1247" t="str" s="2">
        <x:v>Heritage Housing of Greenville</x:v>
      </x:c>
      <x:c r="C1247" t="str" s="2">
        <x:v/>
      </x:c>
      <x:c r="D1247" t="str" s="2">
        <x:v>1423165</x:v>
      </x:c>
      <x:c r="E1247" t="str" s="2">
        <x:v>djeiwvl@bbpdihj.muf</x:v>
      </x:c>
      <x:c r="F1247" t="str" s="2">
        <x:v>Website</x:v>
      </x:c>
      <x:c r="G1247" t="str" s="2">
        <x:v>Brooklynn Allen</x:v>
      </x:c>
      <x:c r="H1247" s="6">
        <x:v>46303.917357060185</x:v>
      </x:c>
      <x:c r="I1247" s="0"/>
      <x:c r="J1247" s="0"/>
      <x:c r="K1247" s="6">
        <x:v>46304.60054707176</x:v>
      </x:c>
      <x:c r="L1247" t="str" s="2">
        <x:v>Contacted</x:v>
      </x:c>
    </x:row>
    <x:row r="1248">
      <x:c r="A1248" t="str" s="2">
        <x:f>="Ssndy Stone"</x:f>
      </x:c>
      <x:c r="B1248" t="str" s="2">
        <x:v>Heritage Housing of Athens</x:v>
      </x:c>
      <x:c r="C1248" t="str" s="2">
        <x:v/>
      </x:c>
      <x:c r="D1248" t="str" s="2">
        <x:v>6787656651</x:v>
      </x:c>
      <x:c r="E1248" t="str" s="2">
        <x:v>sandrafaystone4@gmail.com</x:v>
      </x:c>
      <x:c r="F1248" t="str" s="2">
        <x:v>Landing_BPM</x:v>
      </x:c>
      <x:c r="G1248" t="str" s="2">
        <x:v>Ethan Fossett</x:v>
      </x:c>
      <x:c r="H1248" s="6">
        <x:v>46303.93516755787</x:v>
      </x:c>
      <x:c r="I1248" s="0"/>
      <x:c r="J1248" s="0"/>
      <x:c r="K1248" s="6">
        <x:v>46307.92308966435</x:v>
      </x:c>
      <x:c r="L1248" t="str" s="2">
        <x:v>Contacted</x:v>
      </x:c>
    </x:row>
    <x:row r="1249">
      <x:c r="A1249" t="str" s="2">
        <x:f>=HYPERLINK("https://rsms.futurehomex.com/lead/40685", "Amie King-Neal")</x:f>
      </x:c>
      <x:c r="B1249" t="str" s="2">
        <x:v>Heritage Housing of Oklahoma City</x:v>
      </x:c>
      <x:c r="C1249" t="str" s="2">
        <x:v/>
      </x:c>
      <x:c r="D1249" t="str" s="2">
        <x:v>4057886260</x:v>
      </x:c>
      <x:c r="E1249" t="str" s="2">
        <x:v>beautifullybrokenbabe2315@gmail.com</x:v>
      </x:c>
      <x:c r="F1249" t="str" s="2">
        <x:v>Landing_BPM</x:v>
      </x:c>
      <x:c r="G1249" t="str" s="2">
        <x:v>Steve Castell</x:v>
      </x:c>
      <x:c r="H1249" s="6">
        <x:v>46303.94714690972</x:v>
      </x:c>
      <x:c r="I1249" t="str" s="2">
        <x:v>Steve Castell</x:v>
      </x:c>
      <x:c r="J1249" s="0"/>
      <x:c r="K1249" s="6">
        <x:v>46307.92126898148</x:v>
      </x:c>
      <x:c r="L1249" t="str" s="2">
        <x:v>Contacted</x:v>
      </x:c>
    </x:row>
    <x:row r="1250">
      <x:c r="A1250" t="str" s="2">
        <x:f>="Angela Goodman"</x:f>
      </x:c>
      <x:c r="B1250" t="str" s="2">
        <x:v>Heritage Housing of Asheboro</x:v>
      </x:c>
      <x:c r="C1250" t="str" s="2">
        <x:v/>
      </x:c>
      <x:c r="D1250" t="str" s="2">
        <x:v>9804654286</x:v>
      </x:c>
      <x:c r="E1250" t="str" s="2">
        <x:v>surelynotdella@gmail.com</x:v>
      </x:c>
      <x:c r="F1250" t="str" s="2">
        <x:v>Landing_BPM</x:v>
      </x:c>
      <x:c r="G1250" t="str" s="2">
        <x:v>Joe Lopez</x:v>
      </x:c>
      <x:c r="H1250" s="6">
        <x:v>46304.10662658565</x:v>
      </x:c>
      <x:c r="I1250" s="0"/>
      <x:c r="J1250" s="0"/>
      <x:c r="K1250" s="6">
        <x:v>46304.7899065625</x:v>
      </x:c>
      <x:c r="L1250" t="str" s="2">
        <x:v>Contacted</x:v>
      </x:c>
    </x:row>
    <x:row r="1251">
      <x:c r="A1251" t="str" s="2">
        <x:f>="jimmie mckinnon"</x:f>
      </x:c>
      <x:c r="B1251" t="str" s="2">
        <x:v>Heritage Housing of Albany</x:v>
      </x:c>
      <x:c r="C1251" t="str" s="2">
        <x:v/>
      </x:c>
      <x:c r="D1251" t="str" s="2">
        <x:v>4705512068</x:v>
      </x:c>
      <x:c r="E1251" t="str" s="2">
        <x:v>jmckinnon25@gmail.com</x:v>
      </x:c>
      <x:c r="F1251" t="str" s="2">
        <x:v>Landing_BPM</x:v>
      </x:c>
      <x:c r="G1251" t="str" s="2">
        <x:v>Justin Johnson</x:v>
      </x:c>
      <x:c r="H1251" s="6">
        <x:v>46304.13061836806</x:v>
      </x:c>
      <x:c r="I1251" s="0"/>
      <x:c r="J1251" s="0"/>
      <x:c r="K1251" s="6">
        <x:v>46305.88569502315</x:v>
      </x:c>
      <x:c r="L1251" t="str" s="2">
        <x:v>Contacted</x:v>
      </x:c>
    </x:row>
    <x:row r="1252">
      <x:c r="A1252" t="str" s="2">
        <x:f>="Viridiana vera"</x:f>
      </x:c>
      <x:c r="B1252" t="str" s="2">
        <x:v>Heritage Housing Gainesville</x:v>
      </x:c>
      <x:c r="C1252" t="str" s="2">
        <x:v/>
      </x:c>
      <x:c r="D1252" t="str" s="2">
        <x:v>6824325301</x:v>
      </x:c>
      <x:c r="E1252" t="str" s="2">
        <x:v>virivera076@gmail.com</x:v>
      </x:c>
      <x:c r="F1252" t="str" s="2">
        <x:v>Meta Ads - Forms</x:v>
      </x:c>
      <x:c r="G1252" t="str" s="2">
        <x:v>Kelly Ford</x:v>
      </x:c>
      <x:c r="H1252" s="6">
        <x:v>46304.13173472222</x:v>
      </x:c>
      <x:c r="I1252" s="0"/>
      <x:c r="J1252" s="0"/>
      <x:c r="K1252" s="6">
        <x:v>46304.612887766205</x:v>
      </x:c>
      <x:c r="L1252" t="str" s="2">
        <x:v>Contacted</x:v>
      </x:c>
    </x:row>
    <x:row r="1253">
      <x:c r="A1253" t="str" s="2">
        <x:f>="wanda Gambrel"</x:f>
      </x:c>
      <x:c r="B1253" t="str" s="2">
        <x:v>Heritage Housing of Greenville</x:v>
      </x:c>
      <x:c r="C1253" t="str" s="2">
        <x:v/>
      </x:c>
      <x:c r="D1253" t="str" s="2">
        <x:v>9036689188</x:v>
      </x:c>
      <x:c r="E1253" t="str" s="2">
        <x:v>Gambrelwanda01@gmail.com</x:v>
      </x:c>
      <x:c r="F1253" t="str" s="2">
        <x:v>Landing_BPM</x:v>
      </x:c>
      <x:c r="G1253" t="str" s="2">
        <x:v>Brooklynn Allen</x:v>
      </x:c>
      <x:c r="H1253" s="6">
        <x:v>46304.22016423611</x:v>
      </x:c>
      <x:c r="I1253" s="0"/>
      <x:c r="J1253" s="0"/>
      <x:c r="K1253" s="6">
        <x:v>46304.601800543984</x:v>
      </x:c>
      <x:c r="L1253" t="str" s="2">
        <x:v>Contacted</x:v>
      </x:c>
    </x:row>
    <x:row r="1254">
      <x:c r="A1254" t="str" s="2">
        <x:f>="Robertrer GabrielrerGM"</x:f>
      </x:c>
      <x:c r="B1254" t="str" s="2">
        <x:v>Heritage Housing of Greenville</x:v>
      </x:c>
      <x:c r="C1254" t="str" s="2">
        <x:v/>
      </x:c>
      <x:c r="D1254" t="str" s="2">
        <x:v>89996848971</x:v>
      </x:c>
      <x:c r="E1254" t="str" s="2">
        <x:v>kgoniti@qekufti.unp</x:v>
      </x:c>
      <x:c r="F1254" t="str" s="2">
        <x:v>Website</x:v>
      </x:c>
      <x:c r="G1254" t="str" s="2">
        <x:v>Brooklynn Allen</x:v>
      </x:c>
      <x:c r="H1254" s="6">
        <x:v>46304.28705107639</x:v>
      </x:c>
      <x:c r="I1254" s="0"/>
      <x:c r="J1254" s="0"/>
      <x:c r="K1254" s="6">
        <x:v>46304.6019846875</x:v>
      </x:c>
      <x:c r="L1254" t="str" s="2">
        <x:v>Contacted</x:v>
      </x:c>
    </x:row>
    <x:row r="1255">
      <x:c r="A1255" t="str" s="2">
        <x:f>="LeeAnn Fontenot"</x:f>
      </x:c>
      <x:c r="B1255" t="str" s="2">
        <x:v>Heritage Housing of Jennings</x:v>
      </x:c>
      <x:c r="C1255" t="str" s="2">
        <x:v/>
      </x:c>
      <x:c r="D1255" t="str" s="2">
        <x:v>3377895609</x:v>
      </x:c>
      <x:c r="E1255" t="str" s="2">
        <x:v>leeann.fontenot1@gmail.com</x:v>
      </x:c>
      <x:c r="F1255" t="str" s="2">
        <x:v>Landing_BPM</x:v>
      </x:c>
      <x:c r="G1255" t="str" s="2">
        <x:v>Mervin Leslie Smith</x:v>
      </x:c>
      <x:c r="H1255" s="6">
        <x:v>46304.28931172454</x:v>
      </x:c>
      <x:c r="I1255" s="0"/>
      <x:c r="J1255" s="0"/>
      <x:c r="K1255" s="6">
        <x:v>46304.76698032407</x:v>
      </x:c>
      <x:c r="L1255" t="str" s="2">
        <x:v>Contacted</x:v>
      </x:c>
    </x:row>
    <x:row r="1256">
      <x:c r="A1256" t="str" s="2">
        <x:f>="Audrey Hays"</x:f>
      </x:c>
      <x:c r="B1256" t="str" s="2">
        <x:v>Heritage Housing of Minden</x:v>
      </x:c>
      <x:c r="C1256" t="str" s="2">
        <x:v>1/1</x:v>
      </x:c>
      <x:c r="D1256" t="str" s="2">
        <x:v>3187068280</x:v>
      </x:c>
      <x:c r="E1256" t="str" s="2">
        <x:v>audreyhays0318@gmail.com</x:v>
      </x:c>
      <x:c r="F1256" t="str" s="2">
        <x:v>Landing_BPM</x:v>
      </x:c>
      <x:c r="G1256" t="str" s="2">
        <x:v>Patrick Schuchart</x:v>
      </x:c>
      <x:c r="H1256" s="6">
        <x:v>46304.39676431713</x:v>
      </x:c>
      <x:c r="I1256" s="0"/>
      <x:c r="J1256" s="0"/>
      <x:c r="K1256" s="6">
        <x:v>46305.75824771991</x:v>
      </x:c>
      <x:c r="L1256" t="str" s="2">
        <x:v>Contacted</x:v>
      </x:c>
    </x:row>
    <x:row r="1257">
      <x:c r="A1257" t="str" s="2">
        <x:f>="Alisa Bryant"</x:f>
      </x:c>
      <x:c r="B1257" t="str" s="2">
        <x:v>Heritage Housing of Greenville</x:v>
      </x:c>
      <x:c r="C1257" t="str" s="2">
        <x:v/>
      </x:c>
      <x:c r="D1257" t="str" s="2">
        <x:v>9032682687</x:v>
      </x:c>
      <x:c r="E1257" t="str" s="2">
        <x:v>gage122102@gmail.com</x:v>
      </x:c>
      <x:c r="F1257" t="str" s="2">
        <x:v>LandingPage</x:v>
      </x:c>
      <x:c r="G1257" t="str" s="2">
        <x:v>Brooklynn Allen</x:v>
      </x:c>
      <x:c r="H1257" s="6">
        <x:v>46304.45625196759</x:v>
      </x:c>
      <x:c r="I1257" s="0"/>
      <x:c r="J1257" s="0"/>
      <x:c r="K1257" s="6">
        <x:v>46304.602166550925</x:v>
      </x:c>
      <x:c r="L1257" t="str" s="2">
        <x:v>Contacted</x:v>
      </x:c>
    </x:row>
    <x:row r="1258">
      <x:c r="A1258" t="str" s="2">
        <x:f>="Madelyn Ray"</x:f>
      </x:c>
      <x:c r="B1258" t="str" s="2">
        <x:v>Heritage Housing of Asheboro</x:v>
      </x:c>
      <x:c r="C1258" t="str" s="2">
        <x:v/>
      </x:c>
      <x:c r="D1258" t="str" s="2">
        <x:v>2762350736</x:v>
      </x:c>
      <x:c r="E1258" t="str" s="2">
        <x:v>leannray23@gmail.com</x:v>
      </x:c>
      <x:c r="F1258" t="str" s="2">
        <x:v>Landing_BPM</x:v>
      </x:c>
      <x:c r="G1258" t="str" s="2">
        <x:v>Joe Lopez</x:v>
      </x:c>
      <x:c r="H1258" s="6">
        <x:v>46304.59214556713</x:v>
      </x:c>
      <x:c r="I1258" s="0"/>
      <x:c r="J1258" s="0"/>
      <x:c r="K1258" s="6">
        <x:v>46304.796685104164</x:v>
      </x:c>
      <x:c r="L1258" t="str" s="2">
        <x:v>Contacted</x:v>
      </x:c>
    </x:row>
    <x:row r="1259">
      <x:c r="A1259" t="str" s="2">
        <x:f>="Roxana Raudales"</x:f>
      </x:c>
      <x:c r="B1259" t="str" s="2">
        <x:v>Heritage Housing of Asheboro</x:v>
      </x:c>
      <x:c r="C1259" t="str" s="2">
        <x:v/>
      </x:c>
      <x:c r="D1259" t="str" s="2">
        <x:v>7044910879</x:v>
      </x:c>
      <x:c r="E1259" t="str" s="2">
        <x:v>roxyzuniga05@gmail.com</x:v>
      </x:c>
      <x:c r="F1259" t="str" s="2">
        <x:v>Meta Ads - Forms</x:v>
      </x:c>
      <x:c r="G1259" t="str" s="2">
        <x:v>Kate Gutierrez</x:v>
      </x:c>
      <x:c r="H1259" s="6">
        <x:v>46304.60393576389</x:v>
      </x:c>
      <x:c r="I1259" s="0"/>
      <x:c r="J1259" s="0"/>
      <x:c r="K1259" s="6">
        <x:v>46304.7459321412</x:v>
      </x:c>
      <x:c r="L1259" t="str" s="2">
        <x:v>Contacted</x:v>
      </x:c>
    </x:row>
    <x:row r="1260">
      <x:c r="A1260" t="str" s="2">
        <x:f>="Patricia Merritt"</x:f>
      </x:c>
      <x:c r="B1260" t="str" s="2">
        <x:v>Heritage Housing of Athens</x:v>
      </x:c>
      <x:c r="C1260" t="str" s="2">
        <x:v/>
      </x:c>
      <x:c r="D1260" t="str" s="2">
        <x:v>4705868615</x:v>
      </x:c>
      <x:c r="E1260" t="str" s="2">
        <x:v>patmerritt37@yahoo.com</x:v>
      </x:c>
      <x:c r="F1260" t="str" s="2">
        <x:v>Landing_BPM</x:v>
      </x:c>
      <x:c r="G1260" t="str" s="2">
        <x:v>Nathan Bishop</x:v>
      </x:c>
      <x:c r="H1260" s="6">
        <x:v>46304.63437056713</x:v>
      </x:c>
      <x:c r="I1260" s="0"/>
      <x:c r="J1260" s="0"/>
      <x:c r="K1260" s="6">
        <x:v>46304.83318695602</x:v>
      </x:c>
      <x:c r="L1260" t="str" s="2">
        <x:v>Contacted</x:v>
      </x:c>
    </x:row>
    <x:row r="1261">
      <x:c r="A1261" t="str" s="2">
        <x:f>="melissa ellis"</x:f>
      </x:c>
      <x:c r="B1261" t="str" s="2">
        <x:v>Heritage Housing Mt Pleasant</x:v>
      </x:c>
      <x:c r="C1261" t="str" s="2">
        <x:v/>
      </x:c>
      <x:c r="D1261" t="str" s="2">
        <x:v>90353795</x:v>
      </x:c>
      <x:c r="E1261" t="str" s="2">
        <x:v>gothredneck@gmail.com</x:v>
      </x:c>
      <x:c r="F1261" t="str" s="2">
        <x:v>Landing_BPM</x:v>
      </x:c>
      <x:c r="G1261" t="str" s="2">
        <x:v>Elias Gallardo</x:v>
      </x:c>
      <x:c r="H1261" s="6">
        <x:v>46304.6530815625</x:v>
      </x:c>
      <x:c r="I1261" s="0"/>
      <x:c r="J1261" s="0"/>
      <x:c r="K1261" s="6">
        <x:v>46305.672182372684</x:v>
      </x:c>
      <x:c r="L1261" t="str" s="2">
        <x:v>Contacted</x:v>
      </x:c>
    </x:row>
    <x:row r="1262">
      <x:c r="A1262" t="str" s="2">
        <x:f>="Marshalla Robinson"</x:f>
      </x:c>
      <x:c r="B1262" t="str" s="2">
        <x:v>Heritage Housing Marble Falls</x:v>
      </x:c>
      <x:c r="C1262" t="str" s="2">
        <x:v/>
      </x:c>
      <x:c r="D1262" t="str" s="2">
        <x:v>2544932342</x:v>
      </x:c>
      <x:c r="E1262" t="str" s="2">
        <x:v>marshallar25@gmail.com</x:v>
      </x:c>
      <x:c r="F1262" t="str" s="2">
        <x:v>Landing_BPM</x:v>
      </x:c>
      <x:c r="G1262" t="str" s="2">
        <x:v>Stephen Sanders</x:v>
      </x:c>
      <x:c r="H1262" s="6">
        <x:v>46304.65515659722</x:v>
      </x:c>
      <x:c r="I1262" s="0"/>
      <x:c r="J1262" s="0"/>
      <x:c r="K1262" s="6">
        <x:v>46304.66103376157</x:v>
      </x:c>
      <x:c r="L1262" t="str" s="2">
        <x:v>Contacted</x:v>
      </x:c>
    </x:row>
    <x:row r="1263">
      <x:c r="A1263" t="str" s="2">
        <x:f>="Ashae Tackno"</x:f>
      </x:c>
      <x:c r="B1263" t="str" s="2">
        <x:v>Heritage Housing of Jennings</x:v>
      </x:c>
      <x:c r="C1263" t="str" s="2">
        <x:v/>
      </x:c>
      <x:c r="D1263" t="str" s="2">
        <x:v>2257763088</x:v>
      </x:c>
      <x:c r="E1263" t="str" s="2">
        <x:v>ashaekeys29@gmail.com</x:v>
      </x:c>
      <x:c r="F1263" t="str" s="2">
        <x:v>Landing_BPM</x:v>
      </x:c>
      <x:c r="G1263" t="str" s="2">
        <x:v>Clint O'Neal</x:v>
      </x:c>
      <x:c r="H1263" s="6">
        <x:v>46304.70357480324</x:v>
      </x:c>
      <x:c r="I1263" s="0"/>
      <x:c r="J1263" s="0"/>
      <x:c r="K1263" s="6">
        <x:v>46304.77148869213</x:v>
      </x:c>
      <x:c r="L1263" t="str" s="2">
        <x:v>Contacted</x:v>
      </x:c>
    </x:row>
    <x:row r="1264">
      <x:c r="A1264" t="str" s="2">
        <x:f>="Wendy Johnson-Noble"</x:f>
      </x:c>
      <x:c r="B1264" t="str" s="2">
        <x:v>Heritage Housing of Albany</x:v>
      </x:c>
      <x:c r="C1264" t="str" s="2">
        <x:v/>
      </x:c>
      <x:c r="D1264" t="str" s="2">
        <x:v>8608822059</x:v>
      </x:c>
      <x:c r="E1264" t="str" s="2">
        <x:v>johnsonnoblew@gmail.com</x:v>
      </x:c>
      <x:c r="F1264" t="str" s="2">
        <x:v>Website</x:v>
      </x:c>
      <x:c r="G1264" t="str" s="2">
        <x:v>Justin Johnson</x:v>
      </x:c>
      <x:c r="H1264" s="6">
        <x:v>46304.71586049769</x:v>
      </x:c>
      <x:c r="I1264" s="0"/>
      <x:c r="J1264" s="0"/>
      <x:c r="K1264" s="6">
        <x:v>46305.885091400465</x:v>
      </x:c>
      <x:c r="L1264" t="str" s="2">
        <x:v>Contacted</x:v>
      </x:c>
    </x:row>
    <x:row r="1265">
      <x:c r="A1265" t="str" s="2">
        <x:f>="Torie Ortiz"</x:f>
      </x:c>
      <x:c r="B1265" t="str" s="2">
        <x:v>Heritage Housing Gainesville</x:v>
      </x:c>
      <x:c r="C1265" t="str" s="2">
        <x:v/>
      </x:c>
      <x:c r="D1265" t="str" s="2">
        <x:v>5802774175</x:v>
      </x:c>
      <x:c r="E1265" t="str" s="2">
        <x:v>Tinkertorie@gmail.com</x:v>
      </x:c>
      <x:c r="F1265" t="str" s="2">
        <x:v>Landing_BPM</x:v>
      </x:c>
      <x:c r="G1265" t="str" s="2">
        <x:v>Jeniffer Arellano</x:v>
      </x:c>
      <x:c r="H1265" s="6">
        <x:v>46304.72828283565</x:v>
      </x:c>
      <x:c r="I1265" s="0"/>
      <x:c r="J1265" s="0"/>
      <x:c r="K1265" s="6">
        <x:v>46308.687960034724</x:v>
      </x:c>
      <x:c r="L1265" t="str" s="2">
        <x:v>Contacted</x:v>
      </x:c>
    </x:row>
    <x:row r="1266">
      <x:c r="A1266" t="str" s="2">
        <x:f>="Jenny McLean"</x:f>
      </x:c>
      <x:c r="B1266" t="str" s="2">
        <x:v>Heritage Housing of Greenville</x:v>
      </x:c>
      <x:c r="C1266" t="str" s="2">
        <x:v/>
      </x:c>
      <x:c r="D1266" t="str" s="2">
        <x:v>2142136181</x:v>
      </x:c>
      <x:c r="E1266" t="str" s="2">
        <x:v>bedazzled.jenny@gmail.com</x:v>
      </x:c>
      <x:c r="F1266" t="str" s="2">
        <x:v>Financing Form</x:v>
      </x:c>
      <x:c r="G1266" t="str" s="2">
        <x:v>Ana Garcia</x:v>
      </x:c>
      <x:c r="H1266" s="6">
        <x:v>46304.74945153935</x:v>
      </x:c>
      <x:c r="I1266" s="0"/>
      <x:c r="J1266" s="0"/>
      <x:c r="K1266" s="6">
        <x:v>46307.540098032405</x:v>
      </x:c>
      <x:c r="L1266" t="str" s="2">
        <x:v>Contacted</x:v>
      </x:c>
    </x:row>
    <x:row r="1267">
      <x:c r="A1267" t="str" s="2">
        <x:f>="Pamela Bell Bell"</x:f>
      </x:c>
      <x:c r="B1267" t="str" s="2">
        <x:v>Heritage Housing of Albany</x:v>
      </x:c>
      <x:c r="C1267" t="str" s="2">
        <x:v/>
      </x:c>
      <x:c r="D1267" t="str" s="2">
        <x:v>3214584397</x:v>
      </x:c>
      <x:c r="E1267" t="str" s="2">
        <x:v>pamelabell80@gmail.com</x:v>
      </x:c>
      <x:c r="F1267" t="str" s="2">
        <x:v>Landing_BPM</x:v>
      </x:c>
      <x:c r="G1267" t="str" s="2">
        <x:v>Justin Johnson</x:v>
      </x:c>
      <x:c r="H1267" s="6">
        <x:v>46304.87272299769</x:v>
      </x:c>
      <x:c r="I1267" s="0"/>
      <x:c r="J1267" s="0"/>
      <x:c r="K1267" s="6">
        <x:v>46305.88410841435</x:v>
      </x:c>
      <x:c r="L1267" t="str" s="2">
        <x:v>Contacted</x:v>
      </x:c>
    </x:row>
    <x:row r="1268">
      <x:c r="A1268" t="str" s="2">
        <x:f>="Emily Chen"</x:f>
      </x:c>
      <x:c r="B1268" t="str" s="2">
        <x:v>Heritage Housing of Albany</x:v>
      </x:c>
      <x:c r="C1268" t="str" s="2">
        <x:v/>
      </x:c>
      <x:c r="D1268" t="str" s="2">
        <x:v>347-555-0183</x:v>
      </x:c>
      <x:c r="E1268" t="str" s="2">
        <x:v>emily.chen.us.mock@gmail.com</x:v>
      </x:c>
      <x:c r="F1268" t="str" s="2">
        <x:v>Financing Form</x:v>
      </x:c>
      <x:c r="G1268" t="str" s="2">
        <x:v>Justin Johnson</x:v>
      </x:c>
      <x:c r="H1268" s="6">
        <x:v>46304.91315471065</x:v>
      </x:c>
      <x:c r="I1268" s="0"/>
      <x:c r="J1268" s="0"/>
      <x:c r="K1268" s="6">
        <x:v>46305.87800586806</x:v>
      </x:c>
      <x:c r="L1268" t="str" s="2">
        <x:v>Contacted</x:v>
      </x:c>
    </x:row>
    <x:row r="1269">
      <x:c r="A1269" t="str" s="2">
        <x:f>="Gloria Moore"</x:f>
      </x:c>
      <x:c r="B1269" t="str" s="2">
        <x:v>Heritage Housing of Greenville</x:v>
      </x:c>
      <x:c r="C1269" t="str" s="2">
        <x:v/>
      </x:c>
      <x:c r="D1269" t="str" s="2">
        <x:v>2145056863</x:v>
      </x:c>
      <x:c r="E1269" t="str" s="2">
        <x:v>ghardym@gmail.com</x:v>
      </x:c>
      <x:c r="F1269" t="str" s="2">
        <x:v>Website</x:v>
      </x:c>
      <x:c r="G1269" t="str" s="2">
        <x:v>Brooklynn Allen</x:v>
      </x:c>
      <x:c r="H1269" s="6">
        <x:v>46304.919242094904</x:v>
      </x:c>
      <x:c r="I1269" s="0"/>
      <x:c r="J1269" s="0"/>
      <x:c r="K1269" s="6">
        <x:v>46307.592266747684</x:v>
      </x:c>
      <x:c r="L1269" t="str" s="2">
        <x:v>Contacted</x:v>
      </x:c>
    </x:row>
    <x:row r="1270">
      <x:c r="A1270" t="str" s="2">
        <x:f>="Raleigh Thomas"</x:f>
      </x:c>
      <x:c r="B1270" t="str" s="2">
        <x:v>Heritage Housing of Minden</x:v>
      </x:c>
      <x:c r="C1270" t="str" s="2">
        <x:v>1/1</x:v>
      </x:c>
      <x:c r="D1270" t="str" s="2">
        <x:v>3186056851</x:v>
      </x:c>
      <x:c r="E1270" t="str" s="2">
        <x:v>raleigh.c.t@gmail.com</x:v>
      </x:c>
      <x:c r="F1270" t="str" s="2">
        <x:v>Landing_BPM</x:v>
      </x:c>
      <x:c r="G1270" t="str" s="2">
        <x:v>Patrick Schuchart</x:v>
      </x:c>
      <x:c r="H1270" s="6">
        <x:v>46304.919874618055</x:v>
      </x:c>
      <x:c r="I1270" s="0"/>
      <x:c r="J1270" s="0"/>
      <x:c r="K1270" s="6">
        <x:v>46305.7553602662</x:v>
      </x:c>
      <x:c r="L1270" t="str" s="2">
        <x:v>Contacted</x:v>
      </x:c>
    </x:row>
    <x:row r="1271">
      <x:c r="A1271" t="str" s="2">
        <x:f>="Eva Patterson"</x:f>
      </x:c>
      <x:c r="B1271" t="str" s="2">
        <x:v>Heritage Housing of Minden</x:v>
      </x:c>
      <x:c r="C1271" t="str" s="2">
        <x:v>1/1</x:v>
      </x:c>
      <x:c r="D1271" t="str" s="2">
        <x:v>3183329854</x:v>
      </x:c>
      <x:c r="E1271" t="str" s="2">
        <x:v>pattersoneva10@gmail.com</x:v>
      </x:c>
      <x:c r="F1271" t="str" s="2">
        <x:v>Landing_BPM</x:v>
      </x:c>
      <x:c r="G1271" t="str" s="2">
        <x:v>Kyla Brown</x:v>
      </x:c>
      <x:c r="H1271" s="6">
        <x:v>46304.9498378125</x:v>
      </x:c>
      <x:c r="I1271" s="0"/>
      <x:c r="J1271" s="0"/>
      <x:c r="K1271" s="6">
        <x:v>46305.754605636575</x:v>
      </x:c>
      <x:c r="L1271" t="str" s="2">
        <x:v>Contacted</x:v>
      </x:c>
    </x:row>
    <x:row r="1272">
      <x:c r="A1272" t="str" s="2">
        <x:f>="Cvety_rxKt C_pvKtO"</x:f>
      </x:c>
      <x:c r="B1272" t="str" s="2">
        <x:v>Heritage Housing of Greenville</x:v>
      </x:c>
      <x:c r="C1272" t="str" s="2">
        <x:v/>
      </x:c>
      <x:c r="D1272" t="str" s="2">
        <x:v>5615276</x:v>
      </x:c>
      <x:c r="E1272" t="str" s="2">
        <x:v>tkkgsae@invlvbp.tus</x:v>
      </x:c>
      <x:c r="F1272" t="str" s="2">
        <x:v>Website</x:v>
      </x:c>
      <x:c r="G1272" t="str" s="2">
        <x:v>Ana Garcia</x:v>
      </x:c>
      <x:c r="H1272" s="6">
        <x:v>46305.041360069445</x:v>
      </x:c>
      <x:c r="I1272" s="0"/>
      <x:c r="J1272" s="0"/>
      <x:c r="K1272" s="6">
        <x:v>46307.54018491898</x:v>
      </x:c>
      <x:c r="L1272" t="str" s="2">
        <x:v>Contacted</x:v>
      </x:c>
    </x:row>
    <x:row r="1273">
      <x:c r="A1273" t="str" s="2">
        <x:f>="Johnny Hastings"</x:f>
      </x:c>
      <x:c r="B1273" t="str" s="2">
        <x:v>Heritage Housing of Asheboro</x:v>
      </x:c>
      <x:c r="C1273" t="str" s="2">
        <x:v/>
      </x:c>
      <x:c r="D1273" t="str" s="2">
        <x:v>9806353690</x:v>
      </x:c>
      <x:c r="E1273" t="str" s="2">
        <x:v>johnnylee.hastings@yahoo.com</x:v>
      </x:c>
      <x:c r="F1273" t="str" s="2">
        <x:v>Landing_BPM</x:v>
      </x:c>
      <x:c r="G1273" t="str" s="2">
        <x:v>Kate Gutierrez</x:v>
      </x:c>
      <x:c r="H1273" s="6">
        <x:v>46305.511222719906</x:v>
      </x:c>
      <x:c r="I1273" s="0"/>
      <x:c r="J1273" s="0"/>
      <x:c r="K1273" s="6">
        <x:v>46305.5449184375</x:v>
      </x:c>
      <x:c r="L1273" t="str" s="2">
        <x:v>Contacted</x:v>
      </x:c>
    </x:row>
    <x:row r="1274">
      <x:c r="A1274" t="str" s="2">
        <x:f>="William Teague"</x:f>
      </x:c>
      <x:c r="B1274" t="str" s="2">
        <x:v>Heritage Housing of Minden</x:v>
      </x:c>
      <x:c r="C1274" t="str" s="2">
        <x:v>1/1</x:v>
      </x:c>
      <x:c r="D1274" t="str" s="2">
        <x:v>8705572836</x:v>
      </x:c>
      <x:c r="E1274" t="str" s="2">
        <x:v>Berad2012@gmail.com</x:v>
      </x:c>
      <x:c r="F1274" t="str" s="2">
        <x:v>Landing_BPM</x:v>
      </x:c>
      <x:c r="G1274" t="str" s="2">
        <x:v>Patrick Schuchart</x:v>
      </x:c>
      <x:c r="H1274" s="6">
        <x:v>46305.68624753472</x:v>
      </x:c>
      <x:c r="I1274" s="0"/>
      <x:c r="J1274" s="0"/>
      <x:c r="K1274" s="6">
        <x:v>46305.7511184375</x:v>
      </x:c>
      <x:c r="L1274" t="str" s="2">
        <x:v>Contacted</x:v>
      </x:c>
    </x:row>
    <x:row r="1275">
      <x:c r="A1275" t="str" s="2">
        <x:f>="Julieta Dayer"</x:f>
      </x:c>
      <x:c r="B1275" t="str" s="2">
        <x:v>Heritage Housing of Greenville</x:v>
      </x:c>
      <x:c r="C1275" t="str" s="2">
        <x:v/>
      </x:c>
      <x:c r="D1275" t="str" s="2">
        <x:v>9154005025</x:v>
      </x:c>
      <x:c r="E1275" t="str" s="2">
        <x:v>dayro_1403@yahoo.com</x:v>
      </x:c>
      <x:c r="F1275" t="str" s="2">
        <x:v>Meta Ads - Forms</x:v>
      </x:c>
      <x:c r="G1275" t="str" s="2">
        <x:v>Ana Garcia</x:v>
      </x:c>
      <x:c r="H1275" s="6">
        <x:v>46305.69934236111</x:v>
      </x:c>
      <x:c r="I1275" s="0"/>
      <x:c r="J1275" s="0"/>
      <x:c r="K1275" s="6">
        <x:v>46307.54024887732</x:v>
      </x:c>
      <x:c r="L1275" t="str" s="2">
        <x:v>Contacted</x:v>
      </x:c>
    </x:row>
    <x:row r="1276">
      <x:c r="A1276" t="str" s="2">
        <x:f>="Nichole Jones"</x:f>
      </x:c>
      <x:c r="B1276" t="str" s="2">
        <x:v>Heritage Housing of Greenville</x:v>
      </x:c>
      <x:c r="C1276" t="str" s="2">
        <x:v/>
      </x:c>
      <x:c r="D1276" t="str" s="2">
        <x:v>8173712838</x:v>
      </x:c>
      <x:c r="E1276" t="str" s="2">
        <x:v>nikenj.79@gmail.com</x:v>
      </x:c>
      <x:c r="F1276" t="str" s="2">
        <x:v>Website</x:v>
      </x:c>
      <x:c r="G1276" t="str" s="2">
        <x:v>Brooklynn Allen</x:v>
      </x:c>
      <x:c r="H1276" s="6">
        <x:v>46305.710005092595</x:v>
      </x:c>
      <x:c r="I1276" s="0"/>
      <x:c r="J1276" s="0"/>
      <x:c r="K1276" s="6">
        <x:v>46307.59256975695</x:v>
      </x:c>
      <x:c r="L1276" t="str" s="2">
        <x:v>Contacted</x:v>
      </x:c>
    </x:row>
    <x:row r="1277">
      <x:c r="A1277" t="str" s="2">
        <x:f>="Tommy Holloway"</x:f>
      </x:c>
      <x:c r="B1277" t="str" s="2">
        <x:v>Heritage Housing of Jennings</x:v>
      </x:c>
      <x:c r="C1277" t="str" s="2">
        <x:v/>
      </x:c>
      <x:c r="D1277" t="str" s="2">
        <x:v>3372554041</x:v>
      </x:c>
      <x:c r="E1277" t="str" s="2">
        <x:v>lokuttinup@gmail.com</x:v>
      </x:c>
      <x:c r="F1277" t="str" s="2">
        <x:v>Financing Form</x:v>
      </x:c>
      <x:c r="G1277" t="str" s="2">
        <x:v>Mervin Leslie Smith</x:v>
      </x:c>
      <x:c r="H1277" s="6">
        <x:v>46305.75284417824</x:v>
      </x:c>
      <x:c r="I1277" s="0"/>
      <x:c r="J1277" s="0"/>
      <x:c r="K1277" s="6">
        <x:v>46305.804776770834</x:v>
      </x:c>
      <x:c r="L1277" t="str" s="2">
        <x:v>Contacted</x:v>
      </x:c>
    </x:row>
    <x:row r="1278">
      <x:c r="A1278" t="str" s="2">
        <x:f>="Connie LaGars"</x:f>
      </x:c>
      <x:c r="B1278" t="str" s="2">
        <x:v>Heritage Housing of Minden</x:v>
      </x:c>
      <x:c r="C1278" t="str" s="2">
        <x:v>1/1</x:v>
      </x:c>
      <x:c r="D1278" t="str" s="2">
        <x:v>3186759245</x:v>
      </x:c>
      <x:c r="E1278" t="str" s="2">
        <x:v>clagars@bellsouth.net</x:v>
      </x:c>
      <x:c r="F1278" t="str" s="2">
        <x:v>Landing_BPM</x:v>
      </x:c>
      <x:c r="G1278" t="str" s="2">
        <x:v>Kyla Brown</x:v>
      </x:c>
      <x:c r="H1278" s="6">
        <x:v>46305.83419884259</x:v>
      </x:c>
      <x:c r="I1278" s="0"/>
      <x:c r="J1278" s="0"/>
      <x:c r="K1278" s="6">
        <x:v>46305.906406712966</x:v>
      </x:c>
      <x:c r="L1278" t="str" s="2">
        <x:v>Contacted</x:v>
      </x:c>
    </x:row>
    <x:row r="1279">
      <x:c r="A1279" t="str" s="2">
        <x:f>="Kashara Rhynes"</x:f>
      </x:c>
      <x:c r="B1279" t="str" s="2">
        <x:v>Heritage Housing of Greenville</x:v>
      </x:c>
      <x:c r="C1279" t="str" s="2">
        <x:v/>
      </x:c>
      <x:c r="D1279" t="str" s="2">
        <x:v>2142511107</x:v>
      </x:c>
      <x:c r="E1279" t="str" s="2">
        <x:v>Kashara903@gmail.com</x:v>
      </x:c>
      <x:c r="F1279" t="str" s="2">
        <x:v>Landing_BPM</x:v>
      </x:c>
      <x:c r="G1279" t="str" s="2">
        <x:v>Brooklynn Allen</x:v>
      </x:c>
      <x:c r="H1279" s="6">
        <x:v>46306.044857141205</x:v>
      </x:c>
      <x:c r="I1279" s="0"/>
      <x:c r="J1279" s="0"/>
      <x:c r="K1279" s="6">
        <x:v>46307.59266527778</x:v>
      </x:c>
      <x:c r="L1279" t="str" s="2">
        <x:v>Contacted</x:v>
      </x:c>
    </x:row>
    <x:row r="1280">
      <x:c r="A1280" t="str" s="2">
        <x:f>="Dylan Dunkirk"</x:f>
      </x:c>
      <x:c r="B1280" t="str" s="2">
        <x:v>Heritage Housing of Greenville</x:v>
      </x:c>
      <x:c r="C1280" t="str" s="2">
        <x:v/>
      </x:c>
      <x:c r="D1280" t="str" s="2">
        <x:v>9253823757</x:v>
      </x:c>
      <x:c r="E1280" t="str" s="2">
        <x:v>Dylan.Dunkirk@gmail.com</x:v>
      </x:c>
      <x:c r="F1280" t="str" s="2">
        <x:v>Financing Form</x:v>
      </x:c>
      <x:c r="G1280" t="str" s="2">
        <x:v>Ana Garcia</x:v>
      </x:c>
      <x:c r="H1280" s="6">
        <x:v>46306.10081859954</x:v>
      </x:c>
      <x:c r="I1280" s="0"/>
      <x:c r="J1280" s="0"/>
      <x:c r="K1280" s="6">
        <x:v>46307.540350462965</x:v>
      </x:c>
      <x:c r="L1280" t="str" s="2">
        <x:v>Contacted</x:v>
      </x:c>
    </x:row>
    <x:row r="1281">
      <x:c r="A1281" t="str" s="2">
        <x:f>="Brian Robinson"</x:f>
      </x:c>
      <x:c r="B1281" t="str" s="2">
        <x:v>Heritage Housing of Minden</x:v>
      </x:c>
      <x:c r="C1281" t="str" s="2">
        <x:v>1/1</x:v>
      </x:c>
      <x:c r="D1281" t="str" s="2">
        <x:v>3185070411</x:v>
      </x:c>
      <x:c r="E1281" t="str" s="2">
        <x:v>brianrobin458@gmail.com</x:v>
      </x:c>
      <x:c r="F1281" t="str" s="2">
        <x:v>Landing_BPM</x:v>
      </x:c>
      <x:c r="G1281" t="str" s="2">
        <x:v>Patrick Schuchart</x:v>
      </x:c>
      <x:c r="H1281" s="6">
        <x:v>46306.120563923614</x:v>
      </x:c>
      <x:c r="I1281" s="0"/>
      <x:c r="J1281" s="0"/>
      <x:c r="K1281" s="6">
        <x:v>46307.949637881946</x:v>
      </x:c>
      <x:c r="L1281" t="str" s="2">
        <x:v>Contacted</x:v>
      </x:c>
    </x:row>
    <x:row r="1282">
      <x:c r="A1282" t="str" s="2">
        <x:f>="Tonya Walker"</x:f>
      </x:c>
      <x:c r="B1282" t="str" s="2">
        <x:v>Heritage Housing of Athens</x:v>
      </x:c>
      <x:c r="C1282" t="str" s="2">
        <x:v/>
      </x:c>
      <x:c r="D1282" t="str" s="2">
        <x:v>7705840605</x:v>
      </x:c>
      <x:c r="E1282" t="str" s="2">
        <x:v>tsw4u2@gmail.com</x:v>
      </x:c>
      <x:c r="F1282" t="str" s="2">
        <x:v>Financing Form</x:v>
      </x:c>
      <x:c r="G1282" t="str" s="2">
        <x:v>Nathan Bishop</x:v>
      </x:c>
      <x:c r="H1282" s="6">
        <x:v>46306.178462881944</x:v>
      </x:c>
      <x:c r="I1282" s="0"/>
      <x:c r="J1282" s="0"/>
      <x:c r="K1282" s="6">
        <x:v>46307.70840964121</x:v>
      </x:c>
      <x:c r="L1282" t="str" s="2">
        <x:v>Contacted</x:v>
      </x:c>
    </x:row>
    <x:row r="1283">
      <x:c r="A1283" t="str" s="2">
        <x:f>="Angela Lacy"</x:f>
      </x:c>
      <x:c r="B1283" t="str" s="2">
        <x:v>Heritage Housing of Greenville</x:v>
      </x:c>
      <x:c r="C1283" t="str" s="2">
        <x:v/>
      </x:c>
      <x:c r="D1283" t="str" s="2">
        <x:v>4304373782</x:v>
      </x:c>
      <x:c r="E1283" t="str" s="2">
        <x:v>lacyangela64@gmail.com</x:v>
      </x:c>
      <x:c r="F1283" t="str" s="2">
        <x:v>Meta Ads - Traffic</x:v>
      </x:c>
      <x:c r="G1283" t="str" s="2">
        <x:v>Brooklynn Allen</x:v>
      </x:c>
      <x:c r="H1283" s="6">
        <x:v>46306.33697762732</x:v>
      </x:c>
      <x:c r="I1283" s="0"/>
      <x:c r="J1283" s="0"/>
      <x:c r="K1283" s="6">
        <x:v>46307.592769097224</x:v>
      </x:c>
      <x:c r="L1283" t="str" s="2">
        <x:v>Contacted</x:v>
      </x:c>
    </x:row>
    <x:row r="1284">
      <x:c r="A1284" t="str" s="2">
        <x:f>="Maria Sanchez"</x:f>
      </x:c>
      <x:c r="B1284" t="str" s="2">
        <x:v>Heritage Housing of Greenville</x:v>
      </x:c>
      <x:c r="C1284" t="str" s="2">
        <x:v/>
      </x:c>
      <x:c r="D1284" t="str" s="2">
        <x:v>5053017223</x:v>
      </x:c>
      <x:c r="E1284" t="str" s="2">
        <x:v>mariasanche3505@gmail.com</x:v>
      </x:c>
      <x:c r="F1284" t="str" s="2">
        <x:v>Meta Ads - Forms</x:v>
      </x:c>
      <x:c r="G1284" t="str" s="2">
        <x:v>Brooklynn Allen</x:v>
      </x:c>
      <x:c r="H1284" s="6">
        <x:v>46306.404013113424</x:v>
      </x:c>
      <x:c r="I1284" s="0"/>
      <x:c r="J1284" s="0"/>
      <x:c r="K1284" s="6">
        <x:v>46307.592903703706</x:v>
      </x:c>
      <x:c r="L1284" t="str" s="2">
        <x:v>Contacted</x:v>
      </x:c>
    </x:row>
    <x:row r="1285">
      <x:c r="A1285" t="str" s="2">
        <x:f>="Julie Wilson"</x:f>
      </x:c>
      <x:c r="B1285" t="str" s="2">
        <x:v>Heritage Housing Gainesville</x:v>
      </x:c>
      <x:c r="C1285" t="str" s="2">
        <x:v/>
      </x:c>
      <x:c r="D1285" t="str" s="2">
        <x:v>6824789372</x:v>
      </x:c>
      <x:c r="E1285" t="str" s="2">
        <x:v>gigi57w@gmail.com</x:v>
      </x:c>
      <x:c r="F1285" t="str" s="2">
        <x:v>Landing_BPM</x:v>
      </x:c>
      <x:c r="G1285" t="str" s="2">
        <x:v>Kelly Ford</x:v>
      </x:c>
      <x:c r="H1285" s="6">
        <x:v>46306.488477430554</x:v>
      </x:c>
      <x:c r="I1285" s="0"/>
      <x:c r="J1285" s="0"/>
      <x:c r="K1285" s="6">
        <x:v>46307.635268252314</x:v>
      </x:c>
      <x:c r="L1285" t="str" s="2">
        <x:v>Contacted</x:v>
      </x:c>
    </x:row>
    <x:row r="1286">
      <x:c r="A1286" t="str" s="2">
        <x:f>="Adinolfi Cornejo"</x:f>
      </x:c>
      <x:c r="B1286" t="str" s="2">
        <x:v>Heritage Housing of Jennings</x:v>
      </x:c>
      <x:c r="C1286" t="str" s="2">
        <x:v/>
      </x:c>
      <x:c r="D1286" t="str" s="2">
        <x:v>5046219709</x:v>
      </x:c>
      <x:c r="E1286" t="str" s="2">
        <x:v>adinolficornejo@gmail.com</x:v>
      </x:c>
      <x:c r="F1286" t="str" s="2">
        <x:v>Landing_BPM</x:v>
      </x:c>
      <x:c r="G1286" t="str" s="2">
        <x:v>Clint O'Neal</x:v>
      </x:c>
      <x:c r="H1286" s="6">
        <x:v>46306.58118237268</x:v>
      </x:c>
      <x:c r="I1286" s="0"/>
      <x:c r="J1286" s="0"/>
      <x:c r="K1286" s="6">
        <x:v>46307.85675107639</x:v>
      </x:c>
      <x:c r="L1286" t="str" s="2">
        <x:v>Contacted</x:v>
      </x:c>
    </x:row>
    <x:row r="1287">
      <x:c r="A1287" t="str" s="2">
        <x:f>="Griselda Ramirez"</x:f>
      </x:c>
      <x:c r="B1287" t="str" s="2">
        <x:v>Heritage Housing of Greenville</x:v>
      </x:c>
      <x:c r="C1287" t="str" s="2">
        <x:v/>
      </x:c>
      <x:c r="D1287" t="str" s="2">
        <x:v>8174437390</x:v>
      </x:c>
      <x:c r="E1287" t="str" s="2">
        <x:v>griseldaramirez0331@gmail.com</x:v>
      </x:c>
      <x:c r="F1287" t="str" s="2">
        <x:v>Meta Ads - Forms</x:v>
      </x:c>
      <x:c r="G1287" t="str" s="2">
        <x:v>Ana Garcia</x:v>
      </x:c>
      <x:c r="H1287" s="6">
        <x:v>46306.64021643518</x:v>
      </x:c>
      <x:c r="I1287" s="0"/>
      <x:c r="J1287" s="0"/>
      <x:c r="K1287" s="6">
        <x:v>46307.54042326389</x:v>
      </x:c>
      <x:c r="L1287" t="str" s="2">
        <x:v>Contacted</x:v>
      </x:c>
    </x:row>
    <x:row r="1288">
      <x:c r="A1288" t="str" s="2">
        <x:f>="Jose Torres"</x:f>
      </x:c>
      <x:c r="B1288" t="str" s="2">
        <x:v>Heritage Housing of Greenville</x:v>
      </x:c>
      <x:c r="C1288" t="str" s="2">
        <x:v/>
      </x:c>
      <x:c r="D1288" t="str" s="2">
        <x:v>2149039190</x:v>
      </x:c>
      <x:c r="E1288" t="str" s="2">
        <x:v>jsetrres2369@gmail.com</x:v>
      </x:c>
      <x:c r="F1288" t="str" s="2">
        <x:v>Meta Ads - Forms</x:v>
      </x:c>
      <x:c r="G1288" t="str" s="2">
        <x:v>Brooklynn Allen</x:v>
      </x:c>
      <x:c r="H1288" s="6">
        <x:v>46306.7006153125</x:v>
      </x:c>
      <x:c r="I1288" s="0"/>
      <x:c r="J1288" s="0"/>
      <x:c r="K1288" s="6">
        <x:v>46307.59301454861</x:v>
      </x:c>
      <x:c r="L1288" t="str" s="2">
        <x:v>Contacted</x:v>
      </x:c>
    </x:row>
    <x:row r="1289">
      <x:c r="A1289" t="str" s="2">
        <x:f>="aidde Estrada"</x:f>
      </x:c>
      <x:c r="B1289" t="str" s="2">
        <x:v>Heritage Housing of Greenville</x:v>
      </x:c>
      <x:c r="C1289" t="str" s="2">
        <x:v/>
      </x:c>
      <x:c r="D1289" t="str" s="2">
        <x:v>2109445200</x:v>
      </x:c>
      <x:c r="E1289" t="str" s="2">
        <x:v>aidde1530@gmail.com</x:v>
      </x:c>
      <x:c r="F1289" t="str" s="2">
        <x:v>Meta Ads - Forms</x:v>
      </x:c>
      <x:c r="G1289" t="str" s="2">
        <x:v>Brooklynn Allen</x:v>
      </x:c>
      <x:c r="H1289" s="6">
        <x:v>46306.74511863426</x:v>
      </x:c>
      <x:c r="I1289" s="0"/>
      <x:c r="J1289" s="0"/>
      <x:c r="K1289" s="6">
        <x:v>46307.59314513889</x:v>
      </x:c>
      <x:c r="L1289" t="str" s="2">
        <x:v>Contacted</x:v>
      </x:c>
    </x:row>
    <x:row r="1290">
      <x:c r="A1290" t="str" s="2">
        <x:f>="Brent Maia"</x:f>
      </x:c>
      <x:c r="B1290" t="str" s="2">
        <x:v>Heritage Housing of Jennings</x:v>
      </x:c>
      <x:c r="C1290" t="str" s="2">
        <x:v/>
      </x:c>
      <x:c r="D1290" t="str" s="2">
        <x:v>3183068046</x:v>
      </x:c>
      <x:c r="E1290" t="str" s="2">
        <x:v>brentmaia@gmail.com</x:v>
      </x:c>
      <x:c r="F1290" t="str" s="2">
        <x:v>Financing Form</x:v>
      </x:c>
      <x:c r="G1290" t="str" s="2">
        <x:v>Clint O'Neal</x:v>
      </x:c>
      <x:c r="H1290" s="6">
        <x:v>46306.84569355324</x:v>
      </x:c>
      <x:c r="I1290" s="0"/>
      <x:c r="J1290" s="0"/>
      <x:c r="K1290" s="6">
        <x:v>46307.63078394676</x:v>
      </x:c>
      <x:c r="L1290" t="str" s="2">
        <x:v>Contacted</x:v>
      </x:c>
    </x:row>
    <x:row r="1291">
      <x:c r="A1291" t="str" s="2">
        <x:f>="Jazmyn Freeman"</x:f>
      </x:c>
      <x:c r="B1291" t="str" s="2">
        <x:v>Heritage Housing of Jennings</x:v>
      </x:c>
      <x:c r="C1291" t="str" s="2">
        <x:v/>
      </x:c>
      <x:c r="D1291" t="str" s="2">
        <x:v>3373313235</x:v>
      </x:c>
      <x:c r="E1291" t="str" s="2">
        <x:v>jaf22702@gmail.com</x:v>
      </x:c>
      <x:c r="F1291" t="str" s="2">
        <x:v>Landing_BPM</x:v>
      </x:c>
      <x:c r="G1291" t="str" s="2">
        <x:v>Clint O'Neal</x:v>
      </x:c>
      <x:c r="H1291" s="6">
        <x:v>46306.87535945602</x:v>
      </x:c>
      <x:c r="I1291" s="0"/>
      <x:c r="J1291" s="0"/>
      <x:c r="K1291" s="6">
        <x:v>46307.857082407405</x:v>
      </x:c>
      <x:c r="L1291" t="str" s="2">
        <x:v>Contacted</x:v>
      </x:c>
    </x:row>
    <x:row r="1292">
      <x:c r="A1292" t="str" s="2">
        <x:f>="Stefan Storck"</x:f>
      </x:c>
      <x:c r="B1292" t="str" s="2">
        <x:v>Heritage Housing of Greenville</x:v>
      </x:c>
      <x:c r="C1292" t="str" s="2">
        <x:v/>
      </x:c>
      <x:c r="D1292" t="str" s="2">
        <x:v>2145668291</x:v>
      </x:c>
      <x:c r="E1292" t="str" s="2">
        <x:v>storckstef3@gmail.com</x:v>
      </x:c>
      <x:c r="F1292" t="str" s="2">
        <x:v>Landing_BPM</x:v>
      </x:c>
      <x:c r="G1292" t="str" s="2">
        <x:v>Ana Garcia</x:v>
      </x:c>
      <x:c r="H1292" s="6">
        <x:v>46306.92080315972</x:v>
      </x:c>
      <x:c r="I1292" s="0"/>
      <x:c r="J1292" s="0"/>
      <x:c r="K1292" s="6">
        <x:v>46307.54057480324</x:v>
      </x:c>
      <x:c r="L1292" t="str" s="2">
        <x:v>Contacted</x:v>
      </x:c>
    </x:row>
    <x:row r="1293">
      <x:c r="A1293" t="str" s="2">
        <x:f>="Cortney Mitchell"</x:f>
      </x:c>
      <x:c r="B1293" t="str" s="2">
        <x:v>Heritage Housing of Jennings</x:v>
      </x:c>
      <x:c r="C1293" t="str" s="2">
        <x:v/>
      </x:c>
      <x:c r="D1293" t="str" s="2">
        <x:v>3183163094</x:v>
      </x:c>
      <x:c r="E1293" t="str" s="2">
        <x:v>cortcort318@gmail.com</x:v>
      </x:c>
      <x:c r="F1293" t="str" s="2">
        <x:v>Landing_BPM</x:v>
      </x:c>
      <x:c r="G1293" t="str" s="2">
        <x:v>Clint O'Neal</x:v>
      </x:c>
      <x:c r="H1293" s="6">
        <x:v>46306.97066866898</x:v>
      </x:c>
      <x:c r="I1293" s="0"/>
      <x:c r="J1293" s="0"/>
      <x:c r="K1293" s="6">
        <x:v>46307.631888738426</x:v>
      </x:c>
      <x:c r="L1293" t="str" s="2">
        <x:v>Contacted</x:v>
      </x:c>
    </x:row>
    <x:row r="1294">
      <x:c r="A1294" t="str" s="2">
        <x:f>="Melinda Hall"</x:f>
      </x:c>
      <x:c r="B1294" t="str" s="2">
        <x:v>Heritage Housing of Minden</x:v>
      </x:c>
      <x:c r="C1294" t="str" s="2">
        <x:v>1/1</x:v>
      </x:c>
      <x:c r="D1294" t="str" s="2">
        <x:v>+3188569754</x:v>
      </x:c>
      <x:c r="E1294" t="str" s="2">
        <x:v>mhall561078@gmail.com</x:v>
      </x:c>
      <x:c r="F1294" t="str" s="2">
        <x:v>Landing_BPM</x:v>
      </x:c>
      <x:c r="G1294" t="str" s="2">
        <x:v>Kyla Brown</x:v>
      </x:c>
      <x:c r="H1294" s="6">
        <x:v>46307.00492939815</x:v>
      </x:c>
      <x:c r="I1294" s="0"/>
      <x:c r="J1294" s="0"/>
      <x:c r="K1294" s="6">
        <x:v>46307.949034143516</x:v>
      </x:c>
      <x:c r="L1294" t="str" s="2">
        <x:v>Contacted</x:v>
      </x:c>
    </x:row>
    <x:row r="1295">
      <x:c r="A1295" t="str" s="2">
        <x:f>="Clayton Borah"</x:f>
      </x:c>
      <x:c r="B1295" t="str" s="2">
        <x:v>Heritage Housing of Minden</x:v>
      </x:c>
      <x:c r="C1295" t="str" s="2">
        <x:v>1/1</x:v>
      </x:c>
      <x:c r="D1295" t="str" s="2">
        <x:v>3073211243</x:v>
      </x:c>
      <x:c r="E1295" t="str" s="2">
        <x:v>borah.clayton@gmail.com</x:v>
      </x:c>
      <x:c r="F1295" t="str" s="2">
        <x:v>Landing_BPM</x:v>
      </x:c>
      <x:c r="G1295" t="str" s="2">
        <x:v>Patrick Schuchart</x:v>
      </x:c>
      <x:c r="H1295" s="6">
        <x:v>46307.05153244213</x:v>
      </x:c>
      <x:c r="I1295" s="0"/>
      <x:c r="J1295" s="0"/>
      <x:c r="K1295" s="6">
        <x:v>46307.6194869213</x:v>
      </x:c>
      <x:c r="L1295" t="str" s="2">
        <x:v>Contacted</x:v>
      </x:c>
    </x:row>
    <x:row r="1296">
      <x:c r="A1296" t="str" s="2">
        <x:f>="Holly Reyes"</x:f>
      </x:c>
      <x:c r="B1296" t="str" s="2">
        <x:v>Heritage Housing of Greenville</x:v>
      </x:c>
      <x:c r="C1296" t="str" s="2">
        <x:v/>
      </x:c>
      <x:c r="D1296" t="str" s="2">
        <x:v>2144289678</x:v>
      </x:c>
      <x:c r="E1296" t="str" s="2">
        <x:v>hollyfuentes537@gmail.com</x:v>
      </x:c>
      <x:c r="F1296" t="str" s="2">
        <x:v>Meta Ads - Forms</x:v>
      </x:c>
      <x:c r="G1296" t="str" s="2">
        <x:v>Ana Garcia</x:v>
      </x:c>
      <x:c r="H1296" s="6">
        <x:v>46307.15636380787</x:v>
      </x:c>
      <x:c r="I1296" s="0"/>
      <x:c r="J1296" s="0"/>
      <x:c r="K1296" s="6">
        <x:v>46308.63095625</x:v>
      </x:c>
      <x:c r="L1296" t="str" s="2">
        <x:v>Contacted</x:v>
      </x:c>
    </x:row>
    <x:row r="1297">
      <x:c r="A1297" t="str" s="2">
        <x:f>="Maria G"</x:f>
      </x:c>
      <x:c r="B1297" t="str" s="2">
        <x:v>Heritage Housing Gainesville</x:v>
      </x:c>
      <x:c r="C1297" t="str" s="2">
        <x:v/>
      </x:c>
      <x:c r="D1297" t="str" s="2">
        <x:v>6825606003</x:v>
      </x:c>
      <x:c r="E1297" t="str" s="2">
        <x:v>m.isaac89@outlook.com</x:v>
      </x:c>
      <x:c r="F1297" t="str" s="2">
        <x:v>Meta Ads - Forms</x:v>
      </x:c>
      <x:c r="G1297" t="str" s="2">
        <x:v>Kelly Ford</x:v>
      </x:c>
      <x:c r="H1297" s="6">
        <x:v>46307.193771377315</x:v>
      </x:c>
      <x:c r="I1297" s="0"/>
      <x:c r="J1297" s="0"/>
      <x:c r="K1297" s="6">
        <x:v>46307.63597033565</x:v>
      </x:c>
      <x:c r="L1297" t="str" s="2">
        <x:v>Contacted</x:v>
      </x:c>
    </x:row>
    <x:row r="1298">
      <x:c r="A1298" t="str" s="2">
        <x:f>="Carol McGowan"</x:f>
      </x:c>
      <x:c r="B1298" t="str" s="2">
        <x:v>Heritage Housing Gainesville</x:v>
      </x:c>
      <x:c r="C1298" t="str" s="2">
        <x:v/>
      </x:c>
      <x:c r="D1298" t="str" s="2">
        <x:v>6828161418</x:v>
      </x:c>
      <x:c r="E1298" t="str" s="2">
        <x:v>carolmcgowan322@gmail.com</x:v>
      </x:c>
      <x:c r="F1298" t="str" s="2">
        <x:v>Landing_BPM</x:v>
      </x:c>
      <x:c r="G1298" t="str" s="2">
        <x:v>Jeniffer Arellano</x:v>
      </x:c>
      <x:c r="H1298" s="6">
        <x:v>46307.381422997685</x:v>
      </x:c>
      <x:c r="I1298" s="0"/>
      <x:c r="J1298" s="0"/>
      <x:c r="K1298" s="6">
        <x:v>46308.70873341435</x:v>
      </x:c>
      <x:c r="L1298" t="str" s="2">
        <x:v>Contacted</x:v>
      </x:c>
    </x:row>
    <x:row r="1299">
      <x:c r="A1299" t="str" s="2">
        <x:f>="Daniel Finley"</x:f>
      </x:c>
      <x:c r="B1299" t="str" s="2">
        <x:v>Heritage Housing of Greenville</x:v>
      </x:c>
      <x:c r="C1299" t="str" s="2">
        <x:v/>
      </x:c>
      <x:c r="D1299" t="str" s="2">
        <x:v>9402327704</x:v>
      </x:c>
      <x:c r="E1299" t="str" s="2">
        <x:v>finleydaniel32@gmail.com</x:v>
      </x:c>
      <x:c r="F1299" t="str" s="2">
        <x:v>Landing_BPM</x:v>
      </x:c>
      <x:c r="G1299" t="str" s="2">
        <x:v>Brooklynn Allen</x:v>
      </x:c>
      <x:c r="H1299" s="6">
        <x:v>46307.44128784722</x:v>
      </x:c>
      <x:c r="I1299" s="0"/>
      <x:c r="J1299" s="0"/>
      <x:c r="K1299" s="6">
        <x:v>46307.59334097222</x:v>
      </x:c>
      <x:c r="L1299" t="str" s="2">
        <x:v>Contacted</x:v>
      </x:c>
    </x:row>
    <x:row r="1300">
      <x:c r="A1300" t="str" s="2">
        <x:f>="Juryme Montano"</x:f>
      </x:c>
      <x:c r="B1300" t="str" s="2">
        <x:v>Heritage Housing of Greenville</x:v>
      </x:c>
      <x:c r="C1300" t="str" s="2">
        <x:v/>
      </x:c>
      <x:c r="D1300" t="str" s="2">
        <x:v>7029315764</x:v>
      </x:c>
      <x:c r="E1300" t="str" s="2">
        <x:v>juryme6@Gmail.com</x:v>
      </x:c>
      <x:c r="F1300" t="str" s="2">
        <x:v>Meta Ads - Forms</x:v>
      </x:c>
      <x:c r="G1300" t="str" s="2">
        <x:v>Brooklynn Allen</x:v>
      </x:c>
      <x:c r="H1300" s="6">
        <x:v>46307.49569001157</x:v>
      </x:c>
      <x:c r="I1300" s="0"/>
      <x:c r="J1300" s="0"/>
      <x:c r="K1300" s="6">
        <x:v>46308.58237815972</x:v>
      </x:c>
      <x:c r="L1300" t="str" s="2">
        <x:v>Contacted</x:v>
      </x:c>
    </x:row>
    <x:row r="1301">
      <x:c r="A1301" t="str" s="2">
        <x:f>="Tiffaney Garcia"</x:f>
      </x:c>
      <x:c r="B1301" t="str" s="2">
        <x:v>Heritage Housing of Minden</x:v>
      </x:c>
      <x:c r="C1301" t="str" s="2">
        <x:v>1/1</x:v>
      </x:c>
      <x:c r="D1301" t="str" s="2">
        <x:v>3183075366</x:v>
      </x:c>
      <x:c r="E1301" t="str" s="2">
        <x:v>t80870471@gmail.com</x:v>
      </x:c>
      <x:c r="F1301" t="str" s="2">
        <x:v>Landing_BPM</x:v>
      </x:c>
      <x:c r="G1301" t="str" s="2">
        <x:v>Kyla Brown</x:v>
      </x:c>
      <x:c r="H1301" s="6">
        <x:v>46307.644115243056</x:v>
      </x:c>
      <x:c r="I1301" s="0"/>
      <x:c r="J1301" s="0"/>
      <x:c r="K1301" s="6">
        <x:v>46307.948214895834</x:v>
      </x:c>
      <x:c r="L1301" t="str" s="2">
        <x:v>Contacted</x:v>
      </x:c>
    </x:row>
    <x:row r="1302">
      <x:c r="A1302" t="str" s="2">
        <x:f>="Yamayra Ivette Ortiz Sanchez"</x:f>
      </x:c>
      <x:c r="B1302" t="str" s="2">
        <x:v>Heritage Housing Gainesville</x:v>
      </x:c>
      <x:c r="C1302" t="str" s="2">
        <x:v/>
      </x:c>
      <x:c r="D1302" t="str" s="2">
        <x:v>94026848452</x:v>
      </x:c>
      <x:c r="E1302" t="str" s="2">
        <x:v>yamivetteortiz@gmail.com</x:v>
      </x:c>
      <x:c r="F1302" t="str" s="2">
        <x:v>Landing_BPM</x:v>
      </x:c>
      <x:c r="G1302" t="str" s="2">
        <x:v>Kelly Ford</x:v>
      </x:c>
      <x:c r="H1302" s="6">
        <x:v>46307.649986261575</x:v>
      </x:c>
      <x:c r="I1302" s="0"/>
      <x:c r="J1302" s="0"/>
      <x:c r="K1302" s="6">
        <x:v>46307.820620914354</x:v>
      </x:c>
      <x:c r="L1302" t="str" s="2">
        <x:v>Contacted</x:v>
      </x:c>
    </x:row>
    <x:row r="1303">
      <x:c r="A1303" t="str" s="2">
        <x:f>="Juan Garcia"</x:f>
      </x:c>
      <x:c r="B1303" t="str" s="2">
        <x:v>Heritage Housing of Asheboro</x:v>
      </x:c>
      <x:c r="C1303" t="str" s="2">
        <x:v/>
      </x:c>
      <x:c r="D1303" t="str" s="2">
        <x:v>9192081722</x:v>
      </x:c>
      <x:c r="E1303" t="str" s="2">
        <x:v>calikdt4@gmail.com</x:v>
      </x:c>
      <x:c r="F1303" t="str" s="2">
        <x:v>Meta Ads - Forms</x:v>
      </x:c>
      <x:c r="G1303" t="str" s="2">
        <x:v>Joe Lopez</x:v>
      </x:c>
      <x:c r="H1303" s="6">
        <x:v>46307.753211655094</x:v>
      </x:c>
      <x:c r="I1303" s="0"/>
      <x:c r="J1303" s="0"/>
      <x:c r="K1303" s="6">
        <x:v>46308.66364517361</x:v>
      </x:c>
      <x:c r="L1303" t="str" s="2">
        <x:v>Contacted</x:v>
      </x:c>
    </x:row>
    <x:row r="1304">
      <x:c r="A1304" t="str" s="2">
        <x:f>="William Davis"</x:f>
      </x:c>
      <x:c r="B1304" t="str" s="2">
        <x:v>Heritage Housing of Greenville</x:v>
      </x:c>
      <x:c r="C1304" t="str" s="2">
        <x:v/>
      </x:c>
      <x:c r="D1304" t="str" s="2">
        <x:v>7867558303</x:v>
      </x:c>
      <x:c r="E1304" t="str" s="2">
        <x:v>william@draftrise.com</x:v>
      </x:c>
      <x:c r="F1304" t="str" s="2">
        <x:v>Website</x:v>
      </x:c>
      <x:c r="G1304" t="str" s="2">
        <x:v>Ana Garcia</x:v>
      </x:c>
      <x:c r="H1304" s="6">
        <x:v>46307.76178920139</x:v>
      </x:c>
      <x:c r="I1304" s="0"/>
      <x:c r="J1304" s="0"/>
      <x:c r="K1304" s="6">
        <x:v>46308.631025613424</x:v>
      </x:c>
      <x:c r="L1304" t="str" s="2">
        <x:v>Contacted</x:v>
      </x:c>
    </x:row>
    <x:row r="1305">
      <x:c r="A1305" t="str" s="2">
        <x:f>="Gustavo Cardoza"</x:f>
      </x:c>
      <x:c r="B1305" t="str" s="2">
        <x:v>Heritage Housing of Greenville</x:v>
      </x:c>
      <x:c r="C1305" t="str" s="2">
        <x:v/>
      </x:c>
      <x:c r="D1305" t="str" s="2">
        <x:v>9155025938</x:v>
      </x:c>
      <x:c r="E1305" t="str" s="2">
        <x:v>cardoza6412@gmail.com</x:v>
      </x:c>
      <x:c r="F1305" t="str" s="2">
        <x:v>Meta Ads - Forms</x:v>
      </x:c>
      <x:c r="G1305" t="str" s="2">
        <x:v>Brooklynn Allen</x:v>
      </x:c>
      <x:c r="H1305" s="6">
        <x:v>46307.81199166667</x:v>
      </x:c>
      <x:c r="I1305" s="0"/>
      <x:c r="J1305" s="0"/>
      <x:c r="K1305" s="6">
        <x:v>46308.58915231482</x:v>
      </x:c>
      <x:c r="L1305" t="str" s="2">
        <x:v>Contacted</x:v>
      </x:c>
    </x:row>
    <x:row r="1306">
      <x:c r="A1306" t="str" s="2">
        <x:f>="Roy Reed"</x:f>
      </x:c>
      <x:c r="B1306" t="str" s="2">
        <x:v>Heritage Housing of Minden</x:v>
      </x:c>
      <x:c r="C1306" t="str" s="2">
        <x:v>1/1</x:v>
      </x:c>
      <x:c r="D1306" t="str" s="2">
        <x:v>3187612530</x:v>
      </x:c>
      <x:c r="E1306" t="str" s="2">
        <x:v>reedroy087@gmail.com</x:v>
      </x:c>
      <x:c r="F1306" t="str" s="2">
        <x:v>Website</x:v>
      </x:c>
      <x:c r="G1306" t="str" s="2">
        <x:v>Patrick Schuchart</x:v>
      </x:c>
      <x:c r="H1306" s="6">
        <x:v>46307.90175949074</x:v>
      </x:c>
      <x:c r="I1306" s="0"/>
      <x:c r="J1306" s="0"/>
      <x:c r="K1306" s="6">
        <x:v>46307.9475653125</x:v>
      </x:c>
      <x:c r="L1306" t="str" s="2">
        <x:v>Contacted</x:v>
      </x:c>
    </x:row>
    <x:row r="1307">
      <x:c r="A1307" t="str" s="2">
        <x:f>="Edna Arriaza"</x:f>
      </x:c>
      <x:c r="B1307" t="str" s="2">
        <x:v>Heritage Housing of Asheboro</x:v>
      </x:c>
      <x:c r="C1307" t="str" s="2">
        <x:v/>
      </x:c>
      <x:c r="D1307" t="str" s="2">
        <x:v>7049644691</x:v>
      </x:c>
      <x:c r="E1307" t="str" s="2">
        <x:v>arriazaedna332@gmail.com</x:v>
      </x:c>
      <x:c r="F1307" t="str" s="2">
        <x:v>Meta Ads - Forms</x:v>
      </x:c>
      <x:c r="G1307" t="str" s="2">
        <x:v>Maria Lopez</x:v>
      </x:c>
      <x:c r="H1307" s="6">
        <x:v>46307.97180277778</x:v>
      </x:c>
      <x:c r="I1307" s="0"/>
      <x:c r="J1307" s="0"/>
      <x:c r="K1307" s="6">
        <x:v>46308.6898753125</x:v>
      </x:c>
      <x:c r="L1307" t="str" s="2">
        <x:v>Contacted</x:v>
      </x:c>
    </x:row>
    <x:row r="1308">
      <x:c r="A1308" t="str" s="2">
        <x:f>=HYPERLINK("https://rsms.futurehomex.com/lead/38201", "Ricky Williams")</x:f>
      </x:c>
      <x:c r="B1308" t="str" s="2">
        <x:v>Heritage Housing of Oklahoma City</x:v>
      </x:c>
      <x:c r="C1308" t="str" s="2">
        <x:v/>
      </x:c>
      <x:c r="D1308" t="str" s="2">
        <x:v>5809179715</x:v>
      </x:c>
      <x:c r="E1308" t="str" s="2">
        <x:v>rbwilliams734@gmail.com</x:v>
      </x:c>
      <x:c r="F1308" t="str" s="2">
        <x:v>Meta Ads - Forms</x:v>
      </x:c>
      <x:c r="G1308" t="str" s="2">
        <x:v>Trey Rixleben</x:v>
      </x:c>
      <x:c r="H1308" s="6">
        <x:v>46204.17675115741</x:v>
      </x:c>
      <x:c r="I1308" t="str" s="2">
        <x:v>Trey Rixleben</x:v>
      </x:c>
      <x:c r="J1308" s="0"/>
      <x:c r="K1308" s="6">
        <x:v>46204.58953271991</x:v>
      </x:c>
      <x:c r="L1308" t="str" s="2">
        <x:v>Deal Created</x:v>
      </x:c>
    </x:row>
    <x:row r="1309">
      <x:c r="A1309" t="str" s="2">
        <x:f>=HYPERLINK("https://rsms.futurehomex.com/lead/38205", "Dusten Prather")</x:f>
      </x:c>
      <x:c r="B1309" t="str" s="2">
        <x:v>Heritage Housing of Oklahoma City</x:v>
      </x:c>
      <x:c r="C1309" t="str" s="2">
        <x:v/>
      </x:c>
      <x:c r="D1309" t="str" s="2">
        <x:v>3162300158</x:v>
      </x:c>
      <x:c r="E1309" t="str" s="2">
        <x:v>Fordman_1987@yahoo.com</x:v>
      </x:c>
      <x:c r="F1309" t="str" s="2">
        <x:v>Facebook Messenger</x:v>
      </x:c>
      <x:c r="G1309" t="str" s="2">
        <x:v>Trey Rixleben</x:v>
      </x:c>
      <x:c r="H1309" s="6">
        <x:v>46204.689110266205</x:v>
      </x:c>
      <x:c r="I1309" t="str" s="2">
        <x:v>Trey Rixleben</x:v>
      </x:c>
      <x:c r="J1309" s="0"/>
      <x:c r="K1309" s="6">
        <x:v>46204.689110266205</x:v>
      </x:c>
      <x:c r="L1309" t="str" s="2">
        <x:v>Deal Created</x:v>
      </x:c>
    </x:row>
    <x:row r="1310">
      <x:c r="A1310" t="str" s="2">
        <x:f>="Ashley Weaver"</x:f>
      </x:c>
      <x:c r="B1310" s="0"/>
      <x:c r="C1310" t="str" s="2">
        <x:v/>
      </x:c>
      <x:c r="D1310" t="str" s="2">
        <x:v>5806430684</x:v>
      </x:c>
      <x:c r="E1310" t="str" s="2">
        <x:v>weaverashley04@gmail.com</x:v>
      </x:c>
      <x:c r="F1310" t="str" s="2">
        <x:v>Walk-in</x:v>
      </x:c>
      <x:c r="G1310" t="str" s="2">
        <x:v>Miza Pena</x:v>
      </x:c>
      <x:c r="H1310" s="6">
        <x:v>46204.782332407405</x:v>
      </x:c>
      <x:c r="I1310" s="0"/>
      <x:c r="J1310" s="0"/>
      <x:c r="K1310" s="0"/>
      <x:c r="L1310" t="str" s="2">
        <x:v>Deal Created</x:v>
      </x:c>
    </x:row>
    <x:row r="1311">
      <x:c r="A1311" t="str" s="2">
        <x:f>=HYPERLINK("https://rsms.futurehomex.com/lead/38218", "Peyton Ulmer")</x:f>
      </x:c>
      <x:c r="B1311" t="str" s="2">
        <x:v>Heritage Housing of Oklahoma City</x:v>
      </x:c>
      <x:c r="C1311" t="str" s="2">
        <x:v/>
      </x:c>
      <x:c r="D1311" t="str" s="2">
        <x:v>4056265656</x:v>
      </x:c>
      <x:c r="E1311" t="str" s="2">
        <x:v>nukacolainc@icloud.com</x:v>
      </x:c>
      <x:c r="F1311" t="str" s="2">
        <x:v>Referrals</x:v>
      </x:c>
      <x:c r="G1311" t="str" s="2">
        <x:v>Trey Rixleben</x:v>
      </x:c>
      <x:c r="H1311" s="6">
        <x:v>46204.845100150465</x:v>
      </x:c>
      <x:c r="I1311" t="str" s="2">
        <x:v>Trey Rixleben</x:v>
      </x:c>
      <x:c r="J1311" s="0"/>
      <x:c r="K1311" s="6">
        <x:v>46204.845100150465</x:v>
      </x:c>
      <x:c r="L1311" t="str" s="2">
        <x:v>Deal Created</x:v>
      </x:c>
    </x:row>
    <x:row r="1312">
      <x:c r="A1312" t="str" s="2">
        <x:f>=HYPERLINK("https://rsms.futurehomex.com/lead/38228", "William Holmes")</x:f>
      </x:c>
      <x:c r="B1312" t="str" s="2">
        <x:v>Heritage Housing of Oklahoma City</x:v>
      </x:c>
      <x:c r="C1312" t="str" s="2">
        <x:v/>
      </x:c>
      <x:c r="D1312" t="str" s="2">
        <x:v>9852887100</x:v>
      </x:c>
      <x:c r="E1312" t="str" s="2">
        <x:v>9852887100</x:v>
      </x:c>
      <x:c r="F1312" t="str" s="2">
        <x:v>Facebook Messenger</x:v>
      </x:c>
      <x:c r="G1312" t="str" s="2">
        <x:v>Steve Castell</x:v>
      </x:c>
      <x:c r="H1312" s="6">
        <x:v>46205.677830706016</x:v>
      </x:c>
      <x:c r="I1312" t="str" s="2">
        <x:v>Steve Castell</x:v>
      </x:c>
      <x:c r="J1312" s="0"/>
      <x:c r="K1312" s="6">
        <x:v>46205.677830706016</x:v>
      </x:c>
      <x:c r="L1312" t="str" s="2">
        <x:v>Deal Created</x:v>
      </x:c>
    </x:row>
    <x:row r="1313">
      <x:c r="A1313" t="str" s="2">
        <x:f>=HYPERLINK("https://rsms.futurehomex.com/lead/38232", "Dolly Varden Management")</x:f>
      </x:c>
      <x:c r="B1313" t="str" s="2">
        <x:v>Heritage Housing Marble Falls</x:v>
      </x:c>
      <x:c r="C1313" t="str" s="2">
        <x:v/>
      </x:c>
      <x:c r="D1313" t="str" s="2">
        <x:v>3252489284</x:v>
      </x:c>
      <x:c r="E1313" t="str" s="2">
        <x:v>DVmanagers@outlook.com</x:v>
      </x:c>
      <x:c r="F1313" t="str" s="2">
        <x:v>Referrals</x:v>
      </x:c>
      <x:c r="G1313" t="str" s="2">
        <x:v>Stephen Sanders</x:v>
      </x:c>
      <x:c r="H1313" s="6">
        <x:v>46205.690191284724</x:v>
      </x:c>
      <x:c r="I1313" t="str" s="2">
        <x:v>Stephen Sanders</x:v>
      </x:c>
      <x:c r="J1313" s="0"/>
      <x:c r="K1313" s="6">
        <x:v>46205.690191284724</x:v>
      </x:c>
      <x:c r="L1313" t="str" s="2">
        <x:v>Deal Created</x:v>
      </x:c>
    </x:row>
    <x:row r="1314">
      <x:c r="A1314" t="str" s="2">
        <x:f>=HYPERLINK("https://rsms.futurehomex.com/lead/38233", "Dolly Varden Management")</x:f>
      </x:c>
      <x:c r="B1314" t="str" s="2">
        <x:v>Heritage Housing Marble Falls</x:v>
      </x:c>
      <x:c r="C1314" t="str" s="2">
        <x:v/>
      </x:c>
      <x:c r="D1314" t="str" s="2">
        <x:v>3252489284</x:v>
      </x:c>
      <x:c r="E1314" t="str" s="2">
        <x:v>DVmanagers@outlook.com</x:v>
      </x:c>
      <x:c r="F1314" t="str" s="2">
        <x:v>Referrals</x:v>
      </x:c>
      <x:c r="G1314" t="str" s="2">
        <x:v>Stephen Sanders</x:v>
      </x:c>
      <x:c r="H1314" s="6">
        <x:v>46205.690191284724</x:v>
      </x:c>
      <x:c r="I1314" t="str" s="2">
        <x:v>Stephen Sanders</x:v>
      </x:c>
      <x:c r="J1314" s="0"/>
      <x:c r="K1314" s="6">
        <x:v>46205.690191284724</x:v>
      </x:c>
      <x:c r="L1314" t="str" s="2">
        <x:v>Deal Created</x:v>
      </x:c>
    </x:row>
    <x:row r="1315">
      <x:c r="A1315" t="str" s="2">
        <x:f>=HYPERLINK("https://rsms.futurehomex.com/lead/38230", "Dolly Varden Management")</x:f>
      </x:c>
      <x:c r="B1315" t="str" s="2">
        <x:v>Heritage Housing Marble Falls</x:v>
      </x:c>
      <x:c r="C1315" t="str" s="2">
        <x:v/>
      </x:c>
      <x:c r="D1315" t="str" s="2">
        <x:v>3252489284</x:v>
      </x:c>
      <x:c r="E1315" t="str" s="2">
        <x:v>DVmanagers@outlook.com</x:v>
      </x:c>
      <x:c r="F1315" t="str" s="2">
        <x:v>Referrals</x:v>
      </x:c>
      <x:c r="G1315" t="str" s="2">
        <x:v>Stephen Sanders</x:v>
      </x:c>
      <x:c r="H1315" s="6">
        <x:v>46205.690191284724</x:v>
      </x:c>
      <x:c r="I1315" t="str" s="2">
        <x:v>Stephen Sanders</x:v>
      </x:c>
      <x:c r="J1315" s="0"/>
      <x:c r="K1315" s="6">
        <x:v>46205.690191284724</x:v>
      </x:c>
      <x:c r="L1315" t="str" s="2">
        <x:v>Deal Created</x:v>
      </x:c>
    </x:row>
    <x:row r="1316">
      <x:c r="A1316" t="str" s="2">
        <x:f>=HYPERLINK("https://rsms.futurehomex.com/lead/40694", "Dolly Varden Management")</x:f>
      </x:c>
      <x:c r="B1316" t="str" s="2">
        <x:v>Heritage Housing Marble Falls</x:v>
      </x:c>
      <x:c r="C1316" t="str" s="2">
        <x:v/>
      </x:c>
      <x:c r="D1316" t="str" s="2">
        <x:v>3252489284</x:v>
      </x:c>
      <x:c r="E1316" t="str" s="2">
        <x:v>DVmanagers@outlook.com</x:v>
      </x:c>
      <x:c r="F1316" t="str" s="2">
        <x:v>Referrals</x:v>
      </x:c>
      <x:c r="G1316" t="str" s="2">
        <x:v>Stephen Sanders</x:v>
      </x:c>
      <x:c r="H1316" s="6">
        <x:v>46205.690191284724</x:v>
      </x:c>
      <x:c r="I1316" t="str" s="2">
        <x:v>Stephen Sanders</x:v>
      </x:c>
      <x:c r="J1316" s="0"/>
      <x:c r="K1316" s="6">
        <x:v>46205.690191284724</x:v>
      </x:c>
      <x:c r="L1316" t="str" s="2">
        <x:v>Deal Created</x:v>
      </x:c>
    </x:row>
    <x:row r="1317">
      <x:c r="A1317" t="str" s="2">
        <x:f>=HYPERLINK("https://rsms.futurehomex.com/lead/38247", "Nichole Roesha Harrinson")</x:f>
      </x:c>
      <x:c r="B1317" t="str" s="2">
        <x:v>Legacy Housing Corp. DBA Americasa</x:v>
      </x:c>
      <x:c r="C1317" t="str" s="2">
        <x:v/>
      </x:c>
      <x:c r="D1317" t="str" s="2">
        <x:v>8323960016</x:v>
      </x:c>
      <x:c r="E1317" t="str" s="2">
        <x:v>pumpkinlove@myyahoo.com</x:v>
      </x:c>
      <x:c r="F1317" t="str" s="2">
        <x:v>Terrenos Houston</x:v>
      </x:c>
      <x:c r="G1317" t="str" s="2">
        <x:v>Rodrigo Ramirez</x:v>
      </x:c>
      <x:c r="H1317" s="6">
        <x:v>46205.92797114584</x:v>
      </x:c>
      <x:c r="I1317" t="str" s="2">
        <x:v>Joey Marquez</x:v>
      </x:c>
      <x:c r="J1317" s="0"/>
      <x:c r="K1317" s="0"/>
      <x:c r="L1317" t="str" s="2">
        <x:v>Deal Created</x:v>
      </x:c>
    </x:row>
    <x:row r="1318">
      <x:c r="A1318" t="str" s="2">
        <x:f>=HYPERLINK("https://rsms.futurehomex.com/lead/38533", "Carolyn Augustine")</x:f>
      </x:c>
      <x:c r="B1318" t="str" s="2">
        <x:v>Heritage Housing of Jennings</x:v>
      </x:c>
      <x:c r="C1318" t="str" s="2">
        <x:v>0/3</x:v>
      </x:c>
      <x:c r="D1318" t="str" s="2">
        <x:v>3372904099</x:v>
      </x:c>
      <x:c r="E1318" t="str" s="2">
        <x:v>carolynaugustine24@gmail.com</x:v>
      </x:c>
      <x:c r="F1318" t="str" s="2">
        <x:v>Meta Ads - Forms</x:v>
      </x:c>
      <x:c r="G1318" t="str" s="2">
        <x:v>Clint O'Neal</x:v>
      </x:c>
      <x:c r="H1318" s="6">
        <x:v>46206.63519386574</x:v>
      </x:c>
      <x:c r="I1318" t="str" s="2">
        <x:v>Clint O'Neal</x:v>
      </x:c>
      <x:c r="J1318" s="0"/>
      <x:c r="K1318" s="6">
        <x:v>46216.78999479167</x:v>
      </x:c>
      <x:c r="L1318" t="str" s="2">
        <x:v>Deal Created</x:v>
      </x:c>
    </x:row>
    <x:row r="1319">
      <x:c r="A1319" t="str" s="2">
        <x:f>=HYPERLINK("https://rsms.futurehomex.com/lead/38858", "Kailee Glaude")</x:f>
      </x:c>
      <x:c r="B1319" t="str" s="2">
        <x:v>Heritage Housing of Jennings</x:v>
      </x:c>
      <x:c r="C1319" t="str" s="2">
        <x:v>0/4</x:v>
      </x:c>
      <x:c r="D1319" t="str" s="2">
        <x:v>9178065257</x:v>
      </x:c>
      <x:c r="E1319" t="str" s="2">
        <x:v>saddaysnomo@gmail.com</x:v>
      </x:c>
      <x:c r="F1319" t="str" s="2">
        <x:v>Website</x:v>
      </x:c>
      <x:c r="G1319" t="str" s="2">
        <x:v>Mervin Leslie Smith</x:v>
      </x:c>
      <x:c r="H1319" s="6">
        <x:v>46206.664829016205</x:v>
      </x:c>
      <x:c r="I1319" t="str" s="2">
        <x:v>Mervin Leslie Smith</x:v>
      </x:c>
      <x:c r="J1319" s="0"/>
      <x:c r="K1319" s="6">
        <x:v>46234.79091261574</x:v>
      </x:c>
      <x:c r="L1319" t="str" s="2">
        <x:v>Deal Created</x:v>
      </x:c>
    </x:row>
    <x:row r="1320">
      <x:c r="A1320" t="str" s="2">
        <x:f>=HYPERLINK("https://rsms.futurehomex.com/lead/38259", "Kai Gilbret")</x:f>
      </x:c>
      <x:c r="B1320" t="str" s="2">
        <x:v>Heritage Housing of Oklahoma City</x:v>
      </x:c>
      <x:c r="C1320" t="str" s="2">
        <x:v/>
      </x:c>
      <x:c r="D1320" t="str" s="2">
        <x:v>4059073035</x:v>
      </x:c>
      <x:c r="E1320" t="str" s="2">
        <x:v>kdonaldgilbert@gmail.com</x:v>
      </x:c>
      <x:c r="F1320" t="str" s="2">
        <x:v>Referrals</x:v>
      </x:c>
      <x:c r="G1320" t="str" s="2">
        <x:v>Trey Rixleben</x:v>
      </x:c>
      <x:c r="H1320" s="6">
        <x:v>46206.83380853009</x:v>
      </x:c>
      <x:c r="I1320" t="str" s="2">
        <x:v>Trey Rixleben</x:v>
      </x:c>
      <x:c r="J1320" s="0"/>
      <x:c r="K1320" s="6">
        <x:v>46206.83380853009</x:v>
      </x:c>
      <x:c r="L1320" t="str" s="2">
        <x:v>Deal Created</x:v>
      </x:c>
    </x:row>
    <x:row r="1321">
      <x:c r="A1321" t="str" s="2">
        <x:f>=HYPERLINK("https://rsms.futurehomex.com/lead/39009", "Tricia Smith")</x:f>
      </x:c>
      <x:c r="B1321" t="str" s="2">
        <x:v>Heritage Housing of Tulsa</x:v>
      </x:c>
      <x:c r="C1321" t="str" s="2">
        <x:v>0/1</x:v>
      </x:c>
      <x:c r="D1321" t="str" s="2">
        <x:v>6203060903</x:v>
      </x:c>
      <x:c r="E1321" t="str" s="2">
        <x:v>smithtl628@gmail.com</x:v>
      </x:c>
      <x:c r="F1321" t="str" s="2">
        <x:v>Financing Form</x:v>
      </x:c>
      <x:c r="G1321" t="str" s="2">
        <x:v>Jenna Fransisco</x:v>
      </x:c>
      <x:c r="H1321" s="6">
        <x:v>46207.045889270834</x:v>
      </x:c>
      <x:c r="I1321" t="str" s="2">
        <x:v>Derek Searcy</x:v>
      </x:c>
      <x:c r="J1321" s="0"/>
      <x:c r="K1321" s="6">
        <x:v>46238</x:v>
      </x:c>
      <x:c r="L1321" t="str" s="2">
        <x:v>Deal Created</x:v>
      </x:c>
    </x:row>
    <x:row r="1322">
      <x:c r="A1322" t="str" s="2">
        <x:f>=HYPERLINK("https://rsms.futurehomex.com/lead/38270", "Shannon Ford")</x:f>
      </x:c>
      <x:c r="B1322" t="str" s="2">
        <x:v>Heritage Housing of Oklahoma City</x:v>
      </x:c>
      <x:c r="C1322" t="str" s="2">
        <x:v/>
      </x:c>
      <x:c r="D1322" t="str" s="2">
        <x:v>9454234073</x:v>
      </x:c>
      <x:c r="E1322" t="str" s="2">
        <x:v>sheaford02@gmail.com</x:v>
      </x:c>
      <x:c r="F1322" t="str" s="2">
        <x:v>Financing Form</x:v>
      </x:c>
      <x:c r="G1322" t="str" s="2">
        <x:v>Trey Rixleben</x:v>
      </x:c>
      <x:c r="H1322" s="6">
        <x:v>46208.86898622685</x:v>
      </x:c>
      <x:c r="I1322" t="str" s="2">
        <x:v>Trey Rixleben</x:v>
      </x:c>
      <x:c r="J1322" s="0"/>
      <x:c r="K1322" s="6">
        <x:v>46209.58838368056</x:v>
      </x:c>
      <x:c r="L1322" t="str" s="2">
        <x:v>Deal Created</x:v>
      </x:c>
    </x:row>
    <x:row r="1323">
      <x:c r="A1323" t="str" s="2">
        <x:f>=HYPERLINK("https://rsms.futurehomex.com/lead/38980", "Rickayla Thomas")</x:f>
      </x:c>
      <x:c r="B1323" t="str" s="2">
        <x:v>Heritage Housing of Jennings</x:v>
      </x:c>
      <x:c r="C1323" t="str" s="2">
        <x:v>0/4</x:v>
      </x:c>
      <x:c r="D1323" t="str" s="2">
        <x:v>2254601825</x:v>
      </x:c>
      <x:c r="E1323" t="str" s="2">
        <x:v>thomasrickayla9@gmail.com</x:v>
      </x:c>
      <x:c r="F1323" t="str" s="2">
        <x:v>Financing Form</x:v>
      </x:c>
      <x:c r="G1323" t="str" s="2">
        <x:v>Clint O'Neal</x:v>
      </x:c>
      <x:c r="H1323" s="6">
        <x:v>46208.93038943287</x:v>
      </x:c>
      <x:c r="I1323" t="str" s="2">
        <x:v>Clint O'Neal</x:v>
      </x:c>
      <x:c r="J1323" s="0"/>
      <x:c r="K1323" s="6">
        <x:v>46240.83025049768</x:v>
      </x:c>
      <x:c r="L1323" t="str" s="2">
        <x:v>Deal Created</x:v>
      </x:c>
    </x:row>
    <x:row r="1324">
      <x:c r="A1324" t="str" s="2">
        <x:f>=HYPERLINK("https://rsms.futurehomex.com/lead/38266", "Hunter Miller")</x:f>
      </x:c>
      <x:c r="B1324" t="str" s="2">
        <x:v>Heritage Housing of Jennings</x:v>
      </x:c>
      <x:c r="C1324" t="str" s="2">
        <x:v/>
      </x:c>
      <x:c r="D1324" t="str" s="2">
        <x:v>3374582329</x:v>
      </x:c>
      <x:c r="E1324" t="str" s="2">
        <x:v>hm@nomail.com</x:v>
      </x:c>
      <x:c r="F1324" t="str" s="2">
        <x:v>HH - Jennings</x:v>
      </x:c>
      <x:c r="G1324" t="str" s="2">
        <x:v>Clint O'Neal</x:v>
      </x:c>
      <x:c r="H1324" s="6">
        <x:v>46209.554362118055</x:v>
      </x:c>
      <x:c r="I1324" t="str" s="2">
        <x:v>Clint O'Neal</x:v>
      </x:c>
      <x:c r="J1324" s="0"/>
      <x:c r="K1324" s="6">
        <x:v>46209.554362118055</x:v>
      </x:c>
      <x:c r="L1324" t="str" s="2">
        <x:v>Deal Created</x:v>
      </x:c>
    </x:row>
    <x:row r="1325">
      <x:c r="A1325" t="str" s="2">
        <x:f>=HYPERLINK("https://rsms.futurehomex.com/lead/38279", "Candace Rougeau")</x:f>
      </x:c>
      <x:c r="B1325" t="str" s="2">
        <x:v>Heritage Housing of Jennings</x:v>
      </x:c>
      <x:c r="C1325" t="str" s="2">
        <x:v/>
      </x:c>
      <x:c r="D1325" t="str" s="2">
        <x:v>3183069053</x:v>
      </x:c>
      <x:c r="E1325" t="str" s="2">
        <x:v>candaceware2009@gmail.com</x:v>
      </x:c>
      <x:c r="F1325" t="str" s="2">
        <x:v>Financing Form</x:v>
      </x:c>
      <x:c r="G1325" t="str" s="2">
        <x:v>Clint O'Neal</x:v>
      </x:c>
      <x:c r="H1325" s="6">
        <x:v>46209.62220251157</x:v>
      </x:c>
      <x:c r="I1325" t="str" s="2">
        <x:v>Clint O'Neal</x:v>
      </x:c>
      <x:c r="J1325" s="0"/>
      <x:c r="K1325" s="6">
        <x:v>46209.68075251157</x:v>
      </x:c>
      <x:c r="L1325" t="str" s="2">
        <x:v>Deal Created</x:v>
      </x:c>
    </x:row>
    <x:row r="1326">
      <x:c r="A1326" t="str" s="2">
        <x:f>=HYPERLINK("https://rsms.futurehomex.com/lead/38281", "Charles Pettit")</x:f>
      </x:c>
      <x:c r="B1326" t="str" s="2">
        <x:v>Heritage Housing of Oklahoma City</x:v>
      </x:c>
      <x:c r="C1326" t="str" s="2">
        <x:v/>
      </x:c>
      <x:c r="D1326" t="str" s="2">
        <x:v>9186712251</x:v>
      </x:c>
      <x:c r="E1326" t="str" s="2">
        <x:v>chip.pettit@yahoo.com</x:v>
      </x:c>
      <x:c r="F1326" t="str" s="2">
        <x:v>Google Ads</x:v>
      </x:c>
      <x:c r="G1326" t="str" s="2">
        <x:v>Trey Rixleben</x:v>
      </x:c>
      <x:c r="H1326" s="6">
        <x:v>46209.787051851854</x:v>
      </x:c>
      <x:c r="I1326" t="str" s="2">
        <x:v>Trey Rixleben</x:v>
      </x:c>
      <x:c r="J1326" s="0"/>
      <x:c r="K1326" s="6">
        <x:v>46209.787051851854</x:v>
      </x:c>
      <x:c r="L1326" t="str" s="2">
        <x:v>Deal Created</x:v>
      </x:c>
    </x:row>
    <x:row r="1327">
      <x:c r="A1327" t="str" s="2">
        <x:f>=HYPERLINK("https://rsms.futurehomex.com/lead/38290", "Janice Ames")</x:f>
      </x:c>
      <x:c r="B1327" t="str" s="2">
        <x:v>Heritage Housing Gainesville</x:v>
      </x:c>
      <x:c r="C1327" t="str" s="2">
        <x:v/>
      </x:c>
      <x:c r="D1327" t="str" s="2">
        <x:v>4694276897</x:v>
      </x:c>
      <x:c r="E1327" t="str" s="2">
        <x:v>janicethepianist@gmail.com</x:v>
      </x:c>
      <x:c r="F1327" t="str" s="2">
        <x:v>META Marketplace</x:v>
      </x:c>
      <x:c r="G1327" t="str" s="2">
        <x:v>Kelly Ford</x:v>
      </x:c>
      <x:c r="H1327" s="6">
        <x:v>46209.8922190625</x:v>
      </x:c>
      <x:c r="I1327" t="str" s="2">
        <x:v>Chris Michniacki</x:v>
      </x:c>
      <x:c r="J1327" s="0"/>
      <x:c r="K1327" s="6">
        <x:v>46209.8922190625</x:v>
      </x:c>
      <x:c r="L1327" t="str" s="2">
        <x:v>Deal Created</x:v>
      </x:c>
    </x:row>
    <x:row r="1328">
      <x:c r="A1328" t="str" s="2">
        <x:f>=HYPERLINK("https://rsms.futurehomex.com/lead/38317", "Mary McIntyre")</x:f>
      </x:c>
      <x:c r="B1328" t="str" s="2">
        <x:v>Heritage Housing of Albany</x:v>
      </x:c>
      <x:c r="C1328" t="str" s="2">
        <x:v/>
      </x:c>
      <x:c r="D1328" t="str" s="2">
        <x:v>2295071122</x:v>
      </x:c>
      <x:c r="E1328" t="str" s="2">
        <x:v>maryamcintyre57@gmail.com</x:v>
      </x:c>
      <x:c r="F1328" t="str" s="2">
        <x:v>Financing Form</x:v>
      </x:c>
      <x:c r="G1328" t="str" s="2">
        <x:v>Yanet Alvarez</x:v>
      </x:c>
      <x:c r="H1328" s="6">
        <x:v>46210.002950347225</x:v>
      </x:c>
      <x:c r="I1328" t="str" s="2">
        <x:v>Alexander Bryant</x:v>
      </x:c>
      <x:c r="J1328" s="0"/>
      <x:c r="K1328" s="6">
        <x:v>46210.737919293984</x:v>
      </x:c>
      <x:c r="L1328" t="str" s="2">
        <x:v>Deal Created</x:v>
      </x:c>
    </x:row>
    <x:row r="1329">
      <x:c r="A1329" t="str" s="2">
        <x:f>=HYPERLINK("https://rsms.futurehomex.com/lead/38339", "Ciearra Corbridge")</x:f>
      </x:c>
      <x:c r="B1329" t="str" s="2">
        <x:v>Heritage Housing of Oklahoma City</x:v>
      </x:c>
      <x:c r="C1329" t="str" s="2">
        <x:v/>
      </x:c>
      <x:c r="D1329" t="str" s="2">
        <x:v>5807150424</x:v>
      </x:c>
      <x:c r="E1329" t="str" s="2">
        <x:v>ciearramiles9@gmail.com</x:v>
      </x:c>
      <x:c r="F1329" t="str" s="2">
        <x:v>Financing Form</x:v>
      </x:c>
      <x:c r="G1329" t="str" s="2">
        <x:v>Trey Rixleben</x:v>
      </x:c>
      <x:c r="H1329" s="6">
        <x:v>46210.74644818287</x:v>
      </x:c>
      <x:c r="I1329" t="str" s="2">
        <x:v>Trey Rixleben</x:v>
      </x:c>
      <x:c r="J1329" s="0"/>
      <x:c r="K1329" s="6">
        <x:v>46211.62861709491</x:v>
      </x:c>
      <x:c r="L1329" t="str" s="2">
        <x:v>Deal Created</x:v>
      </x:c>
    </x:row>
    <x:row r="1330">
      <x:c r="A1330" t="str" s="2">
        <x:f>=HYPERLINK("https://rsms.futurehomex.com/lead/38322", "Roxana Jansen")</x:f>
      </x:c>
      <x:c r="B1330" t="str" s="2">
        <x:v>Heritage Housing of Oklahoma City</x:v>
      </x:c>
      <x:c r="C1330" t="str" s="2">
        <x:v/>
      </x:c>
      <x:c r="D1330" t="str" s="2">
        <x:v>4059981045</x:v>
      </x:c>
      <x:c r="E1330" t="str" s="2">
        <x:v>roxana.jansen0@gmail.com</x:v>
      </x:c>
      <x:c r="F1330" t="str" s="2">
        <x:v>Financing Form</x:v>
      </x:c>
      <x:c r="G1330" t="str" s="2">
        <x:v>Trey Rixleben</x:v>
      </x:c>
      <x:c r="H1330" s="6">
        <x:v>46210.77057658565</x:v>
      </x:c>
      <x:c r="I1330" t="str" s="2">
        <x:v>Trey Rixleben</x:v>
      </x:c>
      <x:c r="J1330" s="0"/>
      <x:c r="K1330" s="6">
        <x:v>46210.80401168981</x:v>
      </x:c>
      <x:c r="L1330" t="str" s="2">
        <x:v>Deal Created</x:v>
      </x:c>
    </x:row>
    <x:row r="1331">
      <x:c r="A1331" t="str" s="2">
        <x:f>=HYPERLINK("https://rsms.futurehomex.com/lead/38321", "Austin Isom")</x:f>
      </x:c>
      <x:c r="B1331" t="str" s="2">
        <x:v>Heritage Housing of Oklahoma City</x:v>
      </x:c>
      <x:c r="C1331" t="str" s="2">
        <x:v/>
      </x:c>
      <x:c r="D1331" t="str" s="2">
        <x:v>4059992456</x:v>
      </x:c>
      <x:c r="E1331" t="str" s="2">
        <x:v>awi8921@icloud.com</x:v>
      </x:c>
      <x:c r="F1331" t="str" s="2">
        <x:v>Walk-in</x:v>
      </x:c>
      <x:c r="G1331" t="str" s="2">
        <x:v>Trey Rixleben</x:v>
      </x:c>
      <x:c r="H1331" s="6">
        <x:v>46210.80117103009</x:v>
      </x:c>
      <x:c r="I1331" t="str" s="2">
        <x:v>Trey Rixleben</x:v>
      </x:c>
      <x:c r="J1331" s="0"/>
      <x:c r="K1331" s="6">
        <x:v>46210.80117103009</x:v>
      </x:c>
      <x:c r="L1331" t="str" s="2">
        <x:v>Deal Created</x:v>
      </x:c>
    </x:row>
    <x:row r="1332">
      <x:c r="A1332" t="str" s="2">
        <x:f>="Angela Collins"</x:f>
      </x:c>
      <x:c r="B1332" t="str" s="2">
        <x:v>Heritage Housing of Oklahoma City</x:v>
      </x:c>
      <x:c r="C1332" t="str" s="2">
        <x:v/>
      </x:c>
      <x:c r="D1332" t="str" s="2">
        <x:v>9183409843</x:v>
      </x:c>
      <x:c r="E1332" t="str" s="2">
        <x:v>angeladecher72@gmail.com</x:v>
      </x:c>
      <x:c r="F1332" t="str" s="2">
        <x:v>Walk-in</x:v>
      </x:c>
      <x:c r="G1332" t="str" s="2">
        <x:v>Trey Rixleben</x:v>
      </x:c>
      <x:c r="H1332" s="6">
        <x:v>46210.870292708336</x:v>
      </x:c>
      <x:c r="I1332" s="0"/>
      <x:c r="J1332" s="0"/>
      <x:c r="K1332" s="6">
        <x:v>46210.870292708336</x:v>
      </x:c>
      <x:c r="L1332" t="str" s="2">
        <x:v>Deal Created</x:v>
      </x:c>
    </x:row>
    <x:row r="1333">
      <x:c r="A1333" t="str" s="2">
        <x:f>=HYPERLINK("https://rsms.futurehomex.com/lead/38329", "Adam Grant")</x:f>
      </x:c>
      <x:c r="B1333" s="0"/>
      <x:c r="C1333" t="str" s="2">
        <x:v/>
      </x:c>
      <x:c r="D1333" t="str" s="2">
        <x:v>4059061362</x:v>
      </x:c>
      <x:c r="E1333" t="str" s="2">
        <x:v>admgrt5@gmail.com</x:v>
      </x:c>
      <x:c r="F1333" t="str" s="2">
        <x:v>Walk-in</x:v>
      </x:c>
      <x:c r="G1333" t="str" s="2">
        <x:v>Trey Rixleben</x:v>
      </x:c>
      <x:c r="H1333" s="6">
        <x:v>46210.882354664354</x:v>
      </x:c>
      <x:c r="I1333" t="str" s="2">
        <x:v>Trey Rixleben</x:v>
      </x:c>
      <x:c r="J1333" s="0"/>
      <x:c r="K1333" s="0"/>
      <x:c r="L1333" t="str" s="2">
        <x:v>Deal Created</x:v>
      </x:c>
    </x:row>
    <x:row r="1334">
      <x:c r="A1334" t="str" s="2">
        <x:f>="John Bandalan"</x:f>
      </x:c>
      <x:c r="B1334" t="str" s="2">
        <x:v>Heritage Housing Marble Falls</x:v>
      </x:c>
      <x:c r="C1334" t="str" s="2">
        <x:v/>
      </x:c>
      <x:c r="D1334" t="str" s="2">
        <x:v>5124613803</x:v>
      </x:c>
      <x:c r="E1334" t="str" s="2">
        <x:v>John.bandalan@gmail.com</x:v>
      </x:c>
      <x:c r="F1334" t="str" s="2">
        <x:v>META Ads</x:v>
      </x:c>
      <x:c r="G1334" t="str" s="2">
        <x:v>Stephen Sanders</x:v>
      </x:c>
      <x:c r="H1334" s="6">
        <x:v>46211.638053738425</x:v>
      </x:c>
      <x:c r="I1334" s="0"/>
      <x:c r="J1334" s="0"/>
      <x:c r="K1334" s="6">
        <x:v>46211.638053738425</x:v>
      </x:c>
      <x:c r="L1334" t="str" s="2">
        <x:v>Deal Created</x:v>
      </x:c>
    </x:row>
    <x:row r="1335">
      <x:c r="A1335" t="str" s="2">
        <x:f>=HYPERLINK("https://rsms.futurehomex.com/lead/38341", "Adriana Munoz")</x:f>
      </x:c>
      <x:c r="B1335" t="str" s="2">
        <x:v>Legacy Housing Corp. DBA Americasa</x:v>
      </x:c>
      <x:c r="C1335" t="str" s="2">
        <x:v/>
      </x:c>
      <x:c r="D1335" t="str" s="2">
        <x:v>8323682159</x:v>
      </x:c>
      <x:c r="E1335" t="str" s="2">
        <x:v>8323682159</x:v>
      </x:c>
      <x:c r="F1335" t="str" s="2">
        <x:v>Meta Marketplace</x:v>
      </x:c>
      <x:c r="G1335" t="str" s="2">
        <x:v>Rodrigo Ramirez</x:v>
      </x:c>
      <x:c r="H1335" s="6">
        <x:v>46211.65093116898</x:v>
      </x:c>
      <x:c r="I1335" t="str" s="2">
        <x:v>Angelica Mendoza </x:v>
      </x:c>
      <x:c r="J1335" s="0"/>
      <x:c r="K1335" s="6">
        <x:v>46211.65093116898</x:v>
      </x:c>
      <x:c r="L1335" t="str" s="2">
        <x:v>Deal Created</x:v>
      </x:c>
    </x:row>
    <x:row r="1336">
      <x:c r="A1336" t="str" s="2">
        <x:f>=HYPERLINK("https://rsms.futurehomex.com/lead/38346", "Esperanza Lopez Gallegos")</x:f>
      </x:c>
      <x:c r="B1336" t="str" s="2">
        <x:v>Legacy Housing Corp. DBA Americasa</x:v>
      </x:c>
      <x:c r="C1336" t="str" s="2">
        <x:v/>
      </x:c>
      <x:c r="D1336" t="str" s="2">
        <x:v>8327774653</x:v>
      </x:c>
      <x:c r="E1336" t="str" s="2">
        <x:v>8327774653</x:v>
      </x:c>
      <x:c r="F1336" t="str" s="2">
        <x:v>Referrals</x:v>
      </x:c>
      <x:c r="G1336" t="str" s="2">
        <x:v>Rodrigo Ramirez</x:v>
      </x:c>
      <x:c r="H1336" s="6">
        <x:v>46211.811377164355</x:v>
      </x:c>
      <x:c r="I1336" t="str" s="2">
        <x:v>Rodrigo Ramirez</x:v>
      </x:c>
      <x:c r="J1336" s="0"/>
      <x:c r="K1336" s="6">
        <x:v>46211.811377164355</x:v>
      </x:c>
      <x:c r="L1336" t="str" s="2">
        <x:v>Deal Created</x:v>
      </x:c>
    </x:row>
    <x:row r="1337">
      <x:c r="A1337" t="str" s="2">
        <x:f>=HYPERLINK("https://rsms.futurehomex.com/lead/38352", "Ron And Maryann Saucier")</x:f>
      </x:c>
      <x:c r="B1337" t="str" s="2">
        <x:v>Heritage Housing of Minden</x:v>
      </x:c>
      <x:c r="C1337" t="str" s="2">
        <x:v/>
      </x:c>
      <x:c r="D1337" t="str" s="2">
        <x:v>3184659778</x:v>
      </x:c>
      <x:c r="E1337" t="str" s="2">
        <x:v>3184659778</x:v>
      </x:c>
      <x:c r="F1337" t="str" s="2">
        <x:v>HH - Minden</x:v>
      </x:c>
      <x:c r="G1337" t="str" s="2">
        <x:v>Patrick Schuchart</x:v>
      </x:c>
      <x:c r="H1337" s="6">
        <x:v>46211.90491215278</x:v>
      </x:c>
      <x:c r="I1337" t="str" s="2">
        <x:v>Alescia Ridgdell</x:v>
      </x:c>
      <x:c r="J1337" s="0"/>
      <x:c r="K1337" s="6">
        <x:v>46211.90491215278</x:v>
      </x:c>
      <x:c r="L1337" t="str" s="2">
        <x:v>Deal Created</x:v>
      </x:c>
    </x:row>
    <x:row r="1338">
      <x:c r="A1338" t="str" s="2">
        <x:f>=HYPERLINK("https://rsms.futurehomex.com/lead/38372", "Donette Collins-Miller")</x:f>
      </x:c>
      <x:c r="B1338" t="str" s="2">
        <x:v>Heritage Housing of Oklahoma City</x:v>
      </x:c>
      <x:c r="C1338" t="str" s="2">
        <x:v/>
      </x:c>
      <x:c r="D1338" t="str" s="2">
        <x:v>8169885955</x:v>
      </x:c>
      <x:c r="E1338" t="str" s="2">
        <x:v>donettem75@gmail.com</x:v>
      </x:c>
      <x:c r="F1338" t="str" s="2">
        <x:v>LandingPage</x:v>
      </x:c>
      <x:c r="G1338" t="str" s="2">
        <x:v>Trey Rixleben</x:v>
      </x:c>
      <x:c r="H1338" s="6">
        <x:v>46211.93147804398</x:v>
      </x:c>
      <x:c r="I1338" t="str" s="2">
        <x:v>Trey Rixleben</x:v>
      </x:c>
      <x:c r="J1338" s="0"/>
      <x:c r="K1338" s="6">
        <x:v>46212.71164181713</x:v>
      </x:c>
      <x:c r="L1338" t="str" s="2">
        <x:v>Deal Created</x:v>
      </x:c>
    </x:row>
    <x:row r="1339">
      <x:c r="A1339" t="str" s="2">
        <x:f>=HYPERLINK("https://rsms.futurehomex.com/lead/38362", "Lucy G Rosas")</x:f>
      </x:c>
      <x:c r="B1339" t="str" s="2">
        <x:v>Legacy Housing Corp. DBA Americasa</x:v>
      </x:c>
      <x:c r="C1339" t="str" s="2">
        <x:v/>
      </x:c>
      <x:c r="D1339" t="str" s="2">
        <x:v>3466780007</x:v>
      </x:c>
      <x:c r="E1339" t="str" s="2">
        <x:v>lucygrosas40@gmail.com</x:v>
      </x:c>
      <x:c r="F1339" t="str" s="2">
        <x:v>Meta Ads - Forms</x:v>
      </x:c>
      <x:c r="G1339" t="str" s="2">
        <x:v>Rodrigo Ramirez</x:v>
      </x:c>
      <x:c r="H1339" s="6">
        <x:v>46211.938259490744</x:v>
      </x:c>
      <x:c r="I1339" t="str" s="2">
        <x:v>Joey Marquez</x:v>
      </x:c>
      <x:c r="J1339" s="0"/>
      <x:c r="K1339" s="6">
        <x:v>46212.625355208336</x:v>
      </x:c>
      <x:c r="L1339" t="str" s="2">
        <x:v>Deal Created</x:v>
      </x:c>
    </x:row>
    <x:row r="1340">
      <x:c r="A1340" t="str" s="2">
        <x:f>=HYPERLINK("https://rsms.futurehomex.com/lead/38371", "Richard Johnson")</x:f>
      </x:c>
      <x:c r="B1340" t="str" s="2">
        <x:v>Heritage Housing of Oklahoma City</x:v>
      </x:c>
      <x:c r="C1340" t="str" s="2">
        <x:v/>
      </x:c>
      <x:c r="D1340" t="str" s="2">
        <x:v>5804455503</x:v>
      </x:c>
      <x:c r="E1340" t="str" s="2">
        <x:v>richard.bear.1169@gmail.com</x:v>
      </x:c>
      <x:c r="F1340" t="str" s="2">
        <x:v>Meta Ads - Forms</x:v>
      </x:c>
      <x:c r="G1340" t="str" s="2">
        <x:v>Trey Rixleben</x:v>
      </x:c>
      <x:c r="H1340" s="6">
        <x:v>46212.59742438657</x:v>
      </x:c>
      <x:c r="I1340" t="str" s="2">
        <x:v>Trey Rixleben</x:v>
      </x:c>
      <x:c r="J1340" s="0"/>
      <x:c r="K1340" s="6">
        <x:v>46212.71152885417</x:v>
      </x:c>
      <x:c r="L1340" t="str" s="2">
        <x:v>Deal Created</x:v>
      </x:c>
    </x:row>
    <x:row r="1341">
      <x:c r="A1341" t="str" s="2">
        <x:f>=HYPERLINK("https://rsms.futurehomex.com/lead/38369", "Payton Pierce")</x:f>
      </x:c>
      <x:c r="B1341" t="str" s="2">
        <x:v>Heritage Housing of Minden</x:v>
      </x:c>
      <x:c r="C1341" t="str" s="2">
        <x:v/>
      </x:c>
      <x:c r="D1341" t="str" s="2">
        <x:v>9037467046</x:v>
      </x:c>
      <x:c r="E1341" t="str" s="2">
        <x:v>paytonapierce@gmail.com</x:v>
      </x:c>
      <x:c r="F1341" t="str" s="2">
        <x:v>HH - Minden</x:v>
      </x:c>
      <x:c r="G1341" t="str" s="2">
        <x:v>Patrick Schuchart</x:v>
      </x:c>
      <x:c r="H1341" s="6">
        <x:v>46212.705009178244</x:v>
      </x:c>
      <x:c r="I1341" t="str" s="2">
        <x:v>Patrick Schuchart</x:v>
      </x:c>
      <x:c r="J1341" s="0"/>
      <x:c r="K1341" s="6">
        <x:v>46212.705009178244</x:v>
      </x:c>
      <x:c r="L1341" t="str" s="2">
        <x:v>Deal Created</x:v>
      </x:c>
    </x:row>
    <x:row r="1342">
      <x:c r="A1342" t="str" s="2">
        <x:f>=HYPERLINK("https://rsms.futurehomex.com/lead/38376", "Eladia Figueroa Ayala")</x:f>
      </x:c>
      <x:c r="B1342" t="str" s="2">
        <x:v>Legacy Housing Corp. DBA Americasa</x:v>
      </x:c>
      <x:c r="C1342" t="str" s="2">
        <x:v/>
      </x:c>
      <x:c r="D1342" t="str" s="2">
        <x:v>8324997089</x:v>
      </x:c>
      <x:c r="E1342" t="str" s="2">
        <x:v>efigueroa@teloloapanmeatmarket.com</x:v>
      </x:c>
      <x:c r="F1342" t="str" s="2">
        <x:v>Walk-in</x:v>
      </x:c>
      <x:c r="G1342" t="str" s="2">
        <x:v>Rodrigo Ramirez</x:v>
      </x:c>
      <x:c r="H1342" s="6">
        <x:v>46212.811629317126</x:v>
      </x:c>
      <x:c r="I1342" t="str" s="2">
        <x:v>Joey Marquez</x:v>
      </x:c>
      <x:c r="J1342" s="0"/>
      <x:c r="K1342" s="6">
        <x:v>46212.811629317126</x:v>
      </x:c>
      <x:c r="L1342" t="str" s="2">
        <x:v>Deal Created</x:v>
      </x:c>
    </x:row>
    <x:row r="1343">
      <x:c r="A1343" t="str" s="2">
        <x:f>=HYPERLINK("https://rsms.futurehomex.com/lead/38377", "Javier Figueroa")</x:f>
      </x:c>
      <x:c r="B1343" t="str" s="2">
        <x:v>Legacy Housing Corp. DBA Americasa</x:v>
      </x:c>
      <x:c r="C1343" t="str" s="2">
        <x:v/>
      </x:c>
      <x:c r="D1343" t="str" s="2">
        <x:v>7135044848</x:v>
      </x:c>
      <x:c r="E1343" t="str" s="2">
        <x:v>javier198004@icloud.com</x:v>
      </x:c>
      <x:c r="F1343" t="str" s="2">
        <x:v>Walk-in</x:v>
      </x:c>
      <x:c r="G1343" t="str" s="2">
        <x:v>Rodrigo Ramirez</x:v>
      </x:c>
      <x:c r="H1343" s="6">
        <x:v>46212.82842839121</x:v>
      </x:c>
      <x:c r="I1343" t="str" s="2">
        <x:v>Rodrigo Ramirez</x:v>
      </x:c>
      <x:c r="J1343" s="0"/>
      <x:c r="K1343" s="6">
        <x:v>46212.82842839121</x:v>
      </x:c>
      <x:c r="L1343" t="str" s="2">
        <x:v>Deal Created</x:v>
      </x:c>
    </x:row>
    <x:row r="1344">
      <x:c r="A1344" t="str" s="2">
        <x:f>=HYPERLINK("https://rsms.futurehomex.com/lead/38407", "Marco Antonio Segovia Alcudia")</x:f>
      </x:c>
      <x:c r="B1344" t="str" s="2">
        <x:v>Legacy Housing Corp. DBA Americasa</x:v>
      </x:c>
      <x:c r="C1344" t="str" s="2">
        <x:v/>
      </x:c>
      <x:c r="D1344" t="str" s="2">
        <x:v>3464258138</x:v>
      </x:c>
      <x:c r="E1344" t="str" s="2">
        <x:v>segovmarcos2@gmail.com</x:v>
      </x:c>
      <x:c r="F1344" t="str" s="2">
        <x:v>Terrenos Houston</x:v>
      </x:c>
      <x:c r="G1344" t="str" s="2">
        <x:v>Rodrigo Ramirez</x:v>
      </x:c>
      <x:c r="H1344" s="6">
        <x:v>46213.86352063657</x:v>
      </x:c>
      <x:c r="I1344" t="str" s="2">
        <x:v>Jose Parada</x:v>
      </x:c>
      <x:c r="J1344" s="0"/>
      <x:c r="K1344" s="0"/>
      <x:c r="L1344" t="str" s="2">
        <x:v>Deal Created</x:v>
      </x:c>
    </x:row>
    <x:row r="1345">
      <x:c r="A1345" t="str" s="2">
        <x:f>=HYPERLINK("https://rsms.futurehomex.com/lead/38413", "Coriene Riley")</x:f>
      </x:c>
      <x:c r="B1345" t="str" s="2">
        <x:v>Heritage Housing of Oklahoma City</x:v>
      </x:c>
      <x:c r="C1345" t="str" s="2">
        <x:v/>
      </x:c>
      <x:c r="D1345" t="str" s="2">
        <x:v>5806953299</x:v>
      </x:c>
      <x:c r="E1345" t="str" s="2">
        <x:v/>
      </x:c>
      <x:c r="F1345" t="str" s="2">
        <x:v>Walk-in</x:v>
      </x:c>
      <x:c r="G1345" t="str" s="2">
        <x:v>Trey Rixleben</x:v>
      </x:c>
      <x:c r="H1345" s="6">
        <x:v>46214.63289035879</x:v>
      </x:c>
      <x:c r="I1345" t="str" s="2">
        <x:v>Trey Rixleben</x:v>
      </x:c>
      <x:c r="J1345" s="0"/>
      <x:c r="K1345" s="6">
        <x:v>46214.63289035879</x:v>
      </x:c>
      <x:c r="L1345" t="str" s="2">
        <x:v>Deal Created</x:v>
      </x:c>
    </x:row>
    <x:row r="1346">
      <x:c r="A1346" t="str" s="2">
        <x:f>=HYPERLINK("https://rsms.futurehomex.com/lead/38414", "Naomi Guoch")</x:f>
      </x:c>
      <x:c r="B1346" t="str" s="2">
        <x:v>Heritage Housing of Oklahoma City</x:v>
      </x:c>
      <x:c r="C1346" t="str" s="2">
        <x:v/>
      </x:c>
      <x:c r="D1346" t="str" s="2">
        <x:v>4058080595</x:v>
      </x:c>
      <x:c r="E1346" t="str" s="2">
        <x:v>4058080595</x:v>
      </x:c>
      <x:c r="F1346" t="str" s="2">
        <x:v>Walk-in</x:v>
      </x:c>
      <x:c r="G1346" t="str" s="2">
        <x:v>Trey Rixleben</x:v>
      </x:c>
      <x:c r="H1346" s="6">
        <x:v>46214.63401461806</x:v>
      </x:c>
      <x:c r="I1346" t="str" s="2">
        <x:v>Karla Brizuela</x:v>
      </x:c>
      <x:c r="J1346" s="0"/>
      <x:c r="K1346" s="6">
        <x:v>46214.63401461806</x:v>
      </x:c>
      <x:c r="L1346" t="str" s="2">
        <x:v>Deal Created</x:v>
      </x:c>
    </x:row>
    <x:row r="1347">
      <x:c r="A1347" t="str" s="2">
        <x:f>=HYPERLINK("https://rsms.futurehomex.com/lead/38421", "Justin Evans")</x:f>
      </x:c>
      <x:c r="B1347" t="str" s="2">
        <x:v>Heritage Housing of Tulsa</x:v>
      </x:c>
      <x:c r="C1347" t="str" s="2">
        <x:v/>
      </x:c>
      <x:c r="D1347" t="str" s="2">
        <x:v>9188453751</x:v>
      </x:c>
      <x:c r="E1347" t="str" s="2">
        <x:v>9188453751</x:v>
      </x:c>
      <x:c r="F1347" t="str" s="2">
        <x:v>Walk-in</x:v>
      </x:c>
      <x:c r="G1347" t="str" s="2">
        <x:v>Jenna Fransisco</x:v>
      </x:c>
      <x:c r="H1347" s="6">
        <x:v>46214.70136184028</x:v>
      </x:c>
      <x:c r="I1347" t="str" s="2">
        <x:v>Jenna Fransisco</x:v>
      </x:c>
      <x:c r="J1347" s="0"/>
      <x:c r="K1347" s="6">
        <x:v>46214.70136184028</x:v>
      </x:c>
      <x:c r="L1347" t="str" s="2">
        <x:v>Deal Created</x:v>
      </x:c>
    </x:row>
    <x:row r="1348">
      <x:c r="A1348" t="str" s="2">
        <x:f>=HYPERLINK("https://rsms.futurehomex.com/lead/38431", "Gary Grant")</x:f>
      </x:c>
      <x:c r="B1348" t="str" s="2">
        <x:v>Heritage Housing of Oklahoma City</x:v>
      </x:c>
      <x:c r="C1348" t="str" s="2">
        <x:v/>
      </x:c>
      <x:c r="D1348" t="str" s="2">
        <x:v>4055848279</x:v>
      </x:c>
      <x:c r="E1348" t="str" s="2">
        <x:v/>
      </x:c>
      <x:c r="F1348" t="str" s="2">
        <x:v>Facebook Messenger</x:v>
      </x:c>
      <x:c r="G1348" t="str" s="2">
        <x:v>Trey Rixleben</x:v>
      </x:c>
      <x:c r="H1348" s="6">
        <x:v>46214.77008579861</x:v>
      </x:c>
      <x:c r="I1348" t="str" s="2">
        <x:v>Trey Rixleben</x:v>
      </x:c>
      <x:c r="J1348" s="0"/>
      <x:c r="K1348" s="6">
        <x:v>46214.77008579861</x:v>
      </x:c>
      <x:c r="L1348" t="str" s="2">
        <x:v>Deal Created</x:v>
      </x:c>
    </x:row>
    <x:row r="1349">
      <x:c r="A1349" t="str" s="2">
        <x:f>=HYPERLINK("https://rsms.futurehomex.com/lead/38443", "Manny Soto")</x:f>
      </x:c>
      <x:c r="B1349" t="str" s="2">
        <x:v>Heritage Housing of Oklahoma City</x:v>
      </x:c>
      <x:c r="C1349" t="str" s="2">
        <x:v/>
      </x:c>
      <x:c r="D1349" t="str" s="2">
        <x:v>4058864945</x:v>
      </x:c>
      <x:c r="E1349" t="str" s="2">
        <x:v>4058864945</x:v>
      </x:c>
      <x:c r="F1349" t="str" s="2">
        <x:v>Walk-in</x:v>
      </x:c>
      <x:c r="G1349" t="str" s="2">
        <x:v>Steve Castell</x:v>
      </x:c>
      <x:c r="H1349" s="6">
        <x:v>46214.900474918984</x:v>
      </x:c>
      <x:c r="I1349" t="str" s="2">
        <x:v>Alejandra Calderon</x:v>
      </x:c>
      <x:c r="J1349" s="0"/>
      <x:c r="K1349" s="6">
        <x:v>46214.900474918984</x:v>
      </x:c>
      <x:c r="L1349" t="str" s="2">
        <x:v>Deal Created</x:v>
      </x:c>
    </x:row>
    <x:row r="1350">
      <x:c r="A1350" t="str" s="2">
        <x:f>=HYPERLINK("https://rsms.futurehomex.com/lead/38459", "Latosia Blakely")</x:f>
      </x:c>
      <x:c r="B1350" t="str" s="2">
        <x:v>Heritage Housing of Oklahoma City</x:v>
      </x:c>
      <x:c r="C1350" t="str" s="2">
        <x:v/>
      </x:c>
      <x:c r="D1350" t="str" s="2">
        <x:v>4058811870</x:v>
      </x:c>
      <x:c r="E1350" t="str" s="2">
        <x:v>latosiablakely@yahoo.com</x:v>
      </x:c>
      <x:c r="F1350" t="str" s="2">
        <x:v>Financing Form</x:v>
      </x:c>
      <x:c r="G1350" t="str" s="2">
        <x:v>Trey Rixleben</x:v>
      </x:c>
      <x:c r="H1350" s="6">
        <x:v>46215.66328556713</x:v>
      </x:c>
      <x:c r="I1350" t="str" s="2">
        <x:v>Alejandra Calderon</x:v>
      </x:c>
      <x:c r="J1350" s="0"/>
      <x:c r="K1350" s="6">
        <x:v>46216.63692824074</x:v>
      </x:c>
      <x:c r="L1350" t="str" s="2">
        <x:v>Deal Created</x:v>
      </x:c>
    </x:row>
    <x:row r="1351">
      <x:c r="A1351" t="str" s="2">
        <x:f>=HYPERLINK("https://rsms.futurehomex.com/lead/40046", "John Mays")</x:f>
      </x:c>
      <x:c r="B1351" t="str" s="2">
        <x:v>Heritage Housing of Oklahoma City</x:v>
      </x:c>
      <x:c r="C1351" t="str" s="2">
        <x:v>0/1</x:v>
      </x:c>
      <x:c r="D1351" t="str" s="2">
        <x:v>4054417342</x:v>
      </x:c>
      <x:c r="E1351" t="str" s="2">
        <x:v>johnmays1972@gmail.com</x:v>
      </x:c>
      <x:c r="F1351" t="str" s="2">
        <x:v>Meta Ads - Forms</x:v>
      </x:c>
      <x:c r="G1351" t="str" s="2">
        <x:v>Steve Castell</x:v>
      </x:c>
      <x:c r="H1351" s="6">
        <x:v>46216.60503263889</x:v>
      </x:c>
      <x:c r="I1351" t="str" s="2">
        <x:v>Steve Castell</x:v>
      </x:c>
      <x:c r="J1351" s="0"/>
      <x:c r="K1351" s="6">
        <x:v>46216.65310258102</x:v>
      </x:c>
      <x:c r="L1351" t="str" s="2">
        <x:v>Deal Created</x:v>
      </x:c>
    </x:row>
    <x:row r="1352">
      <x:c r="A1352" t="str" s="2">
        <x:f>=HYPERLINK("https://rsms.futurehomex.com/lead/38458", "Peggy Pool")</x:f>
      </x:c>
      <x:c r="B1352" t="str" s="2">
        <x:v>Heritage Housing of Oklahoma City</x:v>
      </x:c>
      <x:c r="C1352" t="str" s="2">
        <x:v/>
      </x:c>
      <x:c r="D1352" t="str" s="2">
        <x:v>7854218048</x:v>
      </x:c>
      <x:c r="E1352" t="str" s="2">
        <x:v>peggy522pool@gmail.com</x:v>
      </x:c>
      <x:c r="F1352" t="str" s="2">
        <x:v>Walk-in</x:v>
      </x:c>
      <x:c r="G1352" t="str" s="2">
        <x:v>Trey Rixleben</x:v>
      </x:c>
      <x:c r="H1352" s="6">
        <x:v>46216.627481365744</x:v>
      </x:c>
      <x:c r="I1352" t="str" s="2">
        <x:v>Trey Rixleben</x:v>
      </x:c>
      <x:c r="J1352" s="0"/>
      <x:c r="K1352" s="6">
        <x:v>46216.627481365744</x:v>
      </x:c>
      <x:c r="L1352" t="str" s="2">
        <x:v>Deal Created</x:v>
      </x:c>
    </x:row>
    <x:row r="1353">
      <x:c r="A1353" t="str" s="2">
        <x:f>=HYPERLINK("https://rsms.futurehomex.com/lead/38462", "Mari Jackson")</x:f>
      </x:c>
      <x:c r="B1353" t="str" s="2">
        <x:v>Heritage Housing of Oklahoma City</x:v>
      </x:c>
      <x:c r="C1353" t="str" s="2">
        <x:v/>
      </x:c>
      <x:c r="D1353" t="str" s="2">
        <x:v>5803669344</x:v>
      </x:c>
      <x:c r="E1353" t="str" s="2">
        <x:v>5803669344</x:v>
      </x:c>
      <x:c r="F1353" t="str" s="2">
        <x:v>Walk-in</x:v>
      </x:c>
      <x:c r="G1353" t="str" s="2">
        <x:v>Steve Castell</x:v>
      </x:c>
      <x:c r="H1353" s="6">
        <x:v>46216.66513267361</x:v>
      </x:c>
      <x:c r="I1353" t="str" s="2">
        <x:v>Karla Brizuela</x:v>
      </x:c>
      <x:c r="J1353" s="0"/>
      <x:c r="K1353" s="6">
        <x:v>46216.66513267361</x:v>
      </x:c>
      <x:c r="L1353" t="str" s="2">
        <x:v>Deal Created</x:v>
      </x:c>
    </x:row>
    <x:row r="1354">
      <x:c r="A1354" t="str" s="2">
        <x:f>=HYPERLINK("https://rsms.futurehomex.com/lead/38465", "James Dulnuan")</x:f>
      </x:c>
      <x:c r="B1354" t="str" s="2">
        <x:v>Heritage Housing of Oklahoma City</x:v>
      </x:c>
      <x:c r="C1354" t="str" s="2">
        <x:v>1/1</x:v>
      </x:c>
      <x:c r="D1354" t="str" s="2">
        <x:v>4056551696</x:v>
      </x:c>
      <x:c r="E1354" t="str" s="2">
        <x:v>kdoodle51@gmail.com</x:v>
      </x:c>
      <x:c r="F1354" t="str" s="2">
        <x:v>Walk-in</x:v>
      </x:c>
      <x:c r="G1354" t="str" s="2">
        <x:v>Steve Castell</x:v>
      </x:c>
      <x:c r="H1354" s="6">
        <x:v>46216.68248318287</x:v>
      </x:c>
      <x:c r="I1354" t="str" s="2">
        <x:v>Alejandra Calderon</x:v>
      </x:c>
      <x:c r="J1354" s="0"/>
      <x:c r="K1354" s="6">
        <x:v>46216.68248318287</x:v>
      </x:c>
      <x:c r="L1354" t="str" s="2">
        <x:v>Deal Created</x:v>
      </x:c>
    </x:row>
    <x:row r="1355">
      <x:c r="A1355" t="str" s="2">
        <x:f>=HYPERLINK("https://rsms.futurehomex.com/lead/38472", "Dale Clift")</x:f>
      </x:c>
      <x:c r="B1355" t="str" s="2">
        <x:v>Heritage Housing of Oklahoma City</x:v>
      </x:c>
      <x:c r="C1355" t="str" s="2">
        <x:v/>
      </x:c>
      <x:c r="D1355" t="str" s="2">
        <x:v>4054033967</x:v>
      </x:c>
      <x:c r="E1355" t="str" s="2">
        <x:v>4054033967</x:v>
      </x:c>
      <x:c r="F1355" t="str" s="2">
        <x:v>Walk-in</x:v>
      </x:c>
      <x:c r="G1355" t="str" s="2">
        <x:v>Trey Rixleben</x:v>
      </x:c>
      <x:c r="H1355" s="6">
        <x:v>46216.79538263889</x:v>
      </x:c>
      <x:c r="I1355" t="str" s="2">
        <x:v>Trey Rixleben</x:v>
      </x:c>
      <x:c r="J1355" s="0"/>
      <x:c r="K1355" s="6">
        <x:v>46216.79538263889</x:v>
      </x:c>
      <x:c r="L1355" t="str" s="2">
        <x:v>Deal Created</x:v>
      </x:c>
    </x:row>
    <x:row r="1356">
      <x:c r="A1356" t="str" s="2">
        <x:f>=HYPERLINK("https://rsms.futurehomex.com/lead/38478", "Arley Arley")</x:f>
      </x:c>
      <x:c r="B1356" t="str" s="2">
        <x:v>Legacy Housing Corp. DBA Americasa</x:v>
      </x:c>
      <x:c r="C1356" t="str" s="2">
        <x:v/>
      </x:c>
      <x:c r="D1356" t="str" s="2">
        <x:v>4642443468</x:v>
      </x:c>
      <x:c r="E1356" t="str" s="2">
        <x:v>4642443468</x:v>
      </x:c>
      <x:c r="F1356" t="str" s="2">
        <x:v>Meta Marketplace</x:v>
      </x:c>
      <x:c r="G1356" t="str" s="2">
        <x:v>Rodrigo Ramirez</x:v>
      </x:c>
      <x:c r="H1356" s="6">
        <x:v>46216.89954135416</x:v>
      </x:c>
      <x:c r="I1356" t="str" s="2">
        <x:v>Joey Marquez</x:v>
      </x:c>
      <x:c r="J1356" s="0"/>
      <x:c r="K1356" s="6">
        <x:v>46216.89954135416</x:v>
      </x:c>
      <x:c r="L1356" t="str" s="2">
        <x:v>Deal Created</x:v>
      </x:c>
    </x:row>
    <x:row r="1357">
      <x:c r="A1357" t="str" s="2">
        <x:f>=HYPERLINK("https://rsms.futurehomex.com/lead/38486", "Albert King")</x:f>
      </x:c>
      <x:c r="B1357" t="str" s="2">
        <x:v>Heritage Housing Gainesville</x:v>
      </x:c>
      <x:c r="C1357" t="str" s="2">
        <x:v/>
      </x:c>
      <x:c r="D1357" t="str" s="2">
        <x:v>5042028633</x:v>
      </x:c>
      <x:c r="E1357" t="str" s="2">
        <x:v>kingcrab76@yahoo.com</x:v>
      </x:c>
      <x:c r="F1357" t="str" s="2">
        <x:v>META Marketplace</x:v>
      </x:c>
      <x:c r="G1357" t="str" s="2">
        <x:v>Kelly Ford</x:v>
      </x:c>
      <x:c r="H1357" s="6">
        <x:v>46217.539398726854</x:v>
      </x:c>
      <x:c r="I1357" t="str" s="2">
        <x:v>Kelly Ford</x:v>
      </x:c>
      <x:c r="J1357" s="0"/>
      <x:c r="K1357" s="6">
        <x:v>46217.539398726854</x:v>
      </x:c>
      <x:c r="L1357" t="str" s="2">
        <x:v>Deal Created</x:v>
      </x:c>
    </x:row>
    <x:row r="1358">
      <x:c r="A1358" t="str" s="2">
        <x:f>=HYPERLINK("https://rsms.futurehomex.com/lead/38493", "Johnny Davis")</x:f>
      </x:c>
      <x:c r="B1358" t="str" s="2">
        <x:v>Heritage Housing of Oklahoma City</x:v>
      </x:c>
      <x:c r="C1358" t="str" s="2">
        <x:v/>
      </x:c>
      <x:c r="D1358" t="str" s="2">
        <x:v>5809901983</x:v>
      </x:c>
      <x:c r="E1358" t="str" s="2">
        <x:v>5809901983</x:v>
      </x:c>
      <x:c r="F1358" t="str" s="2">
        <x:v>Facebook Messenger</x:v>
      </x:c>
      <x:c r="G1358" t="str" s="2">
        <x:v>Steve Castell</x:v>
      </x:c>
      <x:c r="H1358" s="6">
        <x:v>46217.62408491898</x:v>
      </x:c>
      <x:c r="I1358" t="str" s="2">
        <x:v>Steve Castell</x:v>
      </x:c>
      <x:c r="J1358" s="0"/>
      <x:c r="K1358" s="6">
        <x:v>46217.62408491898</x:v>
      </x:c>
      <x:c r="L1358" t="str" s="2">
        <x:v>Deal Created</x:v>
      </x:c>
    </x:row>
    <x:row r="1359">
      <x:c r="A1359" t="str" s="2">
        <x:f>=HYPERLINK("https://rsms.futurehomex.com/lead/38514", "Robert Warner")</x:f>
      </x:c>
      <x:c r="B1359" t="str" s="2">
        <x:v>Heritage Housing of Oklahoma City</x:v>
      </x:c>
      <x:c r="C1359" t="str" s="2">
        <x:v/>
      </x:c>
      <x:c r="D1359" t="str" s="2">
        <x:v>4052693669</x:v>
      </x:c>
      <x:c r="E1359" t="str" s="2">
        <x:v>misha.friend@yahoo.com</x:v>
      </x:c>
      <x:c r="F1359" t="str" s="2">
        <x:v>Walk-in</x:v>
      </x:c>
      <x:c r="G1359" t="str" s="2">
        <x:v>Steve Castell</x:v>
      </x:c>
      <x:c r="H1359" s="6">
        <x:v>46217.86387800926</x:v>
      </x:c>
      <x:c r="I1359" t="str" s="2">
        <x:v>Karla Brizuela</x:v>
      </x:c>
      <x:c r="J1359" s="0"/>
      <x:c r="K1359" s="6">
        <x:v>46217.86387800926</x:v>
      </x:c>
      <x:c r="L1359" t="str" s="2">
        <x:v>Deal Created</x:v>
      </x:c>
    </x:row>
    <x:row r="1360">
      <x:c r="A1360" t="str" s="2">
        <x:f>=HYPERLINK("https://rsms.futurehomex.com/lead/38515", "Amberly Gorham")</x:f>
      </x:c>
      <x:c r="B1360" t="str" s="2">
        <x:v>Heritage Housing of Oklahoma City</x:v>
      </x:c>
      <x:c r="C1360" t="str" s="2">
        <x:v/>
      </x:c>
      <x:c r="D1360" t="str" s="2">
        <x:v>3252606766</x:v>
      </x:c>
      <x:c r="E1360" t="str" s="2">
        <x:v>auntieam81@gmail.com</x:v>
      </x:c>
      <x:c r="F1360" t="str" s="2">
        <x:v>Walk-in</x:v>
      </x:c>
      <x:c r="G1360" t="str" s="2">
        <x:v>Trey Rixleben</x:v>
      </x:c>
      <x:c r="H1360" s="6">
        <x:v>46217.893189664355</x:v>
      </x:c>
      <x:c r="I1360" t="str" s="2">
        <x:v>Alejandra Calderon</x:v>
      </x:c>
      <x:c r="J1360" s="0"/>
      <x:c r="K1360" s="6">
        <x:v>46217.893189664355</x:v>
      </x:c>
      <x:c r="L1360" t="str" s="2">
        <x:v>Deal Created</x:v>
      </x:c>
    </x:row>
    <x:row r="1361">
      <x:c r="A1361" t="str" s="2">
        <x:f>=HYPERLINK("https://rsms.futurehomex.com/lead/38526", "Levy Landkamer")</x:f>
      </x:c>
      <x:c r="B1361" t="str" s="2">
        <x:v>Heritage Housing of Oklahoma City</x:v>
      </x:c>
      <x:c r="C1361" t="str" s="2">
        <x:v/>
      </x:c>
      <x:c r="D1361" t="str" s="2">
        <x:v>4054367247</x:v>
      </x:c>
      <x:c r="E1361" t="str" s="2">
        <x:v>levylandkamer@gmail.com</x:v>
      </x:c>
      <x:c r="F1361" t="str" s="2">
        <x:v>Walk-in</x:v>
      </x:c>
      <x:c r="G1361" t="str" s="2">
        <x:v>Steve Castell</x:v>
      </x:c>
      <x:c r="H1361" s="6">
        <x:v>46218.64447931713</x:v>
      </x:c>
      <x:c r="I1361" t="str" s="2">
        <x:v>Karla Brizuela</x:v>
      </x:c>
      <x:c r="J1361" s="0"/>
      <x:c r="K1361" s="6">
        <x:v>46218.64447931713</x:v>
      </x:c>
      <x:c r="L1361" t="str" s="2">
        <x:v>Deal Created</x:v>
      </x:c>
    </x:row>
    <x:row r="1362">
      <x:c r="A1362" t="str" s="2">
        <x:f>=HYPERLINK("https://rsms.futurehomex.com/lead/38531", "Jessica Hicks")</x:f>
      </x:c>
      <x:c r="B1362" t="str" s="2">
        <x:v>Heritage Housing of Minden</x:v>
      </x:c>
      <x:c r="C1362" t="str" s="2">
        <x:v>0/1</x:v>
      </x:c>
      <x:c r="D1362" t="str" s="2">
        <x:v>8066900843</x:v>
      </x:c>
      <x:c r="E1362" t="str" s="2">
        <x:v>8066900843</x:v>
      </x:c>
      <x:c r="F1362" t="str" s="2">
        <x:v>HH - Minden</x:v>
      </x:c>
      <x:c r="G1362" t="str" s="2">
        <x:v>Patrick Schuchart</x:v>
      </x:c>
      <x:c r="H1362" s="6">
        <x:v>46218.73137809028</x:v>
      </x:c>
      <x:c r="I1362" t="str" s="2">
        <x:v>Patrick Schuchart</x:v>
      </x:c>
      <x:c r="J1362" s="0"/>
      <x:c r="K1362" s="6">
        <x:v>46218.73137809028</x:v>
      </x:c>
      <x:c r="L1362" t="str" s="2">
        <x:v>Deal Created</x:v>
      </x:c>
    </x:row>
    <x:row r="1363">
      <x:c r="A1363" t="str" s="2">
        <x:f>=HYPERLINK("https://rsms.futurehomex.com/lead/38547", "Gene Baker")</x:f>
      </x:c>
      <x:c r="B1363" t="str" s="2">
        <x:v>Heritage Housing of Oklahoma City</x:v>
      </x:c>
      <x:c r="C1363" t="str" s="2">
        <x:v/>
      </x:c>
      <x:c r="D1363" t="str" s="2">
        <x:v>4055177542</x:v>
      </x:c>
      <x:c r="E1363" t="str" s="2">
        <x:v>genebaker1976@gmail.com</x:v>
      </x:c>
      <x:c r="F1363" t="str" s="2">
        <x:v>Walk-in</x:v>
      </x:c>
      <x:c r="G1363" t="str" s="2">
        <x:v>Steve Castell</x:v>
      </x:c>
      <x:c r="H1363" s="6">
        <x:v>46218.88407681713</x:v>
      </x:c>
      <x:c r="I1363" t="str" s="2">
        <x:v>Trey Rixleben</x:v>
      </x:c>
      <x:c r="J1363" s="0"/>
      <x:c r="K1363" s="6">
        <x:v>46218.88407681713</x:v>
      </x:c>
      <x:c r="L1363" t="str" s="2">
        <x:v>Deal Created</x:v>
      </x:c>
    </x:row>
    <x:row r="1364">
      <x:c r="A1364" t="str" s="2">
        <x:f>=HYPERLINK("https://rsms.futurehomex.com/lead/38553", "Brandy Mcdaniel")</x:f>
      </x:c>
      <x:c r="B1364" t="str" s="2">
        <x:v>Heritage Housing of Minden</x:v>
      </x:c>
      <x:c r="C1364" t="str" s="2">
        <x:v/>
      </x:c>
      <x:c r="D1364" t="str" s="2">
        <x:v>3189532874</x:v>
      </x:c>
      <x:c r="E1364" t="str" s="2">
        <x:v>3189532874</x:v>
      </x:c>
      <x:c r="F1364" t="str" s="2">
        <x:v>Meta Marketplace</x:v>
      </x:c>
      <x:c r="G1364" t="str" s="2">
        <x:v>Patrick Schuchart</x:v>
      </x:c>
      <x:c r="H1364" s="6">
        <x:v>46219.59060181713</x:v>
      </x:c>
      <x:c r="I1364" t="str" s="2">
        <x:v>Patrick Schuchart</x:v>
      </x:c>
      <x:c r="J1364" s="0"/>
      <x:c r="K1364" s="6">
        <x:v>46219.59060181713</x:v>
      </x:c>
      <x:c r="L1364" t="str" s="2">
        <x:v>Deal Created</x:v>
      </x:c>
    </x:row>
    <x:row r="1365">
      <x:c r="A1365" t="str" s="2">
        <x:f>=HYPERLINK("https://rsms.futurehomex.com/lead/38570", "David Lloyd")</x:f>
      </x:c>
      <x:c r="B1365" t="str" s="2">
        <x:v>Heritage Housing of Oklahoma City</x:v>
      </x:c>
      <x:c r="C1365" t="str" s="2">
        <x:v/>
      </x:c>
      <x:c r="D1365" t="str" s="2">
        <x:v>4053169805</x:v>
      </x:c>
      <x:c r="E1365" t="str" s="2">
        <x:v>therealdavelloyd@gmail.com</x:v>
      </x:c>
      <x:c r="F1365" t="str" s="2">
        <x:v>Financing Form</x:v>
      </x:c>
      <x:c r="G1365" t="str" s="2">
        <x:v>Trey Rixleben</x:v>
      </x:c>
      <x:c r="H1365" s="6">
        <x:v>46219.979685335646</x:v>
      </x:c>
      <x:c r="I1365" t="str" s="2">
        <x:v>Trey Rixleben</x:v>
      </x:c>
      <x:c r="J1365" s="0"/>
      <x:c r="K1365" s="6">
        <x:v>46220.70622369213</x:v>
      </x:c>
      <x:c r="L1365" t="str" s="2">
        <x:v>Deal Created</x:v>
      </x:c>
    </x:row>
    <x:row r="1366">
      <x:c r="A1366" t="str" s="2">
        <x:f>=HYPERLINK("https://rsms.futurehomex.com/lead/38581", "Santiago Sazar Rivera")</x:f>
      </x:c>
      <x:c r="B1366" t="str" s="2">
        <x:v>Heritage Housing of Oklahoma City</x:v>
      </x:c>
      <x:c r="C1366" t="str" s="2">
        <x:v/>
      </x:c>
      <x:c r="D1366" t="str" s="2">
        <x:v>4053712987</x:v>
      </x:c>
      <x:c r="E1366" t="str" s="2">
        <x:v>salazarsantiago0720@gmail.com</x:v>
      </x:c>
      <x:c r="F1366" t="str" s="2">
        <x:v>Walk-in</x:v>
      </x:c>
      <x:c r="G1366" t="str" s="2">
        <x:v>Steve Castell</x:v>
      </x:c>
      <x:c r="H1366" s="6">
        <x:v>46220.898925925925</x:v>
      </x:c>
      <x:c r="I1366" t="str" s="2">
        <x:v>Alejandra Calderon</x:v>
      </x:c>
      <x:c r="J1366" s="0"/>
      <x:c r="K1366" s="6">
        <x:v>46220.898925925925</x:v>
      </x:c>
      <x:c r="L1366" t="str" s="2">
        <x:v>Deal Created</x:v>
      </x:c>
    </x:row>
    <x:row r="1367">
      <x:c r="A1367" t="str" s="2">
        <x:f>=HYPERLINK("https://rsms.futurehomex.com/lead/38593", "Bryce Wardlow")</x:f>
      </x:c>
      <x:c r="B1367" t="str" s="2">
        <x:v>Heritage Housing of Oklahoma City</x:v>
      </x:c>
      <x:c r="C1367" t="str" s="2">
        <x:v/>
      </x:c>
      <x:c r="D1367" t="str" s="2">
        <x:v>4057121799</x:v>
      </x:c>
      <x:c r="E1367" t="str" s="2">
        <x:v>brycewardlow@gmail.com</x:v>
      </x:c>
      <x:c r="F1367" t="str" s="2">
        <x:v>Walk-in</x:v>
      </x:c>
      <x:c r="G1367" t="str" s="2">
        <x:v>Steve Castell</x:v>
      </x:c>
      <x:c r="H1367" s="6">
        <x:v>46221.65221693287</x:v>
      </x:c>
      <x:c r="I1367" t="str" s="2">
        <x:v>Steve Castell</x:v>
      </x:c>
      <x:c r="J1367" s="0"/>
      <x:c r="K1367" s="6">
        <x:v>46221.65221693287</x:v>
      </x:c>
      <x:c r="L1367" t="str" s="2">
        <x:v>Deal Created</x:v>
      </x:c>
    </x:row>
    <x:row r="1368">
      <x:c r="A1368" t="str" s="2">
        <x:f>=HYPERLINK("https://rsms.futurehomex.com/lead/38631", "Sheila Jones")</x:f>
      </x:c>
      <x:c r="B1368" t="str" s="2">
        <x:v>Heritage Housing of Albany</x:v>
      </x:c>
      <x:c r="C1368" t="str" s="2">
        <x:v/>
      </x:c>
      <x:c r="D1368" t="str" s="2">
        <x:v>2816845433</x:v>
      </x:c>
      <x:c r="E1368" t="str" s="2">
        <x:v>annjone72@gmail.com</x:v>
      </x:c>
      <x:c r="F1368" t="str" s="2">
        <x:v>Financing Form</x:v>
      </x:c>
      <x:c r="G1368" t="str" s="2">
        <x:v>Yanet Alvarez</x:v>
      </x:c>
      <x:c r="H1368" s="6">
        <x:v>46222.63033526621</x:v>
      </x:c>
      <x:c r="I1368" t="str" s="2">
        <x:v>Jose Parada</x:v>
      </x:c>
      <x:c r="J1368" s="0"/>
      <x:c r="K1368" s="6">
        <x:v>46223.67176149305</x:v>
      </x:c>
      <x:c r="L1368" t="str" s="2">
        <x:v>Deal Created</x:v>
      </x:c>
    </x:row>
    <x:row r="1369">
      <x:c r="A1369" t="str" s="2">
        <x:f>=HYPERLINK("https://rsms.futurehomex.com/lead/39705", "Patrick Corn Sr")</x:f>
      </x:c>
      <x:c r="B1369" t="str" s="2">
        <x:v>Heritage Housing of Oklahoma City</x:v>
      </x:c>
      <x:c r="C1369" t="str" s="2">
        <x:v>0/5</x:v>
      </x:c>
      <x:c r="D1369" t="str" s="2">
        <x:v>9405952173</x:v>
      </x:c>
      <x:c r="E1369" t="str" s="2">
        <x:v>pcorn5081@gmail.com</x:v>
      </x:c>
      <x:c r="F1369" t="str" s="2">
        <x:v>Meta Ads - Forms</x:v>
      </x:c>
      <x:c r="G1369" t="str" s="2">
        <x:v>Steve Castell</x:v>
      </x:c>
      <x:c r="H1369" s="6">
        <x:v>46223.215478356484</x:v>
      </x:c>
      <x:c r="I1369" t="str" s="2">
        <x:v>Steve Castell</x:v>
      </x:c>
      <x:c r="J1369" s="0"/>
      <x:c r="K1369" s="6">
        <x:v>46249</x:v>
      </x:c>
      <x:c r="L1369" t="str" s="2">
        <x:v>Deal Created</x:v>
      </x:c>
    </x:row>
    <x:row r="1370">
      <x:c r="A1370" t="str" s="2">
        <x:f>=HYPERLINK("https://rsms.futurehomex.com/lead/39570", "Mike Woods")</x:f>
      </x:c>
      <x:c r="B1370" t="str" s="2">
        <x:v>Heritage Housing of Oklahoma City</x:v>
      </x:c>
      <x:c r="C1370" t="str" s="2">
        <x:v>0/2</x:v>
      </x:c>
      <x:c r="D1370" t="str" s="2">
        <x:v>4054125529</x:v>
      </x:c>
      <x:c r="E1370" t="str" s="2">
        <x:v>squeaky5499@yahoo.com</x:v>
      </x:c>
      <x:c r="F1370" t="str" s="2">
        <x:v>Meta Ads - Forms</x:v>
      </x:c>
      <x:c r="G1370" t="str" s="2">
        <x:v>Steve Castell</x:v>
      </x:c>
      <x:c r="H1370" s="6">
        <x:v>46224.16324378472</x:v>
      </x:c>
      <x:c r="I1370" t="str" s="2">
        <x:v>Steve Castell</x:v>
      </x:c>
      <x:c r="J1370" s="0"/>
      <x:c r="K1370" s="6">
        <x:v>46227.99322392361</x:v>
      </x:c>
      <x:c r="L1370" t="str" s="2">
        <x:v>Deal Created</x:v>
      </x:c>
    </x:row>
    <x:row r="1371">
      <x:c r="A1371" t="str" s="2">
        <x:f>=HYPERLINK("https://rsms.futurehomex.com/lead/38653", "Charlotte Merritt")</x:f>
      </x:c>
      <x:c r="B1371" t="str" s="2">
        <x:v>Heritage Housing of Albany</x:v>
      </x:c>
      <x:c r="C1371" t="str" s="2">
        <x:v/>
      </x:c>
      <x:c r="D1371" t="str" s="2">
        <x:v>9122534627</x:v>
      </x:c>
      <x:c r="E1371" t="str" s="2">
        <x:v>9122534627</x:v>
      </x:c>
      <x:c r="F1371" t="str" s="2">
        <x:v>Facebook Messenger</x:v>
      </x:c>
      <x:c r="G1371" t="str" s="2">
        <x:v>Yanet Alvarez</x:v>
      </x:c>
      <x:c r="H1371" s="6">
        <x:v>46224.59673553241</x:v>
      </x:c>
      <x:c r="I1371" t="str" s="2">
        <x:v>Justin Johnson</x:v>
      </x:c>
      <x:c r="J1371" s="0"/>
      <x:c r="K1371" s="6">
        <x:v>46224.59673553241</x:v>
      </x:c>
      <x:c r="L1371" t="str" s="2">
        <x:v>Deal Created</x:v>
      </x:c>
    </x:row>
    <x:row r="1372">
      <x:c r="A1372" t="str" s="2">
        <x:f>=HYPERLINK("https://rsms.futurehomex.com/lead/39563", "Robin Sparks")</x:f>
      </x:c>
      <x:c r="B1372" t="str" s="2">
        <x:v>Heritage Housing of Oklahoma City</x:v>
      </x:c>
      <x:c r="C1372" t="str" s="2">
        <x:v>0/3</x:v>
      </x:c>
      <x:c r="D1372" t="str" s="2">
        <x:v>5807161389</x:v>
      </x:c>
      <x:c r="E1372" t="str" s="2">
        <x:v>rakdk77@gmail.com</x:v>
      </x:c>
      <x:c r="F1372" t="str" s="2">
        <x:v>Financing Form</x:v>
      </x:c>
      <x:c r="G1372" t="str" s="2">
        <x:v>Steve Castell</x:v>
      </x:c>
      <x:c r="H1372" s="6">
        <x:v>46224.720960844905</x:v>
      </x:c>
      <x:c r="I1372" t="str" s="2">
        <x:v>Steve Castell</x:v>
      </x:c>
      <x:c r="J1372" s="0"/>
      <x:c r="K1372" s="6">
        <x:v>46227</x:v>
      </x:c>
      <x:c r="L1372" t="str" s="2">
        <x:v>Deal Created</x:v>
      </x:c>
    </x:row>
    <x:row r="1373">
      <x:c r="A1373" t="str" s="2">
        <x:f>=HYPERLINK("https://rsms.futurehomex.com/lead/38660", "Jennifer Robinson")</x:f>
      </x:c>
      <x:c r="B1373" t="str" s="2">
        <x:v>Heritage Housing of Jennings</x:v>
      </x:c>
      <x:c r="C1373" t="str" s="2">
        <x:v/>
      </x:c>
      <x:c r="D1373" t="str" s="2">
        <x:v>561-310-8826</x:v>
      </x:c>
      <x:c r="E1373" t="str" s="2">
        <x:v>jrobinson22311@gmail.com</x:v>
      </x:c>
      <x:c r="F1373" t="str" s="2">
        <x:v>Financing Form</x:v>
      </x:c>
      <x:c r="G1373" t="str" s="2">
        <x:v>Clint O'Neal</x:v>
      </x:c>
      <x:c r="H1373" s="6">
        <x:v>46224.75862056713</x:v>
      </x:c>
      <x:c r="I1373" t="str" s="2">
        <x:v>Clint O'Neal</x:v>
      </x:c>
      <x:c r="J1373" s="0"/>
      <x:c r="K1373" s="6">
        <x:v>46224.77393599537</x:v>
      </x:c>
      <x:c r="L1373" t="str" s="2">
        <x:v>Deal Created</x:v>
      </x:c>
    </x:row>
    <x:row r="1374">
      <x:c r="A1374" t="str" s="2">
        <x:f>=HYPERLINK("https://rsms.futurehomex.com/lead/38045", "Danny Whitehead")</x:f>
      </x:c>
      <x:c r="B1374" s="0"/>
      <x:c r="C1374" t="str" s="2">
        <x:v/>
      </x:c>
      <x:c r="D1374" t="str" s="2">
        <x:v>2292210133</x:v>
      </x:c>
      <x:c r="E1374" t="str" s="2">
        <x:v>audreywhitehead222@gmail.com</x:v>
      </x:c>
      <x:c r="F1374" t="str" s="2">
        <x:v>Facebook Messenger</x:v>
      </x:c>
      <x:c r="G1374" t="str" s="2">
        <x:v>Justin Johnson</x:v>
      </x:c>
      <x:c r="H1374" s="6">
        <x:v>46224.76202190972</x:v>
      </x:c>
      <x:c r="I1374" t="str" s="2">
        <x:v>Justin Johnson</x:v>
      </x:c>
      <x:c r="J1374" s="0"/>
      <x:c r="K1374" s="0"/>
      <x:c r="L1374" t="str" s="2">
        <x:v>Deal Created</x:v>
      </x:c>
    </x:row>
    <x:row r="1375">
      <x:c r="A1375" t="str" s="2">
        <x:f>=HYPERLINK("https://rsms.futurehomex.com/lead/38669", "Medd Chayston")</x:f>
      </x:c>
      <x:c r="B1375" t="str" s="2">
        <x:v>Heritage Housing of Oklahoma City</x:v>
      </x:c>
      <x:c r="C1375" t="str" s="2">
        <x:v/>
      </x:c>
      <x:c r="D1375" t="str" s="2">
        <x:v>3086558019</x:v>
      </x:c>
      <x:c r="E1375" t="str" s="2">
        <x:v>chayston.04@yahoo.com</x:v>
      </x:c>
      <x:c r="F1375" t="str" s="2">
        <x:v>Walk-in</x:v>
      </x:c>
      <x:c r="G1375" t="str" s="2">
        <x:v>Steve Castell</x:v>
      </x:c>
      <x:c r="H1375" s="6">
        <x:v>46224.928477118054</x:v>
      </x:c>
      <x:c r="I1375" t="str" s="2">
        <x:v>Alejandra Calderon</x:v>
      </x:c>
      <x:c r="J1375" s="0"/>
      <x:c r="K1375" s="6">
        <x:v>46224.928477118054</x:v>
      </x:c>
      <x:c r="L1375" t="str" s="2">
        <x:v>Deal Created</x:v>
      </x:c>
    </x:row>
    <x:row r="1376">
      <x:c r="A1376" t="str" s="2">
        <x:f>=HYPERLINK("https://rsms.futurehomex.com/lead/38679", "Darlene Diana")</x:f>
      </x:c>
      <x:c r="B1376" t="str" s="2">
        <x:v>Heritage Housing of Oklahoma City</x:v>
      </x:c>
      <x:c r="C1376" t="str" s="2">
        <x:v/>
      </x:c>
      <x:c r="D1376" t="str" s="2">
        <x:v>4055341163</x:v>
      </x:c>
      <x:c r="E1376" t="str" s="2">
        <x:v>darlene562@gmail.com</x:v>
      </x:c>
      <x:c r="F1376" t="str" s="2">
        <x:v>Walk-in</x:v>
      </x:c>
      <x:c r="G1376" t="str" s="2">
        <x:v>Steve Castell</x:v>
      </x:c>
      <x:c r="H1376" s="6">
        <x:v>46225.67300686343</x:v>
      </x:c>
      <x:c r="I1376" t="str" s="2">
        <x:v>Alejandra Calderon</x:v>
      </x:c>
      <x:c r="J1376" s="0"/>
      <x:c r="K1376" s="6">
        <x:v>46225.67300686343</x:v>
      </x:c>
      <x:c r="L1376" t="str" s="2">
        <x:v>Deal Created</x:v>
      </x:c>
    </x:row>
    <x:row r="1377">
      <x:c r="A1377" t="str" s="2">
        <x:f>=HYPERLINK("https://rsms.futurehomex.com/lead/38685", "Andrew Dodson")</x:f>
      </x:c>
      <x:c r="B1377" t="str" s="2">
        <x:v>Heritage Housing of Oklahoma City</x:v>
      </x:c>
      <x:c r="C1377" t="str" s="2">
        <x:v/>
      </x:c>
      <x:c r="D1377" t="str" s="2">
        <x:v>4057785491</x:v>
      </x:c>
      <x:c r="E1377" t="str" s="2">
        <x:v>4057785491</x:v>
      </x:c>
      <x:c r="F1377" t="str" s="2">
        <x:v>HH - Oklahoma City</x:v>
      </x:c>
      <x:c r="G1377" t="str" s="2">
        <x:v>Steve Castell</x:v>
      </x:c>
      <x:c r="H1377" s="6">
        <x:v>46225.75908043981</x:v>
      </x:c>
      <x:c r="I1377" t="str" s="2">
        <x:v>Karla Brizuela</x:v>
      </x:c>
      <x:c r="J1377" s="0"/>
      <x:c r="K1377" s="6">
        <x:v>46225.75908043981</x:v>
      </x:c>
      <x:c r="L1377" t="str" s="2">
        <x:v>Deal Created</x:v>
      </x:c>
    </x:row>
    <x:row r="1378">
      <x:c r="A1378" t="str" s="2">
        <x:f>=HYPERLINK("https://rsms.futurehomex.com/lead/38691", "Larethia Ford")</x:f>
      </x:c>
      <x:c r="B1378" t="str" s="2">
        <x:v>Heritage Housing of Oklahoma City</x:v>
      </x:c>
      <x:c r="C1378" t="str" s="2">
        <x:v/>
      </x:c>
      <x:c r="D1378" t="str" s="2">
        <x:v>4056583932</x:v>
      </x:c>
      <x:c r="E1378" t="str" s="2">
        <x:v>fordlarethia@gmail.com</x:v>
      </x:c>
      <x:c r="F1378" t="str" s="2">
        <x:v>HH - Oklahoma City</x:v>
      </x:c>
      <x:c r="G1378" t="str" s="2">
        <x:v>Steve Castell</x:v>
      </x:c>
      <x:c r="H1378" s="6">
        <x:v>46225.88307538194</x:v>
      </x:c>
      <x:c r="I1378" t="str" s="2">
        <x:v>Alejandra Calderon</x:v>
      </x:c>
      <x:c r="J1378" s="0"/>
      <x:c r="K1378" s="6">
        <x:v>46225.88307538194</x:v>
      </x:c>
      <x:c r="L1378" t="str" s="2">
        <x:v>Deal Created</x:v>
      </x:c>
    </x:row>
    <x:row r="1379">
      <x:c r="A1379" t="str" s="2">
        <x:f>=HYPERLINK("https://rsms.futurehomex.com/lead/38702", "Pedro Prueba Test")</x:f>
      </x:c>
      <x:c r="B1379" t="str" s="2">
        <x:v>Legacy Housing Corp. DBA Americasa</x:v>
      </x:c>
      <x:c r="C1379" t="str" s="2">
        <x:v/>
      </x:c>
      <x:c r="D1379" t="str" s="2">
        <x:v>4444444444</x:v>
      </x:c>
      <x:c r="E1379" t="str" s="2">
        <x:v>4444444444</x:v>
      </x:c>
      <x:c r="F1379" t="str" s="2">
        <x:v>Walk-in</x:v>
      </x:c>
      <x:c r="G1379" t="str" s="2">
        <x:v>Rodrigo Ramirez</x:v>
      </x:c>
      <x:c r="H1379" s="6">
        <x:v>46226.65391091435</x:v>
      </x:c>
      <x:c r="I1379" t="str" s="2">
        <x:v>Rodrigo Ramirez</x:v>
      </x:c>
      <x:c r="J1379" s="0"/>
      <x:c r="K1379" s="6">
        <x:v>46226.65391091435</x:v>
      </x:c>
      <x:c r="L1379" t="str" s="2">
        <x:v>Deal Created</x:v>
      </x:c>
    </x:row>
    <x:row r="1380">
      <x:c r="A1380" t="str" s="2">
        <x:f>=HYPERLINK("https://rsms.futurehomex.com/lead/38709", "Johnene Burnett")</x:f>
      </x:c>
      <x:c r="B1380" t="str" s="2">
        <x:v>Heritage Housing of Augusta</x:v>
      </x:c>
      <x:c r="C1380" t="str" s="2">
        <x:v>0/1</x:v>
      </x:c>
      <x:c r="D1380" t="str" s="2">
        <x:v>7068336405</x:v>
      </x:c>
      <x:c r="E1380" t="str" s="2">
        <x:v>7068336405</x:v>
      </x:c>
      <x:c r="F1380" t="str" s="2">
        <x:v>Walk-in</x:v>
      </x:c>
      <x:c r="G1380" t="str" s="2">
        <x:v>Jose Chavez</x:v>
      </x:c>
      <x:c r="H1380" s="6">
        <x:v>46226.81691207176</x:v>
      </x:c>
      <x:c r="I1380" t="str" s="2">
        <x:v>Jennifer Johnson</x:v>
      </x:c>
      <x:c r="J1380" s="0"/>
      <x:c r="K1380" s="6">
        <x:v>46226.81691207176</x:v>
      </x:c>
      <x:c r="L1380" t="str" s="2">
        <x:v>Deal Created</x:v>
      </x:c>
    </x:row>
    <x:row r="1381">
      <x:c r="A1381" t="str" s="2">
        <x:f>=HYPERLINK("https://rsms.futurehomex.com/lead/38715", "Elias Robles")</x:f>
      </x:c>
      <x:c r="B1381" t="str" s="2">
        <x:v>Heritage Housing Mt Pleasant</x:v>
      </x:c>
      <x:c r="C1381" t="str" s="2">
        <x:v/>
      </x:c>
      <x:c r="D1381" t="str" s="2">
        <x:v>9039187245</x:v>
      </x:c>
      <x:c r="E1381" t="str" s="2">
        <x:v>eliasrobles1995@yahoo.com</x:v>
      </x:c>
      <x:c r="F1381" t="str" s="2">
        <x:v>Walk-in</x:v>
      </x:c>
      <x:c r="G1381" t="str" s="2">
        <x:v>Sandra Saldana</x:v>
      </x:c>
      <x:c r="H1381" s="6">
        <x:v>46226.94356516204</x:v>
      </x:c>
      <x:c r="I1381" t="str" s="2">
        <x:v>Sandra Saldana</x:v>
      </x:c>
      <x:c r="J1381" s="0"/>
      <x:c r="K1381" s="6">
        <x:v>46226.94356516204</x:v>
      </x:c>
      <x:c r="L1381" t="str" s="2">
        <x:v>Deal Created</x:v>
      </x:c>
    </x:row>
    <x:row r="1382">
      <x:c r="A1382" t="str" s="2">
        <x:f>=HYPERLINK("https://rsms.futurehomex.com/lead/38720", "Angelica De Palacios")</x:f>
      </x:c>
      <x:c r="B1382" t="str" s="2">
        <x:v>Heritage Housing of Oklahoma City</x:v>
      </x:c>
      <x:c r="C1382" t="str" s="2">
        <x:v/>
      </x:c>
      <x:c r="D1382" t="str" s="2">
        <x:v>4059051439</x:v>
      </x:c>
      <x:c r="E1382" t="str" s="2">
        <x:v>angelicadepalacios.100@gmail.com</x:v>
      </x:c>
      <x:c r="F1382" t="str" s="2">
        <x:v>HH - Oklahoma City</x:v>
      </x:c>
      <x:c r="G1382" t="str" s="2">
        <x:v>Steve Castell</x:v>
      </x:c>
      <x:c r="H1382" s="6">
        <x:v>46227.63272288194</x:v>
      </x:c>
      <x:c r="I1382" t="str" s="2">
        <x:v>Eva Misheva</x:v>
      </x:c>
      <x:c r="J1382" s="0"/>
      <x:c r="K1382" s="6">
        <x:v>46227.63272288194</x:v>
      </x:c>
      <x:c r="L1382" t="str" s="2">
        <x:v>Deal Created</x:v>
      </x:c>
    </x:row>
    <x:row r="1383">
      <x:c r="A1383" t="str" s="2">
        <x:f>=HYPERLINK("https://rsms.futurehomex.com/lead/38722", "Chance Biffle")</x:f>
      </x:c>
      <x:c r="B1383" t="str" s="2">
        <x:v>Heritage Housing of Oklahoma City</x:v>
      </x:c>
      <x:c r="C1383" t="str" s="2">
        <x:v/>
      </x:c>
      <x:c r="D1383" t="str" s="2">
        <x:v>5808602005</x:v>
      </x:c>
      <x:c r="E1383" t="str" s="2">
        <x:v>chancebiffle65@gmail.com</x:v>
      </x:c>
      <x:c r="F1383" t="str" s="2">
        <x:v>Walk-in</x:v>
      </x:c>
      <x:c r="G1383" t="str" s="2">
        <x:v>Trey Rixleben</x:v>
      </x:c>
      <x:c r="H1383" s="6">
        <x:v>46227.700737962965</x:v>
      </x:c>
      <x:c r="I1383" t="str" s="2">
        <x:v>Trey Rixleben</x:v>
      </x:c>
      <x:c r="J1383" s="0"/>
      <x:c r="K1383" s="6">
        <x:v>46227.700737962965</x:v>
      </x:c>
      <x:c r="L1383" t="str" s="2">
        <x:v>Deal Created</x:v>
      </x:c>
    </x:row>
    <x:row r="1384">
      <x:c r="A1384" t="str" s="2">
        <x:f>=HYPERLINK("https://rsms.futurehomex.com/lead/38723", "Madison Morris")</x:f>
      </x:c>
      <x:c r="B1384" t="str" s="2">
        <x:v>Heritage Housing of Oklahoma City</x:v>
      </x:c>
      <x:c r="C1384" t="str" s="2">
        <x:v/>
      </x:c>
      <x:c r="D1384" t="str" s="2">
        <x:v>5392991630</x:v>
      </x:c>
      <x:c r="E1384" t="str" s="2">
        <x:v>5392991630</x:v>
      </x:c>
      <x:c r="F1384" t="str" s="2">
        <x:v>Facebook Messenger</x:v>
      </x:c>
      <x:c r="G1384" t="str" s="2">
        <x:v>Steve Castell</x:v>
      </x:c>
      <x:c r="H1384" s="6">
        <x:v>46227.72231686342</x:v>
      </x:c>
      <x:c r="I1384" t="str" s="2">
        <x:v>Steve Castell</x:v>
      </x:c>
      <x:c r="J1384" s="0"/>
      <x:c r="K1384" s="6">
        <x:v>46227.72231686342</x:v>
      </x:c>
      <x:c r="L1384" t="str" s="2">
        <x:v>Deal Created</x:v>
      </x:c>
    </x:row>
    <x:row r="1385">
      <x:c r="A1385" t="str" s="2">
        <x:f>=HYPERLINK("https://rsms.futurehomex.com/lead/39567", "Shawna Cook")</x:f>
      </x:c>
      <x:c r="B1385" t="str" s="2">
        <x:v>Heritage Housing of Oklahoma City</x:v>
      </x:c>
      <x:c r="C1385" t="str" s="2">
        <x:v>0/2</x:v>
      </x:c>
      <x:c r="D1385" t="str" s="2">
        <x:v>5803340691</x:v>
      </x:c>
      <x:c r="E1385" t="str" s="2">
        <x:v>shawnadewitt@hotmail.com</x:v>
      </x:c>
      <x:c r="F1385" t="str" s="2">
        <x:v>Financing Form</x:v>
      </x:c>
      <x:c r="G1385" t="str" s="2">
        <x:v>Steve Castell</x:v>
      </x:c>
      <x:c r="H1385" s="6">
        <x:v>46227.964534259256</x:v>
      </x:c>
      <x:c r="I1385" t="str" s="2">
        <x:v>Steve Castell</x:v>
      </x:c>
      <x:c r="J1385" s="6">
        <x:v>46242.791666666664</x:v>
      </x:c>
      <x:c r="K1385" s="6">
        <x:v>46244.600416319445</x:v>
      </x:c>
      <x:c r="L1385" t="str" s="2">
        <x:v>Deal Created</x:v>
      </x:c>
    </x:row>
    <x:row r="1386">
      <x:c r="A1386" t="str" s="2">
        <x:f>=HYPERLINK("https://rsms.futurehomex.com/lead/38741", "Patricia Ann Massey")</x:f>
      </x:c>
      <x:c r="B1386" t="str" s="2">
        <x:v>Heritage Housing of Oklahoma City</x:v>
      </x:c>
      <x:c r="C1386" t="str" s="2">
        <x:v/>
      </x:c>
      <x:c r="D1386" t="str" s="2">
        <x:v>5803992741</x:v>
      </x:c>
      <x:c r="E1386" t="str" s="2">
        <x:v>5803992741</x:v>
      </x:c>
      <x:c r="F1386" t="str" s="2">
        <x:v>HH - Oklahoma City</x:v>
      </x:c>
      <x:c r="G1386" t="str" s="2">
        <x:v>Steve Castell</x:v>
      </x:c>
      <x:c r="H1386" s="6">
        <x:v>46228.641671261576</x:v>
      </x:c>
      <x:c r="I1386" t="str" s="2">
        <x:v>Trey Rixleben</x:v>
      </x:c>
      <x:c r="J1386" s="0"/>
      <x:c r="K1386" s="6">
        <x:v>46228.641671261576</x:v>
      </x:c>
      <x:c r="L1386" t="str" s="2">
        <x:v>Deal Created</x:v>
      </x:c>
    </x:row>
    <x:row r="1387">
      <x:c r="A1387" t="str" s="2">
        <x:f>=HYPERLINK("https://rsms.futurehomex.com/lead/38745", "Pablo Corona")</x:f>
      </x:c>
      <x:c r="B1387" t="str" s="2">
        <x:v>Legacy Housing Corp. DBA Americasa</x:v>
      </x:c>
      <x:c r="C1387" t="str" s="2">
        <x:v/>
      </x:c>
      <x:c r="D1387" t="str" s="2">
        <x:v>8326435341</x:v>
      </x:c>
      <x:c r="E1387" t="str" s="2">
        <x:v>8326435341</x:v>
      </x:c>
      <x:c r="F1387" t="str" s="2">
        <x:v>Meta Marketplace</x:v>
      </x:c>
      <x:c r="G1387" t="str" s="2">
        <x:v>Rodrigo Ramirez</x:v>
      </x:c>
      <x:c r="H1387" s="6">
        <x:v>46228.73501967593</x:v>
      </x:c>
      <x:c r="I1387" t="str" s="2">
        <x:v>Joey Marquez</x:v>
      </x:c>
      <x:c r="J1387" s="0"/>
      <x:c r="K1387" s="6">
        <x:v>46228.73501967593</x:v>
      </x:c>
      <x:c r="L1387" t="str" s="2">
        <x:v>Deal Created</x:v>
      </x:c>
    </x:row>
    <x:row r="1388">
      <x:c r="A1388" t="str" s="2">
        <x:f>=HYPERLINK("https://rsms.futurehomex.com/lead/38751", "Russell Rhodds")</x:f>
      </x:c>
      <x:c r="B1388" t="str" s="2">
        <x:v>Heritage Housing of Oklahoma City</x:v>
      </x:c>
      <x:c r="C1388" t="str" s="2">
        <x:v/>
      </x:c>
      <x:c r="D1388" t="str" s="2">
        <x:v>5803048973</x:v>
      </x:c>
      <x:c r="E1388" t="str" s="2">
        <x:v>russnlgdiasrhoodd96@gmail.com</x:v>
      </x:c>
      <x:c r="F1388" t="str" s="2">
        <x:v>HH - Oklahoma City</x:v>
      </x:c>
      <x:c r="G1388" t="str" s="2">
        <x:v>Steve Castell</x:v>
      </x:c>
      <x:c r="H1388" s="6">
        <x:v>46228.85857708333</x:v>
      </x:c>
      <x:c r="I1388" t="str" s="2">
        <x:v>Alejandra Calderon</x:v>
      </x:c>
      <x:c r="J1388" s="0"/>
      <x:c r="K1388" s="6">
        <x:v>46228.85857708333</x:v>
      </x:c>
      <x:c r="L1388" t="str" s="2">
        <x:v>Deal Created</x:v>
      </x:c>
    </x:row>
    <x:row r="1389">
      <x:c r="A1389" t="str" s="2">
        <x:f>=HYPERLINK("https://rsms.futurehomex.com/lead/38754", "Jonnie Teague")</x:f>
      </x:c>
      <x:c r="B1389" t="str" s="2">
        <x:v>Heritage Housing of Oklahoma City</x:v>
      </x:c>
      <x:c r="C1389" t="str" s="2">
        <x:v/>
      </x:c>
      <x:c r="D1389" t="str" s="2">
        <x:v>9183153872</x:v>
      </x:c>
      <x:c r="E1389" t="str" s="2">
        <x:v>jonnieteague1234@gmail.com</x:v>
      </x:c>
      <x:c r="F1389" t="str" s="2">
        <x:v>Facebook Messenger</x:v>
      </x:c>
      <x:c r="G1389" t="str" s="2">
        <x:v>Trey Rixleben</x:v>
      </x:c>
      <x:c r="H1389" s="6">
        <x:v>46228.90225146991</x:v>
      </x:c>
      <x:c r="I1389" t="str" s="2">
        <x:v>Trey Rixleben</x:v>
      </x:c>
      <x:c r="J1389" s="0"/>
      <x:c r="K1389" s="6">
        <x:v>46228.90225146991</x:v>
      </x:c>
      <x:c r="L1389" t="str" s="2">
        <x:v>Deal Created</x:v>
      </x:c>
    </x:row>
    <x:row r="1390">
      <x:c r="A1390" t="str" s="2">
        <x:f>=HYPERLINK("https://rsms.futurehomex.com/lead/39597", "LaCinda Reneau")</x:f>
      </x:c>
      <x:c r="B1390" t="str" s="2">
        <x:v>Heritage Housing of Oklahoma City</x:v>
      </x:c>
      <x:c r="C1390" t="str" s="2">
        <x:v>0/5</x:v>
      </x:c>
      <x:c r="D1390" t="str" s="2">
        <x:v>6208422984</x:v>
      </x:c>
      <x:c r="E1390" t="str" s="2">
        <x:v>Lacindareneau1971@gmail.com</x:v>
      </x:c>
      <x:c r="F1390" t="str" s="2">
        <x:v>Meta Ads - Forms</x:v>
      </x:c>
      <x:c r="G1390" t="str" s="2">
        <x:v>Steve Castell</x:v>
      </x:c>
      <x:c r="H1390" s="6">
        <x:v>46229.56336003472</x:v>
      </x:c>
      <x:c r="I1390" t="str" s="2">
        <x:v>Steve Castell</x:v>
      </x:c>
      <x:c r="J1390" s="0"/>
      <x:c r="K1390" s="6">
        <x:v>46249</x:v>
      </x:c>
      <x:c r="L1390" t="str" s="2">
        <x:v>Deal Created</x:v>
      </x:c>
    </x:row>
    <x:row r="1391">
      <x:c r="A1391" t="str" s="2">
        <x:f>=HYPERLINK("https://rsms.futurehomex.com/lead/38788", "Steven Johnson")</x:f>
      </x:c>
      <x:c r="B1391" t="str" s="2">
        <x:v>Heritage Housing of Minden</x:v>
      </x:c>
      <x:c r="C1391" t="str" s="2">
        <x:v>0/2</x:v>
      </x:c>
      <x:c r="D1391" t="str" s="2">
        <x:v>6623166790</x:v>
      </x:c>
      <x:c r="E1391" t="str" s="2">
        <x:v>johnsons5922@gmail.com</x:v>
      </x:c>
      <x:c r="F1391" t="str" s="2">
        <x:v>Website</x:v>
      </x:c>
      <x:c r="G1391" t="str" s="2">
        <x:v>Patrick Schuchart</x:v>
      </x:c>
      <x:c r="H1391" s="6">
        <x:v>46229.94105366898</x:v>
      </x:c>
      <x:c r="I1391" t="str" s="2">
        <x:v>Patrick Schuchart</x:v>
      </x:c>
      <x:c r="J1391" s="0"/>
      <x:c r="K1391" s="6">
        <x:v>46230.59338237269</x:v>
      </x:c>
      <x:c r="L1391" t="str" s="2">
        <x:v>Deal Created</x:v>
      </x:c>
    </x:row>
    <x:row r="1392">
      <x:c r="A1392" t="str" s="2">
        <x:f>=HYPERLINK("https://rsms.futurehomex.com/lead/40622", "Mary Dewitt")</x:f>
      </x:c>
      <x:c r="B1392" t="str" s="2">
        <x:v>Heritage Housing of Oklahoma City</x:v>
      </x:c>
      <x:c r="C1392" t="str" s="2">
        <x:v>0/1</x:v>
      </x:c>
      <x:c r="D1392" t="str" s="2">
        <x:v>5802770710</x:v>
      </x:c>
      <x:c r="E1392" t="str" s="2">
        <x:v>cherrymary128@gmail.com</x:v>
      </x:c>
      <x:c r="F1392" t="str" s="2">
        <x:v>Meta Ads - Forms</x:v>
      </x:c>
      <x:c r="G1392" t="str" s="2">
        <x:v>Steve Castell</x:v>
      </x:c>
      <x:c r="H1392" s="6">
        <x:v>46230.75662380787</x:v>
      </x:c>
      <x:c r="I1392" t="str" s="2">
        <x:v>Steve Castell</x:v>
      </x:c>
      <x:c r="J1392" s="0"/>
      <x:c r="K1392" s="6">
        <x:v>46230.838737881946</x:v>
      </x:c>
      <x:c r="L1392" t="str" s="2">
        <x:v>Deal Created</x:v>
      </x:c>
    </x:row>
    <x:row r="1393">
      <x:c r="A1393" t="str" s="2">
        <x:f>=HYPERLINK("https://rsms.futurehomex.com/lead/38779", "Timothy Youngberg")</x:f>
      </x:c>
      <x:c r="B1393" t="str" s="2">
        <x:v>Heritage Housing of Oklahoma City</x:v>
      </x:c>
      <x:c r="C1393" t="str" s="2">
        <x:v/>
      </x:c>
      <x:c r="D1393" t="str" s="2">
        <x:v>9185413995</x:v>
      </x:c>
      <x:c r="E1393" t="str" s="2">
        <x:v>timyoungberg@rocketmail.com</x:v>
      </x:c>
      <x:c r="F1393" t="str" s="2">
        <x:v>Facebook Messenger</x:v>
      </x:c>
      <x:c r="G1393" t="str" s="2">
        <x:v>Trey Rixleben</x:v>
      </x:c>
      <x:c r="H1393" s="6">
        <x:v>46230.78947939815</x:v>
      </x:c>
      <x:c r="I1393" t="str" s="2">
        <x:v>Trey Rixleben</x:v>
      </x:c>
      <x:c r="J1393" s="0"/>
      <x:c r="K1393" s="6">
        <x:v>46230.78947939815</x:v>
      </x:c>
      <x:c r="L1393" t="str" s="2">
        <x:v>Deal Created</x:v>
      </x:c>
    </x:row>
    <x:row r="1394">
      <x:c r="A1394" t="str" s="2">
        <x:f>=HYPERLINK("https://rsms.futurehomex.com/lead/38785", "Tennie Clark")</x:f>
      </x:c>
      <x:c r="B1394" t="str" s="2">
        <x:v>Heritage Housing of Oklahoma City</x:v>
      </x:c>
      <x:c r="C1394" t="str" s="2">
        <x:v/>
      </x:c>
      <x:c r="D1394" t="str" s="2">
        <x:v>9189173532</x:v>
      </x:c>
      <x:c r="E1394" t="str" s="2">
        <x:v>tennieclark@gmail.com</x:v>
      </x:c>
      <x:c r="F1394" t="str" s="2">
        <x:v>Walk-in</x:v>
      </x:c>
      <x:c r="G1394" t="str" s="2">
        <x:v>Steve Castell</x:v>
      </x:c>
      <x:c r="H1394" s="6">
        <x:v>46230.83667060185</x:v>
      </x:c>
      <x:c r="I1394" t="str" s="2">
        <x:v>Alejandra Calderon</x:v>
      </x:c>
      <x:c r="J1394" s="0"/>
      <x:c r="K1394" s="6">
        <x:v>46230.83667060185</x:v>
      </x:c>
      <x:c r="L1394" t="str" s="2">
        <x:v>Deal Created</x:v>
      </x:c>
    </x:row>
    <x:row r="1395">
      <x:c r="A1395" t="str" s="2">
        <x:f>=HYPERLINK("https://rsms.futurehomex.com/lead/39564", "Bryant Rice")</x:f>
      </x:c>
      <x:c r="B1395" t="str" s="2">
        <x:v>Heritage Housing of Oklahoma City</x:v>
      </x:c>
      <x:c r="C1395" t="str" s="2">
        <x:v>0/2</x:v>
      </x:c>
      <x:c r="D1395" t="str" s="2">
        <x:v>4054824004</x:v>
      </x:c>
      <x:c r="E1395" t="str" s="2">
        <x:v>bryantrice6@gmail.com</x:v>
      </x:c>
      <x:c r="F1395" t="str" s="2">
        <x:v>Meta Ads - Forms</x:v>
      </x:c>
      <x:c r="G1395" t="str" s="2">
        <x:v>Steve Castell</x:v>
      </x:c>
      <x:c r="H1395" s="6">
        <x:v>46231.26663518519</x:v>
      </x:c>
      <x:c r="I1395" t="str" s="2">
        <x:v>Steve Castell</x:v>
      </x:c>
      <x:c r="J1395" s="0"/>
      <x:c r="K1395" s="6">
        <x:v>46231.6513440625</x:v>
      </x:c>
      <x:c r="L1395" t="str" s="2">
        <x:v>Deal Created</x:v>
      </x:c>
    </x:row>
    <x:row r="1396">
      <x:c r="A1396" t="str" s="2">
        <x:f>=HYPERLINK("https://rsms.futurehomex.com/lead/38799", "Janie Broadwater")</x:f>
      </x:c>
      <x:c r="B1396" t="str" s="2">
        <x:v>Heritage Housing of Albany</x:v>
      </x:c>
      <x:c r="C1396" t="str" s="2">
        <x:v/>
      </x:c>
      <x:c r="D1396" t="str" s="2">
        <x:v>2296028662</x:v>
      </x:c>
      <x:c r="E1396" t="str" s="2">
        <x:v>janienicole6@gmail.com</x:v>
      </x:c>
      <x:c r="F1396" t="str" s="2">
        <x:v>Facebook Messenger</x:v>
      </x:c>
      <x:c r="G1396" t="str" s="2">
        <x:v>Yanet Alvarez</x:v>
      </x:c>
      <x:c r="H1396" s="6">
        <x:v>46231.654324386574</x:v>
      </x:c>
      <x:c r="I1396" t="str" s="2">
        <x:v>Alexander Bryant</x:v>
      </x:c>
      <x:c r="J1396" s="0"/>
      <x:c r="K1396" s="6">
        <x:v>46231.654324386574</x:v>
      </x:c>
      <x:c r="L1396" t="str" s="2">
        <x:v>Deal Created</x:v>
      </x:c>
    </x:row>
    <x:row r="1397">
      <x:c r="A1397" t="str" s="2">
        <x:f>=HYPERLINK("https://rsms.futurehomex.com/lead/38801", "Johnny Waybe")</x:f>
      </x:c>
      <x:c r="B1397" t="str" s="2">
        <x:v>Heritage Housing of Canton</x:v>
      </x:c>
      <x:c r="C1397" t="str" s="2">
        <x:v/>
      </x:c>
      <x:c r="D1397" t="str" s="2">
        <x:v>4696521093</x:v>
      </x:c>
      <x:c r="E1397" t="str" s="2">
        <x:v>jalexanderwayne61@gmail.com</x:v>
      </x:c>
      <x:c r="F1397" t="str" s="2">
        <x:v>Canton</x:v>
      </x:c>
      <x:c r="G1397" t="str" s="2">
        <x:v>Maira Garcia</x:v>
      </x:c>
      <x:c r="H1397" s="6">
        <x:v>46231.66854267361</x:v>
      </x:c>
      <x:c r="I1397" t="str" s="2">
        <x:v>Adriana Jaimes-Martinez</x:v>
      </x:c>
      <x:c r="J1397" s="0"/>
      <x:c r="K1397" s="6">
        <x:v>46231.66854267361</x:v>
      </x:c>
      <x:c r="L1397" t="str" s="2">
        <x:v>Deal Created</x:v>
      </x:c>
    </x:row>
    <x:row r="1398">
      <x:c r="A1398" t="str" s="2">
        <x:f>=HYPERLINK("https://rsms.futurehomex.com/lead/38811", "Debbie Secrest")</x:f>
      </x:c>
      <x:c r="B1398" t="str" s="2">
        <x:v>Heritage Housing of Oklahoma City</x:v>
      </x:c>
      <x:c r="C1398" t="str" s="2">
        <x:v/>
      </x:c>
      <x:c r="D1398" t="str" s="2">
        <x:v>9187732995</x:v>
      </x:c>
      <x:c r="E1398" t="str" s="2">
        <x:v>secrestdebbie@yahoo.com</x:v>
      </x:c>
      <x:c r="F1398" t="str" s="2">
        <x:v>Facebook Messenger</x:v>
      </x:c>
      <x:c r="G1398" t="str" s="2">
        <x:v>Trey Rixleben</x:v>
      </x:c>
      <x:c r="H1398" s="6">
        <x:v>46231.94700274306</x:v>
      </x:c>
      <x:c r="I1398" t="str" s="2">
        <x:v>Trey Rixleben</x:v>
      </x:c>
      <x:c r="J1398" s="0"/>
      <x:c r="K1398" s="6">
        <x:v>46231.94700274306</x:v>
      </x:c>
      <x:c r="L1398" t="str" s="2">
        <x:v>Deal Created</x:v>
      </x:c>
    </x:row>
    <x:row r="1399">
      <x:c r="A1399" t="str" s="2">
        <x:f>="Juliet Risenhoover"</x:f>
      </x:c>
      <x:c r="B1399" s="0"/>
      <x:c r="C1399" t="str" s="2">
        <x:v/>
      </x:c>
      <x:c r="D1399" t="str" s="2">
        <x:v>5392304511</x:v>
      </x:c>
      <x:c r="E1399" t="str" s="2">
        <x:v>julietgwendolyn918@gmail.com</x:v>
      </x:c>
      <x:c r="F1399" t="str" s="2">
        <x:v>Facebook Messenger</x:v>
      </x:c>
      <x:c r="G1399" t="str" s="2">
        <x:v>Trey Rixleben</x:v>
      </x:c>
      <x:c r="H1399" s="6">
        <x:v>46232.60882129629</x:v>
      </x:c>
      <x:c r="I1399" s="0"/>
      <x:c r="J1399" s="0"/>
      <x:c r="K1399" s="0"/>
      <x:c r="L1399" t="str" s="2">
        <x:v>Deal Created</x:v>
      </x:c>
    </x:row>
    <x:row r="1400">
      <x:c r="A1400" t="str" s="2">
        <x:f>=HYPERLINK("https://rsms.futurehomex.com/lead/38817", "Maegan Withworth")</x:f>
      </x:c>
      <x:c r="B1400" t="str" s="2">
        <x:v>Legacy Housing Corp. DBA Americasa</x:v>
      </x:c>
      <x:c r="C1400" t="str" s="2">
        <x:v/>
      </x:c>
      <x:c r="D1400" t="str" s="2">
        <x:v>8327071353</x:v>
      </x:c>
      <x:c r="E1400" t="str" s="2">
        <x:v>8327071353</x:v>
      </x:c>
      <x:c r="F1400" t="str" s="2">
        <x:v>Meta Marketplace</x:v>
      </x:c>
      <x:c r="G1400" t="str" s="2">
        <x:v>Rodrigo Ramirez</x:v>
      </x:c>
      <x:c r="H1400" s="6">
        <x:v>46232.71320443287</x:v>
      </x:c>
      <x:c r="I1400" t="str" s="2">
        <x:v>Joey Marquez</x:v>
      </x:c>
      <x:c r="J1400" s="0"/>
      <x:c r="K1400" s="6">
        <x:v>46232.71320443287</x:v>
      </x:c>
      <x:c r="L1400" t="str" s="2">
        <x:v>Deal Created</x:v>
      </x:c>
    </x:row>
    <x:row r="1401">
      <x:c r="A1401" t="str" s="2">
        <x:f>=HYPERLINK("https://rsms.futurehomex.com/lead/38821", "Brenda Baker")</x:f>
      </x:c>
      <x:c r="B1401" t="str" s="2">
        <x:v>Heritage Housing of Oklahoma City</x:v>
      </x:c>
      <x:c r="C1401" t="str" s="2">
        <x:v/>
      </x:c>
      <x:c r="D1401" t="str" s="2">
        <x:v>4057404425</x:v>
      </x:c>
      <x:c r="E1401" t="str" s="2">
        <x:v>bcbaker131@gmail.com</x:v>
      </x:c>
      <x:c r="F1401" t="str" s="2">
        <x:v>Walk-in</x:v>
      </x:c>
      <x:c r="G1401" t="str" s="2">
        <x:v>Trey Rixleben</x:v>
      </x:c>
      <x:c r="H1401" s="6">
        <x:v>46232.75167809028</x:v>
      </x:c>
      <x:c r="I1401" t="str" s="2">
        <x:v>Trey Rixleben</x:v>
      </x:c>
      <x:c r="J1401" s="0"/>
      <x:c r="K1401" s="6">
        <x:v>46232.75167809028</x:v>
      </x:c>
      <x:c r="L1401" t="str" s="2">
        <x:v>Deal Created</x:v>
      </x:c>
    </x:row>
    <x:row r="1402">
      <x:c r="A1402" t="str" s="2">
        <x:f>=HYPERLINK("https://rsms.futurehomex.com/lead/38823", "Dally Bronc Johnson")</x:f>
      </x:c>
      <x:c r="B1402" t="str" s="2">
        <x:v>Heritage Housing of Oklahoma City</x:v>
      </x:c>
      <x:c r="C1402" t="str" s="2">
        <x:v/>
      </x:c>
      <x:c r="D1402" t="str" s="2">
        <x:v>4056587273</x:v>
      </x:c>
      <x:c r="E1402" t="str" s="2">
        <x:v>broncg34@gmail.com</x:v>
      </x:c>
      <x:c r="F1402" t="str" s="2">
        <x:v>HH - Oklahoma City</x:v>
      </x:c>
      <x:c r="G1402" t="str" s="2">
        <x:v>Steve Castell</x:v>
      </x:c>
      <x:c r="H1402" s="6">
        <x:v>46232.78024733796</x:v>
      </x:c>
      <x:c r="I1402" t="str" s="2">
        <x:v>Alejandra Calderon</x:v>
      </x:c>
      <x:c r="J1402" s="0"/>
      <x:c r="K1402" s="6">
        <x:v>46232.78024733796</x:v>
      </x:c>
      <x:c r="L1402" t="str" s="2">
        <x:v>Deal Created</x:v>
      </x:c>
    </x:row>
    <x:row r="1403">
      <x:c r="A1403" t="str" s="2">
        <x:f>=HYPERLINK("https://rsms.futurehomex.com/lead/38826", "Kristopher Charles Bonikowske")</x:f>
      </x:c>
      <x:c r="B1403" t="str" s="2">
        <x:v>Heritage Housing of Oklahoma City</x:v>
      </x:c>
      <x:c r="C1403" t="str" s="2">
        <x:v/>
      </x:c>
      <x:c r="D1403" t="str" s="2">
        <x:v>7152225480</x:v>
      </x:c>
      <x:c r="E1403" t="str" s="2">
        <x:v>kcbonikowske@gmail.com</x:v>
      </x:c>
      <x:c r="F1403" t="str" s="2">
        <x:v>HH - Oklahoma City</x:v>
      </x:c>
      <x:c r="G1403" t="str" s="2">
        <x:v>Steve Castell</x:v>
      </x:c>
      <x:c r="H1403" s="6">
        <x:v>46232.84901751157</x:v>
      </x:c>
      <x:c r="I1403" t="str" s="2">
        <x:v>Alejandra Calderon</x:v>
      </x:c>
      <x:c r="J1403" s="0"/>
      <x:c r="K1403" s="6">
        <x:v>46232.84901751157</x:v>
      </x:c>
      <x:c r="L1403" t="str" s="2">
        <x:v>Deal Created</x:v>
      </x:c>
    </x:row>
    <x:row r="1404">
      <x:c r="A1404" t="str" s="2">
        <x:f>=HYPERLINK("https://rsms.futurehomex.com/lead/38828", "Eric Williams")</x:f>
      </x:c>
      <x:c r="B1404" t="str" s="2">
        <x:v>Heritage Housing of Albany</x:v>
      </x:c>
      <x:c r="C1404" t="str" s="2">
        <x:v/>
      </x:c>
      <x:c r="D1404" t="str" s="2">
        <x:v>4075923713</x:v>
      </x:c>
      <x:c r="E1404" t="str" s="2">
        <x:v>weric4370@gmail.com</x:v>
      </x:c>
      <x:c r="F1404" t="str" s="2">
        <x:v>Walk-in</x:v>
      </x:c>
      <x:c r="G1404" t="str" s="2">
        <x:v>Yanet Alvarez</x:v>
      </x:c>
      <x:c r="H1404" s="6">
        <x:v>46232.87716724537</x:v>
      </x:c>
      <x:c r="I1404" t="str" s="2">
        <x:v>Alexander Bryant</x:v>
      </x:c>
      <x:c r="J1404" s="0"/>
      <x:c r="K1404" s="6">
        <x:v>46232.87716724537</x:v>
      </x:c>
      <x:c r="L1404" t="str" s="2">
        <x:v>Deal Created</x:v>
      </x:c>
    </x:row>
    <x:row r="1405">
      <x:c r="A1405" t="str" s="2">
        <x:f>=HYPERLINK("https://rsms.futurehomex.com/lead/38831", "Robert Candy")</x:f>
      </x:c>
      <x:c r="B1405" t="str" s="2">
        <x:v>Heritage Housing of Oklahoma City</x:v>
      </x:c>
      <x:c r="C1405" t="str" s="2">
        <x:v/>
      </x:c>
      <x:c r="D1405" t="str" s="2">
        <x:v>4054012583</x:v>
      </x:c>
      <x:c r="E1405" t="str" s="2">
        <x:v>rectorcandy65@yahoo.com</x:v>
      </x:c>
      <x:c r="F1405" t="str" s="2">
        <x:v>Walk-in</x:v>
      </x:c>
      <x:c r="G1405" t="str" s="2">
        <x:v>Trey Rixleben</x:v>
      </x:c>
      <x:c r="H1405" s="6">
        <x:v>46232.89126253472</x:v>
      </x:c>
      <x:c r="I1405" t="str" s="2">
        <x:v>Trey Rixleben</x:v>
      </x:c>
      <x:c r="J1405" s="0"/>
      <x:c r="K1405" s="6">
        <x:v>46232.89126253472</x:v>
      </x:c>
      <x:c r="L1405" t="str" s="2">
        <x:v>Deal Created</x:v>
      </x:c>
    </x:row>
    <x:row r="1406">
      <x:c r="A1406" t="str" s="2">
        <x:f>=HYPERLINK("https://rsms.futurehomex.com/lead/38833", "Steven Apgar")</x:f>
      </x:c>
      <x:c r="B1406" t="str" s="2">
        <x:v>Heritage Housing of Oklahoma City</x:v>
      </x:c>
      <x:c r="C1406" t="str" s="2">
        <x:v/>
      </x:c>
      <x:c r="D1406" t="str" s="2">
        <x:v>4052878523</x:v>
      </x:c>
      <x:c r="E1406" t="str" s="2">
        <x:v>4052878523</x:v>
      </x:c>
      <x:c r="F1406" t="str" s="2">
        <x:v>HH - Oklahoma City</x:v>
      </x:c>
      <x:c r="G1406" t="str" s="2">
        <x:v>Steve Castell</x:v>
      </x:c>
      <x:c r="H1406" s="6">
        <x:v>46232.90770015046</x:v>
      </x:c>
      <x:c r="I1406" t="str" s="2">
        <x:v>Alejandra Calderon</x:v>
      </x:c>
      <x:c r="J1406" s="0"/>
      <x:c r="K1406" s="6">
        <x:v>46232.90770015046</x:v>
      </x:c>
      <x:c r="L1406" t="str" s="2">
        <x:v>Deal Created</x:v>
      </x:c>
    </x:row>
    <x:row r="1407">
      <x:c r="A1407" t="str" s="2">
        <x:f>=HYPERLINK("https://rsms.futurehomex.com/lead/38844", "Felipe Dortolina")</x:f>
      </x:c>
      <x:c r="B1407" t="str" s="2">
        <x:v>Legacy Housing Corp. DBA Americasa</x:v>
      </x:c>
      <x:c r="C1407" t="str" s="2">
        <x:v/>
      </x:c>
      <x:c r="D1407" t="str" s="2">
        <x:v>3179937802</x:v>
      </x:c>
      <x:c r="E1407" t="str" s="2">
        <x:v>3179937805</x:v>
      </x:c>
      <x:c r="F1407" t="str" s="2">
        <x:v>Meta Marketplace</x:v>
      </x:c>
      <x:c r="G1407" t="str" s="2">
        <x:v>Rodrigo Ramirez</x:v>
      </x:c>
      <x:c r="H1407" s="6">
        <x:v>46233.77300497685</x:v>
      </x:c>
      <x:c r="I1407" t="str" s="2">
        <x:v>Jose Parada</x:v>
      </x:c>
      <x:c r="J1407" s="0"/>
      <x:c r="K1407" s="6">
        <x:v>46233.77300497685</x:v>
      </x:c>
      <x:c r="L1407" t="str" s="2">
        <x:v>Deal Created</x:v>
      </x:c>
    </x:row>
    <x:row r="1408">
      <x:c r="A1408" t="str" s="2">
        <x:f>=HYPERLINK("https://rsms.futurehomex.com/lead/38847", "Lawrence King")</x:f>
      </x:c>
      <x:c r="B1408" t="str" s="2">
        <x:v>Heritage Housing of Oklahoma City</x:v>
      </x:c>
      <x:c r="C1408" t="str" s="2">
        <x:v/>
      </x:c>
      <x:c r="D1408" t="str" s="2">
        <x:v>4054763736</x:v>
      </x:c>
      <x:c r="E1408" t="str" s="2">
        <x:v>lawrenceking136@yahoo.com</x:v>
      </x:c>
      <x:c r="F1408" t="str" s="2">
        <x:v>Facebook Messenger</x:v>
      </x:c>
      <x:c r="G1408" t="str" s="2">
        <x:v>Trey Rixleben</x:v>
      </x:c>
      <x:c r="H1408" s="6">
        <x:v>46233.839286724535</x:v>
      </x:c>
      <x:c r="I1408" t="str" s="2">
        <x:v>Trey Rixleben</x:v>
      </x:c>
      <x:c r="J1408" s="0"/>
      <x:c r="K1408" s="6">
        <x:v>46233.839286724535</x:v>
      </x:c>
      <x:c r="L1408" t="str" s="2">
        <x:v>Deal Created</x:v>
      </x:c>
    </x:row>
    <x:row r="1409">
      <x:c r="A1409" t="str" s="2">
        <x:f>=HYPERLINK("https://rsms.futurehomex.com/lead/39463", "Victor Garcia")</x:f>
      </x:c>
      <x:c r="B1409" t="str" s="2">
        <x:v>Heritage Housing of Oklahoma City</x:v>
      </x:c>
      <x:c r="C1409" t="str" s="2">
        <x:v>0/1</x:v>
      </x:c>
      <x:c r="D1409" t="str" s="2">
        <x:v>5756934554</x:v>
      </x:c>
      <x:c r="E1409" t="str" s="2">
        <x:v>5756934554</x:v>
      </x:c>
      <x:c r="F1409" t="str" s="2">
        <x:v>Facebook Messenger</x:v>
      </x:c>
      <x:c r="G1409" t="str" s="2">
        <x:v>Steve Castell</x:v>
      </x:c>
      <x:c r="H1409" s="6">
        <x:v>46233.88336535879</x:v>
      </x:c>
      <x:c r="I1409" t="str" s="2">
        <x:v>Steve Castell</x:v>
      </x:c>
      <x:c r="J1409" s="6">
        <x:v>46242.791666666664</x:v>
      </x:c>
      <x:c r="K1409" s="6">
        <x:v>46262.04704513889</x:v>
      </x:c>
      <x:c r="L1409" t="str" s="2">
        <x:v>Deal Created</x:v>
      </x:c>
    </x:row>
    <x:row r="1410">
      <x:c r="A1410" t="str" s="2">
        <x:f>=HYPERLINK("https://rsms.futurehomex.com/lead/38851", "Patricia Smith")</x:f>
      </x:c>
      <x:c r="B1410" t="str" s="2">
        <x:v>Heritage Housing of Oklahoma City</x:v>
      </x:c>
      <x:c r="C1410" t="str" s="2">
        <x:v/>
      </x:c>
      <x:c r="D1410" t="str" s="2">
        <x:v>4056158148</x:v>
      </x:c>
      <x:c r="E1410" t="str" s="2">
        <x:v>triciasmith.tricia@gmail.com</x:v>
      </x:c>
      <x:c r="F1410" t="str" s="2">
        <x:v>Facebook Messenger</x:v>
      </x:c>
      <x:c r="G1410" t="str" s="2">
        <x:v>Mariea Grayson</x:v>
      </x:c>
      <x:c r="H1410" s="6">
        <x:v>46233.93293232639</x:v>
      </x:c>
      <x:c r="I1410" t="str" s="2">
        <x:v>Trey Rixleben</x:v>
      </x:c>
      <x:c r="J1410" s="0"/>
      <x:c r="K1410" s="6">
        <x:v>46233.93293232639</x:v>
      </x:c>
      <x:c r="L1410" t="str" s="2">
        <x:v>Deal Created</x:v>
      </x:c>
    </x:row>
    <x:row r="1411">
      <x:c r="A1411" t="str" s="2">
        <x:f>=HYPERLINK("https://rsms.futurehomex.com/lead/38859", "Isabel Castro")</x:f>
      </x:c>
      <x:c r="B1411" t="str" s="2">
        <x:v>Heritage Housing of Oklahoma City</x:v>
      </x:c>
      <x:c r="C1411" t="str" s="2">
        <x:v/>
      </x:c>
      <x:c r="D1411" t="str" s="2">
        <x:v>4059778245</x:v>
      </x:c>
      <x:c r="E1411" t="str" s="2">
        <x:v>4059778245</x:v>
      </x:c>
      <x:c r="F1411" t="str" s="2">
        <x:v>HH - Oklahoma City</x:v>
      </x:c>
      <x:c r="G1411" t="str" s="2">
        <x:v>Steve Castell</x:v>
      </x:c>
      <x:c r="H1411" s="6">
        <x:v>46234.823346412035</x:v>
      </x:c>
      <x:c r="I1411" t="str" s="2">
        <x:v>Alejandra Calderon</x:v>
      </x:c>
      <x:c r="J1411" s="0"/>
      <x:c r="K1411" s="6">
        <x:v>46234.823346412035</x:v>
      </x:c>
      <x:c r="L1411" t="str" s="2">
        <x:v>Deal Created</x:v>
      </x:c>
    </x:row>
    <x:row r="1412">
      <x:c r="A1412" t="str" s="2">
        <x:f>=HYPERLINK("https://rsms.futurehomex.com/lead/38864", "Carol Blood")</x:f>
      </x:c>
      <x:c r="B1412" t="str" s="2">
        <x:v>Heritage Housing of Oklahoma City</x:v>
      </x:c>
      <x:c r="C1412" t="str" s="2">
        <x:v/>
      </x:c>
      <x:c r="D1412" t="str" s="2">
        <x:v>4057608177</x:v>
      </x:c>
      <x:c r="E1412" t="str" s="2">
        <x:v>cblood73@gmail.com</x:v>
      </x:c>
      <x:c r="F1412" t="str" s="2">
        <x:v>Walk-in</x:v>
      </x:c>
      <x:c r="G1412" t="str" s="2">
        <x:v>Trey Rixleben</x:v>
      </x:c>
      <x:c r="H1412" s="6">
        <x:v>46234.88787708333</x:v>
      </x:c>
      <x:c r="I1412" t="str" s="2">
        <x:v>Trey Rixleben</x:v>
      </x:c>
      <x:c r="J1412" s="0"/>
      <x:c r="K1412" s="6">
        <x:v>46234.88787708333</x:v>
      </x:c>
      <x:c r="L1412" t="str" s="2">
        <x:v>Deal Created</x:v>
      </x:c>
    </x:row>
    <x:row r="1413">
      <x:c r="A1413" t="str" s="2">
        <x:f>=HYPERLINK("https://rsms.futurehomex.com/lead/38867", "James Hill")</x:f>
      </x:c>
      <x:c r="B1413" t="str" s="2">
        <x:v>Heritage Housing of Oklahoma City</x:v>
      </x:c>
      <x:c r="C1413" t="str" s="2">
        <x:v/>
      </x:c>
      <x:c r="D1413" t="str" s="2">
        <x:v>4174384750</x:v>
      </x:c>
      <x:c r="E1413" t="str" s="2">
        <x:v>jboranch@gmail.com</x:v>
      </x:c>
      <x:c r="F1413" t="str" s="2">
        <x:v>Facebook Messenger</x:v>
      </x:c>
      <x:c r="G1413" t="str" s="2">
        <x:v>Trey Rixleben</x:v>
      </x:c>
      <x:c r="H1413" s="6">
        <x:v>46234.90697619213</x:v>
      </x:c>
      <x:c r="I1413" t="str" s="2">
        <x:v>Trey Rixleben</x:v>
      </x:c>
      <x:c r="J1413" s="0"/>
      <x:c r="K1413" s="6">
        <x:v>46234.90697619213</x:v>
      </x:c>
      <x:c r="L1413" t="str" s="2">
        <x:v>Deal Created</x:v>
      </x:c>
    </x:row>
    <x:row r="1414">
      <x:c r="A1414" t="str" s="2">
        <x:f>=HYPERLINK("https://rsms.futurehomex.com/lead/38870", "Rhonda Roe")</x:f>
      </x:c>
      <x:c r="B1414" t="str" s="2">
        <x:v>Heritage Housing of Oklahoma City</x:v>
      </x:c>
      <x:c r="C1414" t="str" s="2">
        <x:v/>
      </x:c>
      <x:c r="D1414" t="str" s="2">
        <x:v>4056400042</x:v>
      </x:c>
      <x:c r="E1414" t="str" s="2">
        <x:v>4056400042</x:v>
      </x:c>
      <x:c r="F1414" t="str" s="2">
        <x:v>Walk-in</x:v>
      </x:c>
      <x:c r="G1414" t="str" s="2">
        <x:v>Trey Rixleben</x:v>
      </x:c>
      <x:c r="H1414" s="6">
        <x:v>46234.98805196759</x:v>
      </x:c>
      <x:c r="I1414" t="str" s="2">
        <x:v>Trey Rixleben</x:v>
      </x:c>
      <x:c r="J1414" s="0"/>
      <x:c r="K1414" s="6">
        <x:v>46234.98805196759</x:v>
      </x:c>
      <x:c r="L1414" t="str" s="2">
        <x:v>Deal Created</x:v>
      </x:c>
    </x:row>
    <x:row r="1415">
      <x:c r="A1415" t="str" s="2">
        <x:f>=HYPERLINK("https://rsms.futurehomex.com/lead/38874", "Koby Mitchell")</x:f>
      </x:c>
      <x:c r="B1415" t="str" s="2">
        <x:v>Heritage Housing of Oklahoma City</x:v>
      </x:c>
      <x:c r="C1415" t="str" s="2">
        <x:v/>
      </x:c>
      <x:c r="D1415" t="str" s="2">
        <x:v>4057882053</x:v>
      </x:c>
      <x:c r="E1415" t="str" s="2">
        <x:v>koby.mitchell@icloud.com</x:v>
      </x:c>
      <x:c r="F1415" t="str" s="2">
        <x:v>Walk-in</x:v>
      </x:c>
      <x:c r="G1415" t="str" s="2">
        <x:v>Trey Rixleben</x:v>
      </x:c>
      <x:c r="H1415" s="6">
        <x:v>46235.63381010417</x:v>
      </x:c>
      <x:c r="I1415" t="str" s="2">
        <x:v>Trey Rixleben</x:v>
      </x:c>
      <x:c r="J1415" s="0"/>
      <x:c r="K1415" s="6">
        <x:v>46235.63381010417</x:v>
      </x:c>
      <x:c r="L1415" t="str" s="2">
        <x:v>Deal Created</x:v>
      </x:c>
    </x:row>
    <x:row r="1416">
      <x:c r="A1416" t="str" s="2">
        <x:f>=HYPERLINK("https://rsms.futurehomex.com/lead/38890", "Nichola Andrews")</x:f>
      </x:c>
      <x:c r="B1416" t="str" s="2">
        <x:v>Heritage Housing of Oklahoma City</x:v>
      </x:c>
      <x:c r="C1416" t="str" s="2">
        <x:v/>
      </x:c>
      <x:c r="D1416" t="str" s="2">
        <x:v>4055936341</x:v>
      </x:c>
      <x:c r="E1416" t="str" s="2">
        <x:v>4055936341</x:v>
      </x:c>
      <x:c r="F1416" t="str" s="2">
        <x:v>HH - Oklahoma City</x:v>
      </x:c>
      <x:c r="G1416" t="str" s="2">
        <x:v>Steve Castell</x:v>
      </x:c>
      <x:c r="H1416" s="6">
        <x:v>46235.832441053244</x:v>
      </x:c>
      <x:c r="I1416" t="str" s="2">
        <x:v>Alejandra Calderon</x:v>
      </x:c>
      <x:c r="J1416" s="0"/>
      <x:c r="K1416" s="6">
        <x:v>46235.832441053244</x:v>
      </x:c>
      <x:c r="L1416" t="str" s="2">
        <x:v>Deal Created</x:v>
      </x:c>
    </x:row>
    <x:row r="1417">
      <x:c r="A1417" t="str" s="2">
        <x:f>=HYPERLINK("https://rsms.futurehomex.com/lead/39598", "Robert Landers")</x:f>
      </x:c>
      <x:c r="B1417" t="str" s="2">
        <x:v>Heritage Housing of Oklahoma City</x:v>
      </x:c>
      <x:c r="C1417" t="str" s="2">
        <x:v>0/4</x:v>
      </x:c>
      <x:c r="D1417" t="str" s="2">
        <x:v>4055782056</x:v>
      </x:c>
      <x:c r="E1417" t="str" s="2">
        <x:v>landersrobert808@gmail.com</x:v>
      </x:c>
      <x:c r="F1417" t="str" s="2">
        <x:v>Landing_BPM</x:v>
      </x:c>
      <x:c r="G1417" t="str" s="2">
        <x:v>Steve Castell</x:v>
      </x:c>
      <x:c r="H1417" s="6">
        <x:v>46236.75609976852</x:v>
      </x:c>
      <x:c r="I1417" t="str" s="2">
        <x:v>Steve Castell</x:v>
      </x:c>
      <x:c r="J1417" s="0"/>
      <x:c r="K1417" s="6">
        <x:v>46249</x:v>
      </x:c>
      <x:c r="L1417" t="str" s="2">
        <x:v>Deal Created</x:v>
      </x:c>
    </x:row>
    <x:row r="1418">
      <x:c r="A1418" t="str" s="2">
        <x:f>=HYPERLINK("https://rsms.futurehomex.com/lead/38926", "Angela Diane Briley")</x:f>
      </x:c>
      <x:c r="B1418" t="str" s="2">
        <x:v>Heritage Housing of Jennings</x:v>
      </x:c>
      <x:c r="C1418" t="str" s="2">
        <x:v/>
      </x:c>
      <x:c r="D1418" t="str" s="2">
        <x:v>3373082711</x:v>
      </x:c>
      <x:c r="E1418" t="str" s="2">
        <x:v>angela.briley@gmail.com</x:v>
      </x:c>
      <x:c r="F1418" t="str" s="2">
        <x:v>Landing_BPM</x:v>
      </x:c>
      <x:c r="G1418" t="str" s="2">
        <x:v>Clint O'Neal</x:v>
      </x:c>
      <x:c r="H1418" s="6">
        <x:v>46236.78764097222</x:v>
      </x:c>
      <x:c r="I1418" t="str" s="2">
        <x:v>Clint O'Neal</x:v>
      </x:c>
      <x:c r="J1418" s="0"/>
      <x:c r="K1418" s="6">
        <x:v>46237.63757399306</x:v>
      </x:c>
      <x:c r="L1418" t="str" s="2">
        <x:v>Deal Created</x:v>
      </x:c>
    </x:row>
    <x:row r="1419">
      <x:c r="A1419" t="str" s="2">
        <x:f>=HYPERLINK("https://rsms.futurehomex.com/lead/38976", "Kaylin Jones")</x:f>
      </x:c>
      <x:c r="B1419" t="str" s="2">
        <x:v>Heritage Housing of Jennings</x:v>
      </x:c>
      <x:c r="C1419" t="str" s="2">
        <x:v/>
      </x:c>
      <x:c r="D1419" t="str" s="2">
        <x:v>3373498202</x:v>
      </x:c>
      <x:c r="E1419" t="str" s="2">
        <x:v>kaylinjones2005@yahoo.com</x:v>
      </x:c>
      <x:c r="F1419" t="str" s="2">
        <x:v>Financing Form</x:v>
      </x:c>
      <x:c r="G1419" t="str" s="2">
        <x:v>Mervin Leslie Smith</x:v>
      </x:c>
      <x:c r="H1419" s="6">
        <x:v>46236.86777600695</x:v>
      </x:c>
      <x:c r="I1419" t="str" s="2">
        <x:v>Mervin Leslie Smith</x:v>
      </x:c>
      <x:c r="J1419" s="0"/>
      <x:c r="K1419" s="6">
        <x:v>46240.71747630787</x:v>
      </x:c>
      <x:c r="L1419" t="str" s="2">
        <x:v>Deal Created</x:v>
      </x:c>
    </x:row>
    <x:row r="1420">
      <x:c r="A1420" t="str" s="2">
        <x:f>=HYPERLINK("https://rsms.futurehomex.com/lead/38908", "Christian Olfer")</x:f>
      </x:c>
      <x:c r="B1420" t="str" s="2">
        <x:v>Heritage Housing of Oklahoma City</x:v>
      </x:c>
      <x:c r="C1420" t="str" s="2">
        <x:v/>
      </x:c>
      <x:c r="D1420" t="str" s="2">
        <x:v>5803200212</x:v>
      </x:c>
      <x:c r="E1420" t="str" s="2">
        <x:v>5803200212</x:v>
      </x:c>
      <x:c r="F1420" t="str" s="2">
        <x:v>Walk-in</x:v>
      </x:c>
      <x:c r="G1420" t="str" s="2">
        <x:v>Steve Castell</x:v>
      </x:c>
      <x:c r="H1420" s="6">
        <x:v>46237.651241203705</x:v>
      </x:c>
      <x:c r="I1420" t="str" s="2">
        <x:v>Alejandra Calderon</x:v>
      </x:c>
      <x:c r="J1420" s="0"/>
      <x:c r="K1420" s="6">
        <x:v>46237.651241203705</x:v>
      </x:c>
      <x:c r="L1420" t="str" s="2">
        <x:v>Deal Created</x:v>
      </x:c>
    </x:row>
    <x:row r="1421">
      <x:c r="A1421" t="str" s="2">
        <x:f>=HYPERLINK("https://rsms.futurehomex.com/lead/39561", "Susan Mckinnon")</x:f>
      </x:c>
      <x:c r="B1421" t="str" s="2">
        <x:v>Heritage Housing of Oklahoma City</x:v>
      </x:c>
      <x:c r="C1421" t="str" s="2">
        <x:v>0/1</x:v>
      </x:c>
      <x:c r="D1421" t="str" s="2">
        <x:v>4054741923</x:v>
      </x:c>
      <x:c r="E1421" t="str" s="2">
        <x:v>mckinnonsusan01@gmail.com</x:v>
      </x:c>
      <x:c r="F1421" t="str" s="2">
        <x:v>Landing_BPM</x:v>
      </x:c>
      <x:c r="G1421" t="str" s="2">
        <x:v>Steve Castell</x:v>
      </x:c>
      <x:c r="H1421" s="6">
        <x:v>46238.09705350694</x:v>
      </x:c>
      <x:c r="I1421" t="str" s="2">
        <x:v>Steve Castell</x:v>
      </x:c>
      <x:c r="J1421" s="0"/>
      <x:c r="K1421" s="6">
        <x:v>46238</x:v>
      </x:c>
      <x:c r="L1421" t="str" s="2">
        <x:v>Deal Created</x:v>
      </x:c>
    </x:row>
    <x:row r="1422">
      <x:c r="A1422" t="str" s="2">
        <x:f>=HYPERLINK("https://rsms.futurehomex.com/lead/38934", "William Krause")</x:f>
      </x:c>
      <x:c r="B1422" t="str" s="2">
        <x:v>Heritage Housing of Albany</x:v>
      </x:c>
      <x:c r="C1422" t="str" s="2">
        <x:v/>
      </x:c>
      <x:c r="D1422" t="str" s="2">
        <x:v>8636348191</x:v>
      </x:c>
      <x:c r="E1422" t="str" s="2">
        <x:v>mkrause0096@yahoo.com</x:v>
      </x:c>
      <x:c r="F1422" t="str" s="2">
        <x:v>Walk-in</x:v>
      </x:c>
      <x:c r="G1422" t="str" s="2">
        <x:v>Yanet Alvarez</x:v>
      </x:c>
      <x:c r="H1422" s="6">
        <x:v>46238.60950679398</x:v>
      </x:c>
      <x:c r="I1422" t="str" s="2">
        <x:v>Alexander Bryant</x:v>
      </x:c>
      <x:c r="J1422" s="0"/>
      <x:c r="K1422" s="6">
        <x:v>46238.60950679398</x:v>
      </x:c>
      <x:c r="L1422" t="str" s="2">
        <x:v>Deal Created</x:v>
      </x:c>
    </x:row>
    <x:row r="1423">
      <x:c r="A1423" t="str" s="2">
        <x:f>=HYPERLINK("https://rsms.futurehomex.com/lead/38937", "James Strongher")</x:f>
      </x:c>
      <x:c r="B1423" t="str" s="2">
        <x:v>Heritage Housing of Oklahoma City</x:v>
      </x:c>
      <x:c r="C1423" t="str" s="2">
        <x:v/>
      </x:c>
      <x:c r="D1423" t="str" s="2">
        <x:v>5802125702</x:v>
      </x:c>
      <x:c r="E1423" t="str" s="2">
        <x:v>5802125702</x:v>
      </x:c>
      <x:c r="F1423" t="str" s="2">
        <x:v>HH - Oklahoma City</x:v>
      </x:c>
      <x:c r="G1423" t="str" s="2">
        <x:v>Steve Castell</x:v>
      </x:c>
      <x:c r="H1423" s="6">
        <x:v>46238.696185266206</x:v>
      </x:c>
      <x:c r="I1423" t="str" s="2">
        <x:v>Alejandra Calderon</x:v>
      </x:c>
      <x:c r="J1423" s="0"/>
      <x:c r="K1423" s="6">
        <x:v>46238.696185266206</x:v>
      </x:c>
      <x:c r="L1423" t="str" s="2">
        <x:v>Deal Created</x:v>
      </x:c>
    </x:row>
    <x:row r="1424">
      <x:c r="A1424" t="str" s="2">
        <x:f>=HYPERLINK("https://rsms.futurehomex.com/lead/38948", "Louis Allen Cart")</x:f>
      </x:c>
      <x:c r="B1424" t="str" s="2">
        <x:v>Heritage Housing of Jennings</x:v>
      </x:c>
      <x:c r="C1424" t="str" s="2">
        <x:v/>
      </x:c>
      <x:c r="D1424" t="str" s="2">
        <x:v>3377178258</x:v>
      </x:c>
      <x:c r="E1424" t="str" s="2">
        <x:v>lc@nomail.com</x:v>
      </x:c>
      <x:c r="F1424" t="str" s="2">
        <x:v>Walk-in</x:v>
      </x:c>
      <x:c r="G1424" t="str" s="2">
        <x:v>Mervin Leslie Smith</x:v>
      </x:c>
      <x:c r="H1424" s="6">
        <x:v>46238.84250092592</x:v>
      </x:c>
      <x:c r="I1424" t="str" s="2">
        <x:v>Mervin Leslie Smith</x:v>
      </x:c>
      <x:c r="J1424" s="0"/>
      <x:c r="K1424" s="6">
        <x:v>46238.84250092592</x:v>
      </x:c>
      <x:c r="L1424" t="str" s="2">
        <x:v>Deal Created</x:v>
      </x:c>
    </x:row>
    <x:row r="1425">
      <x:c r="A1425" t="str" s="2">
        <x:f>=HYPERLINK("https://rsms.futurehomex.com/lead/38949", "Prospero Rodriguez Rodriguez")</x:f>
      </x:c>
      <x:c r="B1425" t="str" s="2">
        <x:v>Heritage Housing of Greenville</x:v>
      </x:c>
      <x:c r="C1425" t="str" s="2">
        <x:v/>
      </x:c>
      <x:c r="D1425" t="str" s="2">
        <x:v>9035749735</x:v>
      </x:c>
      <x:c r="E1425" t="str" s="2">
        <x:v>prosperor625@gmail.com</x:v>
      </x:c>
      <x:c r="F1425" t="str" s="2">
        <x:v>Facebook Messenger</x:v>
      </x:c>
      <x:c r="G1425" t="str" s="2">
        <x:v>Ana Garcia</x:v>
      </x:c>
      <x:c r="H1425" s="6">
        <x:v>46238.8455153125</x:v>
      </x:c>
      <x:c r="I1425" t="str" s="2">
        <x:v>Ana Garcia</x:v>
      </x:c>
      <x:c r="J1425" s="0"/>
      <x:c r="K1425" s="6">
        <x:v>46238.8455153125</x:v>
      </x:c>
      <x:c r="L1425" t="str" s="2">
        <x:v>Deal Created</x:v>
      </x:c>
    </x:row>
    <x:row r="1426">
      <x:c r="A1426" t="str" s="2">
        <x:f>=HYPERLINK("https://rsms.futurehomex.com/lead/38951", "Lidia Maria Rodriguez")</x:f>
      </x:c>
      <x:c r="B1426" t="str" s="2">
        <x:v>Legacy Housing Corp. DBA Americasa</x:v>
      </x:c>
      <x:c r="C1426" t="str" s="2">
        <x:v/>
      </x:c>
      <x:c r="D1426" t="str" s="2">
        <x:v>8323820272</x:v>
      </x:c>
      <x:c r="E1426" t="str" s="2">
        <x:v>lidia_rodriguez01@yahoo.com</x:v>
      </x:c>
      <x:c r="F1426" t="str" s="2">
        <x:v>Walk-in</x:v>
      </x:c>
      <x:c r="G1426" t="str" s="2">
        <x:v>Rodrigo Ramirez</x:v>
      </x:c>
      <x:c r="H1426" s="6">
        <x:v>46238.90865613426</x:v>
      </x:c>
      <x:c r="I1426" t="str" s="2">
        <x:v>Jose Parada</x:v>
      </x:c>
      <x:c r="J1426" s="0"/>
      <x:c r="K1426" s="6">
        <x:v>46238.90865613426</x:v>
      </x:c>
      <x:c r="L1426" t="str" s="2">
        <x:v>Deal Created</x:v>
      </x:c>
    </x:row>
    <x:row r="1427">
      <x:c r="A1427" t="str" s="2">
        <x:f>=HYPERLINK("https://rsms.futurehomex.com/lead/38969", "Christopher Sloan")</x:f>
      </x:c>
      <x:c r="B1427" t="str" s="2">
        <x:v>Heritage Housing of Canton</x:v>
      </x:c>
      <x:c r="C1427" t="str" s="2">
        <x:v/>
      </x:c>
      <x:c r="D1427" t="str" s="2">
        <x:v>4696501046</x:v>
      </x:c>
      <x:c r="E1427" t="str" s="2">
        <x:v>c.pauldloan@gmail.com</x:v>
      </x:c>
      <x:c r="F1427" t="str" s="2">
        <x:v>Landing_BPM</x:v>
      </x:c>
      <x:c r="G1427" t="str" s="2">
        <x:v>Jacob Hatten</x:v>
      </x:c>
      <x:c r="H1427" s="6">
        <x:v>46239.051639467594</x:v>
      </x:c>
      <x:c r="I1427" t="str" s="2">
        <x:v>Jacob Hatten</x:v>
      </x:c>
      <x:c r="J1427" s="0"/>
      <x:c r="K1427" s="6">
        <x:v>46239.91804255787</x:v>
      </x:c>
      <x:c r="L1427" t="str" s="2">
        <x:v>Deal Created</x:v>
      </x:c>
    </x:row>
    <x:row r="1428">
      <x:c r="A1428" t="str" s="2">
        <x:f>=HYPERLINK("https://rsms.futurehomex.com/lead/38955", "Juan Carlos Vilaseca Garcia")</x:f>
      </x:c>
      <x:c r="B1428" t="str" s="2">
        <x:v>Heritage Housing of Greenville</x:v>
      </x:c>
      <x:c r="C1428" t="str" s="2">
        <x:v/>
      </x:c>
      <x:c r="D1428" t="str" s="2">
        <x:v>8178636497</x:v>
      </x:c>
      <x:c r="E1428" t="str" s="2">
        <x:v>nancycarpio1@icloud.com</x:v>
      </x:c>
      <x:c r="F1428" t="str" s="2">
        <x:v>Meta Marketplace</x:v>
      </x:c>
      <x:c r="G1428" t="str" s="2">
        <x:v>Ana Garcia</x:v>
      </x:c>
      <x:c r="H1428" s="6">
        <x:v>46239.63741689815</x:v>
      </x:c>
      <x:c r="I1428" t="str" s="2">
        <x:v>Ana Garcia</x:v>
      </x:c>
      <x:c r="J1428" s="0"/>
      <x:c r="K1428" s="6">
        <x:v>46239.63741689815</x:v>
      </x:c>
      <x:c r="L1428" t="str" s="2">
        <x:v>Deal Created</x:v>
      </x:c>
    </x:row>
    <x:row r="1429">
      <x:c r="A1429" t="str" s="2">
        <x:f>=HYPERLINK("https://rsms.futurehomex.com/lead/39565", "Gerardo Mendez")</x:f>
      </x:c>
      <x:c r="B1429" t="str" s="2">
        <x:v>Heritage Housing of Oklahoma City</x:v>
      </x:c>
      <x:c r="C1429" t="str" s="2">
        <x:v>0/2</x:v>
      </x:c>
      <x:c r="D1429" t="str" s="2">
        <x:v>4056514095</x:v>
      </x:c>
      <x:c r="E1429" t="str" s="2">
        <x:v>mendezromogerardo@gmail.com</x:v>
      </x:c>
      <x:c r="F1429" t="str" s="2">
        <x:v>Facebook Messenger</x:v>
      </x:c>
      <x:c r="G1429" t="str" s="2">
        <x:v>Steve Castell</x:v>
      </x:c>
      <x:c r="H1429" s="6">
        <x:v>46239.91346524306</x:v>
      </x:c>
      <x:c r="I1429" t="str" s="2">
        <x:v>Steve Castell</x:v>
      </x:c>
      <x:c r="J1429" s="6">
        <x:v>46242.625</x:v>
      </x:c>
      <x:c r="K1429" s="6">
        <x:v>46244.596998113426</x:v>
      </x:c>
      <x:c r="L1429" t="str" s="2">
        <x:v>Deal Created</x:v>
      </x:c>
    </x:row>
    <x:row r="1430">
      <x:c r="A1430" t="str" s="2">
        <x:f>=HYPERLINK("https://rsms.futurehomex.com/lead/39662", "Diorah Rowlands")</x:f>
      </x:c>
      <x:c r="B1430" t="str" s="2">
        <x:v>Heritage Housing of Oklahoma City</x:v>
      </x:c>
      <x:c r="C1430" t="str" s="2">
        <x:v>0/3</x:v>
      </x:c>
      <x:c r="D1430" t="str" s="2">
        <x:v>5722427575</x:v>
      </x:c>
      <x:c r="E1430" t="str" s="2">
        <x:v>rowlandsdiorah@gmail.com</x:v>
      </x:c>
      <x:c r="F1430" t="str" s="2">
        <x:v>Landing_BPM</x:v>
      </x:c>
      <x:c r="G1430" t="str" s="2">
        <x:v>Steve Castell</x:v>
      </x:c>
      <x:c r="H1430" s="6">
        <x:v>46240.66862372685</x:v>
      </x:c>
      <x:c r="I1430" t="str" s="2">
        <x:v>Steve Castell</x:v>
      </x:c>
      <x:c r="J1430" s="0"/>
      <x:c r="K1430" s="6">
        <x:v>46252</x:v>
      </x:c>
      <x:c r="L1430" t="str" s="2">
        <x:v>Deal Created</x:v>
      </x:c>
    </x:row>
    <x:row r="1431">
      <x:c r="A1431" t="str" s="2">
        <x:f>=HYPERLINK("https://rsms.futurehomex.com/lead/39059", "Jim Reeves")</x:f>
      </x:c>
      <x:c r="B1431" t="str" s="2">
        <x:v>Heritage Housing Gainesville</x:v>
      </x:c>
      <x:c r="C1431" t="str" s="2">
        <x:v/>
      </x:c>
      <x:c r="D1431" t="str" s="2">
        <x:v>5807681492</x:v>
      </x:c>
      <x:c r="E1431" t="str" s="2">
        <x:v>crownomatica@gmail.com</x:v>
      </x:c>
      <x:c r="F1431" t="str" s="2">
        <x:v>Financing Form</x:v>
      </x:c>
      <x:c r="G1431" t="str" s="2">
        <x:v>Jeniffer Arellano</x:v>
      </x:c>
      <x:c r="H1431" s="6">
        <x:v>46240.730965393515</x:v>
      </x:c>
      <x:c r="I1431" t="str" s="2">
        <x:v>Kelly Ford</x:v>
      </x:c>
      <x:c r="J1431" s="0"/>
      <x:c r="K1431" s="6">
        <x:v>46244.69638440972</x:v>
      </x:c>
      <x:c r="L1431" t="str" s="2">
        <x:v>Deal Created</x:v>
      </x:c>
    </x:row>
    <x:row r="1432">
      <x:c r="A1432" t="str" s="2">
        <x:f>=HYPERLINK("https://rsms.futurehomex.com/lead/38977", "Joseph Winke")</x:f>
      </x:c>
      <x:c r="B1432" t="str" s="2">
        <x:v>Heritage Housing of Oklahoma City</x:v>
      </x:c>
      <x:c r="C1432" t="str" s="2">
        <x:v/>
      </x:c>
      <x:c r="D1432" t="str" s="2">
        <x:v>4057063060</x:v>
      </x:c>
      <x:c r="E1432" t="str" s="2">
        <x:v>joseph.winke@yahoo.com</x:v>
      </x:c>
      <x:c r="F1432" t="str" s="2">
        <x:v>Walk-in</x:v>
      </x:c>
      <x:c r="G1432" t="str" s="2">
        <x:v>Trey Rixleben</x:v>
      </x:c>
      <x:c r="H1432" s="6">
        <x:v>46240.78108746528</x:v>
      </x:c>
      <x:c r="I1432" t="str" s="2">
        <x:v>Trey Rixleben</x:v>
      </x:c>
      <x:c r="J1432" s="0"/>
      <x:c r="K1432" s="6">
        <x:v>46240.78108746528</x:v>
      </x:c>
      <x:c r="L1432" t="str" s="2">
        <x:v>Deal Created</x:v>
      </x:c>
    </x:row>
    <x:row r="1433">
      <x:c r="A1433" t="str" s="2">
        <x:f>=HYPERLINK("https://rsms.futurehomex.com/lead/38979", "Monty Hilliard")</x:f>
      </x:c>
      <x:c r="B1433" t="str" s="2">
        <x:v>Heritage Housing of Oklahoma City</x:v>
      </x:c>
      <x:c r="C1433" t="str" s="2">
        <x:v/>
      </x:c>
      <x:c r="D1433" t="str" s="2">
        <x:v>9403904826</x:v>
      </x:c>
      <x:c r="E1433" t="str" s="2">
        <x:v>9403904826</x:v>
      </x:c>
      <x:c r="F1433" t="str" s="2">
        <x:v>Walk-in</x:v>
      </x:c>
      <x:c r="G1433" t="str" s="2">
        <x:v>Trey Rixleben</x:v>
      </x:c>
      <x:c r="H1433" s="6">
        <x:v>46240.815522881945</x:v>
      </x:c>
      <x:c r="I1433" t="str" s="2">
        <x:v>Trey Rixleben</x:v>
      </x:c>
      <x:c r="J1433" s="0"/>
      <x:c r="K1433" s="6">
        <x:v>46240.815522881945</x:v>
      </x:c>
      <x:c r="L1433" t="str" s="2">
        <x:v>Deal Created</x:v>
      </x:c>
    </x:row>
    <x:row r="1434">
      <x:c r="A1434" t="str" s="2">
        <x:f>=HYPERLINK("https://rsms.futurehomex.com/lead/38987", "Katee Morgan")</x:f>
      </x:c>
      <x:c r="B1434" t="str" s="2">
        <x:v>Heritage Housing of Albany</x:v>
      </x:c>
      <x:c r="C1434" t="str" s="2">
        <x:v/>
      </x:c>
      <x:c r="D1434" t="str" s="2">
        <x:v>2297265150</x:v>
      </x:c>
      <x:c r="E1434" t="str" s="2">
        <x:v>morgan_katee@yahoo.com</x:v>
      </x:c>
      <x:c r="F1434" t="str" s="2">
        <x:v>Walk-in</x:v>
      </x:c>
      <x:c r="G1434" t="str" s="2">
        <x:v>Yanet Alvarez</x:v>
      </x:c>
      <x:c r="H1434" s="6">
        <x:v>46241.6109147338</x:v>
      </x:c>
      <x:c r="I1434" t="str" s="2">
        <x:v>Alexander Bryant</x:v>
      </x:c>
      <x:c r="J1434" s="0"/>
      <x:c r="K1434" s="6">
        <x:v>46241.6109147338</x:v>
      </x:c>
      <x:c r="L1434" t="str" s="2">
        <x:v>Deal Created</x:v>
      </x:c>
    </x:row>
    <x:row r="1435">
      <x:c r="A1435" t="str" s="2">
        <x:f>=HYPERLINK("https://rsms.futurehomex.com/lead/39599", "kaitlyn harding")</x:f>
      </x:c>
      <x:c r="B1435" t="str" s="2">
        <x:v>Heritage Housing of Oklahoma City</x:v>
      </x:c>
      <x:c r="C1435" t="str" s="2">
        <x:v>0/3</x:v>
      </x:c>
      <x:c r="D1435" t="str" s="2">
        <x:v>5722768930</x:v>
      </x:c>
      <x:c r="E1435" t="str" s="2">
        <x:v>hardingkaitlyn59@gmail.com</x:v>
      </x:c>
      <x:c r="F1435" t="str" s="2">
        <x:v>Landing_BPM</x:v>
      </x:c>
      <x:c r="G1435" t="str" s="2">
        <x:v>Steve Castell</x:v>
      </x:c>
      <x:c r="H1435" s="6">
        <x:v>46241.66223148148</x:v>
      </x:c>
      <x:c r="I1435" t="str" s="2">
        <x:v>Steve Castell</x:v>
      </x:c>
      <x:c r="J1435" s="0"/>
      <x:c r="K1435" s="6">
        <x:v>46249</x:v>
      </x:c>
      <x:c r="L1435" t="str" s="2">
        <x:v>Deal Created</x:v>
      </x:c>
    </x:row>
    <x:row r="1436">
      <x:c r="A1436" t="str" s="2">
        <x:f>=HYPERLINK("https://rsms.futurehomex.com/lead/38994", "ANDRYA Perritt")</x:f>
      </x:c>
      <x:c r="B1436" t="str" s="2">
        <x:v>Heritage Housing of Oklahoma City</x:v>
      </x:c>
      <x:c r="C1436" t="str" s="2">
        <x:v/>
      </x:c>
      <x:c r="D1436" t="str" s="2">
        <x:v>8179014949</x:v>
      </x:c>
      <x:c r="E1436" t="str" s="2">
        <x:v>andryaperritt@gmail.com</x:v>
      </x:c>
      <x:c r="F1436" t="str" s="2">
        <x:v>Walk-in</x:v>
      </x:c>
      <x:c r="G1436" t="str" s="2">
        <x:v>Trey Rixleben</x:v>
      </x:c>
      <x:c r="H1436" s="6">
        <x:v>46241.66808880787</x:v>
      </x:c>
      <x:c r="I1436" t="str" s="2">
        <x:v>Trey Rixleben</x:v>
      </x:c>
      <x:c r="J1436" s="0"/>
      <x:c r="K1436" s="6">
        <x:v>46241.66808880787</x:v>
      </x:c>
      <x:c r="L1436" t="str" s="2">
        <x:v>Deal Created</x:v>
      </x:c>
    </x:row>
    <x:row r="1437">
      <x:c r="A1437" t="str" s="2">
        <x:f>=HYPERLINK("https://rsms.futurehomex.com/lead/39001", "Vickie Aubrey")</x:f>
      </x:c>
      <x:c r="B1437" t="str" s="2">
        <x:v>Heritage Housing of Oklahoma City</x:v>
      </x:c>
      <x:c r="C1437" t="str" s="2">
        <x:v/>
      </x:c>
      <x:c r="D1437" t="str" s="2">
        <x:v>4052122910</x:v>
      </x:c>
      <x:c r="E1437" t="str" s="2">
        <x:v>ronaubrey1966@gmail.com</x:v>
      </x:c>
      <x:c r="F1437" t="str" s="2">
        <x:v>Walk-in</x:v>
      </x:c>
      <x:c r="G1437" t="str" s="2">
        <x:v>Steve Castell</x:v>
      </x:c>
      <x:c r="H1437" s="6">
        <x:v>46241.75988730324</x:v>
      </x:c>
      <x:c r="I1437" t="str" s="2">
        <x:v>Steve Castell</x:v>
      </x:c>
      <x:c r="J1437" s="0"/>
      <x:c r="K1437" s="6">
        <x:v>46241.75988730324</x:v>
      </x:c>
      <x:c r="L1437" t="str" s="2">
        <x:v>Deal Created</x:v>
      </x:c>
    </x:row>
    <x:row r="1438">
      <x:c r="A1438" t="str" s="2">
        <x:f>=HYPERLINK("https://rsms.futurehomex.com/lead/39005", "Trevor Bertrand")</x:f>
      </x:c>
      <x:c r="B1438" t="str" s="2">
        <x:v>Heritage Housing of Jennings</x:v>
      </x:c>
      <x:c r="C1438" t="str" s="2">
        <x:v/>
      </x:c>
      <x:c r="D1438" t="str" s="2">
        <x:v>3372270140</x:v>
      </x:c>
      <x:c r="E1438" t="str" s="2">
        <x:v>trip1red@yahoo.com</x:v>
      </x:c>
      <x:c r="F1438" t="str" s="2">
        <x:v>Financing Form</x:v>
      </x:c>
      <x:c r="G1438" t="str" s="2">
        <x:v>Clint O'Neal</x:v>
      </x:c>
      <x:c r="H1438" s="6">
        <x:v>46241.815786770836</x:v>
      </x:c>
      <x:c r="I1438" t="str" s="2">
        <x:v>Clint O'Neal</x:v>
      </x:c>
      <x:c r="J1438" s="0"/>
      <x:c r="K1438" s="6">
        <x:v>46241.819986539354</x:v>
      </x:c>
      <x:c r="L1438" t="str" s="2">
        <x:v>Deal Created</x:v>
      </x:c>
    </x:row>
    <x:row r="1439">
      <x:c r="A1439" t="str" s="2">
        <x:f>=HYPERLINK("https://rsms.futurehomex.com/lead/39008", "Aaron Adams")</x:f>
      </x:c>
      <x:c r="B1439" t="str" s="2">
        <x:v>Heritage Housing of Oklahoma City</x:v>
      </x:c>
      <x:c r="C1439" t="str" s="2">
        <x:v/>
      </x:c>
      <x:c r="D1439" t="str" s="2">
        <x:v>4053703039</x:v>
      </x:c>
      <x:c r="E1439" t="str" s="2">
        <x:v>windows5_5@yahoo.com</x:v>
      </x:c>
      <x:c r="F1439" t="str" s="2">
        <x:v>Facebook Messenger</x:v>
      </x:c>
      <x:c r="G1439" t="str" s="2">
        <x:v>Trey Rixleben</x:v>
      </x:c>
      <x:c r="H1439" s="6">
        <x:v>46241.85453607639</x:v>
      </x:c>
      <x:c r="I1439" t="str" s="2">
        <x:v>Trey Rixleben</x:v>
      </x:c>
      <x:c r="J1439" s="0"/>
      <x:c r="K1439" s="6">
        <x:v>46241.85453607639</x:v>
      </x:c>
      <x:c r="L1439" t="str" s="2">
        <x:v>Deal Created</x:v>
      </x:c>
    </x:row>
    <x:row r="1440">
      <x:c r="A1440" t="str" s="2">
        <x:f>=HYPERLINK("https://rsms.futurehomex.com/lead/40386", "Jonathan White")</x:f>
      </x:c>
      <x:c r="B1440" t="str" s="2">
        <x:v>Heritage Housing of Oklahoma City</x:v>
      </x:c>
      <x:c r="C1440" t="str" s="2">
        <x:v>0/3</x:v>
      </x:c>
      <x:c r="D1440" t="str" s="2">
        <x:v>4056951582</x:v>
      </x:c>
      <x:c r="E1440" t="str" s="2">
        <x:v>rougedruid7@gmail.com</x:v>
      </x:c>
      <x:c r="F1440" t="str" s="2">
        <x:v>Landing_BPM</x:v>
      </x:c>
      <x:c r="G1440" t="str" s="2">
        <x:v>Steve Castell</x:v>
      </x:c>
      <x:c r="H1440" s="6">
        <x:v>46241.90408475694</x:v>
      </x:c>
      <x:c r="I1440" t="str" s="2">
        <x:v>Trey Rixleben</x:v>
      </x:c>
      <x:c r="J1440" s="0"/>
      <x:c r="K1440" s="6">
        <x:v>46241</x:v>
      </x:c>
      <x:c r="L1440" t="str" s="2">
        <x:v>Deal Created</x:v>
      </x:c>
    </x:row>
    <x:row r="1441">
      <x:c r="A1441" t="str" s="2">
        <x:f>=HYPERLINK("https://rsms.futurehomex.com/lead/39014", "Samantha Gomez")</x:f>
      </x:c>
      <x:c r="B1441" t="str" s="2">
        <x:v>Heritage Housing Gainesville</x:v>
      </x:c>
      <x:c r="C1441" t="str" s="2">
        <x:v/>
      </x:c>
      <x:c r="D1441" t="str" s="2">
        <x:v>4698491961</x:v>
      </x:c>
      <x:c r="E1441" t="str" s="2">
        <x:v>samanthaxgomez0@icloud.com</x:v>
      </x:c>
      <x:c r="F1441" t="str" s="2">
        <x:v>Meta Marketplace</x:v>
      </x:c>
      <x:c r="G1441" t="str" s="2">
        <x:v>Jeniffer Arellano</x:v>
      </x:c>
      <x:c r="H1441" s="6">
        <x:v>46242.56037265046</x:v>
      </x:c>
      <x:c r="I1441" t="str" s="2">
        <x:v>John Schwichtenberg</x:v>
      </x:c>
      <x:c r="J1441" s="0"/>
      <x:c r="K1441" s="6">
        <x:v>46242.56037265046</x:v>
      </x:c>
      <x:c r="L1441" t="str" s="2">
        <x:v>Deal Created</x:v>
      </x:c>
    </x:row>
    <x:row r="1442">
      <x:c r="A1442" t="str" s="2">
        <x:f>=HYPERLINK("https://rsms.futurehomex.com/lead/39017", "Maria Esparza")</x:f>
      </x:c>
      <x:c r="B1442" t="str" s="2">
        <x:v>Heritage Housing Gainesville</x:v>
      </x:c>
      <x:c r="C1442" t="str" s="2">
        <x:v/>
      </x:c>
      <x:c r="D1442" t="str" s="2">
        <x:v>6823728171</x:v>
      </x:c>
      <x:c r="E1442" t="str" s="2">
        <x:v>maria.esparza060514@icloud.com</x:v>
      </x:c>
      <x:c r="F1442" t="str" s="2">
        <x:v>Meta Marketplace</x:v>
      </x:c>
      <x:c r="G1442" t="str" s="2">
        <x:v>Jeniffer Arellano</x:v>
      </x:c>
      <x:c r="H1442" s="6">
        <x:v>46242.6473003125</x:v>
      </x:c>
      <x:c r="I1442" t="str" s="2">
        <x:v>John Schwichtenberg</x:v>
      </x:c>
      <x:c r="J1442" s="0"/>
      <x:c r="K1442" s="6">
        <x:v>46242.6473003125</x:v>
      </x:c>
      <x:c r="L1442" t="str" s="2">
        <x:v>Deal Created</x:v>
      </x:c>
    </x:row>
    <x:row r="1443">
      <x:c r="A1443" t="str" s="2">
        <x:f>=HYPERLINK("https://rsms.futurehomex.com/lead/39020", "Jimmy Ford")</x:f>
      </x:c>
      <x:c r="B1443" t="str" s="2">
        <x:v>Heritage Housing of Albany</x:v>
      </x:c>
      <x:c r="C1443" t="str" s="2">
        <x:v/>
      </x:c>
      <x:c r="D1443" t="str" s="2">
        <x:v>4078602161</x:v>
      </x:c>
      <x:c r="E1443" t="str" s="2">
        <x:v>jlford12345@gmail.com</x:v>
      </x:c>
      <x:c r="F1443" t="str" s="2">
        <x:v>Walk-in</x:v>
      </x:c>
      <x:c r="G1443" t="str" s="2">
        <x:v>Yanet Alvarez</x:v>
      </x:c>
      <x:c r="H1443" s="6">
        <x:v>46242.6929659375</x:v>
      </x:c>
      <x:c r="I1443" t="str" s="2">
        <x:v>Alexander Bryant</x:v>
      </x:c>
      <x:c r="J1443" s="0"/>
      <x:c r="K1443" s="6">
        <x:v>46242.6929659375</x:v>
      </x:c>
      <x:c r="L1443" t="str" s="2">
        <x:v>Deal Created</x:v>
      </x:c>
    </x:row>
    <x:row r="1444">
      <x:c r="A1444" t="str" s="2">
        <x:f>=HYPERLINK("https://rsms.futurehomex.com/lead/39021", "Cecilio Hernandez")</x:f>
      </x:c>
      <x:c r="B1444" t="str" s="2">
        <x:v>Heritage Housing Gainesville</x:v>
      </x:c>
      <x:c r="C1444" t="str" s="2">
        <x:v/>
      </x:c>
      <x:c r="D1444" t="str" s="2">
        <x:v>6823401544</x:v>
      </x:c>
      <x:c r="E1444" t="str" s="2">
        <x:v>laurasramos667@gmail.com</x:v>
      </x:c>
      <x:c r="F1444" t="str" s="2">
        <x:v>Meta Marketplace</x:v>
      </x:c>
      <x:c r="G1444" t="str" s="2">
        <x:v>Jeniffer Arellano</x:v>
      </x:c>
      <x:c r="H1444" s="6">
        <x:v>46242.69872037037</x:v>
      </x:c>
      <x:c r="I1444" t="str" s="2">
        <x:v>John Schwichtenberg</x:v>
      </x:c>
      <x:c r="J1444" s="0"/>
      <x:c r="K1444" s="6">
        <x:v>46242.69872037037</x:v>
      </x:c>
      <x:c r="L1444" t="str" s="2">
        <x:v>Deal Created</x:v>
      </x:c>
    </x:row>
    <x:row r="1445">
      <x:c r="A1445" t="str" s="2">
        <x:f>=HYPERLINK("https://rsms.futurehomex.com/lead/39034", "Carlos Lopez")</x:f>
      </x:c>
      <x:c r="B1445" t="str" s="2">
        <x:v>Legacy Housing Corp. DBA Americasa</x:v>
      </x:c>
      <x:c r="C1445" t="str" s="2">
        <x:v/>
      </x:c>
      <x:c r="D1445" t="str" s="2">
        <x:v>2812504345</x:v>
      </x:c>
      <x:c r="E1445" t="str" s="2">
        <x:v>2812504345</x:v>
      </x:c>
      <x:c r="F1445" t="str" s="2">
        <x:v>Meta Marketplace</x:v>
      </x:c>
      <x:c r="G1445" t="str" s="2">
        <x:v>Rodrigo Ramirez</x:v>
      </x:c>
      <x:c r="H1445" s="6">
        <x:v>46242.90443938658</x:v>
      </x:c>
      <x:c r="I1445" t="str" s="2">
        <x:v>Jose Parada</x:v>
      </x:c>
      <x:c r="J1445" s="0"/>
      <x:c r="K1445" s="6">
        <x:v>46242.90443938658</x:v>
      </x:c>
      <x:c r="L1445" t="str" s="2">
        <x:v>Deal Created</x:v>
      </x:c>
    </x:row>
    <x:row r="1446">
      <x:c r="A1446" t="str" s="2">
        <x:f>=HYPERLINK("https://rsms.futurehomex.com/lead/40377", "Tucker Beaston")</x:f>
      </x:c>
      <x:c r="B1446" t="str" s="2">
        <x:v>Heritage Housing of Oklahoma City</x:v>
      </x:c>
      <x:c r="C1446" t="str" s="2">
        <x:v>0/2</x:v>
      </x:c>
      <x:c r="D1446" t="str" s="2">
        <x:v>5803048038</x:v>
      </x:c>
      <x:c r="E1446" t="str" s="2">
        <x:v>tuckerbeaston80@gmail.com</x:v>
      </x:c>
      <x:c r="F1446" t="str" s="2">
        <x:v>Facebook Messenger</x:v>
      </x:c>
      <x:c r="G1446" t="str" s="2">
        <x:v>Steve Castell</x:v>
      </x:c>
      <x:c r="H1446" s="6">
        <x:v>46242.93439806713</x:v>
      </x:c>
      <x:c r="I1446" t="str" s="2">
        <x:v>Devon McCoy</x:v>
      </x:c>
      <x:c r="J1446" s="6">
        <x:v>46246.833333333336</x:v>
      </x:c>
      <x:c r="K1446" s="6">
        <x:v>46259.668463344904</x:v>
      </x:c>
      <x:c r="L1446" t="str" s="2">
        <x:v>Deal Created</x:v>
      </x:c>
    </x:row>
    <x:row r="1447">
      <x:c r="A1447" t="str" s="2">
        <x:f>=HYPERLINK("https://rsms.futurehomex.com/lead/39730", "Drew McFerren")</x:f>
      </x:c>
      <x:c r="B1447" t="str" s="2">
        <x:v>Heritage Housing of Oklahoma City</x:v>
      </x:c>
      <x:c r="C1447" t="str" s="2">
        <x:v>0/1</x:v>
      </x:c>
      <x:c r="D1447" t="str" s="2">
        <x:v>9258224331</x:v>
      </x:c>
      <x:c r="E1447" t="str" s="2">
        <x:v>drewmcferren@ymail.com</x:v>
      </x:c>
      <x:c r="F1447" t="str" s="2">
        <x:v>Landing_BPM</x:v>
      </x:c>
      <x:c r="G1447" t="str" s="2">
        <x:v>Steve Castell</x:v>
      </x:c>
      <x:c r="H1447" s="6">
        <x:v>46243.67808391204</x:v>
      </x:c>
      <x:c r="I1447" t="str" s="2">
        <x:v>Steve Castell</x:v>
      </x:c>
      <x:c r="J1447" s="0"/>
      <x:c r="K1447" s="6">
        <x:v>46245.8173503125</x:v>
      </x:c>
      <x:c r="L1447" t="str" s="2">
        <x:v>Deal Created</x:v>
      </x:c>
    </x:row>
    <x:row r="1448">
      <x:c r="A1448" t="str" s="2">
        <x:f>=HYPERLINK("https://rsms.futurehomex.com/lead/39049", "Eduardo Tovar Valenzuela")</x:f>
      </x:c>
      <x:c r="B1448" t="str" s="2">
        <x:v>Heritage Housing of Greenville</x:v>
      </x:c>
      <x:c r="C1448" t="str" s="2">
        <x:v/>
      </x:c>
      <x:c r="D1448" t="str" s="2">
        <x:v>4693154319</x:v>
      </x:c>
      <x:c r="E1448" t="str" s="2">
        <x:v>tovareduardo823@gmail.com</x:v>
      </x:c>
      <x:c r="F1448" t="str" s="2">
        <x:v>Facebook Messenger</x:v>
      </x:c>
      <x:c r="G1448" t="str" s="2">
        <x:v>Ana Garcia</x:v>
      </x:c>
      <x:c r="H1448" s="6">
        <x:v>46244.55241195602</x:v>
      </x:c>
      <x:c r="I1448" t="str" s="2">
        <x:v>Ana Garcia</x:v>
      </x:c>
      <x:c r="J1448" s="0"/>
      <x:c r="K1448" s="6">
        <x:v>46244.55241195602</x:v>
      </x:c>
      <x:c r="L1448" t="str" s="2">
        <x:v>Deal Created</x:v>
      </x:c>
    </x:row>
    <x:row r="1449">
      <x:c r="A1449" t="str" s="2">
        <x:f>=HYPERLINK("https://rsms.futurehomex.com/lead/39048", "Eduardo Tovar Valenzuela")</x:f>
      </x:c>
      <x:c r="B1449" t="str" s="2">
        <x:v>Heritage Housing of Greenville</x:v>
      </x:c>
      <x:c r="C1449" t="str" s="2">
        <x:v/>
      </x:c>
      <x:c r="D1449" t="str" s="2">
        <x:v>4693154319</x:v>
      </x:c>
      <x:c r="E1449" t="str" s="2">
        <x:v>tovareduardo823@gmail.com</x:v>
      </x:c>
      <x:c r="F1449" t="str" s="2">
        <x:v>Facebook Messenger</x:v>
      </x:c>
      <x:c r="G1449" t="str" s="2">
        <x:v>Ana Garcia</x:v>
      </x:c>
      <x:c r="H1449" s="6">
        <x:v>46244.55241195602</x:v>
      </x:c>
      <x:c r="I1449" t="str" s="2">
        <x:v>Ana Garcia</x:v>
      </x:c>
      <x:c r="J1449" s="0"/>
      <x:c r="K1449" s="6">
        <x:v>46244.55241195602</x:v>
      </x:c>
      <x:c r="L1449" t="str" s="2">
        <x:v>Deal Created</x:v>
      </x:c>
    </x:row>
    <x:row r="1450">
      <x:c r="A1450" t="str" s="2">
        <x:f>=HYPERLINK("https://rsms.futurehomex.com/lead/39056", "Robert Burguess")</x:f>
      </x:c>
      <x:c r="B1450" t="str" s="2">
        <x:v>Heritage Housing of Oklahoma City</x:v>
      </x:c>
      <x:c r="C1450" t="str" s="2">
        <x:v/>
      </x:c>
      <x:c r="D1450" t="str" s="2">
        <x:v>4059993090</x:v>
      </x:c>
      <x:c r="E1450" t="str" s="2">
        <x:v>4059993090</x:v>
      </x:c>
      <x:c r="F1450" t="str" s="2">
        <x:v>Facebook Messenger</x:v>
      </x:c>
      <x:c r="G1450" t="str" s="2">
        <x:v>Steve Castell</x:v>
      </x:c>
      <x:c r="H1450" s="6">
        <x:v>46244.75702121528</x:v>
      </x:c>
      <x:c r="I1450" t="str" s="2">
        <x:v>Steve Castell</x:v>
      </x:c>
      <x:c r="J1450" s="0"/>
      <x:c r="K1450" s="6">
        <x:v>46244.75702121528</x:v>
      </x:c>
      <x:c r="L1450" t="str" s="2">
        <x:v>Deal Created</x:v>
      </x:c>
    </x:row>
    <x:row r="1451">
      <x:c r="A1451" t="str" s="2">
        <x:f>=HYPERLINK("https://rsms.futurehomex.com/lead/39060", "Patrick Schuchart")</x:f>
      </x:c>
      <x:c r="B1451" t="str" s="2">
        <x:v>Heritage Housing of Minden</x:v>
      </x:c>
      <x:c r="C1451" t="str" s="2">
        <x:v/>
      </x:c>
      <x:c r="D1451" t="str" s="2">
        <x:v>2148303625</x:v>
      </x:c>
      <x:c r="E1451" t="str" s="2">
        <x:v>patrick.kristee@gmail.com</x:v>
      </x:c>
      <x:c r="F1451" t="str" s="2">
        <x:v>Other</x:v>
      </x:c>
      <x:c r="G1451" t="str" s="2">
        <x:v>Kyla Brown</x:v>
      </x:c>
      <x:c r="H1451" s="6">
        <x:v>46244.804225231484</x:v>
      </x:c>
      <x:c r="I1451" t="str" s="2">
        <x:v>Kyla Brown</x:v>
      </x:c>
      <x:c r="J1451" s="0"/>
      <x:c r="K1451" s="6">
        <x:v>46244.804225231484</x:v>
      </x:c>
      <x:c r="L1451" t="str" s="2">
        <x:v>Deal Created</x:v>
      </x:c>
    </x:row>
    <x:row r="1452">
      <x:c r="A1452" t="str" s="2">
        <x:f>=HYPERLINK("https://rsms.futurehomex.com/lead/40475", "Patrick Schuchart")</x:f>
      </x:c>
      <x:c r="B1452" t="str" s="2">
        <x:v>Heritage Housing of Minden</x:v>
      </x:c>
      <x:c r="C1452" t="str" s="2">
        <x:v/>
      </x:c>
      <x:c r="D1452" t="str" s="2">
        <x:v>2148303625</x:v>
      </x:c>
      <x:c r="E1452" t="str" s="2">
        <x:v>patrick.kristee@gmail.com</x:v>
      </x:c>
      <x:c r="F1452" t="str" s="2">
        <x:v>Other</x:v>
      </x:c>
      <x:c r="G1452" t="str" s="2">
        <x:v>Kyla Brown</x:v>
      </x:c>
      <x:c r="H1452" s="6">
        <x:v>46244.804225231484</x:v>
      </x:c>
      <x:c r="I1452" t="str" s="2">
        <x:v>Patrick Schuchart</x:v>
      </x:c>
      <x:c r="J1452" s="0"/>
      <x:c r="K1452" s="6">
        <x:v>46244.804225231484</x:v>
      </x:c>
      <x:c r="L1452" t="str" s="2">
        <x:v>Deal Created</x:v>
      </x:c>
    </x:row>
    <x:row r="1453">
      <x:c r="A1453" t="str" s="2">
        <x:f>=HYPERLINK("https://rsms.futurehomex.com/lead/39061", "Tomeka Wren")</x:f>
      </x:c>
      <x:c r="B1453" t="str" s="2">
        <x:v>Heritage Housing of Albany</x:v>
      </x:c>
      <x:c r="C1453" t="str" s="2">
        <x:v/>
      </x:c>
      <x:c r="D1453" t="str" s="2">
        <x:v>2299475743</x:v>
      </x:c>
      <x:c r="E1453" t="str" s="2">
        <x:v>tomekawren@icloud.com</x:v>
      </x:c>
      <x:c r="F1453" t="str" s="2">
        <x:v>Facebook Messenger</x:v>
      </x:c>
      <x:c r="G1453" t="str" s="2">
        <x:v>Yanet Alvarez</x:v>
      </x:c>
      <x:c r="H1453" s="6">
        <x:v>46244.82412638889</x:v>
      </x:c>
      <x:c r="I1453" t="str" s="2">
        <x:v>Alexander Bryant</x:v>
      </x:c>
      <x:c r="J1453" s="0"/>
      <x:c r="K1453" s="6">
        <x:v>46244.82412638889</x:v>
      </x:c>
      <x:c r="L1453" t="str" s="2">
        <x:v>Deal Created</x:v>
      </x:c>
    </x:row>
    <x:row r="1454">
      <x:c r="A1454" t="str" s="2">
        <x:f>=HYPERLINK("https://rsms.futurehomex.com/lead/39062", "John Patillo")</x:f>
      </x:c>
      <x:c r="B1454" t="str" s="2">
        <x:v>Heritage Housing of Canton</x:v>
      </x:c>
      <x:c r="C1454" t="str" s="2">
        <x:v/>
      </x:c>
      <x:c r="D1454" t="str" s="2">
        <x:v>8032909707</x:v>
      </x:c>
      <x:c r="E1454" t="str" s="2">
        <x:v>john.patillo@yahoo.com</x:v>
      </x:c>
      <x:c r="F1454" t="str" s="2">
        <x:v>Facebook Messenger</x:v>
      </x:c>
      <x:c r="G1454" t="str" s="2">
        <x:v>Maira Garcia</x:v>
      </x:c>
      <x:c r="H1454" s="6">
        <x:v>46244.861660497685</x:v>
      </x:c>
      <x:c r="I1454" t="str" s="2">
        <x:v>Maira Garcia</x:v>
      </x:c>
      <x:c r="J1454" s="0"/>
      <x:c r="K1454" s="6">
        <x:v>46244.861660497685</x:v>
      </x:c>
      <x:c r="L1454" t="str" s="2">
        <x:v>Deal Created</x:v>
      </x:c>
    </x:row>
    <x:row r="1455">
      <x:c r="A1455" t="str" s="2">
        <x:f>=HYPERLINK("https://rsms.futurehomex.com/lead/39064", "Marcus S Prudhomme")</x:f>
      </x:c>
      <x:c r="B1455" t="str" s="2">
        <x:v>Heritage Housing of Jennings</x:v>
      </x:c>
      <x:c r="C1455" t="str" s="2">
        <x:v/>
      </x:c>
      <x:c r="D1455" t="str" s="2">
        <x:v>3373705200</x:v>
      </x:c>
      <x:c r="E1455" t="str" s="2">
        <x:v>cobra_r302@hotmail.com</x:v>
      </x:c>
      <x:c r="F1455" t="str" s="2">
        <x:v>Walk-in</x:v>
      </x:c>
      <x:c r="G1455" t="str" s="2">
        <x:v>Clint O'Neal</x:v>
      </x:c>
      <x:c r="H1455" s="6">
        <x:v>46244.87914829861</x:v>
      </x:c>
      <x:c r="I1455" t="str" s="2">
        <x:v>Clint O'Neal</x:v>
      </x:c>
      <x:c r="J1455" s="0"/>
      <x:c r="K1455" s="6">
        <x:v>46244.87914829861</x:v>
      </x:c>
      <x:c r="L1455" t="str" s="2">
        <x:v>Deal Created</x:v>
      </x:c>
    </x:row>
    <x:row r="1456">
      <x:c r="A1456" t="str" s="2">
        <x:f>=HYPERLINK("https://rsms.futurehomex.com/lead/39068", "Adam &amp; Kathy Brougham")</x:f>
      </x:c>
      <x:c r="B1456" t="str" s="2">
        <x:v>Heritage Housing of Oklahoma City</x:v>
      </x:c>
      <x:c r="C1456" t="str" s="2">
        <x:v/>
      </x:c>
      <x:c r="D1456" t="str" s="2">
        <x:v>4055352331</x:v>
      </x:c>
      <x:c r="E1456" t="str" s="2">
        <x:v>interlockg@gmail.com</x:v>
      </x:c>
      <x:c r="F1456" t="str" s="2">
        <x:v>Facebook Messenger</x:v>
      </x:c>
      <x:c r="G1456" t="str" s="2">
        <x:v>Steve Castell</x:v>
      </x:c>
      <x:c r="H1456" s="6">
        <x:v>46244.92900413195</x:v>
      </x:c>
      <x:c r="I1456" t="str" s="2">
        <x:v>Steve Castell</x:v>
      </x:c>
      <x:c r="J1456" s="0"/>
      <x:c r="K1456" s="6">
        <x:v>46244.92900413195</x:v>
      </x:c>
      <x:c r="L1456" t="str" s="2">
        <x:v>Deal Created</x:v>
      </x:c>
    </x:row>
    <x:row r="1457">
      <x:c r="A1457" t="str" s="2">
        <x:f>=HYPERLINK("https://rsms.futurehomex.com/lead/39082", "Pablo Morello")</x:f>
      </x:c>
      <x:c r="B1457" t="str" s="2">
        <x:v>Heritage Housing of Oklahoma City</x:v>
      </x:c>
      <x:c r="C1457" t="str" s="2">
        <x:v>0/1</x:v>
      </x:c>
      <x:c r="D1457" t="str" s="2">
        <x:v>4055122796</x:v>
      </x:c>
      <x:c r="E1457" t="str" s="2">
        <x:v>4055122796</x:v>
      </x:c>
      <x:c r="F1457" t="str" s="2">
        <x:v>Walk-in</x:v>
      </x:c>
      <x:c r="G1457" t="str" s="2">
        <x:v>Steve Castell</x:v>
      </x:c>
      <x:c r="H1457" s="6">
        <x:v>46245.73749487269</x:v>
      </x:c>
      <x:c r="I1457" t="str" s="2">
        <x:v>Alejandra Calderon</x:v>
      </x:c>
      <x:c r="J1457" s="0"/>
      <x:c r="K1457" s="6">
        <x:v>46245.73749487269</x:v>
      </x:c>
      <x:c r="L1457" t="str" s="2">
        <x:v>Deal Created</x:v>
      </x:c>
    </x:row>
    <x:row r="1458">
      <x:c r="A1458" t="str" s="2">
        <x:f>=HYPERLINK("https://rsms.futurehomex.com/lead/39083", "Jeannie Cooper")</x:f>
      </x:c>
      <x:c r="B1458" t="str" s="2">
        <x:v>Heritage Housing of Oklahoma City</x:v>
      </x:c>
      <x:c r="C1458" t="str" s="2">
        <x:v>0/1</x:v>
      </x:c>
      <x:c r="D1458" t="str" s="2">
        <x:v>9703336339</x:v>
      </x:c>
      <x:c r="E1458" t="str" s="2">
        <x:v>9703336339</x:v>
      </x:c>
      <x:c r="F1458" t="str" s="2">
        <x:v>Meta Ads - Messenger</x:v>
      </x:c>
      <x:c r="G1458" t="str" s="2">
        <x:v>Steve Castell</x:v>
      </x:c>
      <x:c r="H1458" s="6">
        <x:v>46245.76056396991</x:v>
      </x:c>
      <x:c r="I1458" t="str" s="2">
        <x:v>Alejandra Calderon</x:v>
      </x:c>
      <x:c r="J1458" s="0"/>
      <x:c r="K1458" s="6">
        <x:v>46245.76056396991</x:v>
      </x:c>
      <x:c r="L1458" t="str" s="2">
        <x:v>Deal Created</x:v>
      </x:c>
    </x:row>
    <x:row r="1459">
      <x:c r="A1459" t="str" s="2">
        <x:f>=HYPERLINK("https://rsms.futurehomex.com/lead/39091", "Libia Rosales")</x:f>
      </x:c>
      <x:c r="B1459" t="str" s="2">
        <x:v>Legacy Housing Corp. DBA Americasa</x:v>
      </x:c>
      <x:c r="C1459" t="str" s="2">
        <x:v/>
      </x:c>
      <x:c r="D1459" t="str" s="2">
        <x:v>2818503763</x:v>
      </x:c>
      <x:c r="E1459" t="str" s="2">
        <x:v>2818503763</x:v>
      </x:c>
      <x:c r="F1459" t="str" s="2">
        <x:v>Website</x:v>
      </x:c>
      <x:c r="G1459" t="str" s="2">
        <x:v>Rodrigo Ramirez</x:v>
      </x:c>
      <x:c r="H1459" s="6">
        <x:v>46245.92057357639</x:v>
      </x:c>
      <x:c r="I1459" t="str" s="2">
        <x:v>Joey Marquez</x:v>
      </x:c>
      <x:c r="J1459" s="0"/>
      <x:c r="K1459" s="6">
        <x:v>46245.92057357639</x:v>
      </x:c>
      <x:c r="L1459" t="str" s="2">
        <x:v>Deal Created</x:v>
      </x:c>
    </x:row>
    <x:row r="1460">
      <x:c r="A1460" t="str" s="2">
        <x:f>=HYPERLINK("https://rsms.futurehomex.com/lead/39092", "Lisa Walker")</x:f>
      </x:c>
      <x:c r="B1460" t="str" s="2">
        <x:v>Heritage Housing of Minden</x:v>
      </x:c>
      <x:c r="C1460" t="str" s="2">
        <x:v/>
      </x:c>
      <x:c r="D1460" t="str" s="2">
        <x:v>3184220871</x:v>
      </x:c>
      <x:c r="E1460" t="str" s="2">
        <x:v>lisa.d.walker065@gmail.com</x:v>
      </x:c>
      <x:c r="F1460" t="str" s="2">
        <x:v>Walk-in</x:v>
      </x:c>
      <x:c r="G1460" t="str" s="2">
        <x:v>Patrick Schuchart</x:v>
      </x:c>
      <x:c r="H1460" s="6">
        <x:v>46245.938751354166</x:v>
      </x:c>
      <x:c r="I1460" t="str" s="2">
        <x:v>Patrick Schuchart</x:v>
      </x:c>
      <x:c r="J1460" s="0"/>
      <x:c r="K1460" s="6">
        <x:v>46245.938751354166</x:v>
      </x:c>
      <x:c r="L1460" t="str" s="2">
        <x:v>Deal Created</x:v>
      </x:c>
    </x:row>
    <x:row r="1461">
      <x:c r="A1461" t="str" s="2">
        <x:f>=HYPERLINK("https://rsms.futurehomex.com/lead/39104", "Jamie Moriarity")</x:f>
      </x:c>
      <x:c r="B1461" t="str" s="2">
        <x:v>Heritage Housing of Oklahoma City</x:v>
      </x:c>
      <x:c r="C1461" t="str" s="2">
        <x:v/>
      </x:c>
      <x:c r="D1461" t="str" s="2">
        <x:v>4059748213</x:v>
      </x:c>
      <x:c r="E1461" t="str" s="2">
        <x:v>jamiemoriarity19@gmail.com</x:v>
      </x:c>
      <x:c r="F1461" t="str" s="2">
        <x:v>Walk-in</x:v>
      </x:c>
      <x:c r="G1461" t="str" s="2">
        <x:v>Trey Rixleben</x:v>
      </x:c>
      <x:c r="H1461" s="6">
        <x:v>46246.71491704861</x:v>
      </x:c>
      <x:c r="I1461" t="str" s="2">
        <x:v>Trey Rixleben</x:v>
      </x:c>
      <x:c r="J1461" s="0"/>
      <x:c r="K1461" s="6">
        <x:v>46246.71491704861</x:v>
      </x:c>
      <x:c r="L1461" t="str" s="2">
        <x:v>Deal Created</x:v>
      </x:c>
    </x:row>
    <x:row r="1462">
      <x:c r="A1462" t="str" s="2">
        <x:f>=HYPERLINK("https://rsms.futurehomex.com/lead/39105", "Paul Parrott")</x:f>
      </x:c>
      <x:c r="B1462" t="str" s="2">
        <x:v>Heritage Housing of Oklahoma City</x:v>
      </x:c>
      <x:c r="C1462" t="str" s="2">
        <x:v/>
      </x:c>
      <x:c r="D1462" t="str" s="2">
        <x:v>9188168186</x:v>
      </x:c>
      <x:c r="E1462" t="str" s="2">
        <x:v>pcparrott@outlook.com</x:v>
      </x:c>
      <x:c r="F1462" t="str" s="2">
        <x:v>Facebook Messenger</x:v>
      </x:c>
      <x:c r="G1462" t="str" s="2">
        <x:v>Trey Rixleben</x:v>
      </x:c>
      <x:c r="H1462" s="6">
        <x:v>46246.781522337966</x:v>
      </x:c>
      <x:c r="I1462" t="str" s="2">
        <x:v>Trey Rixleben</x:v>
      </x:c>
      <x:c r="J1462" s="0"/>
      <x:c r="K1462" s="6">
        <x:v>46246.781522337966</x:v>
      </x:c>
      <x:c r="L1462" t="str" s="2">
        <x:v>Deal Created</x:v>
      </x:c>
    </x:row>
    <x:row r="1463">
      <x:c r="A1463" t="str" s="2">
        <x:f>=HYPERLINK("https://rsms.futurehomex.com/lead/39109", "Ricky Perez")</x:f>
      </x:c>
      <x:c r="B1463" t="str" s="2">
        <x:v>Heritage Housing Gainesville</x:v>
      </x:c>
      <x:c r="C1463" t="str" s="2">
        <x:v/>
      </x:c>
      <x:c r="D1463" t="str" s="2">
        <x:v>3464326053</x:v>
      </x:c>
      <x:c r="E1463" t="str" s="2">
        <x:v>rjrvball13@gmail.com</x:v>
      </x:c>
      <x:c r="F1463" t="str" s="2">
        <x:v>Meta Marketplace</x:v>
      </x:c>
      <x:c r="G1463" t="str" s="2">
        <x:v>Jeniffer Arellano</x:v>
      </x:c>
      <x:c r="H1463" s="6">
        <x:v>46246.83742592593</x:v>
      </x:c>
      <x:c r="I1463" t="str" s="2">
        <x:v>Kelly Ford</x:v>
      </x:c>
      <x:c r="J1463" s="0"/>
      <x:c r="K1463" s="6">
        <x:v>46246.83742592593</x:v>
      </x:c>
      <x:c r="L1463" t="str" s="2">
        <x:v>Deal Created</x:v>
      </x:c>
    </x:row>
    <x:row r="1464">
      <x:c r="A1464" t="str" s="2">
        <x:f>=HYPERLINK("https://rsms.futurehomex.com/lead/39118", "Kyle Harrison")</x:f>
      </x:c>
      <x:c r="B1464" t="str" s="2">
        <x:v>Heritage Housing Mt Pleasant</x:v>
      </x:c>
      <x:c r="C1464" t="str" s="2">
        <x:v/>
      </x:c>
      <x:c r="D1464" t="str" s="2">
        <x:v>9034580425</x:v>
      </x:c>
      <x:c r="E1464" t="str" s="2">
        <x:v>9034580425</x:v>
      </x:c>
      <x:c r="F1464" t="str" s="2">
        <x:v>Walk-in</x:v>
      </x:c>
      <x:c r="G1464" t="str" s="2">
        <x:v>Yarelis Torres</x:v>
      </x:c>
      <x:c r="H1464" s="6">
        <x:v>46247.005485104164</x:v>
      </x:c>
      <x:c r="I1464" t="str" s="2">
        <x:v>Elias Gallardo</x:v>
      </x:c>
      <x:c r="J1464" s="0"/>
      <x:c r="K1464" s="6">
        <x:v>46247.005485104164</x:v>
      </x:c>
      <x:c r="L1464" t="str" s="2">
        <x:v>Deal Created</x:v>
      </x:c>
    </x:row>
    <x:row r="1465">
      <x:c r="A1465" t="str" s="2">
        <x:f>=HYPERLINK("https://rsms.futurehomex.com/lead/39119", "Phillip Johnson")</x:f>
      </x:c>
      <x:c r="B1465" t="str" s="2">
        <x:v>Heritage Housing of Oklahoma City</x:v>
      </x:c>
      <x:c r="C1465" t="str" s="2">
        <x:v/>
      </x:c>
      <x:c r="D1465" t="str" s="2">
        <x:v>4058317583</x:v>
      </x:c>
      <x:c r="E1465" t="str" s="2">
        <x:v>okienyankee@att.net</x:v>
      </x:c>
      <x:c r="F1465" t="str" s="2">
        <x:v>Walk-in</x:v>
      </x:c>
      <x:c r="G1465" t="str" s="2">
        <x:v>Trey Rixleben</x:v>
      </x:c>
      <x:c r="H1465" s="6">
        <x:v>46247.576256747685</x:v>
      </x:c>
      <x:c r="I1465" t="str" s="2">
        <x:v>Trey Rixleben</x:v>
      </x:c>
      <x:c r="J1465" s="0"/>
      <x:c r="K1465" s="6">
        <x:v>46247.576256747685</x:v>
      </x:c>
      <x:c r="L1465" t="str" s="2">
        <x:v>Deal Created</x:v>
      </x:c>
    </x:row>
    <x:row r="1466">
      <x:c r="A1466" t="str" s="2">
        <x:f>=HYPERLINK("https://rsms.futurehomex.com/lead/39127", "Travis Leighton")</x:f>
      </x:c>
      <x:c r="B1466" t="str" s="2">
        <x:v>Heritage Housing of Oklahoma City</x:v>
      </x:c>
      <x:c r="C1466" t="str" s="2">
        <x:v/>
      </x:c>
      <x:c r="D1466" t="str" s="2">
        <x:v>5806303472</x:v>
      </x:c>
      <x:c r="E1466" t="str" s="2">
        <x:v>5806303472</x:v>
      </x:c>
      <x:c r="F1466" t="str" s="2">
        <x:v>Facebook Messenger</x:v>
      </x:c>
      <x:c r="G1466" t="str" s="2">
        <x:v>Steve Castell</x:v>
      </x:c>
      <x:c r="H1466" s="6">
        <x:v>46247.66156021991</x:v>
      </x:c>
      <x:c r="I1466" t="str" s="2">
        <x:v>Steve Castell</x:v>
      </x:c>
      <x:c r="J1466" s="0"/>
      <x:c r="K1466" s="6">
        <x:v>46247.66156021991</x:v>
      </x:c>
      <x:c r="L1466" t="str" s="2">
        <x:v>Deal Created</x:v>
      </x:c>
    </x:row>
    <x:row r="1467">
      <x:c r="A1467" t="str" s="2">
        <x:f>=HYPERLINK("https://rsms.futurehomex.com/lead/39134", "Moby Semar")</x:f>
      </x:c>
      <x:c r="B1467" t="str" s="2">
        <x:v>Heritage Housing of Jennings</x:v>
      </x:c>
      <x:c r="C1467" t="str" s="2">
        <x:v/>
      </x:c>
      <x:c r="D1467" t="str" s="2">
        <x:v>4056592716</x:v>
      </x:c>
      <x:c r="E1467" t="str" s="2">
        <x:v>moby.semar@tresmanagement.net</x:v>
      </x:c>
      <x:c r="F1467" t="str" s="2">
        <x:v>Office Hot Calls</x:v>
      </x:c>
      <x:c r="G1467" t="str" s="2">
        <x:v>Clint O'Neal</x:v>
      </x:c>
      <x:c r="H1467" s="6">
        <x:v>46247.72936646991</x:v>
      </x:c>
      <x:c r="I1467" t="str" s="2">
        <x:v>Clint O'Neal</x:v>
      </x:c>
      <x:c r="J1467" s="0"/>
      <x:c r="K1467" s="6">
        <x:v>46247.72936646991</x:v>
      </x:c>
      <x:c r="L1467" t="str" s="2">
        <x:v>Deal Created</x:v>
      </x:c>
    </x:row>
    <x:row r="1468">
      <x:c r="A1468" t="str" s="2">
        <x:f>=HYPERLINK("https://rsms.futurehomex.com/lead/40047", "Casey Rosales")</x:f>
      </x:c>
      <x:c r="B1468" t="str" s="2">
        <x:v>Heritage Housing of Oklahoma City</x:v>
      </x:c>
      <x:c r="C1468" t="str" s="2">
        <x:v>0/1</x:v>
      </x:c>
      <x:c r="D1468" t="str" s="2">
        <x:v>5803743630</x:v>
      </x:c>
      <x:c r="E1468" t="str" s="2">
        <x:v>1bubba3doo@gmail.com</x:v>
      </x:c>
      <x:c r="F1468" t="str" s="2">
        <x:v>Financing Form</x:v>
      </x:c>
      <x:c r="G1468" t="str" s="2">
        <x:v>Steve Castell</x:v>
      </x:c>
      <x:c r="H1468" s="6">
        <x:v>46248.06093452546</x:v>
      </x:c>
      <x:c r="I1468" t="str" s="2">
        <x:v>Steve Castell</x:v>
      </x:c>
      <x:c r="J1468" s="0"/>
      <x:c r="K1468" s="6">
        <x:v>46248.603689270836</x:v>
      </x:c>
      <x:c r="L1468" t="str" s="2">
        <x:v>Deal Created</x:v>
      </x:c>
    </x:row>
    <x:row r="1469">
      <x:c r="A1469" t="str" s="2">
        <x:f>=HYPERLINK("https://rsms.futurehomex.com/lead/39154", "Franchika Francis Francis")</x:f>
      </x:c>
      <x:c r="B1469" t="str" s="2">
        <x:v>Heritage Housing of Jennings</x:v>
      </x:c>
      <x:c r="C1469" t="str" s="2">
        <x:v/>
      </x:c>
      <x:c r="D1469" t="str" s="2">
        <x:v>3375940051</x:v>
      </x:c>
      <x:c r="E1469" t="str" s="2">
        <x:v>franchikafrancis@yahoo.com</x:v>
      </x:c>
      <x:c r="F1469" t="str" s="2">
        <x:v>Landing_BPM</x:v>
      </x:c>
      <x:c r="G1469" t="str" s="2">
        <x:v>Clint O'Neal</x:v>
      </x:c>
      <x:c r="H1469" s="6">
        <x:v>46248.36520512732</x:v>
      </x:c>
      <x:c r="I1469" t="str" s="2">
        <x:v>Clint O'Neal</x:v>
      </x:c>
      <x:c r="J1469" s="0"/>
      <x:c r="K1469" s="6">
        <x:v>46248</x:v>
      </x:c>
      <x:c r="L1469" t="str" s="2">
        <x:v>Deal Created</x:v>
      </x:c>
    </x:row>
    <x:row r="1470">
      <x:c r="A1470" t="str" s="2">
        <x:f>=HYPERLINK("https://rsms.futurehomex.com/lead/39148", "Jeff Levy")</x:f>
      </x:c>
      <x:c r="B1470" t="str" s="2">
        <x:v>Heritage Housing of Minden</x:v>
      </x:c>
      <x:c r="C1470" t="str" s="2">
        <x:v/>
      </x:c>
      <x:c r="D1470" t="str" s="2">
        <x:v>2147288328</x:v>
      </x:c>
      <x:c r="E1470" t="str" s="2">
        <x:v>2147288328</x:v>
      </x:c>
      <x:c r="F1470" t="str" s="2">
        <x:v>Other</x:v>
      </x:c>
      <x:c r="G1470" t="str" s="2">
        <x:v>Patrick Schuchart</x:v>
      </x:c>
      <x:c r="H1470" s="6">
        <x:v>46248.648127395834</x:v>
      </x:c>
      <x:c r="I1470" t="str" s="2">
        <x:v>Patrick Schuchart</x:v>
      </x:c>
      <x:c r="J1470" s="0"/>
      <x:c r="K1470" s="6">
        <x:v>46248.648127395834</x:v>
      </x:c>
      <x:c r="L1470" t="str" s="2">
        <x:v>Deal Created</x:v>
      </x:c>
    </x:row>
    <x:row r="1471">
      <x:c r="A1471" t="str" s="2">
        <x:f>=HYPERLINK("https://rsms.futurehomex.com/lead/39568", "JENNY Muir")</x:f>
      </x:c>
      <x:c r="B1471" t="str" s="2">
        <x:v>Heritage Housing of Oklahoma City</x:v>
      </x:c>
      <x:c r="C1471" t="str" s="2">
        <x:v>0/2</x:v>
      </x:c>
      <x:c r="D1471" t="str" s="2">
        <x:v>5807540697</x:v>
      </x:c>
      <x:c r="E1471" t="str" s="2">
        <x:v>muirjenny45@gmail.com</x:v>
      </x:c>
      <x:c r="F1471" t="str" s="2">
        <x:v>Landing_BPM</x:v>
      </x:c>
      <x:c r="G1471" t="str" s="2">
        <x:v>Steve Castell</x:v>
      </x:c>
      <x:c r="H1471" s="6">
        <x:v>46248.66303877315</x:v>
      </x:c>
      <x:c r="I1471" t="str" s="2">
        <x:v>Steve Castell</x:v>
      </x:c>
      <x:c r="J1471" s="0"/>
      <x:c r="K1471" s="6">
        <x:v>46248.838810416666</x:v>
      </x:c>
      <x:c r="L1471" t="str" s="2">
        <x:v>Deal Created</x:v>
      </x:c>
    </x:row>
    <x:row r="1472">
      <x:c r="A1472" t="str" s="2">
        <x:f>=HYPERLINK("https://rsms.futurehomex.com/lead/39149", "Dominique Robinson")</x:f>
      </x:c>
      <x:c r="B1472" t="str" s="2">
        <x:v>Heritage Housing of Oklahoma City</x:v>
      </x:c>
      <x:c r="C1472" t="str" s="2">
        <x:v/>
      </x:c>
      <x:c r="D1472" t="str" s="2">
        <x:v>9185301701</x:v>
      </x:c>
      <x:c r="E1472" t="str" s="2">
        <x:v>9185301701</x:v>
      </x:c>
      <x:c r="F1472" t="str" s="2">
        <x:v>Walk-in</x:v>
      </x:c>
      <x:c r="G1472" t="str" s="2">
        <x:v>Steve Castell</x:v>
      </x:c>
      <x:c r="H1472" s="6">
        <x:v>46248.69777565972</x:v>
      </x:c>
      <x:c r="I1472" t="str" s="2">
        <x:v>Alejandra Calderon</x:v>
      </x:c>
      <x:c r="J1472" s="0"/>
      <x:c r="K1472" s="6">
        <x:v>46248.69777565972</x:v>
      </x:c>
      <x:c r="L1472" t="str" s="2">
        <x:v>Deal Created</x:v>
      </x:c>
    </x:row>
    <x:row r="1473">
      <x:c r="A1473" t="str" s="2">
        <x:f>=HYPERLINK("https://rsms.futurehomex.com/lead/39158", "Andrea Freeney")</x:f>
      </x:c>
      <x:c r="B1473" t="str" s="2">
        <x:v>Heritage Housing Mt Pleasant</x:v>
      </x:c>
      <x:c r="C1473" t="str" s="2">
        <x:v/>
      </x:c>
      <x:c r="D1473" t="str" s="2">
        <x:v>9036179608</x:v>
      </x:c>
      <x:c r="E1473" t="str" s="2">
        <x:v>a_freeney@icloud.com</x:v>
      </x:c>
      <x:c r="F1473" t="str" s="2">
        <x:v>Meta Marketplace</x:v>
      </x:c>
      <x:c r="G1473" t="str" s="2">
        <x:v>Yarelis Torres</x:v>
      </x:c>
      <x:c r="H1473" s="6">
        <x:v>46248.83971010417</x:v>
      </x:c>
      <x:c r="I1473" t="str" s="2">
        <x:v>Elias Gallardo</x:v>
      </x:c>
      <x:c r="J1473" s="0"/>
      <x:c r="K1473" s="6">
        <x:v>46248.83971010417</x:v>
      </x:c>
      <x:c r="L1473" t="str" s="2">
        <x:v>Deal Created</x:v>
      </x:c>
    </x:row>
    <x:row r="1474">
      <x:c r="A1474" t="str" s="2">
        <x:f>=HYPERLINK("https://rsms.futurehomex.com/lead/39629", "Kaylen Williams")</x:f>
      </x:c>
      <x:c r="B1474" t="str" s="2">
        <x:v>Heritage Housing of Oklahoma City</x:v>
      </x:c>
      <x:c r="C1474" t="str" s="2">
        <x:v>0/1</x:v>
      </x:c>
      <x:c r="D1474" t="str" s="2">
        <x:v>4052042872</x:v>
      </x:c>
      <x:c r="E1474" t="str" s="2">
        <x:v>kaylenwilliams1986@gmail.com</x:v>
      </x:c>
      <x:c r="F1474" t="str" s="2">
        <x:v>Landing_BPM</x:v>
      </x:c>
      <x:c r="G1474" t="str" s="2">
        <x:v>Trey Rixleben</x:v>
      </x:c>
      <x:c r="H1474" s="6">
        <x:v>46248.91810243056</x:v>
      </x:c>
      <x:c r="I1474" t="str" s="2">
        <x:v>Trey Rixleben</x:v>
      </x:c>
      <x:c r="J1474" s="0"/>
      <x:c r="K1474" s="6">
        <x:v>46248.918609988425</x:v>
      </x:c>
      <x:c r="L1474" t="str" s="2">
        <x:v>Deal Created</x:v>
      </x:c>
    </x:row>
    <x:row r="1475">
      <x:c r="A1475" t="str" s="2">
        <x:f>=HYPERLINK("https://rsms.futurehomex.com/lead/39170", "Amy Ann Brooks")</x:f>
      </x:c>
      <x:c r="B1475" t="str" s="2">
        <x:v>Heritage Housing of Oklahoma City</x:v>
      </x:c>
      <x:c r="C1475" t="str" s="2">
        <x:v/>
      </x:c>
      <x:c r="D1475" t="str" s="2">
        <x:v>5804911453</x:v>
      </x:c>
      <x:c r="E1475" t="str" s="2">
        <x:v>aab3110@yahoo.com</x:v>
      </x:c>
      <x:c r="F1475" t="str" s="2">
        <x:v>Facebook Messenger</x:v>
      </x:c>
      <x:c r="G1475" t="str" s="2">
        <x:v>Trey Rixleben</x:v>
      </x:c>
      <x:c r="H1475" s="6">
        <x:v>46249.66141357639</x:v>
      </x:c>
      <x:c r="I1475" t="str" s="2">
        <x:v>Steve Castell</x:v>
      </x:c>
      <x:c r="J1475" s="0"/>
      <x:c r="K1475" s="6">
        <x:v>46249.66141357639</x:v>
      </x:c>
      <x:c r="L1475" t="str" s="2">
        <x:v>Deal Created</x:v>
      </x:c>
    </x:row>
    <x:row r="1476">
      <x:c r="A1476" t="str" s="2">
        <x:f>=HYPERLINK("https://rsms.futurehomex.com/lead/39175", "Madison Lane")</x:f>
      </x:c>
      <x:c r="B1476" t="str" s="2">
        <x:v>Heritage Housing of Oklahoma City</x:v>
      </x:c>
      <x:c r="C1476" t="str" s="2">
        <x:v/>
      </x:c>
      <x:c r="D1476" t="str" s="2">
        <x:v>5804786818</x:v>
      </x:c>
      <x:c r="E1476" t="str" s="2">
        <x:v>5804786818</x:v>
      </x:c>
      <x:c r="F1476" t="str" s="2">
        <x:v>Walk-in</x:v>
      </x:c>
      <x:c r="G1476" t="str" s="2">
        <x:v>Steve Castell</x:v>
      </x:c>
      <x:c r="H1476" s="6">
        <x:v>46249.728322650466</x:v>
      </x:c>
      <x:c r="I1476" t="str" s="2">
        <x:v>Alejandra Calderon</x:v>
      </x:c>
      <x:c r="J1476" s="0"/>
      <x:c r="K1476" s="6">
        <x:v>46249.728322650466</x:v>
      </x:c>
      <x:c r="L1476" t="str" s="2">
        <x:v>Deal Created</x:v>
      </x:c>
    </x:row>
    <x:row r="1477">
      <x:c r="A1477" t="str" s="2">
        <x:f>=HYPERLINK("https://rsms.futurehomex.com/lead/39176", "Cheryl Dasen")</x:f>
      </x:c>
      <x:c r="B1477" t="str" s="2">
        <x:v>Heritage Housing of Oklahoma City</x:v>
      </x:c>
      <x:c r="C1477" t="str" s="2">
        <x:v/>
      </x:c>
      <x:c r="D1477" t="str" s="2">
        <x:v>7274059505</x:v>
      </x:c>
      <x:c r="E1477" t="str" s="2">
        <x:v>7274059505</x:v>
      </x:c>
      <x:c r="F1477" t="str" s="2">
        <x:v>Facebook Messenger</x:v>
      </x:c>
      <x:c r="G1477" t="str" s="2">
        <x:v>Trey Rixleben</x:v>
      </x:c>
      <x:c r="H1477" s="6">
        <x:v>46249.73960853009</x:v>
      </x:c>
      <x:c r="I1477" t="str" s="2">
        <x:v>Trey Rixleben</x:v>
      </x:c>
      <x:c r="J1477" s="0"/>
      <x:c r="K1477" s="6">
        <x:v>46249.73960853009</x:v>
      </x:c>
      <x:c r="L1477" t="str" s="2">
        <x:v>Deal Created</x:v>
      </x:c>
    </x:row>
    <x:row r="1478">
      <x:c r="A1478" t="str" s="2">
        <x:f>=HYPERLINK("https://rsms.futurehomex.com/lead/39181", "Kimberly Tabor")</x:f>
      </x:c>
      <x:c r="B1478" t="str" s="2">
        <x:v>Heritage Housing of Oklahoma City</x:v>
      </x:c>
      <x:c r="C1478" t="str" s="2">
        <x:v/>
      </x:c>
      <x:c r="D1478" t="str" s="2">
        <x:v>4056346444</x:v>
      </x:c>
      <x:c r="E1478" t="str" s="2">
        <x:v>4056346444</x:v>
      </x:c>
      <x:c r="F1478" t="str" s="2">
        <x:v>Facebook Messenger</x:v>
      </x:c>
      <x:c r="G1478" t="str" s="2">
        <x:v>Trey Rixleben</x:v>
      </x:c>
      <x:c r="H1478" s="6">
        <x:v>46249.793711770835</x:v>
      </x:c>
      <x:c r="I1478" t="str" s="2">
        <x:v>Trey Rixleben</x:v>
      </x:c>
      <x:c r="J1478" s="0"/>
      <x:c r="K1478" s="6">
        <x:v>46249.793711770835</x:v>
      </x:c>
      <x:c r="L1478" t="str" s="2">
        <x:v>Deal Created</x:v>
      </x:c>
    </x:row>
    <x:row r="1479">
      <x:c r="A1479" t="str" s="2">
        <x:f>=HYPERLINK("https://rsms.futurehomex.com/lead/39182", "Hector Carballo")</x:f>
      </x:c>
      <x:c r="B1479" t="str" s="2">
        <x:v>Legacy Housing Corp. DBA Americasa</x:v>
      </x:c>
      <x:c r="C1479" t="str" s="2">
        <x:v/>
      </x:c>
      <x:c r="D1479" t="str" s="2">
        <x:v>3464200384</x:v>
      </x:c>
      <x:c r="E1479" t="str" s="2">
        <x:v>carballoh82@gmail.com</x:v>
      </x:c>
      <x:c r="F1479" t="str" s="2">
        <x:v>Referrals</x:v>
      </x:c>
      <x:c r="G1479" t="str" s="2">
        <x:v>Jose Parada</x:v>
      </x:c>
      <x:c r="H1479" s="6">
        <x:v>46249.81297295139</x:v>
      </x:c>
      <x:c r="I1479" t="str" s="2">
        <x:v>Jose Parada</x:v>
      </x:c>
      <x:c r="J1479" s="0"/>
      <x:c r="K1479" s="6">
        <x:v>46249.81297295139</x:v>
      </x:c>
      <x:c r="L1479" t="str" s="2">
        <x:v>Deal Created</x:v>
      </x:c>
    </x:row>
    <x:row r="1480">
      <x:c r="A1480" t="str" s="2">
        <x:f>=HYPERLINK("https://rsms.futurehomex.com/lead/39183", "Randy Breasell")</x:f>
      </x:c>
      <x:c r="B1480" t="str" s="2">
        <x:v>Heritage Housing of Minden</x:v>
      </x:c>
      <x:c r="C1480" t="str" s="2">
        <x:v/>
      </x:c>
      <x:c r="D1480" t="str" s="2">
        <x:v>3184648086</x:v>
      </x:c>
      <x:c r="E1480" t="str" s="2">
        <x:v>3184648086</x:v>
      </x:c>
      <x:c r="F1480" t="str" s="2">
        <x:v>Walk-in</x:v>
      </x:c>
      <x:c r="G1480" t="str" s="2">
        <x:v>Patrick Schuchart</x:v>
      </x:c>
      <x:c r="H1480" s="6">
        <x:v>46249.81523642361</x:v>
      </x:c>
      <x:c r="I1480" t="str" s="2">
        <x:v>Patrick Schuchart</x:v>
      </x:c>
      <x:c r="J1480" s="0"/>
      <x:c r="K1480" s="6">
        <x:v>46249.81523642361</x:v>
      </x:c>
      <x:c r="L1480" t="str" s="2">
        <x:v>Deal Created</x:v>
      </x:c>
    </x:row>
    <x:row r="1481">
      <x:c r="A1481" t="str" s="2">
        <x:f>=HYPERLINK("https://rsms.futurehomex.com/lead/39186", "Shane Edwards")</x:f>
      </x:c>
      <x:c r="B1481" t="str" s="2">
        <x:v>Heritage Housing of Oklahoma City</x:v>
      </x:c>
      <x:c r="C1481" t="str" s="2">
        <x:v/>
      </x:c>
      <x:c r="D1481" t="str" s="2">
        <x:v>5722428616</x:v>
      </x:c>
      <x:c r="E1481" t="str" s="2">
        <x:v>theedwards3237@yahoo.com</x:v>
      </x:c>
      <x:c r="F1481" t="str" s="2">
        <x:v>Facebook Messenger</x:v>
      </x:c>
      <x:c r="G1481" t="str" s="2">
        <x:v>Trey Rixleben</x:v>
      </x:c>
      <x:c r="H1481" s="6">
        <x:v>46249.83142607639</x:v>
      </x:c>
      <x:c r="I1481" t="str" s="2">
        <x:v>Trey Rixleben</x:v>
      </x:c>
      <x:c r="J1481" s="0"/>
      <x:c r="K1481" s="6">
        <x:v>46249.83142607639</x:v>
      </x:c>
      <x:c r="L1481" t="str" s="2">
        <x:v>Deal Created</x:v>
      </x:c>
    </x:row>
    <x:row r="1482">
      <x:c r="A1482" t="str" s="2">
        <x:f>=HYPERLINK("https://rsms.futurehomex.com/lead/39187", "Carl Clark")</x:f>
      </x:c>
      <x:c r="B1482" t="str" s="2">
        <x:v>Heritage Housing of Augusta</x:v>
      </x:c>
      <x:c r="C1482" t="str" s="2">
        <x:v/>
      </x:c>
      <x:c r="D1482" t="str" s="2">
        <x:v>8133941603</x:v>
      </x:c>
      <x:c r="E1482" t="str" s="2">
        <x:v>carlc0209@gmail.com</x:v>
      </x:c>
      <x:c r="F1482" t="str" s="2">
        <x:v>Walk-in</x:v>
      </x:c>
      <x:c r="G1482" t="str" s="2">
        <x:v>Jose Chavez</x:v>
      </x:c>
      <x:c r="H1482" s="6">
        <x:v>46249.860453506946</x:v>
      </x:c>
      <x:c r="I1482" t="str" s="2">
        <x:v>Jennifer Johnson</x:v>
      </x:c>
      <x:c r="J1482" s="0"/>
      <x:c r="K1482" s="6">
        <x:v>46249.860453506946</x:v>
      </x:c>
      <x:c r="L1482" t="str" s="2">
        <x:v>Deal Created</x:v>
      </x:c>
    </x:row>
    <x:row r="1483">
      <x:c r="A1483" t="str" s="2">
        <x:f>=HYPERLINK("https://rsms.futurehomex.com/lead/39617", "Karlena Orange")</x:f>
      </x:c>
      <x:c r="B1483" t="str" s="2">
        <x:v>Heritage Housing of Oklahoma City</x:v>
      </x:c>
      <x:c r="C1483" t="str" s="2">
        <x:v>0/1</x:v>
      </x:c>
      <x:c r="D1483" t="str" s="2">
        <x:v>5802434348</x:v>
      </x:c>
      <x:c r="E1483" t="str" s="2">
        <x:v>karlenajavon1@gmail.com</x:v>
      </x:c>
      <x:c r="F1483" t="str" s="2">
        <x:v>Website</x:v>
      </x:c>
      <x:c r="G1483" t="str" s="2">
        <x:v>Trey Rixleben</x:v>
      </x:c>
      <x:c r="H1483" s="6">
        <x:v>46249.91879174769</x:v>
      </x:c>
      <x:c r="I1483" t="str" s="2">
        <x:v>Trey Rixleben</x:v>
      </x:c>
      <x:c r="J1483" s="6">
        <x:v>46260.833333333336</x:v>
      </x:c>
      <x:c r="K1483" s="6">
        <x:v>46260.917887268515</x:v>
      </x:c>
      <x:c r="L1483" t="str" s="2">
        <x:v>Deal Created</x:v>
      </x:c>
    </x:row>
    <x:row r="1484">
      <x:c r="A1484" t="str" s="2">
        <x:f>=HYPERLINK("https://rsms.futurehomex.com/lead/40376", "Justin Tugmon")</x:f>
      </x:c>
      <x:c r="B1484" t="str" s="2">
        <x:v>Heritage Housing of Oklahoma City</x:v>
      </x:c>
      <x:c r="C1484" t="str" s="2">
        <x:v>0/1</x:v>
      </x:c>
      <x:c r="D1484" t="str" s="2">
        <x:v>5806566005</x:v>
      </x:c>
      <x:c r="E1484" t="str" s="2">
        <x:v>justintugmon7@gmail.com</x:v>
      </x:c>
      <x:c r="F1484" t="str" s="2">
        <x:v>Website</x:v>
      </x:c>
      <x:c r="G1484" t="str" s="2">
        <x:v>Steve Castell</x:v>
      </x:c>
      <x:c r="H1484" s="6">
        <x:v>46249.92557989583</x:v>
      </x:c>
      <x:c r="I1484" t="str" s="2">
        <x:v>Devon McCoy</x:v>
      </x:c>
      <x:c r="J1484" s="0"/>
      <x:c r="K1484" s="6">
        <x:v>46251.61187627315</x:v>
      </x:c>
      <x:c r="L1484" t="str" s="2">
        <x:v>Deal Created</x:v>
      </x:c>
    </x:row>
    <x:row r="1485">
      <x:c r="A1485" t="str" s="2">
        <x:f>=HYPERLINK("https://rsms.futurehomex.com/lead/39221", "Browdie Wylie")</x:f>
      </x:c>
      <x:c r="B1485" t="str" s="2">
        <x:v>Heritage Housing of Oklahoma City</x:v>
      </x:c>
      <x:c r="C1485" t="str" s="2">
        <x:v/>
      </x:c>
      <x:c r="D1485" t="str" s="2">
        <x:v>4056684739</x:v>
      </x:c>
      <x:c r="E1485" t="str" s="2">
        <x:v>browdie89@gmail.com</x:v>
      </x:c>
      <x:c r="F1485" t="str" s="2">
        <x:v>Financing Form</x:v>
      </x:c>
      <x:c r="G1485" t="str" s="2">
        <x:v>Trey Rixleben</x:v>
      </x:c>
      <x:c r="H1485" s="6">
        <x:v>46250.080816747686</x:v>
      </x:c>
      <x:c r="I1485" t="str" s="2">
        <x:v>Trey Rixleben</x:v>
      </x:c>
      <x:c r="J1485" s="0"/>
      <x:c r="K1485" s="6">
        <x:v>46251.589048761576</x:v>
      </x:c>
      <x:c r="L1485" t="str" s="2">
        <x:v>Deal Created</x:v>
      </x:c>
    </x:row>
    <x:row r="1486">
      <x:c r="A1486" t="str" s="2">
        <x:f>=HYPERLINK("https://rsms.futurehomex.com/lead/40004", "Alexandrea Davidson")</x:f>
      </x:c>
      <x:c r="B1486" t="str" s="2">
        <x:v>Heritage Housing of Oklahoma City</x:v>
      </x:c>
      <x:c r="C1486" t="str" s="2">
        <x:v>0/2</x:v>
      </x:c>
      <x:c r="D1486" t="str" s="2">
        <x:v>5722288247</x:v>
      </x:c>
      <x:c r="E1486" t="str" s="2">
        <x:v>Lexikathlene0823@icloud.com</x:v>
      </x:c>
      <x:c r="F1486" t="str" s="2">
        <x:v>Website</x:v>
      </x:c>
      <x:c r="G1486" t="str" s="2">
        <x:v>Steve Castell</x:v>
      </x:c>
      <x:c r="H1486" s="6">
        <x:v>46250.25193533565</x:v>
      </x:c>
      <x:c r="I1486" t="str" s="2">
        <x:v>Steve Castell</x:v>
      </x:c>
      <x:c r="J1486" s="0"/>
      <x:c r="K1486" s="6">
        <x:v>46251.59334146991</x:v>
      </x:c>
      <x:c r="L1486" t="str" s="2">
        <x:v>Deal Created</x:v>
      </x:c>
    </x:row>
    <x:row r="1487">
      <x:c r="A1487" t="str" s="2">
        <x:f>=HYPERLINK("https://rsms.futurehomex.com/lead/39196", "Anthony Aldana")</x:f>
      </x:c>
      <x:c r="B1487" t="str" s="2">
        <x:v>Heritage Housing Mt Pleasant</x:v>
      </x:c>
      <x:c r="C1487" t="str" s="2">
        <x:v/>
      </x:c>
      <x:c r="D1487" t="str" s="2">
        <x:v>9032747172</x:v>
      </x:c>
      <x:c r="E1487" t="str" s="2">
        <x:v>9032747172</x:v>
      </x:c>
      <x:c r="F1487" t="str" s="2">
        <x:v>Meta Marketplace</x:v>
      </x:c>
      <x:c r="G1487" t="str" s="2">
        <x:v>Yarelis Torres</x:v>
      </x:c>
      <x:c r="H1487" s="6">
        <x:v>46250.86154690972</x:v>
      </x:c>
      <x:c r="I1487" t="str" s="2">
        <x:v>Elias Gallardo</x:v>
      </x:c>
      <x:c r="J1487" s="0"/>
      <x:c r="K1487" s="6">
        <x:v>46250.86154690972</x:v>
      </x:c>
      <x:c r="L1487" t="str" s="2">
        <x:v>Deal Created</x:v>
      </x:c>
    </x:row>
    <x:row r="1488">
      <x:c r="A1488" t="str" s="2">
        <x:f>=HYPERLINK("https://rsms.futurehomex.com/lead/39202", "Shannon Rohn")</x:f>
      </x:c>
      <x:c r="B1488" t="str" s="2">
        <x:v>Heritage Housing of Oklahoma City</x:v>
      </x:c>
      <x:c r="C1488" t="str" s="2">
        <x:v/>
      </x:c>
      <x:c r="D1488" t="str" s="2">
        <x:v>3236778529</x:v>
      </x:c>
      <x:c r="E1488" t="str" s="2">
        <x:v>centralokc@todayclinic.com</x:v>
      </x:c>
      <x:c r="F1488" t="str" s="2">
        <x:v>Landing_BPM</x:v>
      </x:c>
      <x:c r="G1488" t="str" s="2">
        <x:v>Trey Rixleben</x:v>
      </x:c>
      <x:c r="H1488" s="6">
        <x:v>46251.16537824074</x:v>
      </x:c>
      <x:c r="I1488" t="str" s="2">
        <x:v>Trey Rixleben</x:v>
      </x:c>
      <x:c r="J1488" s="0"/>
      <x:c r="K1488" s="6">
        <x:v>46251.58702017361</x:v>
      </x:c>
      <x:c r="L1488" t="str" s="2">
        <x:v>Deal Created</x:v>
      </x:c>
    </x:row>
    <x:row r="1489">
      <x:c r="A1489" t="str" s="2">
        <x:f>=HYPERLINK("https://rsms.futurehomex.com/lead/39209", "Carlton Smith")</x:f>
      </x:c>
      <x:c r="B1489" t="str" s="2">
        <x:v>Heritage Housing of Albany</x:v>
      </x:c>
      <x:c r="C1489" t="str" s="2">
        <x:v/>
      </x:c>
      <x:c r="D1489" t="str" s="2">
        <x:v>6785727791</x:v>
      </x:c>
      <x:c r="E1489" t="str" s="2">
        <x:v>okellysmith@hotmail.com</x:v>
      </x:c>
      <x:c r="F1489" t="str" s="2">
        <x:v>Referrals</x:v>
      </x:c>
      <x:c r="G1489" t="str" s="2">
        <x:v>Yanet Alvarez</x:v>
      </x:c>
      <x:c r="H1489" s="6">
        <x:v>46251.69385952546</x:v>
      </x:c>
      <x:c r="I1489" t="str" s="2">
        <x:v>Alexander Bryant</x:v>
      </x:c>
      <x:c r="J1489" s="0"/>
      <x:c r="K1489" s="6">
        <x:v>46251.69385952546</x:v>
      </x:c>
      <x:c r="L1489" t="str" s="2">
        <x:v>Deal Created</x:v>
      </x:c>
    </x:row>
    <x:row r="1490">
      <x:c r="A1490" t="str" s="2">
        <x:f>=HYPERLINK("https://rsms.futurehomex.com/lead/39211", "Glenn Braun")</x:f>
      </x:c>
      <x:c r="B1490" t="str" s="2">
        <x:v>Heritage Housing of Oklahoma City</x:v>
      </x:c>
      <x:c r="C1490" t="str" s="2">
        <x:v/>
      </x:c>
      <x:c r="D1490" t="str" s="2">
        <x:v>4052450766</x:v>
      </x:c>
      <x:c r="E1490" t="str" s="2">
        <x:v>glennbraun30@gmail.com</x:v>
      </x:c>
      <x:c r="F1490" t="str" s="2">
        <x:v>Walk-in</x:v>
      </x:c>
      <x:c r="G1490" t="str" s="2">
        <x:v>Trey Rixleben</x:v>
      </x:c>
      <x:c r="H1490" s="6">
        <x:v>46251.7075684375</x:v>
      </x:c>
      <x:c r="I1490" t="str" s="2">
        <x:v>Trey Rixleben</x:v>
      </x:c>
      <x:c r="J1490" s="0"/>
      <x:c r="K1490" s="6">
        <x:v>46251.7075684375</x:v>
      </x:c>
      <x:c r="L1490" t="str" s="2">
        <x:v>Deal Created</x:v>
      </x:c>
    </x:row>
    <x:row r="1491">
      <x:c r="A1491" t="str" s="2">
        <x:f>=HYPERLINK("https://rsms.futurehomex.com/lead/39215", "Bobby Tillman")</x:f>
      </x:c>
      <x:c r="B1491" t="str" s="2">
        <x:v>Heritage Housing of Oklahoma City</x:v>
      </x:c>
      <x:c r="C1491" t="str" s="2">
        <x:v/>
      </x:c>
      <x:c r="D1491" t="str" s="2">
        <x:v>4059059787</x:v>
      </x:c>
      <x:c r="E1491" t="str" s="2">
        <x:v>rhondass1958@yahoo.com</x:v>
      </x:c>
      <x:c r="F1491" t="str" s="2">
        <x:v>Walk-in</x:v>
      </x:c>
      <x:c r="G1491" t="str" s="2">
        <x:v>Steve Castell</x:v>
      </x:c>
      <x:c r="H1491" s="6">
        <x:v>46251.790925810186</x:v>
      </x:c>
      <x:c r="I1491" t="str" s="2">
        <x:v>Trey Rixleben</x:v>
      </x:c>
      <x:c r="J1491" s="0"/>
      <x:c r="K1491" s="6">
        <x:v>46251.790925810186</x:v>
      </x:c>
      <x:c r="L1491" t="str" s="2">
        <x:v>Deal Created</x:v>
      </x:c>
    </x:row>
    <x:row r="1492">
      <x:c r="A1492" t="str" s="2">
        <x:f>=HYPERLINK("https://rsms.futurehomex.com/lead/39222", "Neil Gross")</x:f>
      </x:c>
      <x:c r="B1492" t="str" s="2">
        <x:v>Heritage Housing of Oklahoma City</x:v>
      </x:c>
      <x:c r="C1492" t="str" s="2">
        <x:v/>
      </x:c>
      <x:c r="D1492" t="str" s="2">
        <x:v>4056952812</x:v>
      </x:c>
      <x:c r="E1492" t="str" s="2">
        <x:v>4056952812</x:v>
      </x:c>
      <x:c r="F1492" t="str" s="2">
        <x:v>Walk-in</x:v>
      </x:c>
      <x:c r="G1492" t="str" s="2">
        <x:v>Steve Castell</x:v>
      </x:c>
      <x:c r="H1492" s="6">
        <x:v>46251.872775613425</x:v>
      </x:c>
      <x:c r="I1492" t="str" s="2">
        <x:v>Karla Brizuela</x:v>
      </x:c>
      <x:c r="J1492" s="0"/>
      <x:c r="K1492" s="6">
        <x:v>46251.872775613425</x:v>
      </x:c>
      <x:c r="L1492" t="str" s="2">
        <x:v>Deal Created</x:v>
      </x:c>
    </x:row>
    <x:row r="1493">
      <x:c r="A1493" t="str" s="2">
        <x:f>=HYPERLINK("https://rsms.futurehomex.com/lead/39649", "Rosario Herrera Smith")</x:f>
      </x:c>
      <x:c r="B1493" t="str" s="2">
        <x:v>Heritage Housing of Oklahoma City</x:v>
      </x:c>
      <x:c r="C1493" t="str" s="2">
        <x:v>0/1</x:v>
      </x:c>
      <x:c r="D1493" t="str" s="2">
        <x:v>(405)512-2589</x:v>
      </x:c>
      <x:c r="E1493" t="str" s="2">
        <x:v>jessykkaherrera@gmail.com</x:v>
      </x:c>
      <x:c r="F1493" t="str" s="2">
        <x:v>Landing_BPM</x:v>
      </x:c>
      <x:c r="G1493" t="str" s="2">
        <x:v>Trey Rixleben</x:v>
      </x:c>
      <x:c r="H1493" s="6">
        <x:v>46251.95672410879</x:v>
      </x:c>
      <x:c r="I1493" t="str" s="2">
        <x:v>Trey Rixleben</x:v>
      </x:c>
      <x:c r="J1493" s="0"/>
      <x:c r="K1493" s="6">
        <x:v>46252.596049618056</x:v>
      </x:c>
      <x:c r="L1493" t="str" s="2">
        <x:v>Deal Created</x:v>
      </x:c>
    </x:row>
    <x:row r="1494">
      <x:c r="A1494" t="str" s="2">
        <x:f>=HYPERLINK("https://rsms.futurehomex.com/lead/39437", "Latara Shipp")</x:f>
      </x:c>
      <x:c r="B1494" t="str" s="2">
        <x:v>Heritage Housing of Oklahoma City</x:v>
      </x:c>
      <x:c r="C1494" t="str" s="2">
        <x:v>0/2</x:v>
      </x:c>
      <x:c r="D1494" t="str" s="2">
        <x:v>9015039507</x:v>
      </x:c>
      <x:c r="E1494" t="str" s="2">
        <x:v>dabestship37@gmail.com</x:v>
      </x:c>
      <x:c r="F1494" t="str" s="2">
        <x:v>Landing_BPM</x:v>
      </x:c>
      <x:c r="G1494" t="str" s="2">
        <x:v>Steve Castell</x:v>
      </x:c>
      <x:c r="H1494" s="6">
        <x:v>46251.97957751157</x:v>
      </x:c>
      <x:c r="I1494" t="str" s="2">
        <x:v>Steve Castell</x:v>
      </x:c>
      <x:c r="J1494" s="0"/>
      <x:c r="K1494" s="6">
        <x:v>46261</x:v>
      </x:c>
      <x:c r="L1494" t="str" s="2">
        <x:v>Deal Created</x:v>
      </x:c>
    </x:row>
    <x:row r="1495">
      <x:c r="A1495" t="str" s="2">
        <x:f>=HYPERLINK("https://rsms.futurehomex.com/lead/39232", "Karen Ziober")</x:f>
      </x:c>
      <x:c r="B1495" t="str" s="2">
        <x:v>Heritage Housing of Minden</x:v>
      </x:c>
      <x:c r="C1495" t="str" s="2">
        <x:v/>
      </x:c>
      <x:c r="D1495" t="str" s="2">
        <x:v>8177979221</x:v>
      </x:c>
      <x:c r="E1495" t="str" s="2">
        <x:v>karen@tpretx.com</x:v>
      </x:c>
      <x:c r="F1495" t="str" s="2">
        <x:v>Walk-in</x:v>
      </x:c>
      <x:c r="G1495" t="str" s="2">
        <x:v>Kyla Brown</x:v>
      </x:c>
      <x:c r="H1495" s="6">
        <x:v>46252.73088695602</x:v>
      </x:c>
      <x:c r="I1495" t="str" s="2">
        <x:v>Patrick Schuchart</x:v>
      </x:c>
      <x:c r="J1495" s="0"/>
      <x:c r="K1495" s="6">
        <x:v>46252.73088695602</x:v>
      </x:c>
      <x:c r="L1495" t="str" s="2">
        <x:v>Deal Created</x:v>
      </x:c>
    </x:row>
    <x:row r="1496">
      <x:c r="A1496" t="str" s="2">
        <x:f>=HYPERLINK("https://rsms.futurehomex.com/lead/39234", "James Williams")</x:f>
      </x:c>
      <x:c r="B1496" t="str" s="2">
        <x:v>Heritage Housing of Minden</x:v>
      </x:c>
      <x:c r="C1496" t="str" s="2">
        <x:v/>
      </x:c>
      <x:c r="D1496" t="str" s="2">
        <x:v>3182860406</x:v>
      </x:c>
      <x:c r="E1496" t="str" s="2">
        <x:v>3182860406</x:v>
      </x:c>
      <x:c r="F1496" t="str" s="2">
        <x:v>Facebook Messenger</x:v>
      </x:c>
      <x:c r="G1496" t="str" s="2">
        <x:v>Patrick Schuchart</x:v>
      </x:c>
      <x:c r="H1496" s="6">
        <x:v>46252.73805046296</x:v>
      </x:c>
      <x:c r="I1496" t="str" s="2">
        <x:v>Patrick Schuchart</x:v>
      </x:c>
      <x:c r="J1496" s="0"/>
      <x:c r="K1496" s="6">
        <x:v>46252.73805046296</x:v>
      </x:c>
      <x:c r="L1496" t="str" s="2">
        <x:v>Deal Created</x:v>
      </x:c>
    </x:row>
    <x:row r="1497">
      <x:c r="A1497" t="str" s="2">
        <x:f>=HYPERLINK("https://rsms.futurehomex.com/lead/39237", "Samul Beal")</x:f>
      </x:c>
      <x:c r="B1497" t="str" s="2">
        <x:v>Legacy Housing Corp. DBA Americasa</x:v>
      </x:c>
      <x:c r="C1497" t="str" s="2">
        <x:v/>
      </x:c>
      <x:c r="D1497" t="str" s="2">
        <x:v>3464209066</x:v>
      </x:c>
      <x:c r="E1497" t="str" s="2">
        <x:v>samulbeal@gmail.com</x:v>
      </x:c>
      <x:c r="F1497" t="str" s="2">
        <x:v>Referrals</x:v>
      </x:c>
      <x:c r="G1497" t="str" s="2">
        <x:v>Jose Parada</x:v>
      </x:c>
      <x:c r="H1497" s="6">
        <x:v>46252.75893483796</x:v>
      </x:c>
      <x:c r="I1497" t="str" s="2">
        <x:v>Jose Parada</x:v>
      </x:c>
      <x:c r="J1497" s="0"/>
      <x:c r="K1497" s="6">
        <x:v>46252.75893483796</x:v>
      </x:c>
      <x:c r="L1497" t="str" s="2">
        <x:v>Deal Created</x:v>
      </x:c>
    </x:row>
    <x:row r="1498">
      <x:c r="A1498" t="str" s="2">
        <x:f>=HYPERLINK("https://rsms.futurehomex.com/lead/39239", "Steve Taylor")</x:f>
      </x:c>
      <x:c r="B1498" t="str" s="2">
        <x:v>Heritage Housing of Oklahoma City</x:v>
      </x:c>
      <x:c r="C1498" t="str" s="2">
        <x:v/>
      </x:c>
      <x:c r="D1498" t="str" s="2">
        <x:v>4059995761</x:v>
      </x:c>
      <x:c r="E1498" t="str" s="2">
        <x:v>sttaylorok@gmail.com</x:v>
      </x:c>
      <x:c r="F1498" t="str" s="2">
        <x:v>Facebook Messenger</x:v>
      </x:c>
      <x:c r="G1498" t="str" s="2">
        <x:v>Trey Rixleben</x:v>
      </x:c>
      <x:c r="H1498" s="6">
        <x:v>46252.77098954861</x:v>
      </x:c>
      <x:c r="I1498" t="str" s="2">
        <x:v>Trey Rixleben</x:v>
      </x:c>
      <x:c r="J1498" s="0"/>
      <x:c r="K1498" s="6">
        <x:v>46252.77098954861</x:v>
      </x:c>
      <x:c r="L1498" t="str" s="2">
        <x:v>Deal Created</x:v>
      </x:c>
    </x:row>
    <x:row r="1499">
      <x:c r="A1499" t="str" s="2">
        <x:f>=HYPERLINK("https://rsms.futurehomex.com/lead/39242", "Chandra Kirksey")</x:f>
      </x:c>
      <x:c r="B1499" t="str" s="2">
        <x:v>Heritage Housing of Oklahoma City</x:v>
      </x:c>
      <x:c r="C1499" t="str" s="2">
        <x:v/>
      </x:c>
      <x:c r="D1499" t="str" s="2">
        <x:v>9188430987</x:v>
      </x:c>
      <x:c r="E1499" t="str" s="2">
        <x:v>chandrakirksey38@gmail.com</x:v>
      </x:c>
      <x:c r="F1499" t="str" s="2">
        <x:v>Walk-in</x:v>
      </x:c>
      <x:c r="G1499" t="str" s="2">
        <x:v>Steve Castell</x:v>
      </x:c>
      <x:c r="H1499" s="6">
        <x:v>46252.80960512732</x:v>
      </x:c>
      <x:c r="I1499" t="str" s="2">
        <x:v>Steve Castell</x:v>
      </x:c>
      <x:c r="J1499" s="0"/>
      <x:c r="K1499" s="6">
        <x:v>46252.80960512732</x:v>
      </x:c>
      <x:c r="L1499" t="str" s="2">
        <x:v>Deal Created</x:v>
      </x:c>
    </x:row>
    <x:row r="1500">
      <x:c r="A1500" t="str" s="2">
        <x:f>=HYPERLINK("https://rsms.futurehomex.com/lead/39243", "Barbara Joyce")</x:f>
      </x:c>
      <x:c r="B1500" t="str" s="2">
        <x:v>Heritage Housing of Oklahoma City</x:v>
      </x:c>
      <x:c r="C1500" t="str" s="2">
        <x:v/>
      </x:c>
      <x:c r="D1500" t="str" s="2">
        <x:v>4054067848</x:v>
      </x:c>
      <x:c r="E1500" t="str" s="2">
        <x:v>sallyb29@yahoo.com</x:v>
      </x:c>
      <x:c r="F1500" t="str" s="2">
        <x:v>Walk-in</x:v>
      </x:c>
      <x:c r="G1500" t="str" s="2">
        <x:v>Steve Castell</x:v>
      </x:c>
      <x:c r="H1500" s="6">
        <x:v>46252.8129443287</x:v>
      </x:c>
      <x:c r="I1500" t="str" s="2">
        <x:v>Steve Castell</x:v>
      </x:c>
      <x:c r="J1500" s="0"/>
      <x:c r="K1500" s="6">
        <x:v>46252.8129443287</x:v>
      </x:c>
      <x:c r="L1500" t="str" s="2">
        <x:v>Deal Created</x:v>
      </x:c>
    </x:row>
    <x:row r="1501">
      <x:c r="A1501" t="str" s="2">
        <x:f>=HYPERLINK("https://rsms.futurehomex.com/lead/39562", "Kyle Kilvington")</x:f>
      </x:c>
      <x:c r="B1501" t="str" s="2">
        <x:v>Heritage Housing of Oklahoma City</x:v>
      </x:c>
      <x:c r="C1501" t="str" s="2">
        <x:v>0/1</x:v>
      </x:c>
      <x:c r="D1501" t="str" s="2">
        <x:v>5393702754</x:v>
      </x:c>
      <x:c r="E1501" t="str" s="2">
        <x:v>kylekilvington@gmail.com</x:v>
      </x:c>
      <x:c r="F1501" t="str" s="2">
        <x:v>Landing_BPM</x:v>
      </x:c>
      <x:c r="G1501" t="str" s="2">
        <x:v>Steve Castell</x:v>
      </x:c>
      <x:c r="H1501" s="6">
        <x:v>46252.86553255787</x:v>
      </x:c>
      <x:c r="I1501" t="str" s="2">
        <x:v>Steve Castell</x:v>
      </x:c>
      <x:c r="J1501" s="0"/>
      <x:c r="K1501" s="6">
        <x:v>46252.87131119213</x:v>
      </x:c>
      <x:c r="L1501" t="str" s="2">
        <x:v>Deal Created</x:v>
      </x:c>
    </x:row>
    <x:row r="1502">
      <x:c r="A1502" t="str" s="2">
        <x:f>=HYPERLINK("https://rsms.futurehomex.com/lead/39708", "Andrew Jacobsen")</x:f>
      </x:c>
      <x:c r="B1502" t="str" s="2">
        <x:v>Heritage Housing of Oklahoma City</x:v>
      </x:c>
      <x:c r="C1502" t="str" s="2">
        <x:v>0/1</x:v>
      </x:c>
      <x:c r="D1502" t="str" s="2">
        <x:v>4054931628</x:v>
      </x:c>
      <x:c r="E1502" t="str" s="2">
        <x:v>rytting66@gmail.con</x:v>
      </x:c>
      <x:c r="F1502" t="str" s="2">
        <x:v>Landing_BPM</x:v>
      </x:c>
      <x:c r="G1502" t="str" s="2">
        <x:v>Steve Castell</x:v>
      </x:c>
      <x:c r="H1502" s="6">
        <x:v>46252.912909375</x:v>
      </x:c>
      <x:c r="I1502" t="str" s="2">
        <x:v>Steve Castell</x:v>
      </x:c>
      <x:c r="J1502" s="0"/>
      <x:c r="K1502" s="6">
        <x:v>46253</x:v>
      </x:c>
      <x:c r="L1502" t="str" s="2">
        <x:v>Deal Created</x:v>
      </x:c>
    </x:row>
    <x:row r="1503">
      <x:c r="A1503" t="str" s="2">
        <x:f>=HYPERLINK("https://rsms.futurehomex.com/lead/39919", "KaTisha Turner")</x:f>
      </x:c>
      <x:c r="B1503" t="str" s="2">
        <x:v>Heritage Housing of Oklahoma City</x:v>
      </x:c>
      <x:c r="C1503" t="str" s="2">
        <x:v>0/2</x:v>
      </x:c>
      <x:c r="D1503" t="str" s="2">
        <x:v>4059204484</x:v>
      </x:c>
      <x:c r="E1503" t="str" s="2">
        <x:v>katishaturner2019@gmail.com</x:v>
      </x:c>
      <x:c r="F1503" t="str" s="2">
        <x:v>Financing Form</x:v>
      </x:c>
      <x:c r="G1503" t="str" s="2">
        <x:v>Steve Castell</x:v>
      </x:c>
      <x:c r="H1503" s="6">
        <x:v>46253.070715775466</x:v>
      </x:c>
      <x:c r="I1503" t="str" s="2">
        <x:v>Steve Castell</x:v>
      </x:c>
      <x:c r="J1503" s="0"/>
      <x:c r="K1503" s="6">
        <x:v>46255</x:v>
      </x:c>
      <x:c r="L1503" t="str" s="2">
        <x:v>Deal Created</x:v>
      </x:c>
    </x:row>
    <x:row r="1504">
      <x:c r="A1504" t="str" s="2">
        <x:f>=HYPERLINK("https://rsms.futurehomex.com/lead/39860", "Brandon Nicholson")</x:f>
      </x:c>
      <x:c r="B1504" t="str" s="2">
        <x:v>Heritage Housing of Oklahoma City</x:v>
      </x:c>
      <x:c r="C1504" t="str" s="2">
        <x:v>0/1</x:v>
      </x:c>
      <x:c r="D1504" t="str" s="2">
        <x:v>9073156237</x:v>
      </x:c>
      <x:c r="E1504" t="str" s="2">
        <x:v>brandonthane@gmail.com</x:v>
      </x:c>
      <x:c r="F1504" t="str" s="2">
        <x:v>Financing Form</x:v>
      </x:c>
      <x:c r="G1504" t="str" s="2">
        <x:v>Steve Castell</x:v>
      </x:c>
      <x:c r="H1504" s="6">
        <x:v>46253.2866724537</x:v>
      </x:c>
      <x:c r="I1504" t="str" s="2">
        <x:v>Steve Castell</x:v>
      </x:c>
      <x:c r="J1504" s="0"/>
      <x:c r="K1504" s="6">
        <x:v>46253.818236342595</x:v>
      </x:c>
      <x:c r="L1504" t="str" s="2">
        <x:v>Deal Created</x:v>
      </x:c>
    </x:row>
    <x:row r="1505">
      <x:c r="A1505" t="str" s="2">
        <x:f>=HYPERLINK("https://rsms.futurehomex.com/lead/39264", "Elese Rivers")</x:f>
      </x:c>
      <x:c r="B1505" t="str" s="2">
        <x:v>Heritage Housing of Minden</x:v>
      </x:c>
      <x:c r="C1505" t="str" s="2">
        <x:v/>
      </x:c>
      <x:c r="D1505" t="str" s="2">
        <x:v>3183710733</x:v>
      </x:c>
      <x:c r="E1505" t="str" s="2">
        <x:v>3183710733</x:v>
      </x:c>
      <x:c r="F1505" t="str" s="2">
        <x:v>Facebook Messenger</x:v>
      </x:c>
      <x:c r="G1505" t="str" s="2">
        <x:v>Patrick Schuchart</x:v>
      </x:c>
      <x:c r="H1505" s="6">
        <x:v>46253.79380755787</x:v>
      </x:c>
      <x:c r="I1505" t="str" s="2">
        <x:v>Patrick Schuchart</x:v>
      </x:c>
      <x:c r="J1505" s="0"/>
      <x:c r="K1505" s="6">
        <x:v>46253.79380755787</x:v>
      </x:c>
      <x:c r="L1505" t="str" s="2">
        <x:v>Deal Created</x:v>
      </x:c>
    </x:row>
    <x:row r="1506">
      <x:c r="A1506" t="str" s="2">
        <x:f>=HYPERLINK("https://rsms.futurehomex.com/lead/39265", "Will Burgess")</x:f>
      </x:c>
      <x:c r="B1506" t="str" s="2">
        <x:v>Heritage Housing of Oklahoma City</x:v>
      </x:c>
      <x:c r="C1506" t="str" s="2">
        <x:v/>
      </x:c>
      <x:c r="D1506" t="str" s="2">
        <x:v>4052055315</x:v>
      </x:c>
      <x:c r="E1506" t="str" s="2">
        <x:v>Will@rosehillbuilders.com</x:v>
      </x:c>
      <x:c r="F1506" t="str" s="2">
        <x:v>Facebook Messenger</x:v>
      </x:c>
      <x:c r="G1506" t="str" s="2">
        <x:v>Trey Rixleben</x:v>
      </x:c>
      <x:c r="H1506" s="6">
        <x:v>46253.82980864583</x:v>
      </x:c>
      <x:c r="I1506" t="str" s="2">
        <x:v>Trey Rixleben</x:v>
      </x:c>
      <x:c r="J1506" s="0"/>
      <x:c r="K1506" s="6">
        <x:v>46253.82980864583</x:v>
      </x:c>
      <x:c r="L1506" t="str" s="2">
        <x:v>Deal Created</x:v>
      </x:c>
    </x:row>
    <x:row r="1507">
      <x:c r="A1507" t="str" s="2">
        <x:f>=HYPERLINK("https://rsms.futurehomex.com/lead/39271", "Courtney Ray")</x:f>
      </x:c>
      <x:c r="B1507" t="str" s="2">
        <x:v>Heritage Housing of Oklahoma City</x:v>
      </x:c>
      <x:c r="C1507" t="str" s="2">
        <x:v/>
      </x:c>
      <x:c r="D1507" t="str" s="2">
        <x:v>7203291138</x:v>
      </x:c>
      <x:c r="E1507" t="str" s="2">
        <x:v>emt4755@aol.com</x:v>
      </x:c>
      <x:c r="F1507" t="str" s="2">
        <x:v>Walk-in</x:v>
      </x:c>
      <x:c r="G1507" t="str" s="2">
        <x:v>Trey Rixleben</x:v>
      </x:c>
      <x:c r="H1507" s="6">
        <x:v>46253.96823105324</x:v>
      </x:c>
      <x:c r="I1507" t="str" s="2">
        <x:v>Trey Rixleben</x:v>
      </x:c>
      <x:c r="J1507" s="0"/>
      <x:c r="K1507" s="6">
        <x:v>46253.96823105324</x:v>
      </x:c>
      <x:c r="L1507" t="str" s="2">
        <x:v>Deal Created</x:v>
      </x:c>
    </x:row>
    <x:row r="1508">
      <x:c r="A1508" t="str" s="2">
        <x:f>=HYPERLINK("https://rsms.futurehomex.com/lead/39465", "tavion lamb")</x:f>
      </x:c>
      <x:c r="B1508" t="str" s="2">
        <x:v>Heritage Housing of Oklahoma City</x:v>
      </x:c>
      <x:c r="C1508" t="str" s="2">
        <x:v>0/4</x:v>
      </x:c>
      <x:c r="D1508" t="str" s="2">
        <x:v>5802770152</x:v>
      </x:c>
      <x:c r="E1508" t="str" s="2">
        <x:v>davionlamb87@gmail.com</x:v>
      </x:c>
      <x:c r="F1508" t="str" s="2">
        <x:v>Landing_BPM</x:v>
      </x:c>
      <x:c r="G1508" t="str" s="2">
        <x:v>Steve Castell</x:v>
      </x:c>
      <x:c r="H1508" s="6">
        <x:v>46254.08562827546</x:v>
      </x:c>
      <x:c r="I1508" t="str" s="2">
        <x:v>Steve Castell</x:v>
      </x:c>
      <x:c r="J1508" s="0"/>
      <x:c r="K1508" s="6">
        <x:v>46259</x:v>
      </x:c>
      <x:c r="L1508" t="str" s="2">
        <x:v>Deal Created</x:v>
      </x:c>
    </x:row>
    <x:row r="1509">
      <x:c r="A1509" t="str" s="2">
        <x:f>=HYPERLINK("https://rsms.futurehomex.com/lead/39709", "Myeashia Mitchner")</x:f>
      </x:c>
      <x:c r="B1509" t="str" s="2">
        <x:v>Heritage Housing of Oklahoma City</x:v>
      </x:c>
      <x:c r="C1509" t="str" s="2">
        <x:v>0/3</x:v>
      </x:c>
      <x:c r="D1509" t="str" s="2">
        <x:v>4056179049</x:v>
      </x:c>
      <x:c r="E1509" t="str" s="2">
        <x:v>ciochon50@gmail.com</x:v>
      </x:c>
      <x:c r="F1509" t="str" s="2">
        <x:v>Landing_BPM</x:v>
      </x:c>
      <x:c r="G1509" t="str" s="2">
        <x:v>Steve Castell</x:v>
      </x:c>
      <x:c r="H1509" s="6">
        <x:v>46254.29362048611</x:v>
      </x:c>
      <x:c r="I1509" t="str" s="2">
        <x:v>Steve Castell</x:v>
      </x:c>
      <x:c r="J1509" s="0"/>
      <x:c r="K1509" s="6">
        <x:v>46259.06924128472</x:v>
      </x:c>
      <x:c r="L1509" t="str" s="2">
        <x:v>Deal Created</x:v>
      </x:c>
    </x:row>
    <x:row r="1510">
      <x:c r="A1510" t="str" s="2">
        <x:f>=HYPERLINK("https://rsms.futurehomex.com/lead/39279", "Kenneth Wilhelm")</x:f>
      </x:c>
      <x:c r="B1510" t="str" s="2">
        <x:v>Heritage Housing of Oklahoma City</x:v>
      </x:c>
      <x:c r="C1510" t="str" s="2">
        <x:v/>
      </x:c>
      <x:c r="D1510" t="str" s="2">
        <x:v>4059533333</x:v>
      </x:c>
      <x:c r="E1510" t="str" s="2">
        <x:v>dwmedic67@gmail.com</x:v>
      </x:c>
      <x:c r="F1510" t="str" s="2">
        <x:v>Facebook Messenger</x:v>
      </x:c>
      <x:c r="G1510" t="str" s="2">
        <x:v>Steve Castell</x:v>
      </x:c>
      <x:c r="H1510" s="6">
        <x:v>46254.66063179398</x:v>
      </x:c>
      <x:c r="I1510" t="str" s="2">
        <x:v>Steve Castell</x:v>
      </x:c>
      <x:c r="J1510" s="0"/>
      <x:c r="K1510" s="6">
        <x:v>46254.66063179398</x:v>
      </x:c>
      <x:c r="L1510" t="str" s="2">
        <x:v>Deal Created</x:v>
      </x:c>
    </x:row>
    <x:row r="1511">
      <x:c r="A1511" t="str" s="2">
        <x:f>=HYPERLINK("https://rsms.futurehomex.com/lead/39674", "Lane McEntire")</x:f>
      </x:c>
      <x:c r="B1511" t="str" s="2">
        <x:v>Heritage Housing of Oklahoma City</x:v>
      </x:c>
      <x:c r="C1511" t="str" s="2">
        <x:v>0/3</x:v>
      </x:c>
      <x:c r="D1511" t="str" s="2">
        <x:v>5807162133</x:v>
      </x:c>
      <x:c r="E1511" t="str" s="2">
        <x:v>5807162133</x:v>
      </x:c>
      <x:c r="F1511" t="str" s="2">
        <x:v>Facebook Messenger</x:v>
      </x:c>
      <x:c r="G1511" t="str" s="2">
        <x:v>Steve Castell</x:v>
      </x:c>
      <x:c r="H1511" s="6">
        <x:v>46254.92850540509</x:v>
      </x:c>
      <x:c r="I1511" t="str" s="2">
        <x:v>Steve Castell</x:v>
      </x:c>
      <x:c r="J1511" s="6">
        <x:v>46255.729166666664</x:v>
      </x:c>
      <x:c r="K1511" s="6">
        <x:v>46256.59907121528</x:v>
      </x:c>
      <x:c r="L1511" t="str" s="2">
        <x:v>Deal Created</x:v>
      </x:c>
    </x:row>
    <x:row r="1512">
      <x:c r="A1512" t="str" s="2">
        <x:f>=HYPERLINK("https://rsms.futurehomex.com/lead/39566", "Diamond England")</x:f>
      </x:c>
      <x:c r="B1512" t="str" s="2">
        <x:v>Heritage Housing of Oklahoma City</x:v>
      </x:c>
      <x:c r="C1512" t="str" s="2">
        <x:v>0/2</x:v>
      </x:c>
      <x:c r="D1512" t="str" s="2">
        <x:v>4059162949</x:v>
      </x:c>
      <x:c r="E1512" t="str" s="2">
        <x:v>diaengland3@gmail.com</x:v>
      </x:c>
      <x:c r="F1512" t="str" s="2">
        <x:v>Landing_BPM</x:v>
      </x:c>
      <x:c r="G1512" t="str" s="2">
        <x:v>Steve Castell</x:v>
      </x:c>
      <x:c r="H1512" s="6">
        <x:v>46255.03145925926</x:v>
      </x:c>
      <x:c r="I1512" t="str" s="2">
        <x:v>Steve Castell</x:v>
      </x:c>
      <x:c r="J1512" s="0"/>
      <x:c r="K1512" s="6">
        <x:v>46259</x:v>
      </x:c>
      <x:c r="L1512" t="str" s="2">
        <x:v>Deal Created</x:v>
      </x:c>
    </x:row>
    <x:row r="1513">
      <x:c r="A1513" t="str" s="2">
        <x:f>=HYPERLINK("https://rsms.futurehomex.com/lead/39291", "Dillan Townson")</x:f>
      </x:c>
      <x:c r="B1513" t="str" s="2">
        <x:v>Heritage Housing of Minden</x:v>
      </x:c>
      <x:c r="C1513" t="str" s="2">
        <x:v/>
      </x:c>
      <x:c r="D1513" t="str" s="2">
        <x:v>3183798603</x:v>
      </x:c>
      <x:c r="E1513" t="str" s="2">
        <x:v>3183798603</x:v>
      </x:c>
      <x:c r="F1513" t="str" s="2">
        <x:v>Walk-in</x:v>
      </x:c>
      <x:c r="G1513" t="str" s="2">
        <x:v>Patrick Schuchart</x:v>
      </x:c>
      <x:c r="H1513" s="6">
        <x:v>46255.59066712963</x:v>
      </x:c>
      <x:c r="I1513" t="str" s="2">
        <x:v>Patrick Schuchart</x:v>
      </x:c>
      <x:c r="J1513" s="0"/>
      <x:c r="K1513" s="6">
        <x:v>46255.59066712963</x:v>
      </x:c>
      <x:c r="L1513" t="str" s="2">
        <x:v>Deal Created</x:v>
      </x:c>
    </x:row>
    <x:row r="1514">
      <x:c r="A1514" t="str" s="2">
        <x:f>=HYPERLINK("https://rsms.futurehomex.com/lead/39386", "Anitra Pete Alexander")</x:f>
      </x:c>
      <x:c r="B1514" t="str" s="2">
        <x:v>Heritage Housing of Jennings</x:v>
      </x:c>
      <x:c r="C1514" t="str" s="2">
        <x:v/>
      </x:c>
      <x:c r="D1514" t="str" s="2">
        <x:v>3373293641</x:v>
      </x:c>
      <x:c r="E1514" t="str" s="2">
        <x:v>anitrapete1974@gmail.com</x:v>
      </x:c>
      <x:c r="F1514" t="str" s="2">
        <x:v>Other</x:v>
      </x:c>
      <x:c r="G1514" t="str" s="2">
        <x:v>Mervin Leslie Smith</x:v>
      </x:c>
      <x:c r="H1514" s="6">
        <x:v>46255.666639386574</x:v>
      </x:c>
      <x:c r="I1514" t="str" s="2">
        <x:v>Mervin Leslie Smith</x:v>
      </x:c>
      <x:c r="J1514" s="0"/>
      <x:c r="K1514" s="6">
        <x:v>46255.666639386574</x:v>
      </x:c>
      <x:c r="L1514" t="str" s="2">
        <x:v>Deal Created</x:v>
      </x:c>
    </x:row>
    <x:row r="1515">
      <x:c r="A1515" t="str" s="2">
        <x:f>=HYPERLINK("https://rsms.futurehomex.com/lead/39295", "Anitra Pete Alexander")</x:f>
      </x:c>
      <x:c r="B1515" t="str" s="2">
        <x:v>Heritage Housing of Jennings</x:v>
      </x:c>
      <x:c r="C1515" t="str" s="2">
        <x:v/>
      </x:c>
      <x:c r="D1515" t="str" s="2">
        <x:v>3373293641</x:v>
      </x:c>
      <x:c r="E1515" t="str" s="2">
        <x:v>anitrapete1974@gmail.com</x:v>
      </x:c>
      <x:c r="F1515" t="str" s="2">
        <x:v>Other</x:v>
      </x:c>
      <x:c r="G1515" t="str" s="2">
        <x:v>Mervin Leslie Smith</x:v>
      </x:c>
      <x:c r="H1515" s="6">
        <x:v>46255.666639386574</x:v>
      </x:c>
      <x:c r="I1515" t="str" s="2">
        <x:v>Mervin Leslie Smith</x:v>
      </x:c>
      <x:c r="J1515" s="0"/>
      <x:c r="K1515" s="6">
        <x:v>46255.666639386574</x:v>
      </x:c>
      <x:c r="L1515" t="str" s="2">
        <x:v>Deal Created</x:v>
      </x:c>
    </x:row>
    <x:row r="1516">
      <x:c r="A1516" t="str" s="2">
        <x:f>=HYPERLINK("https://rsms.futurehomex.com/lead/39673", "Autumn Bond")</x:f>
      </x:c>
      <x:c r="B1516" t="str" s="2">
        <x:v>Heritage Housing of Oklahoma City</x:v>
      </x:c>
      <x:c r="C1516" t="str" s="2">
        <x:v/>
      </x:c>
      <x:c r="D1516" t="str" s="2">
        <x:v>4057128969</x:v>
      </x:c>
      <x:c r="E1516" t="str" s="2">
        <x:v>4057128969</x:v>
      </x:c>
      <x:c r="F1516" t="str" s="2">
        <x:v>Facebook Messenger</x:v>
      </x:c>
      <x:c r="G1516" t="str" s="2">
        <x:v>Steve Castell</x:v>
      </x:c>
      <x:c r="H1516" s="6">
        <x:v>46255.89458032407</x:v>
      </x:c>
      <x:c r="I1516" t="str" s="2">
        <x:v>Steve Castell</x:v>
      </x:c>
      <x:c r="J1516" s="6">
        <x:v>46266.65625</x:v>
      </x:c>
      <x:c r="K1516" s="6">
        <x:v>46267.05557376157</x:v>
      </x:c>
      <x:c r="L1516" t="str" s="2">
        <x:v>Deal Created</x:v>
      </x:c>
    </x:row>
    <x:row r="1517">
      <x:c r="A1517" t="str" s="2">
        <x:f>=HYPERLINK("https://rsms.futurehomex.com/lead/39603", "Nicole Bettenourt")</x:f>
      </x:c>
      <x:c r="B1517" t="str" s="2">
        <x:v>Heritage Housing of Oklahoma City</x:v>
      </x:c>
      <x:c r="C1517" t="str" s="2">
        <x:v/>
      </x:c>
      <x:c r="D1517" t="str" s="2">
        <x:v>2543029254</x:v>
      </x:c>
      <x:c r="E1517" t="str" s="2">
        <x:v>2543029254</x:v>
      </x:c>
      <x:c r="F1517" t="str" s="2">
        <x:v>Facebook Messenger</x:v>
      </x:c>
      <x:c r="G1517" t="str" s="2">
        <x:v>Steve Castell</x:v>
      </x:c>
      <x:c r="H1517" s="6">
        <x:v>46255.89893202546</x:v>
      </x:c>
      <x:c r="I1517" t="str" s="2">
        <x:v>Steve Castell</x:v>
      </x:c>
      <x:c r="J1517" s="6">
        <x:v>46266.854166666664</x:v>
      </x:c>
      <x:c r="K1517" s="6">
        <x:v>46267.06114413194</x:v>
      </x:c>
      <x:c r="L1517" t="str" s="2">
        <x:v>Deal Created</x:v>
      </x:c>
    </x:row>
    <x:row r="1518">
      <x:c r="A1518" t="str" s="2">
        <x:f>=HYPERLINK("https://rsms.futurehomex.com/lead/39307", "Rhyan Alexander")</x:f>
      </x:c>
      <x:c r="B1518" t="str" s="2">
        <x:v>Heritage Housing of Oklahoma City</x:v>
      </x:c>
      <x:c r="C1518" t="str" s="2">
        <x:v/>
      </x:c>
      <x:c r="D1518" t="str" s="2">
        <x:v>4057968427</x:v>
      </x:c>
      <x:c r="E1518" t="str" s="2">
        <x:v>rhyanalexmc@gmail.com</x:v>
      </x:c>
      <x:c r="F1518" t="str" s="2">
        <x:v>Walk-in</x:v>
      </x:c>
      <x:c r="G1518" t="str" s="2">
        <x:v>Alejandra Calderon</x:v>
      </x:c>
      <x:c r="H1518" s="6">
        <x:v>46255.96427133102</x:v>
      </x:c>
      <x:c r="I1518" t="str" s="2">
        <x:v>Alejandra Calderon</x:v>
      </x:c>
      <x:c r="J1518" s="0"/>
      <x:c r="K1518" s="6">
        <x:v>46255.96427133102</x:v>
      </x:c>
      <x:c r="L1518" t="str" s="2">
        <x:v>Deal Created</x:v>
      </x:c>
    </x:row>
    <x:row r="1519">
      <x:c r="A1519" t="str" s="2">
        <x:f>=HYPERLINK("https://rsms.futurehomex.com/lead/39672", "Nicoli Owens")</x:f>
      </x:c>
      <x:c r="B1519" t="str" s="2">
        <x:v>Heritage Housing of Oklahoma City</x:v>
      </x:c>
      <x:c r="C1519" t="str" s="2">
        <x:v>0/2</x:v>
      </x:c>
      <x:c r="D1519" t="str" s="2">
        <x:v>5802541335</x:v>
      </x:c>
      <x:c r="E1519" t="str" s="2">
        <x:v>nyeliquintero@gmail.com</x:v>
      </x:c>
      <x:c r="F1519" t="str" s="2">
        <x:v>Financing Form</x:v>
      </x:c>
      <x:c r="G1519" t="str" s="2">
        <x:v>Steve Castell</x:v>
      </x:c>
      <x:c r="H1519" s="6">
        <x:v>46256.01757711806</x:v>
      </x:c>
      <x:c r="I1519" t="str" s="2">
        <x:v>Steve Castell</x:v>
      </x:c>
      <x:c r="J1519" s="0"/>
      <x:c r="K1519" s="6">
        <x:v>46261</x:v>
      </x:c>
      <x:c r="L1519" t="str" s="2">
        <x:v>Deal Created</x:v>
      </x:c>
    </x:row>
    <x:row r="1520">
      <x:c r="A1520" t="str" s="2">
        <x:f>=HYPERLINK("https://rsms.futurehomex.com/lead/39642", "Charmin Denton")</x:f>
      </x:c>
      <x:c r="B1520" t="str" s="2">
        <x:v>Heritage Housing of Oklahoma City</x:v>
      </x:c>
      <x:c r="C1520" t="str" s="2">
        <x:v>0/6</x:v>
      </x:c>
      <x:c r="D1520" t="str" s="2">
        <x:v>4059779968</x:v>
      </x:c>
      <x:c r="E1520" t="str" s="2">
        <x:v>chardenton73@gmail.com</x:v>
      </x:c>
      <x:c r="F1520" t="str" s="2">
        <x:v>Landing_BPM</x:v>
      </x:c>
      <x:c r="G1520" t="str" s="2">
        <x:v>Trey Rixleben</x:v>
      </x:c>
      <x:c r="H1520" s="6">
        <x:v>46256.69785628472</x:v>
      </x:c>
      <x:c r="I1520" t="str" s="2">
        <x:v>Trey Rixleben</x:v>
      </x:c>
      <x:c r="J1520" s="0"/>
      <x:c r="K1520" s="6">
        <x:v>46260.953676157405</x:v>
      </x:c>
      <x:c r="L1520" t="str" s="2">
        <x:v>Deal Created</x:v>
      </x:c>
    </x:row>
    <x:row r="1521">
      <x:c r="A1521" t="str" s="2">
        <x:f>=HYPERLINK("https://rsms.futurehomex.com/lead/39323", "Dorly Montes")</x:f>
      </x:c>
      <x:c r="B1521" t="str" s="2">
        <x:v>Legacy Housing Corp. DBA Americasa</x:v>
      </x:c>
      <x:c r="C1521" t="str" s="2">
        <x:v/>
      </x:c>
      <x:c r="D1521" t="str" s="2">
        <x:v>3463958417</x:v>
      </x:c>
      <x:c r="E1521" t="str" s="2">
        <x:v>3463958417</x:v>
      </x:c>
      <x:c r="F1521" t="str" s="2">
        <x:v>Walk-in</x:v>
      </x:c>
      <x:c r="G1521" t="str" s="2">
        <x:v>Rodrigo Ramirez</x:v>
      </x:c>
      <x:c r="H1521" s="6">
        <x:v>46256.75431940972</x:v>
      </x:c>
      <x:c r="I1521" t="str" s="2">
        <x:v>Jose Parada</x:v>
      </x:c>
      <x:c r="J1521" s="0"/>
      <x:c r="K1521" s="6">
        <x:v>46256.75431940972</x:v>
      </x:c>
      <x:c r="L1521" t="str" s="2">
        <x:v>Deal Created</x:v>
      </x:c>
    </x:row>
    <x:row r="1522">
      <x:c r="A1522" t="str" s="2">
        <x:f>=HYPERLINK("https://rsms.futurehomex.com/lead/39324", "Yeidilen Ochoa")</x:f>
      </x:c>
      <x:c r="B1522" t="str" s="2">
        <x:v>Heritage Housing of Oklahoma City</x:v>
      </x:c>
      <x:c r="C1522" t="str" s="2">
        <x:v/>
      </x:c>
      <x:c r="D1522" t="str" s="2">
        <x:v>4422883898</x:v>
      </x:c>
      <x:c r="E1522" t="str" s="2">
        <x:v>yeidilen.ochoa@gmail.com</x:v>
      </x:c>
      <x:c r="F1522" t="str" s="2">
        <x:v>Facebook Messenger</x:v>
      </x:c>
      <x:c r="G1522" t="str" s="2">
        <x:v>Alejandra Calderon</x:v>
      </x:c>
      <x:c r="H1522" s="6">
        <x:v>46256.76031423611</x:v>
      </x:c>
      <x:c r="I1522" t="str" s="2">
        <x:v>Alejandra Calderon</x:v>
      </x:c>
      <x:c r="J1522" s="0"/>
      <x:c r="K1522" s="6">
        <x:v>46256.76031423611</x:v>
      </x:c>
      <x:c r="L1522" t="str" s="2">
        <x:v>Deal Created</x:v>
      </x:c>
    </x:row>
    <x:row r="1523">
      <x:c r="A1523" t="str" s="2">
        <x:f>=HYPERLINK("https://rsms.futurehomex.com/lead/39328", "Oscar Espinoza")</x:f>
      </x:c>
      <x:c r="B1523" t="str" s="2">
        <x:v>Legacy Housing Corp. DBA Americasa</x:v>
      </x:c>
      <x:c r="C1523" t="str" s="2">
        <x:v/>
      </x:c>
      <x:c r="D1523" t="str" s="2">
        <x:v>2817636451</x:v>
      </x:c>
      <x:c r="E1523" t="str" s="2">
        <x:v>2817636451</x:v>
      </x:c>
      <x:c r="F1523" t="str" s="2">
        <x:v>Facebook Messenger</x:v>
      </x:c>
      <x:c r="G1523" t="str" s="2">
        <x:v>Rodrigo Ramirez</x:v>
      </x:c>
      <x:c r="H1523" s="6">
        <x:v>46256.82268923611</x:v>
      </x:c>
      <x:c r="I1523" t="str" s="2">
        <x:v>Jose Parada</x:v>
      </x:c>
      <x:c r="J1523" s="0"/>
      <x:c r="K1523" s="6">
        <x:v>46256.82268923611</x:v>
      </x:c>
      <x:c r="L1523" t="str" s="2">
        <x:v>Deal Created</x:v>
      </x:c>
    </x:row>
    <x:row r="1524">
      <x:c r="A1524" t="str" s="2">
        <x:f>=HYPERLINK("https://rsms.futurehomex.com/lead/39467", "Mandy Torres")</x:f>
      </x:c>
      <x:c r="B1524" t="str" s="2">
        <x:v>Heritage Housing of Oklahoma City</x:v>
      </x:c>
      <x:c r="C1524" t="str" s="2">
        <x:v>0/2</x:v>
      </x:c>
      <x:c r="D1524" t="str" s="2">
        <x:v>4056418811</x:v>
      </x:c>
      <x:c r="E1524" t="str" s="2">
        <x:v>scarryme21@gmail.com</x:v>
      </x:c>
      <x:c r="F1524" t="str" s="2">
        <x:v>Financing Form</x:v>
      </x:c>
      <x:c r="G1524" t="str" s="2">
        <x:v>Steve Castell</x:v>
      </x:c>
      <x:c r="H1524" s="6">
        <x:v>46256.824468252315</x:v>
      </x:c>
      <x:c r="I1524" t="str" s="2">
        <x:v>Steve Castell</x:v>
      </x:c>
      <x:c r="J1524" s="0"/>
      <x:c r="K1524" s="6">
        <x:v>46259</x:v>
      </x:c>
      <x:c r="L1524" t="str" s="2">
        <x:v>Deal Created</x:v>
      </x:c>
    </x:row>
    <x:row r="1525">
      <x:c r="A1525" t="str" s="2">
        <x:f>=HYPERLINK("https://rsms.futurehomex.com/lead/39632", "Jessie Moss")</x:f>
      </x:c>
      <x:c r="B1525" t="str" s="2">
        <x:v>Heritage Housing of Oklahoma City</x:v>
      </x:c>
      <x:c r="C1525" t="str" s="2">
        <x:v>0/3</x:v>
      </x:c>
      <x:c r="D1525" t="str" s="2">
        <x:v>5722701678</x:v>
      </x:c>
      <x:c r="E1525" t="str" s="2">
        <x:v>jmoss6749@gmail.com</x:v>
      </x:c>
      <x:c r="F1525" t="str" s="2">
        <x:v>Landing_BPM</x:v>
      </x:c>
      <x:c r="G1525" t="str" s="2">
        <x:v>Trey Rixleben</x:v>
      </x:c>
      <x:c r="H1525" s="6">
        <x:v>46256.84232326389</x:v>
      </x:c>
      <x:c r="I1525" t="str" s="2">
        <x:v>Trey Rixleben</x:v>
      </x:c>
      <x:c r="J1525" s="0"/>
      <x:c r="K1525" s="6">
        <x:v>46260.951244675925</x:v>
      </x:c>
      <x:c r="L1525" t="str" s="2">
        <x:v>Deal Created</x:v>
      </x:c>
    </x:row>
    <x:row r="1526">
      <x:c r="A1526" t="str" s="2">
        <x:f>=HYPERLINK("https://rsms.futurehomex.com/lead/39630", "Curtis Henley")</x:f>
      </x:c>
      <x:c r="B1526" t="str" s="2">
        <x:v>Heritage Housing of Oklahoma City</x:v>
      </x:c>
      <x:c r="C1526" t="str" s="2">
        <x:v>0/2</x:v>
      </x:c>
      <x:c r="D1526" t="str" s="2">
        <x:v>5804976006</x:v>
      </x:c>
      <x:c r="E1526" t="str" s="2">
        <x:v>curtishenley7@gmail.com</x:v>
      </x:c>
      <x:c r="F1526" t="str" s="2">
        <x:v>Landing_BPM</x:v>
      </x:c>
      <x:c r="G1526" t="str" s="2">
        <x:v>Trey Rixleben</x:v>
      </x:c>
      <x:c r="H1526" s="6">
        <x:v>46256.848728854166</x:v>
      </x:c>
      <x:c r="I1526" t="str" s="2">
        <x:v>Trey Rixleben</x:v>
      </x:c>
      <x:c r="J1526" s="0"/>
      <x:c r="K1526" s="6">
        <x:v>46258.5704852662</x:v>
      </x:c>
      <x:c r="L1526" t="str" s="2">
        <x:v>Deal Created</x:v>
      </x:c>
    </x:row>
    <x:row r="1527">
      <x:c r="A1527" t="str" s="2">
        <x:f>=HYPERLINK("https://rsms.futurehomex.com/lead/39331", "Mike &amp; Lisa Ryan")</x:f>
      </x:c>
      <x:c r="B1527" t="str" s="2">
        <x:v>Heritage Housing of Oklahoma City</x:v>
      </x:c>
      <x:c r="C1527" t="str" s="2">
        <x:v/>
      </x:c>
      <x:c r="D1527" t="str" s="2">
        <x:v>5803521989</x:v>
      </x:c>
      <x:c r="E1527" t="str" s="2">
        <x:v>lisaryan05@yahoo.com</x:v>
      </x:c>
      <x:c r="F1527" t="str" s="2">
        <x:v>Walk-in</x:v>
      </x:c>
      <x:c r="G1527" t="str" s="2">
        <x:v>Steve Castell</x:v>
      </x:c>
      <x:c r="H1527" s="6">
        <x:v>46256.86406130787</x:v>
      </x:c>
      <x:c r="I1527" t="str" s="2">
        <x:v>Steve Castell</x:v>
      </x:c>
      <x:c r="J1527" s="0"/>
      <x:c r="K1527" s="6">
        <x:v>46256.86406130787</x:v>
      </x:c>
      <x:c r="L1527" t="str" s="2">
        <x:v>Deal Created</x:v>
      </x:c>
    </x:row>
    <x:row r="1528">
      <x:c r="A1528" t="str" s="2">
        <x:f>=HYPERLINK("https://rsms.futurehomex.com/lead/39334", "Ty Cunnigham")</x:f>
      </x:c>
      <x:c r="B1528" t="str" s="2">
        <x:v>Heritage Housing of Minden</x:v>
      </x:c>
      <x:c r="C1528" t="str" s="2">
        <x:v/>
      </x:c>
      <x:c r="D1528" t="str" s="2">
        <x:v>3185486284</x:v>
      </x:c>
      <x:c r="E1528" t="str" s="2">
        <x:v>3185486284</x:v>
      </x:c>
      <x:c r="F1528" t="str" s="2">
        <x:v>Walk-in</x:v>
      </x:c>
      <x:c r="G1528" t="str" s="2">
        <x:v>Patrick Schuchart</x:v>
      </x:c>
      <x:c r="H1528" s="6">
        <x:v>46256.92741111111</x:v>
      </x:c>
      <x:c r="I1528" t="str" s="2">
        <x:v>Patrick Schuchart</x:v>
      </x:c>
      <x:c r="J1528" s="0"/>
      <x:c r="K1528" s="6">
        <x:v>46256.92741111111</x:v>
      </x:c>
      <x:c r="L1528" t="str" s="2">
        <x:v>Deal Created</x:v>
      </x:c>
    </x:row>
    <x:row r="1529">
      <x:c r="A1529" t="str" s="2">
        <x:f>=HYPERLINK("https://rsms.futurehomex.com/lead/39670", "Ronda Griggs")</x:f>
      </x:c>
      <x:c r="B1529" t="str" s="2">
        <x:v>Heritage Housing of Oklahoma City</x:v>
      </x:c>
      <x:c r="C1529" t="str" s="2">
        <x:v>0/1</x:v>
      </x:c>
      <x:c r="D1529" t="str" s="2">
        <x:v>4055190447</x:v>
      </x:c>
      <x:c r="E1529" t="str" s="2">
        <x:v>ragriggs1964@gmail.com</x:v>
      </x:c>
      <x:c r="F1529" t="str" s="2">
        <x:v>Landing_BPM</x:v>
      </x:c>
      <x:c r="G1529" t="str" s="2">
        <x:v>Steve Castell</x:v>
      </x:c>
      <x:c r="H1529" s="6">
        <x:v>46257.01842141204</x:v>
      </x:c>
      <x:c r="I1529" t="str" s="2">
        <x:v>Steve Castell</x:v>
      </x:c>
      <x:c r="J1529" s="0"/>
      <x:c r="K1529" s="6">
        <x:v>46257</x:v>
      </x:c>
      <x:c r="L1529" t="str" s="2">
        <x:v>Deal Created</x:v>
      </x:c>
    </x:row>
    <x:row r="1530">
      <x:c r="A1530" t="str" s="2">
        <x:f>=HYPERLINK("https://rsms.futurehomex.com/lead/39460", "Sharon Gray")</x:f>
      </x:c>
      <x:c r="B1530" t="str" s="2">
        <x:v>Heritage Housing of Oklahoma City</x:v>
      </x:c>
      <x:c r="C1530" t="str" s="2">
        <x:v>0/2</x:v>
      </x:c>
      <x:c r="D1530" t="str" s="2">
        <x:v>4792145278</x:v>
      </x:c>
      <x:c r="E1530" t="str" s="2">
        <x:v>sharonannmiller49@gmail.com</x:v>
      </x:c>
      <x:c r="F1530" t="str" s="2">
        <x:v>Financing Form</x:v>
      </x:c>
      <x:c r="G1530" t="str" s="2">
        <x:v>Steve Castell</x:v>
      </x:c>
      <x:c r="H1530" s="6">
        <x:v>46257.2690790162</x:v>
      </x:c>
      <x:c r="I1530" t="str" s="2">
        <x:v>Steve Castell</x:v>
      </x:c>
      <x:c r="J1530" s="0"/>
      <x:c r="K1530" s="6">
        <x:v>46259</x:v>
      </x:c>
      <x:c r="L1530" t="str" s="2">
        <x:v>Deal Created</x:v>
      </x:c>
    </x:row>
    <x:row r="1531">
      <x:c r="A1531" t="str" s="2">
        <x:f>=HYPERLINK("https://rsms.futurehomex.com/lead/39398", "Lori Mayfield")</x:f>
      </x:c>
      <x:c r="B1531" t="str" s="2">
        <x:v>Heritage Housing of Oklahoma City</x:v>
      </x:c>
      <x:c r="C1531" t="str" s="2">
        <x:v>0/1</x:v>
      </x:c>
      <x:c r="D1531" t="str" s="2">
        <x:v>3163650513</x:v>
      </x:c>
      <x:c r="E1531" t="str" s="2">
        <x:v>ujglmm13@gmail.com</x:v>
      </x:c>
      <x:c r="F1531" t="str" s="2">
        <x:v>Landing_BPM</x:v>
      </x:c>
      <x:c r="G1531" t="str" s="2">
        <x:v>Trey Rixleben</x:v>
      </x:c>
      <x:c r="H1531" s="6">
        <x:v>46257.638540706015</x:v>
      </x:c>
      <x:c r="I1531" t="str" s="2">
        <x:v>Trey Rixleben</x:v>
      </x:c>
      <x:c r="J1531" s="0"/>
      <x:c r="K1531" s="6">
        <x:v>46258.570252233796</x:v>
      </x:c>
      <x:c r="L1531" t="str" s="2">
        <x:v>Deal Created</x:v>
      </x:c>
    </x:row>
    <x:row r="1532">
      <x:c r="A1532" t="str" s="2">
        <x:f>=HYPERLINK("https://rsms.futurehomex.com/lead/39438", "Norma A Andaverdi")</x:f>
      </x:c>
      <x:c r="B1532" t="str" s="2">
        <x:v>Heritage Housing of Oklahoma City</x:v>
      </x:c>
      <x:c r="C1532" t="str" s="2">
        <x:v>0/1</x:v>
      </x:c>
      <x:c r="D1532" t="str" s="2">
        <x:v>9185234037</x:v>
      </x:c>
      <x:c r="E1532" t="str" s="2">
        <x:v>andaverdi23@gmail.com</x:v>
      </x:c>
      <x:c r="F1532" t="str" s="2">
        <x:v>Landing_BPM</x:v>
      </x:c>
      <x:c r="G1532" t="str" s="2">
        <x:v>Steve Castell</x:v>
      </x:c>
      <x:c r="H1532" s="6">
        <x:v>46257.79380818287</x:v>
      </x:c>
      <x:c r="I1532" t="str" s="2">
        <x:v>Steve Castell</x:v>
      </x:c>
      <x:c r="J1532" s="0"/>
      <x:c r="K1532" s="6">
        <x:v>46257</x:v>
      </x:c>
      <x:c r="L1532" t="str" s="2">
        <x:v>Deal Created</x:v>
      </x:c>
    </x:row>
    <x:row r="1533">
      <x:c r="A1533" t="str" s="2">
        <x:f>=HYPERLINK("https://rsms.futurehomex.com/lead/39818", "Edward Marvin")</x:f>
      </x:c>
      <x:c r="B1533" t="str" s="2">
        <x:v>Heritage Housing of Oklahoma City</x:v>
      </x:c>
      <x:c r="C1533" t="str" s="2">
        <x:v>0/2</x:v>
      </x:c>
      <x:c r="D1533" t="str" s="2">
        <x:v>4057791975</x:v>
      </x:c>
      <x:c r="E1533" t="str" s="2">
        <x:v>mred12546@gmail.com</x:v>
      </x:c>
      <x:c r="F1533" t="str" s="2">
        <x:v>Landing_BPM</x:v>
      </x:c>
      <x:c r="G1533" t="str" s="2">
        <x:v>Steve Castell</x:v>
      </x:c>
      <x:c r="H1533" s="6">
        <x:v>46258.003322488425</x:v>
      </x:c>
      <x:c r="I1533" t="str" s="2">
        <x:v>Steve Castell</x:v>
      </x:c>
      <x:c r="J1533" s="6">
        <x:v>46273.666666666664</x:v>
      </x:c>
      <x:c r="K1533" s="6">
        <x:v>46274.026163622686</x:v>
      </x:c>
      <x:c r="L1533" t="str" s="2">
        <x:v>Deal Created</x:v>
      </x:c>
    </x:row>
    <x:row r="1534">
      <x:c r="A1534" t="str" s="2">
        <x:f>=HYPERLINK("https://rsms.futurehomex.com/lead/39396", "Jason Mcneal")</x:f>
      </x:c>
      <x:c r="B1534" t="str" s="2">
        <x:v>Heritage Housing of Oklahoma City</x:v>
      </x:c>
      <x:c r="C1534" t="str" s="2">
        <x:v>0/2</x:v>
      </x:c>
      <x:c r="D1534" t="str" s="2">
        <x:v>3602615150</x:v>
      </x:c>
      <x:c r="E1534" t="str" s="2">
        <x:v>mcneal_jason@yahoo.com</x:v>
      </x:c>
      <x:c r="F1534" t="str" s="2">
        <x:v>Landing_BPM</x:v>
      </x:c>
      <x:c r="G1534" t="str" s="2">
        <x:v>Trey Rixleben</x:v>
      </x:c>
      <x:c r="H1534" s="6">
        <x:v>46258.05660859954</x:v>
      </x:c>
      <x:c r="I1534" t="str" s="2">
        <x:v>Trey Rixleben</x:v>
      </x:c>
      <x:c r="J1534" s="0"/>
      <x:c r="K1534" s="6">
        <x:v>46258.569988159725</x:v>
      </x:c>
      <x:c r="L1534" t="str" s="2">
        <x:v>Deal Created</x:v>
      </x:c>
    </x:row>
    <x:row r="1535">
      <x:c r="A1535" t="str" s="2">
        <x:f>=HYPERLINK("https://rsms.futurehomex.com/lead/39459", "Meg Prestidge")</x:f>
      </x:c>
      <x:c r="B1535" t="str" s="2">
        <x:v>Heritage Housing of Oklahoma City</x:v>
      </x:c>
      <x:c r="C1535" t="str" s="2">
        <x:v>0/2</x:v>
      </x:c>
      <x:c r="D1535" t="str" s="2">
        <x:v>4058157587</x:v>
      </x:c>
      <x:c r="E1535" t="str" s="2">
        <x:v>mlprestidge@gmail.com</x:v>
      </x:c>
      <x:c r="F1535" t="str" s="2">
        <x:v>Landing_BPM</x:v>
      </x:c>
      <x:c r="G1535" t="str" s="2">
        <x:v>Steve Castell</x:v>
      </x:c>
      <x:c r="H1535" s="6">
        <x:v>46258.50481909722</x:v>
      </x:c>
      <x:c r="I1535" t="str" s="2">
        <x:v>Steve Castell</x:v>
      </x:c>
      <x:c r="J1535" s="0"/>
      <x:c r="K1535" s="6">
        <x:v>46259</x:v>
      </x:c>
      <x:c r="L1535" t="str" s="2">
        <x:v>Deal Created</x:v>
      </x:c>
    </x:row>
    <x:row r="1536">
      <x:c r="A1536" t="str" s="2">
        <x:f>=HYPERLINK("https://rsms.futurehomex.com/lead/39347", "Steve Collins")</x:f>
      </x:c>
      <x:c r="B1536" t="str" s="2">
        <x:v>Heritage Housing of Oklahoma City</x:v>
      </x:c>
      <x:c r="C1536" t="str" s="2">
        <x:v/>
      </x:c>
      <x:c r="D1536" t="str" s="2">
        <x:v>5807360483</x:v>
      </x:c>
      <x:c r="E1536" t="str" s="2">
        <x:v>slcollins1973@gmail.com</x:v>
      </x:c>
      <x:c r="F1536" t="str" s="2">
        <x:v>Walk-in</x:v>
      </x:c>
      <x:c r="G1536" t="str" s="2">
        <x:v>Trey Rixleben</x:v>
      </x:c>
      <x:c r="H1536" s="6">
        <x:v>46258.601182175924</x:v>
      </x:c>
      <x:c r="I1536" t="str" s="2">
        <x:v>Trey Rixleben</x:v>
      </x:c>
      <x:c r="J1536" s="0"/>
      <x:c r="K1536" s="6">
        <x:v>46258.601182175924</x:v>
      </x:c>
      <x:c r="L1536" t="str" s="2">
        <x:v>Deal Created</x:v>
      </x:c>
    </x:row>
    <x:row r="1537">
      <x:c r="A1537" t="str" s="2">
        <x:f>=HYPERLINK("https://rsms.futurehomex.com/lead/39360", "Gricelda Luna")</x:f>
      </x:c>
      <x:c r="B1537" t="str" s="2">
        <x:v>Legacy Housing Corp. DBA Americasa</x:v>
      </x:c>
      <x:c r="C1537" t="str" s="2">
        <x:v/>
      </x:c>
      <x:c r="D1537" t="str" s="2">
        <x:v>3463634260</x:v>
      </x:c>
      <x:c r="E1537" t="str" s="2">
        <x:v>3463634260</x:v>
      </x:c>
      <x:c r="F1537" t="str" s="2">
        <x:v>WhatsApp</x:v>
      </x:c>
      <x:c r="G1537" t="str" s="2">
        <x:v>Rodrigo Ramirez</x:v>
      </x:c>
      <x:c r="H1537" s="6">
        <x:v>46258.78792167824</x:v>
      </x:c>
      <x:c r="I1537" t="str" s="2">
        <x:v>Jose Parada</x:v>
      </x:c>
      <x:c r="J1537" s="0"/>
      <x:c r="K1537" s="6">
        <x:v>46258.78792167824</x:v>
      </x:c>
      <x:c r="L1537" t="str" s="2">
        <x:v>Deal Created</x:v>
      </x:c>
    </x:row>
    <x:row r="1538">
      <x:c r="A1538" t="str" s="2">
        <x:f>=HYPERLINK("https://rsms.futurehomex.com/lead/39671", "Tiffany Hickman")</x:f>
      </x:c>
      <x:c r="B1538" t="str" s="2">
        <x:v>Heritage Housing of Oklahoma City</x:v>
      </x:c>
      <x:c r="C1538" t="str" s="2">
        <x:v/>
      </x:c>
      <x:c r="D1538" t="str" s="2">
        <x:v>4056000461</x:v>
      </x:c>
      <x:c r="E1538" t="str" s="2">
        <x:v>4056000461</x:v>
      </x:c>
      <x:c r="F1538" t="str" s="2">
        <x:v>Facebook Messenger</x:v>
      </x:c>
      <x:c r="G1538" t="str" s="2">
        <x:v>Steve Castell</x:v>
      </x:c>
      <x:c r="H1538" s="6">
        <x:v>46258.956450729165</x:v>
      </x:c>
      <x:c r="I1538" t="str" s="2">
        <x:v>Steve Castell</x:v>
      </x:c>
      <x:c r="J1538" s="6">
        <x:v>46260.791666666664</x:v>
      </x:c>
      <x:c r="K1538" s="6">
        <x:v>46261.98153599537</x:v>
      </x:c>
      <x:c r="L1538" t="str" s="2">
        <x:v>Deal Created</x:v>
      </x:c>
    </x:row>
    <x:row r="1539">
      <x:c r="A1539" t="str" s="2">
        <x:f>=HYPERLINK("https://rsms.futurehomex.com/lead/39377", "Jacquelyne Legette")</x:f>
      </x:c>
      <x:c r="B1539" t="str" s="2">
        <x:v>Heritage Housing of Augusta</x:v>
      </x:c>
      <x:c r="C1539" t="str" s="2">
        <x:v/>
      </x:c>
      <x:c r="D1539" t="str" s="2">
        <x:v>7063646125</x:v>
      </x:c>
      <x:c r="E1539" t="str" s="2">
        <x:v>7063646125</x:v>
      </x:c>
      <x:c r="F1539" t="str" s="2">
        <x:v>Walk-in</x:v>
      </x:c>
      <x:c r="G1539" t="str" s="2">
        <x:v>Jose Chavez</x:v>
      </x:c>
      <x:c r="H1539" s="6">
        <x:v>46259.66595258102</x:v>
      </x:c>
      <x:c r="I1539" t="str" s="2">
        <x:v>Jennifer Johnson</x:v>
      </x:c>
      <x:c r="J1539" s="0"/>
      <x:c r="K1539" s="6">
        <x:v>46259.66595258102</x:v>
      </x:c>
      <x:c r="L1539" t="str" s="2">
        <x:v>Deal Created</x:v>
      </x:c>
    </x:row>
    <x:row r="1540">
      <x:c r="A1540" t="str" s="2">
        <x:f>=HYPERLINK("https://rsms.futurehomex.com/lead/39378", "Monta Rontrevas Jack")</x:f>
      </x:c>
      <x:c r="B1540" t="str" s="2">
        <x:v>Heritage Housing of Jennings</x:v>
      </x:c>
      <x:c r="C1540" t="str" s="2">
        <x:v/>
      </x:c>
      <x:c r="D1540" t="str" s="2">
        <x:v>3376556974</x:v>
      </x:c>
      <x:c r="E1540" t="str" s="2">
        <x:v>tajack23@yahoo.com</x:v>
      </x:c>
      <x:c r="F1540" t="str" s="2">
        <x:v>Office Hot Calls</x:v>
      </x:c>
      <x:c r="G1540" t="str" s="2">
        <x:v>Clint O'Neal</x:v>
      </x:c>
      <x:c r="H1540" s="6">
        <x:v>46259.68254606482</x:v>
      </x:c>
      <x:c r="I1540" t="str" s="2">
        <x:v>Clint O'Neal</x:v>
      </x:c>
      <x:c r="J1540" s="0"/>
      <x:c r="K1540" s="6">
        <x:v>46259.68254606482</x:v>
      </x:c>
      <x:c r="L1540" t="str" s="2">
        <x:v>Deal Created</x:v>
      </x:c>
    </x:row>
    <x:row r="1541">
      <x:c r="A1541" t="str" s="2">
        <x:f>=HYPERLINK("https://rsms.futurehomex.com/lead/39383", "Dena Ware")</x:f>
      </x:c>
      <x:c r="B1541" t="str" s="2">
        <x:v>Heritage Housing of Minden</x:v>
      </x:c>
      <x:c r="C1541" t="str" s="2">
        <x:v/>
      </x:c>
      <x:c r="D1541" t="str" s="2">
        <x:v>8703105443</x:v>
      </x:c>
      <x:c r="E1541" t="str" s="2">
        <x:v>danalware@icloud.com</x:v>
      </x:c>
      <x:c r="F1541" t="str" s="2">
        <x:v>Walk-in</x:v>
      </x:c>
      <x:c r="G1541" t="str" s="2">
        <x:v>Patrick Schuchart</x:v>
      </x:c>
      <x:c r="H1541" s="6">
        <x:v>46259.790510729166</x:v>
      </x:c>
      <x:c r="I1541" t="str" s="2">
        <x:v>Patrick Schuchart</x:v>
      </x:c>
      <x:c r="J1541" s="0"/>
      <x:c r="K1541" s="6">
        <x:v>46259.790510729166</x:v>
      </x:c>
      <x:c r="L1541" t="str" s="2">
        <x:v>Deal Created</x:v>
      </x:c>
    </x:row>
    <x:row r="1542">
      <x:c r="A1542" t="str" s="2">
        <x:f>=HYPERLINK("https://rsms.futurehomex.com/lead/39384", "Brenda Bolton")</x:f>
      </x:c>
      <x:c r="B1542" t="str" s="2">
        <x:v>Heritage Housing of Minden</x:v>
      </x:c>
      <x:c r="C1542" t="str" s="2">
        <x:v/>
      </x:c>
      <x:c r="D1542" t="str" s="2">
        <x:v>3187532165</x:v>
      </x:c>
      <x:c r="E1542" t="str" s="2">
        <x:v>brendabolton51@gmail.com</x:v>
      </x:c>
      <x:c r="F1542" t="str" s="2">
        <x:v>Walk-in</x:v>
      </x:c>
      <x:c r="G1542" t="str" s="2">
        <x:v>Patrick Schuchart</x:v>
      </x:c>
      <x:c r="H1542" s="6">
        <x:v>46259.792301932874</x:v>
      </x:c>
      <x:c r="I1542" t="str" s="2">
        <x:v>Patrick Schuchart</x:v>
      </x:c>
      <x:c r="J1542" s="0"/>
      <x:c r="K1542" s="6">
        <x:v>46259.792301932874</x:v>
      </x:c>
      <x:c r="L1542" t="str" s="2">
        <x:v>Deal Created</x:v>
      </x:c>
    </x:row>
    <x:row r="1543">
      <x:c r="A1543" t="str" s="2">
        <x:f>=HYPERLINK("https://rsms.futurehomex.com/lead/39387", "Katriana Baty")</x:f>
      </x:c>
      <x:c r="B1543" t="str" s="2">
        <x:v>Heritage Housing of Oklahoma City</x:v>
      </x:c>
      <x:c r="C1543" t="str" s="2">
        <x:v/>
      </x:c>
      <x:c r="D1543" t="str" s="2">
        <x:v>4056762392</x:v>
      </x:c>
      <x:c r="E1543" t="str" s="2">
        <x:v>here.now4tomorrow@gmail.com</x:v>
      </x:c>
      <x:c r="F1543" t="str" s="2">
        <x:v>Landing_BPM</x:v>
      </x:c>
      <x:c r="G1543" t="str" s="2">
        <x:v>Steve Castell</x:v>
      </x:c>
      <x:c r="H1543" s="6">
        <x:v>46259.82002465278</x:v>
      </x:c>
      <x:c r="I1543" t="str" s="2">
        <x:v>Steve Castell</x:v>
      </x:c>
      <x:c r="J1543" s="0"/>
      <x:c r="K1543" s="6">
        <x:v>46259.83796909722</x:v>
      </x:c>
      <x:c r="L1543" t="str" s="2">
        <x:v>Deal Created</x:v>
      </x:c>
    </x:row>
    <x:row r="1544">
      <x:c r="A1544" t="str" s="2">
        <x:f>=HYPERLINK("https://rsms.futurehomex.com/lead/39392", "Nick Martin")</x:f>
      </x:c>
      <x:c r="B1544" t="str" s="2">
        <x:v>Heritage Housing of Oklahoma City</x:v>
      </x:c>
      <x:c r="C1544" t="str" s="2">
        <x:v/>
      </x:c>
      <x:c r="D1544" t="str" s="2">
        <x:v>4058730891</x:v>
      </x:c>
      <x:c r="E1544" t="str" s="2">
        <x:v>4058730891</x:v>
      </x:c>
      <x:c r="F1544" t="str" s="2">
        <x:v>Facebook Messenger</x:v>
      </x:c>
      <x:c r="G1544" t="str" s="2">
        <x:v>Steve Castell</x:v>
      </x:c>
      <x:c r="H1544" s="6">
        <x:v>46259.91477121528</x:v>
      </x:c>
      <x:c r="I1544" t="str" s="2">
        <x:v>Steve Castell</x:v>
      </x:c>
      <x:c r="J1544" s="0"/>
      <x:c r="K1544" s="6">
        <x:v>46259.91477121528</x:v>
      </x:c>
      <x:c r="L1544" t="str" s="2">
        <x:v>Deal Created</x:v>
      </x:c>
    </x:row>
    <x:row r="1545">
      <x:c r="A1545" t="str" s="2">
        <x:f>=HYPERLINK("https://rsms.futurehomex.com/lead/39395", "Christy Ivey")</x:f>
      </x:c>
      <x:c r="B1545" t="str" s="2">
        <x:v>Heritage Housing of Oklahoma City</x:v>
      </x:c>
      <x:c r="C1545" t="str" s="2">
        <x:v/>
      </x:c>
      <x:c r="D1545" t="str" s="2">
        <x:v>9186161633</x:v>
      </x:c>
      <x:c r="E1545" t="str" s="2">
        <x:v>christyivey33@gmail.com</x:v>
      </x:c>
      <x:c r="F1545" t="str" s="2">
        <x:v>Landing_BPM</x:v>
      </x:c>
      <x:c r="G1545" t="str" s="2">
        <x:v>Trey Rixleben</x:v>
      </x:c>
      <x:c r="H1545" s="6">
        <x:v>46260.00090980324</x:v>
      </x:c>
      <x:c r="I1545" t="str" s="2">
        <x:v>Trey Rixleben</x:v>
      </x:c>
      <x:c r="J1545" s="0"/>
      <x:c r="K1545" s="6">
        <x:v>46260.58064166667</x:v>
      </x:c>
      <x:c r="L1545" t="str" s="2">
        <x:v>Deal Created</x:v>
      </x:c>
    </x:row>
    <x:row r="1546">
      <x:c r="A1546" t="str" s="2">
        <x:f>=HYPERLINK("https://rsms.futurehomex.com/lead/39397", "Brenda Walker")</x:f>
      </x:c>
      <x:c r="B1546" t="str" s="2">
        <x:v>Heritage Housing Gainesville</x:v>
      </x:c>
      <x:c r="C1546" t="str" s="2">
        <x:v/>
      </x:c>
      <x:c r="D1546" t="str" s="2">
        <x:v>8173470234</x:v>
      </x:c>
      <x:c r="E1546" t="str" s="2">
        <x:v>Txbwalker@gmail.com</x:v>
      </x:c>
      <x:c r="F1546" t="str" s="2">
        <x:v>Other</x:v>
      </x:c>
      <x:c r="G1546" t="str" s="2">
        <x:v>Kelly Ford</x:v>
      </x:c>
      <x:c r="H1546" s="6">
        <x:v>46260.64462369213</x:v>
      </x:c>
      <x:c r="I1546" t="str" s="2">
        <x:v>Kelly Ford</x:v>
      </x:c>
      <x:c r="J1546" s="0"/>
      <x:c r="K1546" s="6">
        <x:v>46260.64462369213</x:v>
      </x:c>
      <x:c r="L1546" t="str" s="2">
        <x:v>Deal Created</x:v>
      </x:c>
    </x:row>
    <x:row r="1547">
      <x:c r="A1547" t="str" s="2">
        <x:f>=HYPERLINK("https://rsms.futurehomex.com/lead/39414", "Aaron Yonkey")</x:f>
      </x:c>
      <x:c r="B1547" t="str" s="2">
        <x:v>Heritage Housing of Oklahoma City</x:v>
      </x:c>
      <x:c r="C1547" t="str" s="2">
        <x:v/>
      </x:c>
      <x:c r="D1547" t="str" s="2">
        <x:v>5802912128</x:v>
      </x:c>
      <x:c r="E1547" t="str" s="2">
        <x:v>5802912128</x:v>
      </x:c>
      <x:c r="F1547" t="str" s="2">
        <x:v>Facebook Messenger</x:v>
      </x:c>
      <x:c r="G1547" t="str" s="2">
        <x:v>Trey Rixleben</x:v>
      </x:c>
      <x:c r="H1547" s="6">
        <x:v>46260.945131099536</x:v>
      </x:c>
      <x:c r="I1547" t="str" s="2">
        <x:v>Trey Rixleben</x:v>
      </x:c>
      <x:c r="J1547" s="0"/>
      <x:c r="K1547" s="6">
        <x:v>46260.945131099536</x:v>
      </x:c>
      <x:c r="L1547" t="str" s="2">
        <x:v>Deal Created</x:v>
      </x:c>
    </x:row>
    <x:row r="1548">
      <x:c r="A1548" t="str" s="2">
        <x:f>=HYPERLINK("https://rsms.futurehomex.com/lead/39423", "Kenny Lovejoy")</x:f>
      </x:c>
      <x:c r="B1548" t="str" s="2">
        <x:v>Heritage Housing of Oklahoma City</x:v>
      </x:c>
      <x:c r="C1548" t="str" s="2">
        <x:v/>
      </x:c>
      <x:c r="D1548" t="str" s="2">
        <x:v>4053711122</x:v>
      </x:c>
      <x:c r="E1548" t="str" s="2">
        <x:v>kennylovejoy99@gmail.com</x:v>
      </x:c>
      <x:c r="F1548" t="str" s="2">
        <x:v>Landing_BPM</x:v>
      </x:c>
      <x:c r="G1548" t="str" s="2">
        <x:v>Alejandra Calderon</x:v>
      </x:c>
      <x:c r="H1548" s="6">
        <x:v>46261.40394070602</x:v>
      </x:c>
      <x:c r="I1548" t="str" s="2">
        <x:v>Alejandra Calderon</x:v>
      </x:c>
      <x:c r="J1548" s="0"/>
      <x:c r="K1548" s="0"/>
      <x:c r="L1548" t="str" s="2">
        <x:v>Deal Created</x:v>
      </x:c>
    </x:row>
    <x:row r="1549">
      <x:c r="A1549" t="str" s="2">
        <x:f>=HYPERLINK("https://rsms.futurehomex.com/lead/39422", "Shantavia Irving")</x:f>
      </x:c>
      <x:c r="B1549" t="str" s="2">
        <x:v>Heritage Housing of Oklahoma City</x:v>
      </x:c>
      <x:c r="C1549" t="str" s="2">
        <x:v/>
      </x:c>
      <x:c r="D1549" t="str" s="2">
        <x:v>2193144556</x:v>
      </x:c>
      <x:c r="E1549" t="str" s="2">
        <x:v>Eboniee18@gmail.com</x:v>
      </x:c>
      <x:c r="F1549" t="str" s="2">
        <x:v>Landing_BPM</x:v>
      </x:c>
      <x:c r="G1549" t="str" s="2">
        <x:v>Trey Rixleben</x:v>
      </x:c>
      <x:c r="H1549" s="6">
        <x:v>46261.52309008102</x:v>
      </x:c>
      <x:c r="I1549" t="str" s="2">
        <x:v>Trey Rixleben</x:v>
      </x:c>
      <x:c r="J1549" s="0"/>
      <x:c r="K1549" s="6">
        <x:v>46261.59010883102</x:v>
      </x:c>
      <x:c r="L1549" t="str" s="2">
        <x:v>Deal Created</x:v>
      </x:c>
    </x:row>
    <x:row r="1550">
      <x:c r="A1550" t="str" s="2">
        <x:f>=HYPERLINK("https://rsms.futurehomex.com/lead/39446", "Manuel Camacho")</x:f>
      </x:c>
      <x:c r="B1550" t="str" s="2">
        <x:v>Heritage Housing of Oklahoma City</x:v>
      </x:c>
      <x:c r="C1550" t="str" s="2">
        <x:v/>
      </x:c>
      <x:c r="D1550" t="str" s="2">
        <x:v>9188537087</x:v>
      </x:c>
      <x:c r="E1550" t="str" s="2">
        <x:v>4eimh6526@gmail.com</x:v>
      </x:c>
      <x:c r="F1550" t="str" s="2">
        <x:v>Landing_BPM</x:v>
      </x:c>
      <x:c r="G1550" t="str" s="2">
        <x:v>Alejandra Calderon</x:v>
      </x:c>
      <x:c r="H1550" s="6">
        <x:v>46261.643965891206</x:v>
      </x:c>
      <x:c r="I1550" t="str" s="2">
        <x:v>Alejandra Calderon</x:v>
      </x:c>
      <x:c r="J1550" s="0"/>
      <x:c r="K1550" s="6">
        <x:v>46262.70844054398</x:v>
      </x:c>
      <x:c r="L1550" t="str" s="2">
        <x:v>Deal Created</x:v>
      </x:c>
    </x:row>
    <x:row r="1551">
      <x:c r="A1551" t="str" s="2">
        <x:f>=HYPERLINK("https://rsms.futurehomex.com/lead/39428", "Manuel Camacho")</x:f>
      </x:c>
      <x:c r="B1551" t="str" s="2">
        <x:v>Heritage Housing of Oklahoma City</x:v>
      </x:c>
      <x:c r="C1551" t="str" s="2">
        <x:v/>
      </x:c>
      <x:c r="D1551" t="str" s="2">
        <x:v>9188537087</x:v>
      </x:c>
      <x:c r="E1551" t="str" s="2">
        <x:v>4eimh6526@gmail.com</x:v>
      </x:c>
      <x:c r="F1551" t="str" s="2">
        <x:v>Landing_BPM</x:v>
      </x:c>
      <x:c r="G1551" t="str" s="2">
        <x:v>Alejandra Calderon</x:v>
      </x:c>
      <x:c r="H1551" s="6">
        <x:v>46261.643965891206</x:v>
      </x:c>
      <x:c r="I1551" t="str" s="2">
        <x:v>Alejandra Calderon</x:v>
      </x:c>
      <x:c r="J1551" s="0"/>
      <x:c r="K1551" s="6">
        <x:v>46262.70844054398</x:v>
      </x:c>
      <x:c r="L1551" t="str" s="2">
        <x:v>Deal Created</x:v>
      </x:c>
    </x:row>
    <x:row r="1552">
      <x:c r="A1552" t="str" s="2">
        <x:f>=HYPERLINK("https://rsms.futurehomex.com/lead/39424", "Jason Gilner")</x:f>
      </x:c>
      <x:c r="B1552" t="str" s="2">
        <x:v>Heritage Housing of Oklahoma City</x:v>
      </x:c>
      <x:c r="C1552" t="str" s="2">
        <x:v>0/1</x:v>
      </x:c>
      <x:c r="D1552" t="str" s="2">
        <x:v>5802629156</x:v>
      </x:c>
      <x:c r="E1552" t="str" s="2">
        <x:v>gilner678@gmail.com</x:v>
      </x:c>
      <x:c r="F1552" t="str" s="2">
        <x:v>Landing_BPM</x:v>
      </x:c>
      <x:c r="G1552" t="str" s="2">
        <x:v>Alejandra Calderon</x:v>
      </x:c>
      <x:c r="H1552" s="6">
        <x:v>46261.65197075232</x:v>
      </x:c>
      <x:c r="I1552" t="str" s="2">
        <x:v>Alejandra Calderon</x:v>
      </x:c>
      <x:c r="J1552" s="0"/>
      <x:c r="K1552" s="0"/>
      <x:c r="L1552" t="str" s="2">
        <x:v>Deal Created</x:v>
      </x:c>
    </x:row>
    <x:row r="1553">
      <x:c r="A1553" t="str" s="2">
        <x:f>=HYPERLINK("https://rsms.futurehomex.com/lead/39427", "Amelia Scott")</x:f>
      </x:c>
      <x:c r="B1553" t="str" s="2">
        <x:v>Heritage Housing of Oklahoma City</x:v>
      </x:c>
      <x:c r="C1553" t="str" s="2">
        <x:v/>
      </x:c>
      <x:c r="D1553" t="str" s="2">
        <x:v>4058123124</x:v>
      </x:c>
      <x:c r="E1553" t="str" s="2">
        <x:v>grimesamelia@yahoo.com</x:v>
      </x:c>
      <x:c r="F1553" t="str" s="2">
        <x:v>Landing_BPM</x:v>
      </x:c>
      <x:c r="G1553" t="str" s="2">
        <x:v>Trey Rixleben</x:v>
      </x:c>
      <x:c r="H1553" s="6">
        <x:v>46261.65809059028</x:v>
      </x:c>
      <x:c r="I1553" t="str" s="2">
        <x:v>Trey Rixleben</x:v>
      </x:c>
      <x:c r="J1553" s="0"/>
      <x:c r="K1553" s="6">
        <x:v>46261.70238125</x:v>
      </x:c>
      <x:c r="L1553" t="str" s="2">
        <x:v>Deal Created</x:v>
      </x:c>
    </x:row>
    <x:row r="1554">
      <x:c r="A1554" t="str" s="2">
        <x:f>=HYPERLINK("https://rsms.futurehomex.com/lead/39425", "Aaron Yonkey")</x:f>
      </x:c>
      <x:c r="B1554" t="str" s="2">
        <x:v>Heritage Housing of Oklahoma City</x:v>
      </x:c>
      <x:c r="C1554" t="str" s="2">
        <x:v/>
      </x:c>
      <x:c r="D1554" t="str" s="2">
        <x:v>5802912198</x:v>
      </x:c>
      <x:c r="E1554" t="str" s="2">
        <x:v>5802912198</x:v>
      </x:c>
      <x:c r="F1554" t="str" s="2">
        <x:v>Walk-in</x:v>
      </x:c>
      <x:c r="G1554" t="str" s="2">
        <x:v>Trey Rixleben</x:v>
      </x:c>
      <x:c r="H1554" s="6">
        <x:v>46261.67056273148</x:v>
      </x:c>
      <x:c r="I1554" t="str" s="2">
        <x:v>Trey Rixleben</x:v>
      </x:c>
      <x:c r="J1554" s="0"/>
      <x:c r="K1554" s="6">
        <x:v>46261.67056273148</x:v>
      </x:c>
      <x:c r="L1554" t="str" s="2">
        <x:v>Deal Created</x:v>
      </x:c>
    </x:row>
    <x:row r="1555">
      <x:c r="A1555" t="str" s="2">
        <x:f>=HYPERLINK("https://rsms.futurehomex.com/lead/39430", "Kerstin Hunt")</x:f>
      </x:c>
      <x:c r="B1555" t="str" s="2">
        <x:v>Heritage Housing of Oklahoma City</x:v>
      </x:c>
      <x:c r="C1555" t="str" s="2">
        <x:v/>
      </x:c>
      <x:c r="D1555" t="str" s="2">
        <x:v>4054286439</x:v>
      </x:c>
      <x:c r="E1555" t="str" s="2">
        <x:v>sherwoodkerstin0@gmail.com</x:v>
      </x:c>
      <x:c r="F1555" t="str" s="2">
        <x:v>Landing_BPM</x:v>
      </x:c>
      <x:c r="G1555" t="str" s="2">
        <x:v>Steve Castell</x:v>
      </x:c>
      <x:c r="H1555" s="6">
        <x:v>46261.7709568287</x:v>
      </x:c>
      <x:c r="I1555" t="str" s="2">
        <x:v>Steve Castell</x:v>
      </x:c>
      <x:c r="J1555" s="0"/>
      <x:c r="K1555" s="0"/>
      <x:c r="L1555" t="str" s="2">
        <x:v>Deal Created</x:v>
      </x:c>
    </x:row>
    <x:row r="1556">
      <x:c r="A1556" t="str" s="2">
        <x:f>=HYPERLINK("https://rsms.futurehomex.com/lead/39627", "Mike Wier")</x:f>
      </x:c>
      <x:c r="B1556" t="str" s="2">
        <x:v>Heritage Housing of Oklahoma City</x:v>
      </x:c>
      <x:c r="C1556" t="str" s="2">
        <x:v/>
      </x:c>
      <x:c r="D1556" t="str" s="2">
        <x:v>6202558319</x:v>
      </x:c>
      <x:c r="E1556" t="str" s="2">
        <x:v>mike.weir2025@gmail.com</x:v>
      </x:c>
      <x:c r="F1556" t="str" s="2">
        <x:v>Facebook Messenger</x:v>
      </x:c>
      <x:c r="G1556" t="str" s="2">
        <x:v>Trey Rixleben</x:v>
      </x:c>
      <x:c r="H1556" s="6">
        <x:v>46261.80536608796</x:v>
      </x:c>
      <x:c r="I1556" t="str" s="2">
        <x:v>Trey Rixleben</x:v>
      </x:c>
      <x:c r="J1556" s="6">
        <x:v>46262.625</x:v>
      </x:c>
      <x:c r="K1556" s="6">
        <x:v>46266.91106947917</x:v>
      </x:c>
      <x:c r="L1556" t="str" s="2">
        <x:v>Deal Created</x:v>
      </x:c>
    </x:row>
    <x:row r="1557">
      <x:c r="A1557" t="str" s="2">
        <x:f>=HYPERLINK("https://rsms.futurehomex.com/lead/39432", "Jenelle Thibodeaux")</x:f>
      </x:c>
      <x:c r="B1557" t="str" s="2">
        <x:v>Heritage Housing of Jennings</x:v>
      </x:c>
      <x:c r="C1557" t="str" s="2">
        <x:v/>
      </x:c>
      <x:c r="D1557" t="str" s="2">
        <x:v>3373687655</x:v>
      </x:c>
      <x:c r="E1557" t="str" s="2">
        <x:v>willlfontenot@gmail.com</x:v>
      </x:c>
      <x:c r="F1557" t="str" s="2">
        <x:v>Walk-in</x:v>
      </x:c>
      <x:c r="G1557" t="str" s="2">
        <x:v>Clint O'Neal</x:v>
      </x:c>
      <x:c r="H1557" s="6">
        <x:v>46261.81126890046</x:v>
      </x:c>
      <x:c r="I1557" t="str" s="2">
        <x:v>Clint O'Neal</x:v>
      </x:c>
      <x:c r="J1557" s="0"/>
      <x:c r="K1557" s="6">
        <x:v>46261.81126890046</x:v>
      </x:c>
      <x:c r="L1557" t="str" s="2">
        <x:v>Deal Created</x:v>
      </x:c>
    </x:row>
    <x:row r="1558">
      <x:c r="A1558" t="str" s="2">
        <x:f>=HYPERLINK("https://rsms.futurehomex.com/lead/39540", "Laura Stiles")</x:f>
      </x:c>
      <x:c r="B1558" t="str" s="2">
        <x:v>Heritage Housing of Albany</x:v>
      </x:c>
      <x:c r="C1558" t="str" s="2">
        <x:v>0/2</x:v>
      </x:c>
      <x:c r="D1558" t="str" s="2">
        <x:v>4782120057</x:v>
      </x:c>
      <x:c r="E1558" t="str" s="2">
        <x:v>lrstiles1014@gmail.ccom</x:v>
      </x:c>
      <x:c r="F1558" t="str" s="2">
        <x:v>Financing Form</x:v>
      </x:c>
      <x:c r="G1558" t="str" s="2">
        <x:v>Yanet Alvarez</x:v>
      </x:c>
      <x:c r="H1558" s="6">
        <x:v>46261.81391747685</x:v>
      </x:c>
      <x:c r="I1558" t="str" s="2">
        <x:v>Alexander Bryant</x:v>
      </x:c>
      <x:c r="J1558" s="0"/>
      <x:c r="K1558" s="6">
        <x:v>46261.85528753472</x:v>
      </x:c>
      <x:c r="L1558" t="str" s="2">
        <x:v>Deal Created</x:v>
      </x:c>
    </x:row>
    <x:row r="1559">
      <x:c r="A1559" t="str" s="2">
        <x:f>=HYPERLINK("https://rsms.futurehomex.com/lead/39436", "Dion &amp; Angela Coats")</x:f>
      </x:c>
      <x:c r="B1559" t="str" s="2">
        <x:v>Heritage Housing of Oklahoma City</x:v>
      </x:c>
      <x:c r="C1559" t="str" s="2">
        <x:v/>
      </x:c>
      <x:c r="D1559" t="str" s="2">
        <x:v>4056405012</x:v>
      </x:c>
      <x:c r="E1559" t="str" s="2">
        <x:v>dacoats414@gmail.com</x:v>
      </x:c>
      <x:c r="F1559" t="str" s="2">
        <x:v>Other</x:v>
      </x:c>
      <x:c r="G1559" t="str" s="2">
        <x:v>Steve Castell</x:v>
      </x:c>
      <x:c r="H1559" s="6">
        <x:v>46261.87042615741</x:v>
      </x:c>
      <x:c r="I1559" t="str" s="2">
        <x:v>Steve Castell</x:v>
      </x:c>
      <x:c r="J1559" s="0"/>
      <x:c r="K1559" s="6">
        <x:v>46261.87042615741</x:v>
      </x:c>
      <x:c r="L1559" t="str" s="2">
        <x:v>Deal Created</x:v>
      </x:c>
    </x:row>
    <x:row r="1560">
      <x:c r="A1560" t="str" s="2">
        <x:f>=HYPERLINK("https://rsms.futurehomex.com/lead/39441", "Nathan Seeley")</x:f>
      </x:c>
      <x:c r="B1560" t="str" s="2">
        <x:v>Heritage Housing of Oklahoma City</x:v>
      </x:c>
      <x:c r="C1560" t="str" s="2">
        <x:v/>
      </x:c>
      <x:c r="D1560" t="str" s="2">
        <x:v>4059153570</x:v>
      </x:c>
      <x:c r="E1560" t="str" s="2">
        <x:v>Nathanseeley06@gmail.com</x:v>
      </x:c>
      <x:c r="F1560" t="str" s="2">
        <x:v>Walk-in</x:v>
      </x:c>
      <x:c r="G1560" t="str" s="2">
        <x:v>Trey Rixleben</x:v>
      </x:c>
      <x:c r="H1560" s="6">
        <x:v>46262.64666443287</x:v>
      </x:c>
      <x:c r="I1560" t="str" s="2">
        <x:v>Trey Rixleben</x:v>
      </x:c>
      <x:c r="J1560" s="0"/>
      <x:c r="K1560" s="6">
        <x:v>46262.64666443287</x:v>
      </x:c>
      <x:c r="L1560" t="str" s="2">
        <x:v>Deal Created</x:v>
      </x:c>
    </x:row>
    <x:row r="1561">
      <x:c r="A1561" t="str" s="2">
        <x:f>=HYPERLINK("https://rsms.futurehomex.com/lead/39669", "Jared Goode")</x:f>
      </x:c>
      <x:c r="B1561" t="str" s="2">
        <x:v>Heritage Housing of Oklahoma City</x:v>
      </x:c>
      <x:c r="C1561" t="str" s="2">
        <x:v/>
      </x:c>
      <x:c r="D1561" t="str" s="2">
        <x:v>4053066724</x:v>
      </x:c>
      <x:c r="E1561" t="str" s="2">
        <x:v>pandjayy4lyfers@icloud.com</x:v>
      </x:c>
      <x:c r="F1561" t="str" s="2">
        <x:v>Facebook Messenger</x:v>
      </x:c>
      <x:c r="G1561" t="str" s="2">
        <x:v>Trey Rixleben</x:v>
      </x:c>
      <x:c r="H1561" s="6">
        <x:v>46262.81145177083</x:v>
      </x:c>
      <x:c r="I1561" t="str" s="2">
        <x:v>Trey Rixleben</x:v>
      </x:c>
      <x:c r="J1561" s="6">
        <x:v>46265.666666666664</x:v>
      </x:c>
      <x:c r="K1561" s="6">
        <x:v>46269.60732265046</x:v>
      </x:c>
      <x:c r="L1561" t="str" s="2">
        <x:v>Deal Created</x:v>
      </x:c>
    </x:row>
    <x:row r="1562">
      <x:c r="A1562" t="str" s="2">
        <x:f>=HYPERLINK("https://rsms.futurehomex.com/lead/39457", "MARY DIXON")</x:f>
      </x:c>
      <x:c r="B1562" t="str" s="2">
        <x:v>Heritage Housing of Canton</x:v>
      </x:c>
      <x:c r="C1562" t="str" s="2">
        <x:v/>
      </x:c>
      <x:c r="D1562" t="str" s="2">
        <x:v>4694698828</x:v>
      </x:c>
      <x:c r="E1562" t="str" s="2">
        <x:v>odubsmail@gmail.com</x:v>
      </x:c>
      <x:c r="F1562" t="str" s="2">
        <x:v>Facebook Messenger</x:v>
      </x:c>
      <x:c r="G1562" t="str" s="2">
        <x:v>Jacob Hatten</x:v>
      </x:c>
      <x:c r="H1562" s="6">
        <x:v>46262.885449884256</x:v>
      </x:c>
      <x:c r="I1562" t="str" s="2">
        <x:v>Jacob Hatten</x:v>
      </x:c>
      <x:c r="J1562" s="0"/>
      <x:c r="K1562" s="6">
        <x:v>46262.885449884256</x:v>
      </x:c>
      <x:c r="L1562" t="str" s="2">
        <x:v>Deal Created</x:v>
      </x:c>
    </x:row>
    <x:row r="1563">
      <x:c r="A1563" t="str" s="2">
        <x:f>=HYPERLINK("https://rsms.futurehomex.com/lead/39458", "Mirian Cerda")</x:f>
      </x:c>
      <x:c r="B1563" t="str" s="2">
        <x:v>Legacy Housing Corp. DBA Americasa</x:v>
      </x:c>
      <x:c r="C1563" t="str" s="2">
        <x:v/>
      </x:c>
      <x:c r="D1563" t="str" s="2">
        <x:v>3467304968</x:v>
      </x:c>
      <x:c r="E1563" t="str" s="2">
        <x:v>3467304968</x:v>
      </x:c>
      <x:c r="F1563" t="str" s="2">
        <x:v>Facebook Messenger</x:v>
      </x:c>
      <x:c r="G1563" t="str" s="2">
        <x:v>Rodrigo Ramirez</x:v>
      </x:c>
      <x:c r="H1563" s="6">
        <x:v>46262.8931559375</x:v>
      </x:c>
      <x:c r="I1563" t="str" s="2">
        <x:v>Angelica Mendoza </x:v>
      </x:c>
      <x:c r="J1563" s="0"/>
      <x:c r="K1563" s="6">
        <x:v>46262.8931559375</x:v>
      </x:c>
      <x:c r="L1563" t="str" s="2">
        <x:v>Deal Created</x:v>
      </x:c>
    </x:row>
    <x:row r="1564">
      <x:c r="A1564" t="str" s="2">
        <x:f>=HYPERLINK("https://rsms.futurehomex.com/lead/39713", "Justin &amp; Makaya Brooks")</x:f>
      </x:c>
      <x:c r="B1564" t="str" s="2">
        <x:v>Heritage Housing of Oklahoma City</x:v>
      </x:c>
      <x:c r="C1564" t="str" s="2">
        <x:v/>
      </x:c>
      <x:c r="D1564" t="str" s="2">
        <x:v>4052741609</x:v>
      </x:c>
      <x:c r="E1564" t="str" s="2">
        <x:v>4052741609</x:v>
      </x:c>
      <x:c r="F1564" t="str" s="2">
        <x:v>Facebook Messenger</x:v>
      </x:c>
      <x:c r="G1564" t="str" s="2">
        <x:v>Steve Castell</x:v>
      </x:c>
      <x:c r="H1564" s="6">
        <x:v>46262.913386458335</x:v>
      </x:c>
      <x:c r="I1564" t="str" s="2">
        <x:v>Steve Castell</x:v>
      </x:c>
      <x:c r="J1564" s="6">
        <x:v>46263.65625</x:v>
      </x:c>
      <x:c r="K1564" s="6">
        <x:v>46270.66549128472</x:v>
      </x:c>
      <x:c r="L1564" t="str" s="2">
        <x:v>Deal Created</x:v>
      </x:c>
    </x:row>
    <x:row r="1565">
      <x:c r="A1565" t="str" s="2">
        <x:f>=HYPERLINK("https://rsms.futurehomex.com/lead/39602", "Axel Benoit")</x:f>
      </x:c>
      <x:c r="B1565" t="str" s="2">
        <x:v>Heritage Housing of Oklahoma City</x:v>
      </x:c>
      <x:c r="C1565" t="str" s="2">
        <x:v/>
      </x:c>
      <x:c r="D1565" t="str" s="2">
        <x:v>9188429512</x:v>
      </x:c>
      <x:c r="E1565" t="str" s="2">
        <x:v>9188429512</x:v>
      </x:c>
      <x:c r="F1565" t="str" s="2">
        <x:v>Facebook Messenger</x:v>
      </x:c>
      <x:c r="G1565" t="str" s="2">
        <x:v>Steve Castell</x:v>
      </x:c>
      <x:c r="H1565" s="6">
        <x:v>46263.03939834491</x:v>
      </x:c>
      <x:c r="I1565" t="str" s="2">
        <x:v>Steve Castell</x:v>
      </x:c>
      <x:c r="J1565" s="6">
        <x:v>46266.708333333336</x:v>
      </x:c>
      <x:c r="K1565" s="6">
        <x:v>46267.05910853009</x:v>
      </x:c>
      <x:c r="L1565" t="str" s="2">
        <x:v>Deal Created</x:v>
      </x:c>
    </x:row>
    <x:row r="1566">
      <x:c r="A1566" t="str" s="2">
        <x:f>=HYPERLINK("https://rsms.futurehomex.com/lead/39520", "Tyler Freeman")</x:f>
      </x:c>
      <x:c r="B1566" t="str" s="2">
        <x:v>Heritage Housing of Oklahoma City</x:v>
      </x:c>
      <x:c r="C1566" t="str" s="2">
        <x:v>0/1</x:v>
      </x:c>
      <x:c r="D1566" t="str" s="2">
        <x:v>4055194106</x:v>
      </x:c>
      <x:c r="E1566" t="str" s="2">
        <x:v>freetyler159@gmail.com</x:v>
      </x:c>
      <x:c r="F1566" t="str" s="2">
        <x:v>Landing_BPM</x:v>
      </x:c>
      <x:c r="G1566" t="str" s="2">
        <x:v>Steve Castell</x:v>
      </x:c>
      <x:c r="H1566" s="6">
        <x:v>46263.57524189815</x:v>
      </x:c>
      <x:c r="I1566" t="str" s="2">
        <x:v>Steve Castell</x:v>
      </x:c>
      <x:c r="J1566" s="0"/>
      <x:c r="K1566" s="6">
        <x:v>46265</x:v>
      </x:c>
      <x:c r="L1566" t="str" s="2">
        <x:v>Deal Created</x:v>
      </x:c>
    </x:row>
    <x:row r="1567">
      <x:c r="A1567" t="str" s="2">
        <x:f>=HYPERLINK("https://rsms.futurehomex.com/lead/39601", "Jeremy Mills")</x:f>
      </x:c>
      <x:c r="B1567" t="str" s="2">
        <x:v>Heritage Housing of Oklahoma City</x:v>
      </x:c>
      <x:c r="C1567" t="str" s="2">
        <x:v/>
      </x:c>
      <x:c r="D1567" t="str" s="2">
        <x:v>5392933911</x:v>
      </x:c>
      <x:c r="E1567" t="str" s="2">
        <x:v>5392933911</x:v>
      </x:c>
      <x:c r="F1567" t="str" s="2">
        <x:v>Facebook Messenger</x:v>
      </x:c>
      <x:c r="G1567" t="str" s="2">
        <x:v>Steve Castell</x:v>
      </x:c>
      <x:c r="H1567" s="6">
        <x:v>46263.60523136574</x:v>
      </x:c>
      <x:c r="I1567" t="str" s="2">
        <x:v>Steve Castell</x:v>
      </x:c>
      <x:c r="J1567" s="6">
        <x:v>46263.895833333336</x:v>
      </x:c>
      <x:c r="K1567" s="6">
        <x:v>46267.05707380787</x:v>
      </x:c>
      <x:c r="L1567" t="str" s="2">
        <x:v>Deal Created</x:v>
      </x:c>
    </x:row>
    <x:row r="1568">
      <x:c r="A1568" t="str" s="2">
        <x:f>=HYPERLINK("https://rsms.futurehomex.com/lead/39476", "Marlina Wren")</x:f>
      </x:c>
      <x:c r="B1568" t="str" s="2">
        <x:v>Heritage Housing of Minden</x:v>
      </x:c>
      <x:c r="C1568" t="str" s="2">
        <x:v/>
      </x:c>
      <x:c r="D1568" t="str" s="2">
        <x:v>3183444949</x:v>
      </x:c>
      <x:c r="E1568" t="str" s="2">
        <x:v>3183444949</x:v>
      </x:c>
      <x:c r="F1568" t="str" s="2">
        <x:v>Walk-in</x:v>
      </x:c>
      <x:c r="G1568" t="str" s="2">
        <x:v>Patrick Schuchart</x:v>
      </x:c>
      <x:c r="H1568" s="6">
        <x:v>46263.66472538195</x:v>
      </x:c>
      <x:c r="I1568" t="str" s="2">
        <x:v>Patrick Schuchart</x:v>
      </x:c>
      <x:c r="J1568" s="0"/>
      <x:c r="K1568" s="6">
        <x:v>46263.66472538195</x:v>
      </x:c>
      <x:c r="L1568" t="str" s="2">
        <x:v>Deal Created</x:v>
      </x:c>
    </x:row>
    <x:row r="1569">
      <x:c r="A1569" t="str" s="2">
        <x:f>=HYPERLINK("https://rsms.futurehomex.com/lead/39482", "Laferra Heron")</x:f>
      </x:c>
      <x:c r="B1569" t="str" s="2">
        <x:v>Heritage Housing of Minden</x:v>
      </x:c>
      <x:c r="C1569" t="str" s="2">
        <x:v/>
      </x:c>
      <x:c r="D1569" t="str" s="2">
        <x:v>3185627644</x:v>
      </x:c>
      <x:c r="E1569" t="str" s="2">
        <x:v>3185627644</x:v>
      </x:c>
      <x:c r="F1569" t="str" s="2">
        <x:v>Facebook Messenger</x:v>
      </x:c>
      <x:c r="G1569" t="str" s="2">
        <x:v>Patrick Schuchart</x:v>
      </x:c>
      <x:c r="H1569" s="6">
        <x:v>46263.77154123843</x:v>
      </x:c>
      <x:c r="I1569" t="str" s="2">
        <x:v>Patrick Schuchart</x:v>
      </x:c>
      <x:c r="J1569" s="0"/>
      <x:c r="K1569" s="6">
        <x:v>46263.77154123843</x:v>
      </x:c>
      <x:c r="L1569" t="str" s="2">
        <x:v>Deal Created</x:v>
      </x:c>
    </x:row>
    <x:row r="1570">
      <x:c r="A1570" t="str" s="2">
        <x:f>=HYPERLINK("https://rsms.futurehomex.com/lead/39486", "James Siderias")</x:f>
      </x:c>
      <x:c r="B1570" t="str" s="2">
        <x:v>Heritage Housing of Oklahoma City</x:v>
      </x:c>
      <x:c r="C1570" t="str" s="2">
        <x:v/>
      </x:c>
      <x:c r="D1570" t="str" s="2">
        <x:v>4058218541</x:v>
      </x:c>
      <x:c r="E1570" t="str" s="2">
        <x:v>jsiderias@outlook.com</x:v>
      </x:c>
      <x:c r="F1570" t="str" s="2">
        <x:v>Walk-in</x:v>
      </x:c>
      <x:c r="G1570" t="str" s="2">
        <x:v>Alejandra Calderon</x:v>
      </x:c>
      <x:c r="H1570" s="6">
        <x:v>46263.79676443287</x:v>
      </x:c>
      <x:c r="I1570" t="str" s="2">
        <x:v>Alejandra Calderon</x:v>
      </x:c>
      <x:c r="J1570" s="0"/>
      <x:c r="K1570" s="6">
        <x:v>46263.79676443287</x:v>
      </x:c>
      <x:c r="L1570" t="str" s="2">
        <x:v>Deal Created</x:v>
      </x:c>
    </x:row>
    <x:row r="1571">
      <x:c r="A1571" t="str" s="2">
        <x:f>=HYPERLINK("https://rsms.futurehomex.com/lead/39490", "Ethan Perkins")</x:f>
      </x:c>
      <x:c r="B1571" t="str" s="2">
        <x:v>Heritage Housing of Minden</x:v>
      </x:c>
      <x:c r="C1571" t="str" s="2">
        <x:v/>
      </x:c>
      <x:c r="D1571" t="str" s="2">
        <x:v>3186397590</x:v>
      </x:c>
      <x:c r="E1571" t="str" s="2">
        <x:v>3186397590</x:v>
      </x:c>
      <x:c r="F1571" t="str" s="2">
        <x:v>Walk-in</x:v>
      </x:c>
      <x:c r="G1571" t="str" s="2">
        <x:v>Patrick Schuchart</x:v>
      </x:c>
      <x:c r="H1571" s="6">
        <x:v>46263.91609309028</x:v>
      </x:c>
      <x:c r="I1571" t="str" s="2">
        <x:v>Patrick Schuchart</x:v>
      </x:c>
      <x:c r="J1571" s="0"/>
      <x:c r="K1571" s="6">
        <x:v>46263.91609309028</x:v>
      </x:c>
      <x:c r="L1571" t="str" s="2">
        <x:v>Deal Created</x:v>
      </x:c>
    </x:row>
    <x:row r="1572">
      <x:c r="A1572" t="str" s="2">
        <x:f>=HYPERLINK("https://rsms.futurehomex.com/lead/39593", "Ethan Perkins")</x:f>
      </x:c>
      <x:c r="B1572" t="str" s="2">
        <x:v>Heritage Housing of Minden</x:v>
      </x:c>
      <x:c r="C1572" t="str" s="2">
        <x:v/>
      </x:c>
      <x:c r="D1572" t="str" s="2">
        <x:v>3186397590</x:v>
      </x:c>
      <x:c r="E1572" t="str" s="2">
        <x:v>3186397590</x:v>
      </x:c>
      <x:c r="F1572" t="str" s="2">
        <x:v>Walk-in</x:v>
      </x:c>
      <x:c r="G1572" t="str" s="2">
        <x:v>Patrick Schuchart</x:v>
      </x:c>
      <x:c r="H1572" s="6">
        <x:v>46263.91609309028</x:v>
      </x:c>
      <x:c r="I1572" t="str" s="2">
        <x:v>Patrick Schuchart</x:v>
      </x:c>
      <x:c r="J1572" s="0"/>
      <x:c r="K1572" s="6">
        <x:v>46263.91609309028</x:v>
      </x:c>
      <x:c r="L1572" t="str" s="2">
        <x:v>Deal Created</x:v>
      </x:c>
    </x:row>
    <x:row r="1573">
      <x:c r="A1573" t="str" s="2">
        <x:f>=HYPERLINK("https://rsms.futurehomex.com/lead/39529", "Ashlie Rodriguez")</x:f>
      </x:c>
      <x:c r="B1573" t="str" s="2">
        <x:v>Heritage Housing of Oklahoma City</x:v>
      </x:c>
      <x:c r="C1573" t="str" s="2">
        <x:v/>
      </x:c>
      <x:c r="D1573" t="str" s="2">
        <x:v>4059300874</x:v>
      </x:c>
      <x:c r="E1573" t="str" s="2">
        <x:v>ashliealine88@ymail.com</x:v>
      </x:c>
      <x:c r="F1573" t="str" s="2">
        <x:v>Landing_BPM</x:v>
      </x:c>
      <x:c r="G1573" t="str" s="2">
        <x:v>Trey Rixleben</x:v>
      </x:c>
      <x:c r="H1573" s="6">
        <x:v>46264.22028313657</x:v>
      </x:c>
      <x:c r="I1573" t="str" s="2">
        <x:v>Trey Rixleben</x:v>
      </x:c>
      <x:c r="J1573" s="0"/>
      <x:c r="K1573" s="6">
        <x:v>46265.58705127315</x:v>
      </x:c>
      <x:c r="L1573" t="str" s="2">
        <x:v>Deal Created</x:v>
      </x:c>
    </x:row>
    <x:row r="1574">
      <x:c r="A1574" t="str" s="2">
        <x:f>=HYPERLINK("https://rsms.futurehomex.com/lead/39591", "Kayla Richard")</x:f>
      </x:c>
      <x:c r="B1574" t="str" s="2">
        <x:v>Heritage Housing of Jennings</x:v>
      </x:c>
      <x:c r="C1574" t="str" s="2">
        <x:v/>
      </x:c>
      <x:c r="D1574" t="str" s="2">
        <x:v>3373702245</x:v>
      </x:c>
      <x:c r="E1574" t="str" s="2">
        <x:v>cowank676@gmail.com</x:v>
      </x:c>
      <x:c r="F1574" t="str" s="2">
        <x:v>Youtube</x:v>
      </x:c>
      <x:c r="G1574" t="str" s="2">
        <x:v>Clint O'Neal</x:v>
      </x:c>
      <x:c r="H1574" s="6">
        <x:v>46264.56826431713</x:v>
      </x:c>
      <x:c r="I1574" t="str" s="2">
        <x:v>Clint O'Neal</x:v>
      </x:c>
      <x:c r="J1574" s="0"/>
      <x:c r="K1574" s="6">
        <x:v>46266.816602928244</x:v>
      </x:c>
      <x:c r="L1574" t="str" s="2">
        <x:v>Deal Created</x:v>
      </x:c>
    </x:row>
    <x:row r="1575">
      <x:c r="A1575" t="str" s="2">
        <x:f>=HYPERLINK("https://rsms.futurehomex.com/lead/39530", "amber minor-norris")</x:f>
      </x:c>
      <x:c r="B1575" t="str" s="2">
        <x:v>Heritage Housing of Oklahoma City</x:v>
      </x:c>
      <x:c r="C1575" t="str" s="2">
        <x:v/>
      </x:c>
      <x:c r="D1575" t="str" s="2">
        <x:v>4058351266</x:v>
      </x:c>
      <x:c r="E1575" t="str" s="2">
        <x:v>aminor1121@gmail.com</x:v>
      </x:c>
      <x:c r="F1575" t="str" s="2">
        <x:v>LandingPage</x:v>
      </x:c>
      <x:c r="G1575" t="str" s="2">
        <x:v>Trey Rixleben</x:v>
      </x:c>
      <x:c r="H1575" s="6">
        <x:v>46264.632952858796</x:v>
      </x:c>
      <x:c r="I1575" t="str" s="2">
        <x:v>Trey Rixleben</x:v>
      </x:c>
      <x:c r="J1575" s="0"/>
      <x:c r="K1575" s="6">
        <x:v>46265.58722025463</x:v>
      </x:c>
      <x:c r="L1575" t="str" s="2">
        <x:v>Deal Created</x:v>
      </x:c>
    </x:row>
    <x:row r="1576">
      <x:c r="A1576" t="str" s="2">
        <x:f>=HYPERLINK("https://rsms.futurehomex.com/lead/40378", "Lee Kinzer")</x:f>
      </x:c>
      <x:c r="B1576" t="str" s="2">
        <x:v>Heritage Housing Mt Pleasant</x:v>
      </x:c>
      <x:c r="C1576" t="str" s="2">
        <x:v/>
      </x:c>
      <x:c r="D1576" t="str" s="2">
        <x:v>9033473629</x:v>
      </x:c>
      <x:c r="E1576" t="str" s="2">
        <x:v>ecm053021@gmail.com</x:v>
      </x:c>
      <x:c r="F1576" t="str" s="2">
        <x:v>Landing_BPM</x:v>
      </x:c>
      <x:c r="G1576" t="str" s="2">
        <x:v>Elias Gallardo</x:v>
      </x:c>
      <x:c r="H1576" s="6">
        <x:v>46265.46378831018</x:v>
      </x:c>
      <x:c r="I1576" t="str" s="2">
        <x:v>Elias Gallardo</x:v>
      </x:c>
      <x:c r="J1576" s="0"/>
      <x:c r="K1576" s="6">
        <x:v>46279.91524730324</x:v>
      </x:c>
      <x:c r="L1576" t="str" s="2">
        <x:v>Deal Created</x:v>
      </x:c>
    </x:row>
    <x:row r="1577">
      <x:c r="A1577" t="str" s="2">
        <x:f>=HYPERLINK("https://rsms.futurehomex.com/lead/39542", "Athena Rose")</x:f>
      </x:c>
      <x:c r="B1577" t="str" s="2">
        <x:v>Heritage Housing of Oklahoma City</x:v>
      </x:c>
      <x:c r="C1577" t="str" s="2">
        <x:v/>
      </x:c>
      <x:c r="D1577" t="str" s="2">
        <x:v>5722734222</x:v>
      </x:c>
      <x:c r="E1577" t="str" s="2">
        <x:v>athenasourjohn@gmail.com</x:v>
      </x:c>
      <x:c r="F1577" t="str" s="2">
        <x:v>Website</x:v>
      </x:c>
      <x:c r="G1577" t="str" s="2">
        <x:v>Alejandra Calderon</x:v>
      </x:c>
      <x:c r="H1577" s="6">
        <x:v>46265.77091666667</x:v>
      </x:c>
      <x:c r="I1577" t="str" s="2">
        <x:v>Alejandra Calderon</x:v>
      </x:c>
      <x:c r="J1577" s="0"/>
      <x:c r="K1577" s="0"/>
      <x:c r="L1577" t="str" s="2">
        <x:v>Deal Created</x:v>
      </x:c>
    </x:row>
    <x:row r="1578">
      <x:c r="A1578" t="str" s="2">
        <x:f>=HYPERLINK("https://rsms.futurehomex.com/lead/39554", "Breion Carter")</x:f>
      </x:c>
      <x:c r="B1578" t="str" s="2">
        <x:v>Heritage Housing of Oklahoma City</x:v>
      </x:c>
      <x:c r="C1578" t="str" s="2">
        <x:v/>
      </x:c>
      <x:c r="D1578" t="str" s="2">
        <x:v>4057129378</x:v>
      </x:c>
      <x:c r="E1578" t="str" s="2">
        <x:v>cbreion727@gmail.com</x:v>
      </x:c>
      <x:c r="F1578" t="str" s="2">
        <x:v>Landing_BPM</x:v>
      </x:c>
      <x:c r="G1578" t="str" s="2">
        <x:v>Trey Rixleben</x:v>
      </x:c>
      <x:c r="H1578" s="6">
        <x:v>46265.8220747338</x:v>
      </x:c>
      <x:c r="I1578" t="str" s="2">
        <x:v>Trey Rixleben</x:v>
      </x:c>
      <x:c r="J1578" s="0"/>
      <x:c r="K1578" s="6">
        <x:v>46265.976597256944</x:v>
      </x:c>
      <x:c r="L1578" t="str" s="2">
        <x:v>Deal Created</x:v>
      </x:c>
    </x:row>
    <x:row r="1579">
      <x:c r="A1579" t="str" s="2">
        <x:f>=HYPERLINK("https://rsms.futurehomex.com/lead/39551", "John &amp; Dani Ricketts")</x:f>
      </x:c>
      <x:c r="B1579" t="str" s="2">
        <x:v>Heritage Housing of Oklahoma City</x:v>
      </x:c>
      <x:c r="C1579" t="str" s="2">
        <x:v/>
      </x:c>
      <x:c r="D1579" t="str" s="2">
        <x:v>4058857283</x:v>
      </x:c>
      <x:c r="E1579" t="str" s="2">
        <x:v>jdr67@live.com</x:v>
      </x:c>
      <x:c r="F1579" t="str" s="2">
        <x:v>Referrals</x:v>
      </x:c>
      <x:c r="G1579" t="str" s="2">
        <x:v>Steve Castell</x:v>
      </x:c>
      <x:c r="H1579" s="6">
        <x:v>46265.88160158565</x:v>
      </x:c>
      <x:c r="I1579" t="str" s="2">
        <x:v>Steve Castell</x:v>
      </x:c>
      <x:c r="J1579" s="0"/>
      <x:c r="K1579" s="6">
        <x:v>46265.88160158565</x:v>
      </x:c>
      <x:c r="L1579" t="str" s="2">
        <x:v>Deal Created</x:v>
      </x:c>
    </x:row>
    <x:row r="1580">
      <x:c r="A1580" t="str" s="2">
        <x:f>=HYPERLINK("https://rsms.futurehomex.com/lead/39552", "Maria Guadalupe Lozano")</x:f>
      </x:c>
      <x:c r="B1580" t="str" s="2">
        <x:v>Heritage Housing of Greenville</x:v>
      </x:c>
      <x:c r="C1580" t="str" s="2">
        <x:v/>
      </x:c>
      <x:c r="D1580" t="str" s="2">
        <x:v>8327855285</x:v>
      </x:c>
      <x:c r="E1580" t="str" s="2">
        <x:v>deyralozano997@gmail.com</x:v>
      </x:c>
      <x:c r="F1580" t="str" s="2">
        <x:v>Facebook Messenger</x:v>
      </x:c>
      <x:c r="G1580" t="str" s="2">
        <x:v>Ana Garcia</x:v>
      </x:c>
      <x:c r="H1580" s="6">
        <x:v>46265.888225</x:v>
      </x:c>
      <x:c r="I1580" t="str" s="2">
        <x:v>Ana Garcia</x:v>
      </x:c>
      <x:c r="J1580" s="0"/>
      <x:c r="K1580" s="6">
        <x:v>46265.888225</x:v>
      </x:c>
      <x:c r="L1580" t="str" s="2">
        <x:v>Deal Created</x:v>
      </x:c>
    </x:row>
    <x:row r="1581">
      <x:c r="A1581" t="str" s="2">
        <x:f>=HYPERLINK("https://rsms.futurehomex.com/lead/39576", "Ralph Ralph")</x:f>
      </x:c>
      <x:c r="B1581" t="str" s="2">
        <x:v>Heritage Housing of Oklahoma City</x:v>
      </x:c>
      <x:c r="C1581" t="str" s="2">
        <x:v/>
      </x:c>
      <x:c r="D1581" t="str" s="2">
        <x:v>9403571890</x:v>
      </x:c>
      <x:c r="E1581" t="str" s="2">
        <x:v>9403571890</x:v>
      </x:c>
      <x:c r="F1581" t="str" s="2">
        <x:v>Office Hot Calls</x:v>
      </x:c>
      <x:c r="G1581" t="str" s="2">
        <x:v>Alejandra Calderon</x:v>
      </x:c>
      <x:c r="H1581" s="6">
        <x:v>46266.70281859954</x:v>
      </x:c>
      <x:c r="I1581" t="str" s="2">
        <x:v>Alejandra Calderon</x:v>
      </x:c>
      <x:c r="J1581" s="0"/>
      <x:c r="K1581" s="6">
        <x:v>46266.70281859954</x:v>
      </x:c>
      <x:c r="L1581" t="str" s="2">
        <x:v>Deal Created</x:v>
      </x:c>
    </x:row>
    <x:row r="1582">
      <x:c r="A1582" t="str" s="2">
        <x:f>=HYPERLINK("https://rsms.futurehomex.com/lead/39648", "Michael Riley")</x:f>
      </x:c>
      <x:c r="B1582" t="str" s="2">
        <x:v>Heritage Housing of Jennings</x:v>
      </x:c>
      <x:c r="C1582" t="str" s="2">
        <x:v/>
      </x:c>
      <x:c r="D1582" t="str" s="2">
        <x:v>3374183865</x:v>
      </x:c>
      <x:c r="E1582" t="str" s="2">
        <x:v>rileymichael1960@gmail.com</x:v>
      </x:c>
      <x:c r="F1582" t="str" s="2">
        <x:v>Landing_BPM</x:v>
      </x:c>
      <x:c r="G1582" t="str" s="2">
        <x:v>Clint O'Neal</x:v>
      </x:c>
      <x:c r="H1582" s="6">
        <x:v>46266.749407256946</x:v>
      </x:c>
      <x:c r="I1582" t="str" s="2">
        <x:v>Clint O'Neal</x:v>
      </x:c>
      <x:c r="J1582" s="0"/>
      <x:c r="K1582" s="6">
        <x:v>46266.7523846412</x:v>
      </x:c>
      <x:c r="L1582" t="str" s="2">
        <x:v>Deal Created</x:v>
      </x:c>
    </x:row>
    <x:row r="1583">
      <x:c r="A1583" t="str" s="2">
        <x:f>=HYPERLINK("https://rsms.futurehomex.com/lead/39583", "Julie Hendrix")</x:f>
      </x:c>
      <x:c r="B1583" t="str" s="2">
        <x:v>Heritage Housing of Oklahoma City</x:v>
      </x:c>
      <x:c r="C1583" t="str" s="2">
        <x:v/>
      </x:c>
      <x:c r="D1583" t="str" s="2">
        <x:v>4052743450</x:v>
      </x:c>
      <x:c r="E1583" t="str" s="2">
        <x:v>msjules150@gmail.com</x:v>
      </x:c>
      <x:c r="F1583" t="str" s="2">
        <x:v>Landing_BPM</x:v>
      </x:c>
      <x:c r="G1583" t="str" s="2">
        <x:v>Alejandra Calderon</x:v>
      </x:c>
      <x:c r="H1583" s="6">
        <x:v>46266.75175934028</x:v>
      </x:c>
      <x:c r="I1583" t="str" s="2">
        <x:v>Alejandra Calderon</x:v>
      </x:c>
      <x:c r="J1583" s="0"/>
      <x:c r="K1583" s="0"/>
      <x:c r="L1583" t="str" s="2">
        <x:v>Deal Created</x:v>
      </x:c>
    </x:row>
    <x:row r="1584">
      <x:c r="A1584" t="str" s="2">
        <x:f>=HYPERLINK("https://rsms.futurehomex.com/lead/39605", "chandon ray")</x:f>
      </x:c>
      <x:c r="B1584" t="str" s="2">
        <x:v>Heritage Housing of Oklahoma City</x:v>
      </x:c>
      <x:c r="C1584" t="str" s="2">
        <x:v/>
      </x:c>
      <x:c r="D1584" t="str" s="2">
        <x:v>5803097973</x:v>
      </x:c>
      <x:c r="E1584" t="str" s="2">
        <x:v>chandonray35@gmail.com</x:v>
      </x:c>
      <x:c r="F1584" t="str" s="2">
        <x:v>Website</x:v>
      </x:c>
      <x:c r="G1584" t="str" s="2">
        <x:v>Trey Rixleben</x:v>
      </x:c>
      <x:c r="H1584" s="6">
        <x:v>46266.894067361114</x:v>
      </x:c>
      <x:c r="I1584" t="str" s="2">
        <x:v>Trey Rixleben</x:v>
      </x:c>
      <x:c r="J1584" s="0"/>
      <x:c r="K1584" s="6">
        <x:v>46267.59371365741</x:v>
      </x:c>
      <x:c r="L1584" t="str" s="2">
        <x:v>Deal Created</x:v>
      </x:c>
    </x:row>
    <x:row r="1585">
      <x:c r="A1585" t="str" s="2">
        <x:f>=HYPERLINK("https://rsms.futurehomex.com/lead/39607", "Illiana Haury")</x:f>
      </x:c>
      <x:c r="B1585" t="str" s="2">
        <x:v>Heritage Housing of Oklahoma City</x:v>
      </x:c>
      <x:c r="C1585" t="str" s="2">
        <x:v/>
      </x:c>
      <x:c r="D1585" t="str" s="2">
        <x:v>4058620877</x:v>
      </x:c>
      <x:c r="E1585" t="str" s="2">
        <x:v>ihaury04@gmail.com</x:v>
      </x:c>
      <x:c r="F1585" t="str" s="2">
        <x:v>Landing_BPM</x:v>
      </x:c>
      <x:c r="G1585" t="str" s="2">
        <x:v>Trey Rixleben</x:v>
      </x:c>
      <x:c r="H1585" s="6">
        <x:v>46266.99254274306</x:v>
      </x:c>
      <x:c r="I1585" t="str" s="2">
        <x:v>Trey Rixleben</x:v>
      </x:c>
      <x:c r="J1585" s="0"/>
      <x:c r="K1585" s="6">
        <x:v>46267.5939158912</x:v>
      </x:c>
      <x:c r="L1585" t="str" s="2">
        <x:v>Deal Created</x:v>
      </x:c>
    </x:row>
    <x:row r="1586">
      <x:c r="A1586" t="str" s="2">
        <x:f>=HYPERLINK("https://rsms.futurehomex.com/lead/39608", "treyce wojciechowski")</x:f>
      </x:c>
      <x:c r="B1586" t="str" s="2">
        <x:v>Heritage Housing of Oklahoma City</x:v>
      </x:c>
      <x:c r="C1586" t="str" s="2">
        <x:v/>
      </x:c>
      <x:c r="D1586" t="str" s="2">
        <x:v>7279672347</x:v>
      </x:c>
      <x:c r="E1586" t="str" s="2">
        <x:v>boothtrey26@gmail.com</x:v>
      </x:c>
      <x:c r="F1586" t="str" s="2">
        <x:v>LandingPage</x:v>
      </x:c>
      <x:c r="G1586" t="str" s="2">
        <x:v>Alejandra Calderon</x:v>
      </x:c>
      <x:c r="H1586" s="6">
        <x:v>46267.527231631946</x:v>
      </x:c>
      <x:c r="I1586" t="str" s="2">
        <x:v>Alejandra Calderon</x:v>
      </x:c>
      <x:c r="J1586" s="0"/>
      <x:c r="K1586" s="0"/>
      <x:c r="L1586" t="str" s="2">
        <x:v>Deal Created</x:v>
      </x:c>
    </x:row>
    <x:row r="1587">
      <x:c r="A1587" t="str" s="2">
        <x:f>=HYPERLINK("https://rsms.futurehomex.com/lead/39604", "Lonny M Leblanc")</x:f>
      </x:c>
      <x:c r="B1587" t="str" s="2">
        <x:v>Heritage Housing of Jennings</x:v>
      </x:c>
      <x:c r="C1587" t="str" s="2">
        <x:v/>
      </x:c>
      <x:c r="D1587" t="str" s="2">
        <x:v>3372030431</x:v>
      </x:c>
      <x:c r="E1587" t="str" s="2">
        <x:v>lml@nogmail.com</x:v>
      </x:c>
      <x:c r="F1587" t="str" s="2">
        <x:v>Walk-in</x:v>
      </x:c>
      <x:c r="G1587" t="str" s="2">
        <x:v>Mervin Leslie Smith</x:v>
      </x:c>
      <x:c r="H1587" s="6">
        <x:v>46267.58421443287</x:v>
      </x:c>
      <x:c r="I1587" t="str" s="2">
        <x:v>Mervin Leslie Smith</x:v>
      </x:c>
      <x:c r="J1587" s="0"/>
      <x:c r="K1587" s="6">
        <x:v>46267.58421443287</x:v>
      </x:c>
      <x:c r="L1587" t="str" s="2">
        <x:v>Deal Created</x:v>
      </x:c>
    </x:row>
    <x:row r="1588">
      <x:c r="A1588" t="str" s="2">
        <x:f>=HYPERLINK("https://rsms.futurehomex.com/lead/39609", "Nathan Rothenbeck")</x:f>
      </x:c>
      <x:c r="B1588" t="str" s="2">
        <x:v>Heritage Housing of Oklahoma City</x:v>
      </x:c>
      <x:c r="C1588" t="str" s="2">
        <x:v/>
      </x:c>
      <x:c r="D1588" t="str" s="2">
        <x:v>4172417101</x:v>
      </x:c>
      <x:c r="E1588" t="str" s="2">
        <x:v>ravenrothenbeck@gmail.com</x:v>
      </x:c>
      <x:c r="F1588" t="str" s="2">
        <x:v>Facebook Messenger</x:v>
      </x:c>
      <x:c r="G1588" t="str" s="2">
        <x:v>Trey Rixleben</x:v>
      </x:c>
      <x:c r="H1588" s="6">
        <x:v>46267.63398394676</x:v>
      </x:c>
      <x:c r="I1588" t="str" s="2">
        <x:v>Trey Rixleben</x:v>
      </x:c>
      <x:c r="J1588" s="0"/>
      <x:c r="K1588" s="6">
        <x:v>46267.63398394676</x:v>
      </x:c>
      <x:c r="L1588" t="str" s="2">
        <x:v>Deal Created</x:v>
      </x:c>
    </x:row>
    <x:row r="1589">
      <x:c r="A1589" t="str" s="2">
        <x:f>=HYPERLINK("https://rsms.futurehomex.com/lead/39615", "Michael Sherwood")</x:f>
      </x:c>
      <x:c r="B1589" t="str" s="2">
        <x:v>Heritage Housing of Oklahoma City</x:v>
      </x:c>
      <x:c r="C1589" t="str" s="2">
        <x:v/>
      </x:c>
      <x:c r="D1589" t="str" s="2">
        <x:v>580-272-7283</x:v>
      </x:c>
      <x:c r="E1589" t="str" s="2">
        <x:v>mnssherwood@gmail.com</x:v>
      </x:c>
      <x:c r="F1589" t="str" s="2">
        <x:v>Landing_BPM</x:v>
      </x:c>
      <x:c r="G1589" t="str" s="2">
        <x:v>Trey Rixleben</x:v>
      </x:c>
      <x:c r="H1589" s="6">
        <x:v>46267.79090709491</x:v>
      </x:c>
      <x:c r="I1589" t="str" s="2">
        <x:v>Trey Rixleben</x:v>
      </x:c>
      <x:c r="J1589" s="0"/>
      <x:c r="K1589" s="6">
        <x:v>46267.79598938658</x:v>
      </x:c>
      <x:c r="L1589" t="str" s="2">
        <x:v>Deal Created</x:v>
      </x:c>
    </x:row>
    <x:row r="1590">
      <x:c r="A1590" t="str" s="2">
        <x:f>=HYPERLINK("https://rsms.futurehomex.com/lead/39633", "Tosha Westbrook")</x:f>
      </x:c>
      <x:c r="B1590" t="str" s="2">
        <x:v>Heritage Housing of Oklahoma City</x:v>
      </x:c>
      <x:c r="C1590" t="str" s="2">
        <x:v/>
      </x:c>
      <x:c r="D1590" t="str" s="2">
        <x:v>6828038537</x:v>
      </x:c>
      <x:c r="E1590" t="str" s="2">
        <x:v>westbrookt79@gmail.com</x:v>
      </x:c>
      <x:c r="F1590" t="str" s="2">
        <x:v>Facebook Messenger</x:v>
      </x:c>
      <x:c r="G1590" t="str" s="2">
        <x:v>Trey Rixleben</x:v>
      </x:c>
      <x:c r="H1590" s="6">
        <x:v>46267.8781434375</x:v>
      </x:c>
      <x:c r="I1590" t="str" s="2">
        <x:v>Trey Rixleben</x:v>
      </x:c>
      <x:c r="J1590" s="0"/>
      <x:c r="K1590" s="6">
        <x:v>46267.8781434375</x:v>
      </x:c>
      <x:c r="L1590" t="str" s="2">
        <x:v>Deal Created</x:v>
      </x:c>
    </x:row>
    <x:row r="1591">
      <x:c r="A1591" t="str" s="2">
        <x:f>=HYPERLINK("https://rsms.futurehomex.com/lead/39634", "Alisha Still")</x:f>
      </x:c>
      <x:c r="B1591" t="str" s="2">
        <x:v>Heritage Housing of Minden</x:v>
      </x:c>
      <x:c r="C1591" t="str" s="2">
        <x:v/>
      </x:c>
      <x:c r="D1591" t="str" s="2">
        <x:v>9034907760</x:v>
      </x:c>
      <x:c r="E1591" t="str" s="2">
        <x:v>9034907760</x:v>
      </x:c>
      <x:c r="F1591" t="str" s="2">
        <x:v>Facebook Messenger</x:v>
      </x:c>
      <x:c r="G1591" t="str" s="2">
        <x:v>Patrick Schuchart</x:v>
      </x:c>
      <x:c r="H1591" s="6">
        <x:v>46267.88430853009</x:v>
      </x:c>
      <x:c r="I1591" t="str" s="2">
        <x:v>Patrick Schuchart</x:v>
      </x:c>
      <x:c r="J1591" s="0"/>
      <x:c r="K1591" s="6">
        <x:v>46267.88430853009</x:v>
      </x:c>
      <x:c r="L1591" t="str" s="2">
        <x:v>Deal Created</x:v>
      </x:c>
    </x:row>
    <x:row r="1592">
      <x:c r="A1592" t="str" s="2">
        <x:f>=HYPERLINK("https://rsms.futurehomex.com/lead/39651", "Jerrica King")</x:f>
      </x:c>
      <x:c r="B1592" t="str" s="2">
        <x:v>Heritage Housing of Minden</x:v>
      </x:c>
      <x:c r="C1592" t="str" s="2">
        <x:v/>
      </x:c>
      <x:c r="D1592" t="str" s="2">
        <x:v>9852088061</x:v>
      </x:c>
      <x:c r="E1592" t="str" s="2">
        <x:v>jerricaking0516@Gmail.com</x:v>
      </x:c>
      <x:c r="F1592" t="str" s="2">
        <x:v>Landing_BPM</x:v>
      </x:c>
      <x:c r="G1592" t="str" s="2">
        <x:v>Clint O'Neal</x:v>
      </x:c>
      <x:c r="H1592" s="6">
        <x:v>46268.075447766205</x:v>
      </x:c>
      <x:c r="I1592" t="str" s="2">
        <x:v>Clint O'Neal</x:v>
      </x:c>
      <x:c r="J1592" s="0"/>
      <x:c r="K1592" s="6">
        <x:v>46268.72454186343</x:v>
      </x:c>
      <x:c r="L1592" t="str" s="2">
        <x:v>Deal Created</x:v>
      </x:c>
    </x:row>
    <x:row r="1593">
      <x:c r="A1593" t="str" s="2">
        <x:f>=HYPERLINK("https://rsms.futurehomex.com/lead/39654", "Aaron Hunsucker")</x:f>
      </x:c>
      <x:c r="B1593" t="str" s="2">
        <x:v>Heritage Housing of Oklahoma City</x:v>
      </x:c>
      <x:c r="C1593" t="str" s="2">
        <x:v/>
      </x:c>
      <x:c r="D1593" t="str" s="2">
        <x:v>7316077084</x:v>
      </x:c>
      <x:c r="E1593" t="str" s="2">
        <x:v>apilot0625@gmail.com</x:v>
      </x:c>
      <x:c r="F1593" t="str" s="2">
        <x:v>Financing Form</x:v>
      </x:c>
      <x:c r="G1593" t="str" s="2">
        <x:v>Gianna Cervantes</x:v>
      </x:c>
      <x:c r="H1593" s="6">
        <x:v>46268.56840462963</x:v>
      </x:c>
      <x:c r="I1593" t="str" s="2">
        <x:v>Gianna Cervantes</x:v>
      </x:c>
      <x:c r="J1593" s="0"/>
      <x:c r="K1593" s="0"/>
      <x:c r="L1593" t="str" s="2">
        <x:v>Deal Created</x:v>
      </x:c>
    </x:row>
    <x:row r="1594">
      <x:c r="A1594" t="str" s="2">
        <x:f>=HYPERLINK("https://rsms.futurehomex.com/lead/39989", "Frank Guerrero")</x:f>
      </x:c>
      <x:c r="B1594" t="str" s="2">
        <x:v>Heritage Housing of Oklahoma City</x:v>
      </x:c>
      <x:c r="C1594" t="str" s="2">
        <x:v/>
      </x:c>
      <x:c r="D1594" t="str" s="2">
        <x:v>8177208626</x:v>
      </x:c>
      <x:c r="E1594" t="str" s="2">
        <x:v>8177208626</x:v>
      </x:c>
      <x:c r="F1594" t="str" s="2">
        <x:v>Facebook Messenger</x:v>
      </x:c>
      <x:c r="G1594" t="str" s="2">
        <x:v>Gianna Cervantes</x:v>
      </x:c>
      <x:c r="H1594" s="6">
        <x:v>46268.67337295139</x:v>
      </x:c>
      <x:c r="I1594" t="str" s="2">
        <x:v>Alejandra Calderon</x:v>
      </x:c>
      <x:c r="J1594" s="6">
        <x:v>46270.625</x:v>
      </x:c>
      <x:c r="K1594" s="6">
        <x:v>46274.84783903935</x:v>
      </x:c>
      <x:c r="L1594" t="str" s="2">
        <x:v>Deal Created</x:v>
      </x:c>
    </x:row>
    <x:row r="1595">
      <x:c r="A1595" t="str" s="2">
        <x:f>=HYPERLINK("https://rsms.futurehomex.com/lead/39647", "Shawn Geist")</x:f>
      </x:c>
      <x:c r="B1595" t="str" s="2">
        <x:v>Heritage Housing of Oklahoma City</x:v>
      </x:c>
      <x:c r="C1595" t="str" s="2">
        <x:v/>
      </x:c>
      <x:c r="D1595" t="str" s="2">
        <x:v>4054414744</x:v>
      </x:c>
      <x:c r="E1595" t="str" s="2">
        <x:v>toethelinefarms@gmail.com</x:v>
      </x:c>
      <x:c r="F1595" t="str" s="2">
        <x:v>LandingPage</x:v>
      </x:c>
      <x:c r="G1595" t="str" s="2">
        <x:v>Trey Rixleben</x:v>
      </x:c>
      <x:c r="H1595" s="6">
        <x:v>46268.676905520835</x:v>
      </x:c>
      <x:c r="I1595" t="str" s="2">
        <x:v>Trey Rixleben</x:v>
      </x:c>
      <x:c r="J1595" s="0"/>
      <x:c r="K1595" s="0"/>
      <x:c r="L1595" t="str" s="2">
        <x:v>Deal Created</x:v>
      </x:c>
    </x:row>
    <x:row r="1596">
      <x:c r="A1596" t="str" s="2">
        <x:f>=HYPERLINK("https://rsms.futurehomex.com/lead/39664", "Cheryl Jernigan")</x:f>
      </x:c>
      <x:c r="B1596" t="str" s="2">
        <x:v>Heritage Housing of Oklahoma City</x:v>
      </x:c>
      <x:c r="C1596" t="str" s="2">
        <x:v/>
      </x:c>
      <x:c r="D1596" t="str" s="2">
        <x:v>4059157074</x:v>
      </x:c>
      <x:c r="E1596" t="str" s="2">
        <x:v>cheryljernigan.2023@gmail.com</x:v>
      </x:c>
      <x:c r="F1596" t="str" s="2">
        <x:v>Youtube</x:v>
      </x:c>
      <x:c r="G1596" t="str" s="2">
        <x:v>Steve Castell</x:v>
      </x:c>
      <x:c r="H1596" s="6">
        <x:v>46268.8057028125</x:v>
      </x:c>
      <x:c r="I1596" t="str" s="2">
        <x:v>Steve Castell</x:v>
      </x:c>
      <x:c r="J1596" s="0"/>
      <x:c r="K1596" s="6">
        <x:v>46269.076198842595</x:v>
      </x:c>
      <x:c r="L1596" t="str" s="2">
        <x:v>Deal Created</x:v>
      </x:c>
    </x:row>
    <x:row r="1597">
      <x:c r="A1597" t="str" s="2">
        <x:f>=HYPERLINK("https://rsms.futurehomex.com/lead/39656", "Asonia Key")</x:f>
      </x:c>
      <x:c r="B1597" t="str" s="2">
        <x:v>Heritage Housing of Minden</x:v>
      </x:c>
      <x:c r="C1597" t="str" s="2">
        <x:v/>
      </x:c>
      <x:c r="D1597" t="str" s="2">
        <x:v>6824034727</x:v>
      </x:c>
      <x:c r="E1597" t="str" s="2">
        <x:v>6824034727</x:v>
      </x:c>
      <x:c r="F1597" t="str" s="2">
        <x:v>Walk-in</x:v>
      </x:c>
      <x:c r="G1597" t="str" s="2">
        <x:v>Patrick Schuchart</x:v>
      </x:c>
      <x:c r="H1597" s="6">
        <x:v>46268.81822971065</x:v>
      </x:c>
      <x:c r="I1597" t="str" s="2">
        <x:v>Patrick Schuchart</x:v>
      </x:c>
      <x:c r="J1597" s="0"/>
      <x:c r="K1597" s="6">
        <x:v>46268.81822971065</x:v>
      </x:c>
      <x:c r="L1597" t="str" s="2">
        <x:v>Deal Created</x:v>
      </x:c>
    </x:row>
    <x:row r="1598">
      <x:c r="A1598" t="str" s="2">
        <x:f>=HYPERLINK("https://rsms.futurehomex.com/lead/39657", "Robert C Boudreaux")</x:f>
      </x:c>
      <x:c r="B1598" t="str" s="2">
        <x:v>Heritage Housing of Jennings</x:v>
      </x:c>
      <x:c r="C1598" t="str" s="2">
        <x:v/>
      </x:c>
      <x:c r="D1598" t="str" s="2">
        <x:v>3373295613</x:v>
      </x:c>
      <x:c r="E1598" t="str" s="2">
        <x:v>rboud007@yahoo.com</x:v>
      </x:c>
      <x:c r="F1598" t="str" s="2">
        <x:v>Office Hot Calls</x:v>
      </x:c>
      <x:c r="G1598" t="str" s="2">
        <x:v>Clint O'Neal</x:v>
      </x:c>
      <x:c r="H1598" s="6">
        <x:v>46268.8235434375</x:v>
      </x:c>
      <x:c r="I1598" t="str" s="2">
        <x:v>Clint O'Neal</x:v>
      </x:c>
      <x:c r="J1598" s="0"/>
      <x:c r="K1598" s="6">
        <x:v>46268.8235434375</x:v>
      </x:c>
      <x:c r="L1598" t="str" s="2">
        <x:v>Deal Created</x:v>
      </x:c>
    </x:row>
    <x:row r="1599">
      <x:c r="A1599" t="str" s="2">
        <x:f>=HYPERLINK("https://rsms.futurehomex.com/lead/39659", "Kerria Bellard")</x:f>
      </x:c>
      <x:c r="B1599" t="str" s="2">
        <x:v>Heritage Housing of Greenville</x:v>
      </x:c>
      <x:c r="C1599" t="str" s="2">
        <x:v/>
      </x:c>
      <x:c r="D1599" t="str" s="2">
        <x:v>4697613677</x:v>
      </x:c>
      <x:c r="E1599" t="str" s="2">
        <x:v>kerriabellard2023@gmail.com</x:v>
      </x:c>
      <x:c r="F1599" t="str" s="2">
        <x:v>Facebook Messenger</x:v>
      </x:c>
      <x:c r="G1599" t="str" s="2">
        <x:v>Brooklynn Allen</x:v>
      </x:c>
      <x:c r="H1599" s="6">
        <x:v>46268.840701354166</x:v>
      </x:c>
      <x:c r="I1599" t="str" s="2">
        <x:v>Brooklynn Allen</x:v>
      </x:c>
      <x:c r="J1599" s="0"/>
      <x:c r="K1599" s="6">
        <x:v>46268.840701354166</x:v>
      </x:c>
      <x:c r="L1599" t="str" s="2">
        <x:v>Deal Created</x:v>
      </x:c>
    </x:row>
    <x:row r="1600">
      <x:c r="A1600" t="str" s="2">
        <x:f>=HYPERLINK("https://rsms.futurehomex.com/lead/39661", "Chad Critser")</x:f>
      </x:c>
      <x:c r="B1600" t="str" s="2">
        <x:v>Heritage Housing of Oklahoma City</x:v>
      </x:c>
      <x:c r="C1600" t="str" s="2">
        <x:v/>
      </x:c>
      <x:c r="D1600" t="str" s="2">
        <x:v>8068393531</x:v>
      </x:c>
      <x:c r="E1600" t="str" s="2">
        <x:v>chad_critser@yahoo.com</x:v>
      </x:c>
      <x:c r="F1600" t="str" s="2">
        <x:v>Walk-in</x:v>
      </x:c>
      <x:c r="G1600" t="str" s="2">
        <x:v>Steve Castell</x:v>
      </x:c>
      <x:c r="H1600" s="6">
        <x:v>46268.90421435185</x:v>
      </x:c>
      <x:c r="I1600" t="str" s="2">
        <x:v>Steve Castell</x:v>
      </x:c>
      <x:c r="J1600" s="0"/>
      <x:c r="K1600" s="6">
        <x:v>46268.90421435185</x:v>
      </x:c>
      <x:c r="L1600" t="str" s="2">
        <x:v>Deal Created</x:v>
      </x:c>
    </x:row>
    <x:row r="1601">
      <x:c r="A1601" t="str" s="2">
        <x:f>=HYPERLINK("https://rsms.futurehomex.com/lead/40455", "Lacy Savage")</x:f>
      </x:c>
      <x:c r="B1601" t="str" s="2">
        <x:v>Heritage Housing of Jennings</x:v>
      </x:c>
      <x:c r="C1601" t="str" s="2">
        <x:v/>
      </x:c>
      <x:c r="D1601" t="str" s="2">
        <x:v>3187620223</x:v>
      </x:c>
      <x:c r="E1601" t="str" s="2">
        <x:v>wickedtruth1985@gmail.com</x:v>
      </x:c>
      <x:c r="F1601" t="str" s="2">
        <x:v>Youtube</x:v>
      </x:c>
      <x:c r="G1601" t="str" s="2">
        <x:v>Clint O'Neal</x:v>
      </x:c>
      <x:c r="H1601" s="6">
        <x:v>46269.03679922454</x:v>
      </x:c>
      <x:c r="I1601" t="str" s="2">
        <x:v>Clint O'Neal</x:v>
      </x:c>
      <x:c r="J1601" s="0"/>
      <x:c r="K1601" s="6">
        <x:v>46294.84496076389</x:v>
      </x:c>
      <x:c r="L1601" t="str" s="2">
        <x:v>Deal Created</x:v>
      </x:c>
    </x:row>
    <x:row r="1602">
      <x:c r="A1602" t="str" s="2">
        <x:f>=HYPERLINK("https://rsms.futurehomex.com/lead/39665", "Beatriz De La Rosa")</x:f>
      </x:c>
      <x:c r="B1602" t="str" s="2">
        <x:v>Heritage Housing Mt Pleasant</x:v>
      </x:c>
      <x:c r="C1602" t="str" s="2">
        <x:v/>
      </x:c>
      <x:c r="D1602" t="str" s="2">
        <x:v>4303390747</x:v>
      </x:c>
      <x:c r="E1602" t="str" s="2">
        <x:v>4303390747</x:v>
      </x:c>
      <x:c r="F1602" t="str" s="2">
        <x:v>TikTok</x:v>
      </x:c>
      <x:c r="G1602" t="str" s="2">
        <x:v>Elias Gallardo</x:v>
      </x:c>
      <x:c r="H1602" s="6">
        <x:v>46269.594385034725</x:v>
      </x:c>
      <x:c r="I1602" t="str" s="2">
        <x:v>Elias Gallardo</x:v>
      </x:c>
      <x:c r="J1602" s="0"/>
      <x:c r="K1602" s="6">
        <x:v>46269.594385034725</x:v>
      </x:c>
      <x:c r="L1602" t="str" s="2">
        <x:v>Deal Created</x:v>
      </x:c>
    </x:row>
    <x:row r="1603">
      <x:c r="A1603" t="str" s="2">
        <x:f>=HYPERLINK("https://rsms.futurehomex.com/lead/39683", "Kackie Mccracken")</x:f>
      </x:c>
      <x:c r="B1603" t="str" s="2">
        <x:v>Heritage Housing of Oklahoma City</x:v>
      </x:c>
      <x:c r="C1603" t="str" s="2">
        <x:v/>
      </x:c>
      <x:c r="D1603" t="str" s="2">
        <x:v>4058661338</x:v>
      </x:c>
      <x:c r="E1603" t="str" s="2">
        <x:v>jackiemcracken1989@gmail.com</x:v>
      </x:c>
      <x:c r="F1603" t="str" s="2">
        <x:v>Landing_BPM</x:v>
      </x:c>
      <x:c r="G1603" t="str" s="2">
        <x:v>Trey Rixleben</x:v>
      </x:c>
      <x:c r="H1603" s="6">
        <x:v>46269.734233020834</x:v>
      </x:c>
      <x:c r="I1603" t="str" s="2">
        <x:v>Trey Rixleben</x:v>
      </x:c>
      <x:c r="J1603" s="0"/>
      <x:c r="K1603" s="0"/>
      <x:c r="L1603" t="str" s="2">
        <x:v>Deal Created</x:v>
      </x:c>
    </x:row>
    <x:row r="1604">
      <x:c r="A1604" t="str" s="2">
        <x:f>=HYPERLINK("https://rsms.futurehomex.com/lead/39685", "Bryan Funeral Director")</x:f>
      </x:c>
      <x:c r="B1604" t="str" s="2">
        <x:v>Heritage Housing of Albany</x:v>
      </x:c>
      <x:c r="C1604" t="str" s="2">
        <x:v/>
      </x:c>
      <x:c r="D1604" t="str" s="2">
        <x:v>2293397726</x:v>
      </x:c>
      <x:c r="E1604" t="str" s="2">
        <x:v>2293397726</x:v>
      </x:c>
      <x:c r="F1604" t="str" s="2">
        <x:v>Other</x:v>
      </x:c>
      <x:c r="G1604" t="str" s="2">
        <x:v>Yanet Alvarez</x:v>
      </x:c>
      <x:c r="H1604" s="6">
        <x:v>46269.80443321759</x:v>
      </x:c>
      <x:c r="I1604" t="str" s="2">
        <x:v>Alexander Bryant</x:v>
      </x:c>
      <x:c r="J1604" s="0"/>
      <x:c r="K1604" s="6">
        <x:v>46269.80443321759</x:v>
      </x:c>
      <x:c r="L1604" t="str" s="2">
        <x:v>Deal Created</x:v>
      </x:c>
    </x:row>
    <x:row r="1605">
      <x:c r="A1605" t="str" s="2">
        <x:f>=HYPERLINK("https://rsms.futurehomex.com/lead/40291", "Salvador Ramirez")</x:f>
      </x:c>
      <x:c r="B1605" t="str" s="2">
        <x:v>Heritage Housing of Oklahoma City</x:v>
      </x:c>
      <x:c r="C1605" t="str" s="2">
        <x:v/>
      </x:c>
      <x:c r="D1605" t="str" s="2">
        <x:v>4055030330</x:v>
      </x:c>
      <x:c r="E1605" t="str" s="2">
        <x:v>salvadorramirez@gmail.com</x:v>
      </x:c>
      <x:c r="F1605" t="str" s="2">
        <x:v>Walk-in</x:v>
      </x:c>
      <x:c r="G1605" t="str" s="2">
        <x:v>Alejandra Calderon</x:v>
      </x:c>
      <x:c r="H1605" s="6">
        <x:v>46269.83658125</x:v>
      </x:c>
      <x:c r="I1605" t="str" s="2">
        <x:v>Alejandra Calderon</x:v>
      </x:c>
      <x:c r="J1605" s="6">
        <x:v>46270.583333333336</x:v>
      </x:c>
      <x:c r="K1605" s="6">
        <x:v>46274.84367418981</x:v>
      </x:c>
      <x:c r="L1605" t="str" s="2">
        <x:v>Deal Created</x:v>
      </x:c>
    </x:row>
    <x:row r="1606">
      <x:c r="A1606" t="str" s="2">
        <x:f>=HYPERLINK("https://rsms.futurehomex.com/lead/39817", "christie calhoun")</x:f>
      </x:c>
      <x:c r="B1606" t="str" s="2">
        <x:v>Heritage Housing of Oklahoma City</x:v>
      </x:c>
      <x:c r="C1606" t="str" s="2">
        <x:v/>
      </x:c>
      <x:c r="D1606" t="str" s="2">
        <x:v>4054933892</x:v>
      </x:c>
      <x:c r="E1606" t="str" s="2">
        <x:v>loviecalhoun25@gmail.com</x:v>
      </x:c>
      <x:c r="F1606" t="str" s="2">
        <x:v>Youtube</x:v>
      </x:c>
      <x:c r="G1606" t="str" s="2">
        <x:v>Steve Castell</x:v>
      </x:c>
      <x:c r="H1606" s="6">
        <x:v>46269.84577619213</x:v>
      </x:c>
      <x:c r="I1606" t="str" s="2">
        <x:v>Steve Castell</x:v>
      </x:c>
      <x:c r="J1606" s="6">
        <x:v>46270.78125</x:v>
      </x:c>
      <x:c r="K1606" s="6">
        <x:v>46273.89303445602</x:v>
      </x:c>
      <x:c r="L1606" t="str" s="2">
        <x:v>Deal Created</x:v>
      </x:c>
    </x:row>
    <x:row r="1607">
      <x:c r="A1607" t="str" s="2">
        <x:f>=HYPERLINK("https://rsms.futurehomex.com/lead/39694", "Lindsey Zanca")</x:f>
      </x:c>
      <x:c r="B1607" t="str" s="2">
        <x:v>Heritage Housing of Minden</x:v>
      </x:c>
      <x:c r="C1607" t="str" s="2">
        <x:v/>
      </x:c>
      <x:c r="D1607" t="str" s="2">
        <x:v>3379369053</x:v>
      </x:c>
      <x:c r="E1607" t="str" s="2">
        <x:v>3379369053</x:v>
      </x:c>
      <x:c r="F1607" t="str" s="2">
        <x:v>Website</x:v>
      </x:c>
      <x:c r="G1607" t="str" s="2">
        <x:v>Patrick Schuchart</x:v>
      </x:c>
      <x:c r="H1607" s="6">
        <x:v>46269.932515740744</x:v>
      </x:c>
      <x:c r="I1607" t="str" s="2">
        <x:v>Patrick Schuchart</x:v>
      </x:c>
      <x:c r="J1607" s="0"/>
      <x:c r="K1607" s="6">
        <x:v>46269.932515740744</x:v>
      </x:c>
      <x:c r="L1607" t="str" s="2">
        <x:v>Deal Created</x:v>
      </x:c>
    </x:row>
    <x:row r="1608">
      <x:c r="A1608" t="str" s="2">
        <x:f>=HYPERLINK("https://rsms.futurehomex.com/lead/39701", "Jeaneth Peevy")</x:f>
      </x:c>
      <x:c r="B1608" t="str" s="2">
        <x:v>Heritage Housing of Oklahoma City</x:v>
      </x:c>
      <x:c r="C1608" t="str" s="2">
        <x:v/>
      </x:c>
      <x:c r="D1608" t="str" s="2">
        <x:v>9189074125</x:v>
      </x:c>
      <x:c r="E1608" t="str" s="2">
        <x:v>peevyj11@gmail.com</x:v>
      </x:c>
      <x:c r="F1608" t="str" s="2">
        <x:v>Youtube</x:v>
      </x:c>
      <x:c r="G1608" t="str" s="2">
        <x:v>Alejandra Calderon</x:v>
      </x:c>
      <x:c r="H1608" s="6">
        <x:v>46269.953515127316</x:v>
      </x:c>
      <x:c r="I1608" t="str" s="2">
        <x:v>Alejandra Calderon</x:v>
      </x:c>
      <x:c r="J1608" s="0"/>
      <x:c r="K1608" s="0"/>
      <x:c r="L1608" t="str" s="2">
        <x:v>Deal Created</x:v>
      </x:c>
    </x:row>
    <x:row r="1609">
      <x:c r="A1609" t="str" s="2">
        <x:f>=HYPERLINK("https://rsms.futurehomex.com/lead/39738", "Destanie Campbell")</x:f>
      </x:c>
      <x:c r="B1609" t="str" s="2">
        <x:v>Heritage Housing of Oklahoma City</x:v>
      </x:c>
      <x:c r="C1609" t="str" s="2">
        <x:v/>
      </x:c>
      <x:c r="D1609" t="str" s="2">
        <x:v>4057388815</x:v>
      </x:c>
      <x:c r="E1609" t="str" s="2">
        <x:v>Destanie013@gmail.com</x:v>
      </x:c>
      <x:c r="F1609" t="str" s="2">
        <x:v>Landing_BPM</x:v>
      </x:c>
      <x:c r="G1609" t="str" s="2">
        <x:v>Gianna Cervantes</x:v>
      </x:c>
      <x:c r="H1609" s="6">
        <x:v>46269.962127349536</x:v>
      </x:c>
      <x:c r="I1609" t="str" s="2">
        <x:v>Gianna Cervantes</x:v>
      </x:c>
      <x:c r="J1609" s="0"/>
      <x:c r="K1609" s="6">
        <x:v>46270.656995405094</x:v>
      </x:c>
      <x:c r="L1609" t="str" s="2">
        <x:v>Deal Created</x:v>
      </x:c>
    </x:row>
    <x:row r="1610">
      <x:c r="A1610" t="str" s="2">
        <x:f>=HYPERLINK("https://rsms.futurehomex.com/lead/39702", "Celia Kindley")</x:f>
      </x:c>
      <x:c r="B1610" t="str" s="2">
        <x:v>Heritage Housing of Oklahoma City</x:v>
      </x:c>
      <x:c r="C1610" t="str" s="2">
        <x:v/>
      </x:c>
      <x:c r="D1610" t="str" s="2">
        <x:v>4063843714</x:v>
      </x:c>
      <x:c r="E1610" t="str" s="2">
        <x:v>nurseceliakindley@gmail.com</x:v>
      </x:c>
      <x:c r="F1610" t="str" s="2">
        <x:v>Youtube</x:v>
      </x:c>
      <x:c r="G1610" t="str" s="2">
        <x:v>Alejandra Calderon</x:v>
      </x:c>
      <x:c r="H1610" s="6">
        <x:v>46270.10587349537</x:v>
      </x:c>
      <x:c r="I1610" t="str" s="2">
        <x:v>Alejandra Calderon</x:v>
      </x:c>
      <x:c r="J1610" s="0"/>
      <x:c r="K1610" s="0"/>
      <x:c r="L1610" t="str" s="2">
        <x:v>Deal Created</x:v>
      </x:c>
    </x:row>
    <x:row r="1611">
      <x:c r="A1611" t="str" s="2">
        <x:f>=HYPERLINK("https://rsms.futurehomex.com/lead/39741", "Orlando Hill")</x:f>
      </x:c>
      <x:c r="B1611" t="str" s="2">
        <x:v>Heritage Housing of Oklahoma City</x:v>
      </x:c>
      <x:c r="C1611" t="str" s="2">
        <x:v/>
      </x:c>
      <x:c r="D1611" t="str" s="2">
        <x:v>4054399132</x:v>
      </x:c>
      <x:c r="E1611" t="str" s="2">
        <x:v>grinddaily34@gmail.com</x:v>
      </x:c>
      <x:c r="F1611" t="str" s="2">
        <x:v>Landing_BPM</x:v>
      </x:c>
      <x:c r="G1611" t="str" s="2">
        <x:v>Gianna Cervantes</x:v>
      </x:c>
      <x:c r="H1611" s="6">
        <x:v>46270.15859424769</x:v>
      </x:c>
      <x:c r="I1611" t="str" s="2">
        <x:v>Alejandra Calderon</x:v>
      </x:c>
      <x:c r="J1611" s="0"/>
      <x:c r="K1611" s="6">
        <x:v>46270.85771373843</x:v>
      </x:c>
      <x:c r="L1611" t="str" s="2">
        <x:v>Deal Created</x:v>
      </x:c>
    </x:row>
    <x:row r="1612">
      <x:c r="A1612" t="str" s="2">
        <x:f>=HYPERLINK("https://rsms.futurehomex.com/lead/39819", "Logan Tow")</x:f>
      </x:c>
      <x:c r="B1612" t="str" s="2">
        <x:v>Heritage Housing of Oklahoma City</x:v>
      </x:c>
      <x:c r="C1612" t="str" s="2">
        <x:v/>
      </x:c>
      <x:c r="D1612" t="str" s="2">
        <x:v>4055746446</x:v>
      </x:c>
      <x:c r="E1612" t="str" s="2">
        <x:v>loganltow86@gmail.com</x:v>
      </x:c>
      <x:c r="F1612" t="str" s="2">
        <x:v>Youtube</x:v>
      </x:c>
      <x:c r="G1612" t="str" s="2">
        <x:v>Steve Castell</x:v>
      </x:c>
      <x:c r="H1612" s="6">
        <x:v>46270.52048912037</x:v>
      </x:c>
      <x:c r="I1612" t="str" s="2">
        <x:v>Steve Castell</x:v>
      </x:c>
      <x:c r="J1612" s="6">
        <x:v>46271.75</x:v>
      </x:c>
      <x:c r="K1612" s="6">
        <x:v>46274.03458811343</x:v>
      </x:c>
      <x:c r="L1612" t="str" s="2">
        <x:v>Deal Created</x:v>
      </x:c>
    </x:row>
    <x:row r="1613">
      <x:c r="A1613" t="str" s="2">
        <x:f>=HYPERLINK("https://rsms.futurehomex.com/lead/39711", "Shawn Thomas")</x:f>
      </x:c>
      <x:c r="B1613" t="str" s="2">
        <x:v>Heritage Housing of Jennings</x:v>
      </x:c>
      <x:c r="C1613" t="str" s="2">
        <x:v/>
      </x:c>
      <x:c r="D1613" t="str" s="2">
        <x:v>9854144217</x:v>
      </x:c>
      <x:c r="E1613" t="str" s="2">
        <x:v>shawnthomas33.st@gmail.com</x:v>
      </x:c>
      <x:c r="F1613" t="str" s="2">
        <x:v>Landing_BPM</x:v>
      </x:c>
      <x:c r="G1613" t="str" s="2">
        <x:v>Mervin Leslie Smith</x:v>
      </x:c>
      <x:c r="H1613" s="6">
        <x:v>46270.58013695602</x:v>
      </x:c>
      <x:c r="I1613" t="str" s="2">
        <x:v>Mervin Leslie Smith</x:v>
      </x:c>
      <x:c r="J1613" s="0"/>
      <x:c r="K1613" s="6">
        <x:v>46270.640302974534</x:v>
      </x:c>
      <x:c r="L1613" t="str" s="2">
        <x:v>Deal Created</x:v>
      </x:c>
    </x:row>
    <x:row r="1614">
      <x:c r="A1614" t="str" s="2">
        <x:f>=HYPERLINK("https://rsms.futurehomex.com/lead/39703", "Julia Romero")</x:f>
      </x:c>
      <x:c r="B1614" t="str" s="2">
        <x:v>Heritage Housing of Oklahoma City</x:v>
      </x:c>
      <x:c r="C1614" t="str" s="2">
        <x:v/>
      </x:c>
      <x:c r="D1614" t="str" s="2">
        <x:v>2134519823</x:v>
      </x:c>
      <x:c r="E1614" t="str" s="2">
        <x:v>romerojules69@gmail.com</x:v>
      </x:c>
      <x:c r="F1614" t="str" s="2">
        <x:v>Youtube</x:v>
      </x:c>
      <x:c r="G1614" t="str" s="2">
        <x:v>Alejandra Calderon</x:v>
      </x:c>
      <x:c r="H1614" s="6">
        <x:v>46270.60610505787</x:v>
      </x:c>
      <x:c r="I1614" t="str" s="2">
        <x:v>Alejandra Calderon</x:v>
      </x:c>
      <x:c r="J1614" s="0"/>
      <x:c r="K1614" s="0"/>
      <x:c r="L1614" t="str" s="2">
        <x:v>Deal Created</x:v>
      </x:c>
    </x:row>
    <x:row r="1615">
      <x:c r="A1615" t="str" s="2">
        <x:f>=HYPERLINK("https://rsms.futurehomex.com/lead/39712", "Tiffany Smith")</x:f>
      </x:c>
      <x:c r="B1615" t="str" s="2">
        <x:v>Legacy Housing Corp. DBA Americasa</x:v>
      </x:c>
      <x:c r="C1615" t="str" s="2">
        <x:v/>
      </x:c>
      <x:c r="D1615" t="str" s="2">
        <x:v>8324848383</x:v>
      </x:c>
      <x:c r="E1615" t="str" s="2">
        <x:v>tiffanyshanaye@gmail.com</x:v>
      </x:c>
      <x:c r="F1615" t="str" s="2">
        <x:v>Referrals</x:v>
      </x:c>
      <x:c r="G1615" t="str" s="2">
        <x:v>Jose Parada</x:v>
      </x:c>
      <x:c r="H1615" s="6">
        <x:v>46270.66310798611</x:v>
      </x:c>
      <x:c r="I1615" t="str" s="2">
        <x:v>Jose Parada</x:v>
      </x:c>
      <x:c r="J1615" s="0"/>
      <x:c r="K1615" s="6">
        <x:v>46270.66310798611</x:v>
      </x:c>
      <x:c r="L1615" t="str" s="2">
        <x:v>Deal Created</x:v>
      </x:c>
    </x:row>
    <x:row r="1616">
      <x:c r="A1616" t="str" s="2">
        <x:f>=HYPERLINK("https://rsms.futurehomex.com/lead/39723", "Kasey Decker")</x:f>
      </x:c>
      <x:c r="B1616" t="str" s="2">
        <x:v>Heritage Housing of Oklahoma City</x:v>
      </x:c>
      <x:c r="C1616" t="str" s="2">
        <x:v/>
      </x:c>
      <x:c r="D1616" t="str" s="2">
        <x:v>4052501808</x:v>
      </x:c>
      <x:c r="E1616" t="str" s="2">
        <x:v>kaseydecker2001@gmail.com</x:v>
      </x:c>
      <x:c r="F1616" t="str" s="2">
        <x:v>Walk-in</x:v>
      </x:c>
      <x:c r="G1616" t="str" s="2">
        <x:v>Steve Castell</x:v>
      </x:c>
      <x:c r="H1616" s="6">
        <x:v>46270.74564699074</x:v>
      </x:c>
      <x:c r="I1616" t="str" s="2">
        <x:v>Steve Castell</x:v>
      </x:c>
      <x:c r="J1616" s="0"/>
      <x:c r="K1616" s="6">
        <x:v>46270.74564699074</x:v>
      </x:c>
      <x:c r="L1616" t="str" s="2">
        <x:v>Deal Created</x:v>
      </x:c>
    </x:row>
    <x:row r="1617">
      <x:c r="A1617" t="str" s="2">
        <x:f>=HYPERLINK("https://rsms.futurehomex.com/lead/39724", "Jonathon McClansey")</x:f>
      </x:c>
      <x:c r="B1617" t="str" s="2">
        <x:v>Heritage Housing of Minden</x:v>
      </x:c>
      <x:c r="C1617" t="str" s="2">
        <x:v/>
      </x:c>
      <x:c r="D1617" t="str" s="2">
        <x:v>8177761738</x:v>
      </x:c>
      <x:c r="E1617" t="str" s="2">
        <x:v>8177761738</x:v>
      </x:c>
      <x:c r="F1617" t="str" s="2">
        <x:v>Walk-in</x:v>
      </x:c>
      <x:c r="G1617" t="str" s="2">
        <x:v>Patrick Schuchart</x:v>
      </x:c>
      <x:c r="H1617" s="6">
        <x:v>46270.75162708334</x:v>
      </x:c>
      <x:c r="I1617" t="str" s="2">
        <x:v>Patrick Schuchart</x:v>
      </x:c>
      <x:c r="J1617" s="0"/>
      <x:c r="K1617" s="6">
        <x:v>46270.75162708334</x:v>
      </x:c>
      <x:c r="L1617" t="str" s="2">
        <x:v>Deal Created</x:v>
      </x:c>
    </x:row>
    <x:row r="1618">
      <x:c r="A1618" t="str" s="2">
        <x:f>=HYPERLINK("https://rsms.futurehomex.com/lead/39725", "Tommy Reichert")</x:f>
      </x:c>
      <x:c r="B1618" t="str" s="2">
        <x:v>Heritage Housing of Minden</x:v>
      </x:c>
      <x:c r="C1618" t="str" s="2">
        <x:v/>
      </x:c>
      <x:c r="D1618" t="str" s="2">
        <x:v>3182438747</x:v>
      </x:c>
      <x:c r="E1618" t="str" s="2">
        <x:v>3182438747</x:v>
      </x:c>
      <x:c r="F1618" t="str" s="2">
        <x:v>Walk-in</x:v>
      </x:c>
      <x:c r="G1618" t="str" s="2">
        <x:v>Patrick Schuchart</x:v>
      </x:c>
      <x:c r="H1618" s="6">
        <x:v>46270.75364070602</x:v>
      </x:c>
      <x:c r="I1618" t="str" s="2">
        <x:v>Patrick Schuchart</x:v>
      </x:c>
      <x:c r="J1618" s="0"/>
      <x:c r="K1618" s="6">
        <x:v>46270.75364070602</x:v>
      </x:c>
      <x:c r="L1618" t="str" s="2">
        <x:v>Deal Created</x:v>
      </x:c>
    </x:row>
    <x:row r="1619">
      <x:c r="A1619" t="str" s="2">
        <x:f>=HYPERLINK("https://rsms.futurehomex.com/lead/39726", "Connor Beeson")</x:f>
      </x:c>
      <x:c r="B1619" t="str" s="2">
        <x:v>Heritage Housing of Oklahoma City</x:v>
      </x:c>
      <x:c r="C1619" t="str" s="2">
        <x:v/>
      </x:c>
      <x:c r="D1619" t="str" s="2">
        <x:v>9182197544</x:v>
      </x:c>
      <x:c r="E1619" t="str" s="2">
        <x:v>connorbson@gmail.com</x:v>
      </x:c>
      <x:c r="F1619" t="str" s="2">
        <x:v>Walk-in</x:v>
      </x:c>
      <x:c r="G1619" t="str" s="2">
        <x:v>Trey Rixleben</x:v>
      </x:c>
      <x:c r="H1619" s="6">
        <x:v>46270.75644571759</x:v>
      </x:c>
      <x:c r="I1619" t="str" s="2">
        <x:v>Trey Rixleben</x:v>
      </x:c>
      <x:c r="J1619" s="0"/>
      <x:c r="K1619" s="6">
        <x:v>46270.75644571759</x:v>
      </x:c>
      <x:c r="L1619" t="str" s="2">
        <x:v>Deal Created</x:v>
      </x:c>
    </x:row>
    <x:row r="1620">
      <x:c r="A1620" t="str" s="2">
        <x:f>=HYPERLINK("https://rsms.futurehomex.com/lead/39743", "Shirley Pennington")</x:f>
      </x:c>
      <x:c r="B1620" t="str" s="2">
        <x:v>Heritage Housing of Oklahoma City</x:v>
      </x:c>
      <x:c r="C1620" t="str" s="2">
        <x:v/>
      </x:c>
      <x:c r="D1620" t="str" s="2">
        <x:v>5805074933</x:v>
      </x:c>
      <x:c r="E1620" t="str" s="2">
        <x:v>shirlannpengton@gmail.com</x:v>
      </x:c>
      <x:c r="F1620" t="str" s="2">
        <x:v>Landing_BPM</x:v>
      </x:c>
      <x:c r="G1620" t="str" s="2">
        <x:v>Gianna Cervantes</x:v>
      </x:c>
      <x:c r="H1620" s="6">
        <x:v>46270.75666508102</x:v>
      </x:c>
      <x:c r="I1620" t="str" s="2">
        <x:v>Trey Rixleben</x:v>
      </x:c>
      <x:c r="J1620" s="0"/>
      <x:c r="K1620" s="6">
        <x:v>46270.76393630787</x:v>
      </x:c>
      <x:c r="L1620" t="str" s="2">
        <x:v>Deal Created</x:v>
      </x:c>
    </x:row>
    <x:row r="1621">
      <x:c r="A1621" t="str" s="2">
        <x:f>=HYPERLINK("https://rsms.futurehomex.com/lead/39727", "Thomas Pitts")</x:f>
      </x:c>
      <x:c r="B1621" t="str" s="2">
        <x:v>Heritage Housing of Minden</x:v>
      </x:c>
      <x:c r="C1621" t="str" s="2">
        <x:v/>
      </x:c>
      <x:c r="D1621" t="str" s="2">
        <x:v>3188014245</x:v>
      </x:c>
      <x:c r="E1621" t="str" s="2">
        <x:v>tomllpitts@yahoo.com</x:v>
      </x:c>
      <x:c r="F1621" t="str" s="2">
        <x:v>Walk-in</x:v>
      </x:c>
      <x:c r="G1621" t="str" s="2">
        <x:v>Patrick Schuchart</x:v>
      </x:c>
      <x:c r="H1621" s="6">
        <x:v>46270.757920752316</x:v>
      </x:c>
      <x:c r="I1621" t="str" s="2">
        <x:v>Patrick Schuchart</x:v>
      </x:c>
      <x:c r="J1621" s="0"/>
      <x:c r="K1621" s="6">
        <x:v>46270.757920752316</x:v>
      </x:c>
      <x:c r="L1621" t="str" s="2">
        <x:v>Deal Created</x:v>
      </x:c>
    </x:row>
    <x:row r="1622">
      <x:c r="A1622" t="str" s="2">
        <x:f>=HYPERLINK("https://rsms.futurehomex.com/lead/39732", "Jose Manzanarez")</x:f>
      </x:c>
      <x:c r="B1622" t="str" s="2">
        <x:v>Legacy Housing Corp. DBA Americasa</x:v>
      </x:c>
      <x:c r="C1622" t="str" s="2">
        <x:v/>
      </x:c>
      <x:c r="D1622" t="str" s="2">
        <x:v>3468727811</x:v>
      </x:c>
      <x:c r="E1622" t="str" s="2" xml:space="preserve">
        <x:v>josemanzanarez@gmail.com </x:v>
      </x:c>
      <x:c r="F1622" t="str" s="2">
        <x:v>Referrals</x:v>
      </x:c>
      <x:c r="G1622" t="str" s="2">
        <x:v>Rodrigo Ramirez</x:v>
      </x:c>
      <x:c r="H1622" s="6">
        <x:v>46270.76107314815</x:v>
      </x:c>
      <x:c r="I1622" t="str" s="2">
        <x:v>Joey Marquez</x:v>
      </x:c>
      <x:c r="J1622" s="0"/>
      <x:c r="K1622" s="0"/>
      <x:c r="L1622" t="str" s="2">
        <x:v>Deal Created</x:v>
      </x:c>
    </x:row>
    <x:row r="1623">
      <x:c r="A1623" t="str" s="2">
        <x:f>=HYPERLINK("https://rsms.futurehomex.com/lead/39731", "Vickie Sivils")</x:f>
      </x:c>
      <x:c r="B1623" t="str" s="2">
        <x:v>Heritage Housing of Oklahoma City</x:v>
      </x:c>
      <x:c r="C1623" t="str" s="2">
        <x:v/>
      </x:c>
      <x:c r="D1623" t="str" s="2">
        <x:v>4054458404</x:v>
      </x:c>
      <x:c r="E1623" t="str" s="2">
        <x:v>vsrc1961@yahoo.com</x:v>
      </x:c>
      <x:c r="F1623" t="str" s="2">
        <x:v>Walk-in</x:v>
      </x:c>
      <x:c r="G1623" t="str" s="2">
        <x:v>Alejandra Calderon</x:v>
      </x:c>
      <x:c r="H1623" s="6">
        <x:v>46270.77904699074</x:v>
      </x:c>
      <x:c r="I1623" t="str" s="2">
        <x:v>Alejandra Calderon</x:v>
      </x:c>
      <x:c r="J1623" s="0"/>
      <x:c r="K1623" s="6">
        <x:v>46270.77904699074</x:v>
      </x:c>
      <x:c r="L1623" t="str" s="2">
        <x:v>Deal Created</x:v>
      </x:c>
    </x:row>
    <x:row r="1624">
      <x:c r="A1624" t="str" s="2">
        <x:f>=HYPERLINK("https://rsms.futurehomex.com/lead/39734", "Jennifer Zetterberg")</x:f>
      </x:c>
      <x:c r="B1624" t="str" s="2">
        <x:v>Heritage Housing of Oklahoma City</x:v>
      </x:c>
      <x:c r="C1624" t="str" s="2">
        <x:v/>
      </x:c>
      <x:c r="D1624" t="str" s="2">
        <x:v>4053321928</x:v>
      </x:c>
      <x:c r="E1624" t="str" s="2">
        <x:v>jennz1633@gmail.com</x:v>
      </x:c>
      <x:c r="F1624" t="str" s="2">
        <x:v>Walk-in</x:v>
      </x:c>
      <x:c r="G1624" t="str" s="2">
        <x:v>Trey Rixleben</x:v>
      </x:c>
      <x:c r="H1624" s="6">
        <x:v>46270.79009915509</x:v>
      </x:c>
      <x:c r="I1624" t="str" s="2">
        <x:v>Trey Rixleben</x:v>
      </x:c>
      <x:c r="J1624" s="0"/>
      <x:c r="K1624" s="6">
        <x:v>46270.79009915509</x:v>
      </x:c>
      <x:c r="L1624" t="str" s="2">
        <x:v>Deal Created</x:v>
      </x:c>
    </x:row>
    <x:row r="1625">
      <x:c r="A1625" t="str" s="2">
        <x:f>=HYPERLINK("https://rsms.futurehomex.com/lead/39736", "Doug &amp; Yolanda Tyner")</x:f>
      </x:c>
      <x:c r="B1625" t="str" s="2">
        <x:v>Heritage Housing of Oklahoma City</x:v>
      </x:c>
      <x:c r="C1625" t="str" s="2">
        <x:v/>
      </x:c>
      <x:c r="D1625" t="str" s="2">
        <x:v>5807054696</x:v>
      </x:c>
      <x:c r="E1625" t="str" s="2">
        <x:v>yolanda.tyner@yahoo.com</x:v>
      </x:c>
      <x:c r="F1625" t="str" s="2">
        <x:v>Walk-in</x:v>
      </x:c>
      <x:c r="G1625" t="str" s="2">
        <x:v>Steve Castell</x:v>
      </x:c>
      <x:c r="H1625" s="6">
        <x:v>46270.80520798611</x:v>
      </x:c>
      <x:c r="I1625" t="str" s="2">
        <x:v>Steve Castell</x:v>
      </x:c>
      <x:c r="J1625" s="0"/>
      <x:c r="K1625" s="6">
        <x:v>46270.80520798611</x:v>
      </x:c>
      <x:c r="L1625" t="str" s="2">
        <x:v>Deal Created</x:v>
      </x:c>
    </x:row>
    <x:row r="1626">
      <x:c r="A1626" t="str" s="2">
        <x:f>=HYPERLINK("https://rsms.futurehomex.com/lead/39740", "Jenifer Lai")</x:f>
      </x:c>
      <x:c r="B1626" t="str" s="2">
        <x:v>Heritage Housing of Oklahoma City</x:v>
      </x:c>
      <x:c r="C1626" t="str" s="2">
        <x:v/>
      </x:c>
      <x:c r="D1626" t="str" s="2">
        <x:v>7865590677</x:v>
      </x:c>
      <x:c r="E1626" t="str" s="2">
        <x:v>7865590677</x:v>
      </x:c>
      <x:c r="F1626" t="str" s="2">
        <x:v>Walk-in</x:v>
      </x:c>
      <x:c r="G1626" t="str" s="2">
        <x:v>Alejandra Calderon</x:v>
      </x:c>
      <x:c r="H1626" s="6">
        <x:v>46270.867311458336</x:v>
      </x:c>
      <x:c r="I1626" t="str" s="2">
        <x:v>Alejandra Calderon</x:v>
      </x:c>
      <x:c r="J1626" s="0"/>
      <x:c r="K1626" s="6">
        <x:v>46270.867311458336</x:v>
      </x:c>
      <x:c r="L1626" t="str" s="2">
        <x:v>Deal Created</x:v>
      </x:c>
    </x:row>
    <x:row r="1627">
      <x:c r="A1627" t="str" s="2">
        <x:f>=HYPERLINK("https://rsms.futurehomex.com/lead/39772", "Yasmely Ayala")</x:f>
      </x:c>
      <x:c r="B1627" t="str" s="2">
        <x:v>Heritage Housing of Oklahoma City</x:v>
      </x:c>
      <x:c r="C1627" t="str" s="2">
        <x:v/>
      </x:c>
      <x:c r="D1627" t="str" s="2">
        <x:v>4055353897</x:v>
      </x:c>
      <x:c r="E1627" t="str" s="2">
        <x:v>yasmelyayala83@gmail.com</x:v>
      </x:c>
      <x:c r="F1627" t="str" s="2">
        <x:v>Bing - Search</x:v>
      </x:c>
      <x:c r="G1627" t="str" s="2">
        <x:v>Trey Rixleben</x:v>
      </x:c>
      <x:c r="H1627" s="6">
        <x:v>46271.70713047454</x:v>
      </x:c>
      <x:c r="I1627" t="str" s="2">
        <x:v>Trey Rixleben</x:v>
      </x:c>
      <x:c r="J1627" s="0"/>
      <x:c r="K1627" s="0"/>
      <x:c r="L1627" t="str" s="2">
        <x:v>Deal Created</x:v>
      </x:c>
    </x:row>
    <x:row r="1628">
      <x:c r="A1628" t="str" s="2">
        <x:f>=HYPERLINK("https://rsms.futurehomex.com/lead/39778", "Jesse Sanford")</x:f>
      </x:c>
      <x:c r="B1628" t="str" s="2">
        <x:v>Heritage Housing of Oklahoma City</x:v>
      </x:c>
      <x:c r="C1628" t="str" s="2">
        <x:v/>
      </x:c>
      <x:c r="D1628" t="str" s="2">
        <x:v>5805745745753</x:v>
      </x:c>
      <x:c r="E1628" t="str" s="2">
        <x:v>franklinj1972@icloud.com</x:v>
      </x:c>
      <x:c r="F1628" t="str" s="2">
        <x:v>Landing_BPM</x:v>
      </x:c>
      <x:c r="G1628" t="str" s="2">
        <x:v>Gianna Cervantes</x:v>
      </x:c>
      <x:c r="H1628" s="6">
        <x:v>46271.70908244213</x:v>
      </x:c>
      <x:c r="I1628" t="str" s="2">
        <x:v>Trey Rixleben</x:v>
      </x:c>
      <x:c r="J1628" s="0"/>
      <x:c r="K1628" s="6">
        <x:v>46273.59438086805</x:v>
      </x:c>
      <x:c r="L1628" t="str" s="2">
        <x:v>Deal Created</x:v>
      </x:c>
    </x:row>
    <x:row r="1629">
      <x:c r="A1629" t="str" s="2">
        <x:f>=HYPERLINK("https://rsms.futurehomex.com/lead/39832", "Christopher Lackey")</x:f>
      </x:c>
      <x:c r="B1629" t="str" s="2">
        <x:v>Heritage Housing of Oklahoma City</x:v>
      </x:c>
      <x:c r="C1629" t="str" s="2">
        <x:v/>
      </x:c>
      <x:c r="D1629" t="str" s="2">
        <x:v>4052870905</x:v>
      </x:c>
      <x:c r="E1629" t="str" s="2">
        <x:v>hlackey27@gmail.com</x:v>
      </x:c>
      <x:c r="F1629" t="str" s="2">
        <x:v>Landing_BPM</x:v>
      </x:c>
      <x:c r="G1629" t="str" s="2">
        <x:v>Trey Rixleben</x:v>
      </x:c>
      <x:c r="H1629" s="6">
        <x:v>46271.74288989583</x:v>
      </x:c>
      <x:c r="I1629" t="str" s="2">
        <x:v>Trey Rixleben</x:v>
      </x:c>
      <x:c r="J1629" s="6">
        <x:v>46274.291666666664</x:v>
      </x:c>
      <x:c r="K1629" s="6">
        <x:v>46274.65727434028</x:v>
      </x:c>
      <x:c r="L1629" t="str" s="2">
        <x:v>Deal Created</x:v>
      </x:c>
    </x:row>
    <x:row r="1630">
      <x:c r="A1630" t="str" s="2">
        <x:f>=HYPERLINK("https://rsms.futurehomex.com/lead/40316", "Miranda Ledet")</x:f>
      </x:c>
      <x:c r="B1630" t="str" s="2">
        <x:v>Heritage Housing of Jennings</x:v>
      </x:c>
      <x:c r="C1630" t="str" s="2">
        <x:v>0/1</x:v>
      </x:c>
      <x:c r="D1630" t="str" s="2">
        <x:v>3373664600</x:v>
      </x:c>
      <x:c r="E1630" t="str" s="2">
        <x:v>mirandaledet@hotmail.com</x:v>
      </x:c>
      <x:c r="F1630" t="str" s="2">
        <x:v>Landing_BPM</x:v>
      </x:c>
      <x:c r="G1630" t="str" s="2">
        <x:v>Clint O'Neal</x:v>
      </x:c>
      <x:c r="H1630" s="6">
        <x:v>46271.8539809838</x:v>
      </x:c>
      <x:c r="I1630" t="str" s="2">
        <x:v>Clint O'Neal</x:v>
      </x:c>
      <x:c r="J1630" s="0"/>
      <x:c r="K1630" s="6">
        <x:v>46288.692536574075</x:v>
      </x:c>
      <x:c r="L1630" t="str" s="2">
        <x:v>Deal Created</x:v>
      </x:c>
    </x:row>
    <x:row r="1631">
      <x:c r="A1631" t="str" s="2">
        <x:f>=HYPERLINK("https://rsms.futurehomex.com/lead/39784", "Gaylene Mancinas")</x:f>
      </x:c>
      <x:c r="B1631" t="str" s="2">
        <x:v>Heritage Housing of Oklahoma City</x:v>
      </x:c>
      <x:c r="C1631" t="str" s="2">
        <x:v/>
      </x:c>
      <x:c r="D1631" t="str" s="2">
        <x:v>4055065232</x:v>
      </x:c>
      <x:c r="E1631" t="str" s="2">
        <x:v>mancinasgaylene@gmail.com</x:v>
      </x:c>
      <x:c r="F1631" t="str" s="2">
        <x:v>Landing_BPM</x:v>
      </x:c>
      <x:c r="G1631" t="str" s="2">
        <x:v>Trey Rixleben</x:v>
      </x:c>
      <x:c r="H1631" s="6">
        <x:v>46271.86349552083</x:v>
      </x:c>
      <x:c r="I1631" t="str" s="2">
        <x:v>Trey Rixleben</x:v>
      </x:c>
      <x:c r="J1631" s="0"/>
      <x:c r="K1631" s="0"/>
      <x:c r="L1631" t="str" s="2">
        <x:v>Deal Created</x:v>
      </x:c>
    </x:row>
    <x:row r="1632">
      <x:c r="A1632" t="str" s="2">
        <x:f>=HYPERLINK("https://rsms.futurehomex.com/lead/39782", "Vanessa Mead")</x:f>
      </x:c>
      <x:c r="B1632" t="str" s="2">
        <x:v>Heritage Housing of Oklahoma City</x:v>
      </x:c>
      <x:c r="C1632" t="str" s="2">
        <x:v/>
      </x:c>
      <x:c r="D1632" t="str" s="2">
        <x:v>8324333984</x:v>
      </x:c>
      <x:c r="E1632" t="str" s="2">
        <x:v>vanessamead94@gmail.com</x:v>
      </x:c>
      <x:c r="F1632" t="str" s="2">
        <x:v>Landing_BPM</x:v>
      </x:c>
      <x:c r="G1632" t="str" s="2">
        <x:v>Trey Rixleben</x:v>
      </x:c>
      <x:c r="H1632" s="6">
        <x:v>46271.97480732639</x:v>
      </x:c>
      <x:c r="I1632" t="str" s="2">
        <x:v>Trey Rixleben</x:v>
      </x:c>
      <x:c r="J1632" s="0"/>
      <x:c r="K1632" s="0"/>
      <x:c r="L1632" t="str" s="2">
        <x:v>Deal Created</x:v>
      </x:c>
    </x:row>
    <x:row r="1633">
      <x:c r="A1633" t="str" s="2">
        <x:f>=HYPERLINK("https://rsms.futurehomex.com/lead/39785", "Nicole Trester")</x:f>
      </x:c>
      <x:c r="B1633" t="str" s="2">
        <x:v>Heritage Housing of Oklahoma City</x:v>
      </x:c>
      <x:c r="C1633" t="str" s="2">
        <x:v/>
      </x:c>
      <x:c r="D1633" t="str" s="2">
        <x:v>6202284911</x:v>
      </x:c>
      <x:c r="E1633" t="str" s="2">
        <x:v>Nikkiann2583@gmail.com</x:v>
      </x:c>
      <x:c r="F1633" t="str" s="2">
        <x:v>Landing_BPM</x:v>
      </x:c>
      <x:c r="G1633" t="str" s="2">
        <x:v>Gianna Cervantes</x:v>
      </x:c>
      <x:c r="H1633" s="6">
        <x:v>46272.05320509259</x:v>
      </x:c>
      <x:c r="I1633" t="str" s="2">
        <x:v>Trey Rixleben</x:v>
      </x:c>
      <x:c r="J1633" s="0"/>
      <x:c r="K1633" s="6">
        <x:v>46273.59978387732</x:v>
      </x:c>
      <x:c r="L1633" t="str" s="2">
        <x:v>Deal Created</x:v>
      </x:c>
    </x:row>
    <x:row r="1634">
      <x:c r="A1634" t="str" s="2">
        <x:f>=HYPERLINK("https://rsms.futurehomex.com/lead/39775", "Travis Mayo")</x:f>
      </x:c>
      <x:c r="B1634" t="str" s="2">
        <x:v>Heritage Housing of Oklahoma City</x:v>
      </x:c>
      <x:c r="C1634" t="str" s="2">
        <x:v/>
      </x:c>
      <x:c r="D1634" t="str" s="2">
        <x:v>5399951361</x:v>
      </x:c>
      <x:c r="E1634" t="str" s="2">
        <x:v>mayotravis3@gmail.com</x:v>
      </x:c>
      <x:c r="F1634" t="str" s="2">
        <x:v>Landing_BPM</x:v>
      </x:c>
      <x:c r="G1634" t="str" s="2">
        <x:v>Trey Rixleben</x:v>
      </x:c>
      <x:c r="H1634" s="6">
        <x:v>46272.3772440625</x:v>
      </x:c>
      <x:c r="I1634" t="str" s="2">
        <x:v>Trey Rixleben</x:v>
      </x:c>
      <x:c r="J1634" s="0"/>
      <x:c r="K1634" s="0"/>
      <x:c r="L1634" t="str" s="2">
        <x:v>Deal Created</x:v>
      </x:c>
    </x:row>
    <x:row r="1635">
      <x:c r="A1635" t="str" s="2">
        <x:f>=HYPERLINK("https://rsms.futurehomex.com/lead/39773", "Chasity Maricle")</x:f>
      </x:c>
      <x:c r="B1635" t="str" s="2">
        <x:v>Heritage Housing of Oklahoma City</x:v>
      </x:c>
      <x:c r="C1635" t="str" s="2">
        <x:v/>
      </x:c>
      <x:c r="D1635" t="str" s="2">
        <x:v>4059277279</x:v>
      </x:c>
      <x:c r="E1635" t="str" s="2">
        <x:v>mariclemichelle02@gmail.com</x:v>
      </x:c>
      <x:c r="F1635" t="str" s="2">
        <x:v>Landing_BPM</x:v>
      </x:c>
      <x:c r="G1635" t="str" s="2">
        <x:v>Alejandra Calderon</x:v>
      </x:c>
      <x:c r="H1635" s="6">
        <x:v>46272.56306064815</x:v>
      </x:c>
      <x:c r="I1635" t="str" s="2">
        <x:v>Alejandra Calderon</x:v>
      </x:c>
      <x:c r="J1635" s="0"/>
      <x:c r="K1635" s="0"/>
      <x:c r="L1635" t="str" s="2">
        <x:v>Deal Created</x:v>
      </x:c>
    </x:row>
    <x:row r="1636">
      <x:c r="A1636" t="str" s="2">
        <x:f>=HYPERLINK("https://rsms.futurehomex.com/lead/39770", "Ariel Arcega")</x:f>
      </x:c>
      <x:c r="B1636" t="str" s="2">
        <x:v>Heritage Housing of Oklahoma City</x:v>
      </x:c>
      <x:c r="C1636" t="str" s="2">
        <x:v/>
      </x:c>
      <x:c r="D1636" t="str" s="2">
        <x:v>4709904889</x:v>
      </x:c>
      <x:c r="E1636" t="str" s="2">
        <x:v>arisimone1992@icloud.com</x:v>
      </x:c>
      <x:c r="F1636" t="str" s="2">
        <x:v>Landing_BPM</x:v>
      </x:c>
      <x:c r="G1636" t="str" s="2">
        <x:v>Trey Rixleben</x:v>
      </x:c>
      <x:c r="H1636" s="6">
        <x:v>46272.64214471065</x:v>
      </x:c>
      <x:c r="I1636" t="str" s="2">
        <x:v>Trey Rixleben</x:v>
      </x:c>
      <x:c r="J1636" s="0"/>
      <x:c r="K1636" s="0"/>
      <x:c r="L1636" t="str" s="2">
        <x:v>Deal Created</x:v>
      </x:c>
    </x:row>
    <x:row r="1637">
      <x:c r="A1637" t="str" s="2">
        <x:f>=HYPERLINK("https://rsms.futurehomex.com/lead/39769", "Linda Storks")</x:f>
      </x:c>
      <x:c r="B1637" t="str" s="2">
        <x:v>Heritage Housing of Oklahoma City</x:v>
      </x:c>
      <x:c r="C1637" t="str" s="2">
        <x:v/>
      </x:c>
      <x:c r="D1637" t="str" s="2">
        <x:v>4058828599</x:v>
      </x:c>
      <x:c r="E1637" t="str" s="2">
        <x:v>denisedeselle7@gmail.com</x:v>
      </x:c>
      <x:c r="F1637" t="str" s="2">
        <x:v>Youtube</x:v>
      </x:c>
      <x:c r="G1637" t="str" s="2">
        <x:v>Trey Rixleben</x:v>
      </x:c>
      <x:c r="H1637" s="6">
        <x:v>46272.7154278588</x:v>
      </x:c>
      <x:c r="I1637" t="str" s="2">
        <x:v>Trey Rixleben</x:v>
      </x:c>
      <x:c r="J1637" s="0"/>
      <x:c r="K1637" s="0"/>
      <x:c r="L1637" t="str" s="2">
        <x:v>Deal Created</x:v>
      </x:c>
    </x:row>
    <x:row r="1638">
      <x:c r="A1638" t="str" s="2">
        <x:f>=HYPERLINK("https://rsms.futurehomex.com/lead/39774", "Laken Voight")</x:f>
      </x:c>
      <x:c r="B1638" t="str" s="2">
        <x:v>Heritage Housing of Oklahoma City</x:v>
      </x:c>
      <x:c r="C1638" t="str" s="2">
        <x:v/>
      </x:c>
      <x:c r="D1638" t="str" s="2">
        <x:v>9187795324</x:v>
      </x:c>
      <x:c r="E1638" t="str" s="2">
        <x:v>n07357864@gmail.com</x:v>
      </x:c>
      <x:c r="F1638" t="str" s="2">
        <x:v>Youtube</x:v>
      </x:c>
      <x:c r="G1638" t="str" s="2">
        <x:v>Alejandra Calderon</x:v>
      </x:c>
      <x:c r="H1638" s="6">
        <x:v>46272.80998506944</x:v>
      </x:c>
      <x:c r="I1638" t="str" s="2">
        <x:v>Alejandra Calderon</x:v>
      </x:c>
      <x:c r="J1638" s="0"/>
      <x:c r="K1638" s="0"/>
      <x:c r="L1638" t="str" s="2">
        <x:v>Deal Created</x:v>
      </x:c>
    </x:row>
    <x:row r="1639">
      <x:c r="A1639" t="str" s="2">
        <x:f>=HYPERLINK("https://rsms.futurehomex.com/lead/39763", "Kyle Fry")</x:f>
      </x:c>
      <x:c r="B1639" t="str" s="2">
        <x:v>Heritage Housing of Oklahoma City</x:v>
      </x:c>
      <x:c r="C1639" t="str" s="2">
        <x:v/>
      </x:c>
      <x:c r="D1639" t="str" s="2">
        <x:v>4057040312</x:v>
      </x:c>
      <x:c r="E1639" t="str" s="2">
        <x:v>kfry4854@gmail.com</x:v>
      </x:c>
      <x:c r="F1639" t="str" s="2">
        <x:v>Financing Form</x:v>
      </x:c>
      <x:c r="G1639" t="str" s="2">
        <x:v>Trey Rixleben</x:v>
      </x:c>
      <x:c r="H1639" s="6">
        <x:v>46273.01993417824</x:v>
      </x:c>
      <x:c r="I1639" t="str" s="2">
        <x:v>Trey Rixleben</x:v>
      </x:c>
      <x:c r="J1639" s="0"/>
      <x:c r="K1639" s="0"/>
      <x:c r="L1639" t="str" s="2">
        <x:v>Deal Created</x:v>
      </x:c>
    </x:row>
    <x:row r="1640">
      <x:c r="A1640" t="str" s="2">
        <x:f>=HYPERLINK("https://rsms.futurehomex.com/lead/40048", "Shelby Stockdale")</x:f>
      </x:c>
      <x:c r="B1640" t="str" s="2">
        <x:v>Heritage Housing of Oklahoma City</x:v>
      </x:c>
      <x:c r="C1640" t="str" s="2">
        <x:v/>
      </x:c>
      <x:c r="D1640" t="str" s="2">
        <x:v>5722761273</x:v>
      </x:c>
      <x:c r="E1640" t="str" s="2">
        <x:v>stockdaleshelby23@gmail.com</x:v>
      </x:c>
      <x:c r="F1640" t="str" s="2">
        <x:v>Website</x:v>
      </x:c>
      <x:c r="G1640" t="str" s="2">
        <x:v>Alejandra Calderon</x:v>
      </x:c>
      <x:c r="H1640" s="6">
        <x:v>46273.13568248843</x:v>
      </x:c>
      <x:c r="I1640" t="str" s="2">
        <x:v>Noemi Rojo</x:v>
      </x:c>
      <x:c r="J1640" s="6">
        <x:v>46277.645833333336</x:v>
      </x:c>
      <x:c r="K1640" s="6">
        <x:v>46280.99423703703</x:v>
      </x:c>
      <x:c r="L1640" t="str" s="2">
        <x:v>Deal Created</x:v>
      </x:c>
    </x:row>
    <x:row r="1641">
      <x:c r="A1641" t="str" s="2">
        <x:f>=HYPERLINK("https://rsms.futurehomex.com/lead/40286", "Marliee Daugherity")</x:f>
      </x:c>
      <x:c r="B1641" t="str" s="2">
        <x:v>Heritage Housing of Oklahoma City</x:v>
      </x:c>
      <x:c r="C1641" t="str" s="2">
        <x:v/>
      </x:c>
      <x:c r="D1641" t="str" s="2">
        <x:v>4177669186</x:v>
      </x:c>
      <x:c r="E1641" t="str" s="2">
        <x:v>marileedaugherity@gmail.com</x:v>
      </x:c>
      <x:c r="F1641" t="str" s="2">
        <x:v>Office Hot Calls</x:v>
      </x:c>
      <x:c r="G1641" t="str" s="2">
        <x:v>Steve Castell</x:v>
      </x:c>
      <x:c r="H1641" s="6">
        <x:v>46273.58067653935</x:v>
      </x:c>
      <x:c r="I1641" t="str" s="2">
        <x:v>Steve Castell</x:v>
      </x:c>
      <x:c r="J1641" s="6">
        <x:v>46289.791666666664</x:v>
      </x:c>
      <x:c r="K1641" s="6">
        <x:v>46287.976523460646</x:v>
      </x:c>
      <x:c r="L1641" t="str" s="2">
        <x:v>Deal Created</x:v>
      </x:c>
    </x:row>
    <x:row r="1642">
      <x:c r="A1642" t="str" s="2">
        <x:f>=HYPERLINK("https://rsms.futurehomex.com/lead/39791", "Cahneewah Hotter")</x:f>
      </x:c>
      <x:c r="B1642" t="str" s="2">
        <x:v>Heritage Housing of Oklahoma City</x:v>
      </x:c>
      <x:c r="C1642" t="str" s="2">
        <x:v/>
      </x:c>
      <x:c r="D1642" t="str" s="2">
        <x:v>9152940485</x:v>
      </x:c>
      <x:c r="E1642" t="str" s="2">
        <x:v>cahneewahhotter@gmail.com</x:v>
      </x:c>
      <x:c r="F1642" t="str" s="2">
        <x:v>Youtube</x:v>
      </x:c>
      <x:c r="G1642" t="str" s="2">
        <x:v>Gianna Cervantes</x:v>
      </x:c>
      <x:c r="H1642" s="6">
        <x:v>46273.66521396991</x:v>
      </x:c>
      <x:c r="I1642" t="str" s="2">
        <x:v>Gianna Cervantes</x:v>
      </x:c>
      <x:c r="J1642" s="0"/>
      <x:c r="K1642" s="6">
        <x:v>46273.70062797454</x:v>
      </x:c>
      <x:c r="L1642" t="str" s="2">
        <x:v>Deal Created</x:v>
      </x:c>
    </x:row>
    <x:row r="1643">
      <x:c r="A1643" t="str" s="2">
        <x:f>=HYPERLINK("https://rsms.futurehomex.com/lead/39793", "Idalys Torres")</x:f>
      </x:c>
      <x:c r="B1643" t="str" s="2">
        <x:v>Heritage Housing of Tulsa</x:v>
      </x:c>
      <x:c r="C1643" t="str" s="2">
        <x:v/>
      </x:c>
      <x:c r="D1643" t="str" s="2">
        <x:v>6788788435</x:v>
      </x:c>
      <x:c r="E1643" t="str" s="2">
        <x:v>morenitachula64@gmail.com</x:v>
      </x:c>
      <x:c r="F1643" t="str" s="2">
        <x:v>Other</x:v>
      </x:c>
      <x:c r="G1643" t="str" s="2">
        <x:v>Jenna Fransisco</x:v>
      </x:c>
      <x:c r="H1643" s="6">
        <x:v>46273.73171438657</x:v>
      </x:c>
      <x:c r="I1643" t="str" s="2">
        <x:v>Jenna Fransisco</x:v>
      </x:c>
      <x:c r="J1643" s="0"/>
      <x:c r="K1643" s="6">
        <x:v>46273.73171438657</x:v>
      </x:c>
      <x:c r="L1643" t="str" s="2">
        <x:v>Deal Created</x:v>
      </x:c>
    </x:row>
    <x:row r="1644">
      <x:c r="A1644" t="str" s="2">
        <x:f>=HYPERLINK("https://rsms.futurehomex.com/lead/39796", "Ray Sloan")</x:f>
      </x:c>
      <x:c r="B1644" t="str" s="2">
        <x:v>Heritage Housing of Oklahoma City</x:v>
      </x:c>
      <x:c r="C1644" t="str" s="2">
        <x:v/>
      </x:c>
      <x:c r="D1644" t="str" s="2">
        <x:v>4052100116</x:v>
      </x:c>
      <x:c r="E1644" t="str" s="2">
        <x:v>rsloan88.rs@gmail.com</x:v>
      </x:c>
      <x:c r="F1644" t="str" s="2">
        <x:v>Walk-in</x:v>
      </x:c>
      <x:c r="G1644" t="str" s="2">
        <x:v>Trey Rixleben</x:v>
      </x:c>
      <x:c r="H1644" s="6">
        <x:v>46273.76536979167</x:v>
      </x:c>
      <x:c r="I1644" t="str" s="2">
        <x:v>Trey Rixleben</x:v>
      </x:c>
      <x:c r="J1644" s="0"/>
      <x:c r="K1644" s="6">
        <x:v>46273.76536979167</x:v>
      </x:c>
      <x:c r="L1644" t="str" s="2">
        <x:v>Deal Created</x:v>
      </x:c>
    </x:row>
    <x:row r="1645">
      <x:c r="A1645" t="str" s="2">
        <x:f>=HYPERLINK("https://rsms.futurehomex.com/lead/39802", "Flor Vazquez Rodriguez")</x:f>
      </x:c>
      <x:c r="B1645" t="str" s="2">
        <x:v>Heritage Housing of Canton</x:v>
      </x:c>
      <x:c r="C1645" t="str" s="2">
        <x:v/>
      </x:c>
      <x:c r="D1645" t="str" s="2">
        <x:v>4699851681</x:v>
      </x:c>
      <x:c r="E1645" t="str" s="2">
        <x:v>aracely_avr@hotmail.com</x:v>
      </x:c>
      <x:c r="F1645" t="str" s="2">
        <x:v>Facebook Messenger</x:v>
      </x:c>
      <x:c r="G1645" t="str" s="2">
        <x:v>Maira Garcia</x:v>
      </x:c>
      <x:c r="H1645" s="6">
        <x:v>46273.78958329861</x:v>
      </x:c>
      <x:c r="I1645" t="str" s="2">
        <x:v>Maira Garcia</x:v>
      </x:c>
      <x:c r="J1645" s="0"/>
      <x:c r="K1645" s="6">
        <x:v>46273.78958329861</x:v>
      </x:c>
      <x:c r="L1645" t="str" s="2">
        <x:v>Deal Created</x:v>
      </x:c>
    </x:row>
    <x:row r="1646">
      <x:c r="A1646" t="str" s="2">
        <x:f>=HYPERLINK("https://rsms.futurehomex.com/lead/39808", "Laquinia Banks")</x:f>
      </x:c>
      <x:c r="B1646" t="str" s="2">
        <x:v>Heritage Housing of Oklahoma City</x:v>
      </x:c>
      <x:c r="C1646" t="str" s="2">
        <x:v/>
      </x:c>
      <x:c r="D1646" t="str" s="2">
        <x:v>4054334164</x:v>
      </x:c>
      <x:c r="E1646" t="str" s="2">
        <x:v>mulareenae@gmail.com</x:v>
      </x:c>
      <x:c r="F1646" t="str" s="2">
        <x:v>Landing_BPM</x:v>
      </x:c>
      <x:c r="G1646" t="str" s="2">
        <x:v>Trey Rixleben</x:v>
      </x:c>
      <x:c r="H1646" s="6">
        <x:v>46273.794512037035</x:v>
      </x:c>
      <x:c r="I1646" t="str" s="2">
        <x:v>Trey Rixleben</x:v>
      </x:c>
      <x:c r="J1646" s="0"/>
      <x:c r="K1646" s="0"/>
      <x:c r="L1646" t="str" s="2">
        <x:v>Deal Created</x:v>
      </x:c>
    </x:row>
    <x:row r="1647">
      <x:c r="A1647" t="str" s="2">
        <x:f>=HYPERLINK("https://rsms.futurehomex.com/lead/39806", "Latoya Guoladdle")</x:f>
      </x:c>
      <x:c r="B1647" t="str" s="2">
        <x:v>Heritage Housing of Oklahoma City</x:v>
      </x:c>
      <x:c r="C1647" t="str" s="2">
        <x:v/>
      </x:c>
      <x:c r="D1647" t="str" s="2">
        <x:v>5802158623</x:v>
      </x:c>
      <x:c r="E1647" t="str" s="2">
        <x:v>latoyarenee199@gmail.com</x:v>
      </x:c>
      <x:c r="F1647" t="str" s="2">
        <x:v>Youtube</x:v>
      </x:c>
      <x:c r="G1647" t="str" s="2">
        <x:v>Trey Rixleben</x:v>
      </x:c>
      <x:c r="H1647" s="6">
        <x:v>46273.8068746875</x:v>
      </x:c>
      <x:c r="I1647" t="str" s="2">
        <x:v>Trey Rixleben</x:v>
      </x:c>
      <x:c r="J1647" s="0"/>
      <x:c r="K1647" s="0"/>
      <x:c r="L1647" t="str" s="2">
        <x:v>Deal Created</x:v>
      </x:c>
    </x:row>
    <x:row r="1648">
      <x:c r="A1648" t="str" s="2">
        <x:f>=HYPERLINK("https://rsms.futurehomex.com/lead/39809", "Mike Moore")</x:f>
      </x:c>
      <x:c r="B1648" t="str" s="2">
        <x:v>Heritage Housing of Oklahoma City</x:v>
      </x:c>
      <x:c r="C1648" t="str" s="2">
        <x:v/>
      </x:c>
      <x:c r="D1648" t="str" s="2">
        <x:v>4053089700</x:v>
      </x:c>
      <x:c r="E1648" t="str" s="2">
        <x:v>mem.sec.96@ghmail.com</x:v>
      </x:c>
      <x:c r="F1648" t="str" s="2">
        <x:v>Meta Ads - Traffic</x:v>
      </x:c>
      <x:c r="G1648" t="str" s="2">
        <x:v>Trey Rixleben</x:v>
      </x:c>
      <x:c r="H1648" s="6">
        <x:v>46273.889222997685</x:v>
      </x:c>
      <x:c r="I1648" t="str" s="2">
        <x:v>Trey Rixleben</x:v>
      </x:c>
      <x:c r="J1648" s="0"/>
      <x:c r="K1648" s="6">
        <x:v>46273.889222997685</x:v>
      </x:c>
      <x:c r="L1648" t="str" s="2">
        <x:v>Deal Created</x:v>
      </x:c>
    </x:row>
    <x:row r="1649">
      <x:c r="A1649" t="str" s="2">
        <x:f>=HYPERLINK("https://rsms.futurehomex.com/lead/39813", "Shelly Stuart")</x:f>
      </x:c>
      <x:c r="B1649" t="str" s="2">
        <x:v>Heritage Housing of Tulsa</x:v>
      </x:c>
      <x:c r="C1649" t="str" s="2">
        <x:v/>
      </x:c>
      <x:c r="D1649" t="str" s="2">
        <x:v>4798490274</x:v>
      </x:c>
      <x:c r="E1649" t="str" s="2">
        <x:v>shellymae.stuart1987@gmail.com</x:v>
      </x:c>
      <x:c r="F1649" t="str" s="2">
        <x:v>Website</x:v>
      </x:c>
      <x:c r="G1649" t="str" s="2">
        <x:v>Jenna Fransisco</x:v>
      </x:c>
      <x:c r="H1649" s="6">
        <x:v>46273.93312233796</x:v>
      </x:c>
      <x:c r="I1649" t="str" s="2">
        <x:v>Jenna Fransisco</x:v>
      </x:c>
      <x:c r="J1649" s="0"/>
      <x:c r="K1649" s="6">
        <x:v>46273.93312233796</x:v>
      </x:c>
      <x:c r="L1649" t="str" s="2">
        <x:v>Deal Created</x:v>
      </x:c>
    </x:row>
    <x:row r="1650">
      <x:c r="A1650" t="str" s="2">
        <x:f>=HYPERLINK("https://rsms.futurehomex.com/lead/39815", "Angela Johnson")</x:f>
      </x:c>
      <x:c r="B1650" t="str" s="2">
        <x:v>Heritage Housing of Tulsa</x:v>
      </x:c>
      <x:c r="C1650" t="str" s="2">
        <x:v/>
      </x:c>
      <x:c r="D1650" t="str" s="2">
        <x:v>2142811559</x:v>
      </x:c>
      <x:c r="E1650" t="str" s="2">
        <x:v>mrsangelarjohnson11@gmail.com</x:v>
      </x:c>
      <x:c r="F1650" t="str" s="2">
        <x:v>Website</x:v>
      </x:c>
      <x:c r="G1650" t="str" s="2">
        <x:v>Jenna Fransisco</x:v>
      </x:c>
      <x:c r="H1650" s="6">
        <x:v>46273.943531944446</x:v>
      </x:c>
      <x:c r="I1650" t="str" s="2">
        <x:v>Jenna Fransisco</x:v>
      </x:c>
      <x:c r="J1650" s="0"/>
      <x:c r="K1650" s="6">
        <x:v>46273.943531944446</x:v>
      </x:c>
      <x:c r="L1650" t="str" s="2">
        <x:v>Deal Created</x:v>
      </x:c>
    </x:row>
    <x:row r="1651">
      <x:c r="A1651" t="str" s="2">
        <x:f>=HYPERLINK("https://rsms.futurehomex.com/lead/39825", "Randy Randolph")</x:f>
      </x:c>
      <x:c r="B1651" t="str" s="2">
        <x:v>Heritage Housing of Oklahoma City</x:v>
      </x:c>
      <x:c r="C1651" t="str" s="2">
        <x:v/>
      </x:c>
      <x:c r="D1651" t="str" s="2">
        <x:v>4054026888</x:v>
      </x:c>
      <x:c r="E1651" t="str" s="2">
        <x:v>rcshuffle3143@yahoo.com</x:v>
      </x:c>
      <x:c r="F1651" t="str" s="2">
        <x:v>Youtube</x:v>
      </x:c>
      <x:c r="G1651" t="str" s="2">
        <x:v>Gianna Cervantes</x:v>
      </x:c>
      <x:c r="H1651" s="6">
        <x:v>46274.005842210645</x:v>
      </x:c>
      <x:c r="I1651" t="str" s="2">
        <x:v>Devon McCoy</x:v>
      </x:c>
      <x:c r="J1651" s="0"/>
      <x:c r="K1651" s="6">
        <x:v>46274.58949236111</x:v>
      </x:c>
      <x:c r="L1651" t="str" s="2">
        <x:v>Deal Created</x:v>
      </x:c>
    </x:row>
    <x:row r="1652">
      <x:c r="A1652" t="str" s="2">
        <x:f>=HYPERLINK("https://rsms.futurehomex.com/lead/39820", "Cheyana Stout")</x:f>
      </x:c>
      <x:c r="B1652" t="str" s="2">
        <x:v>Heritage Housing of Oklahoma City</x:v>
      </x:c>
      <x:c r="C1652" t="str" s="2">
        <x:v/>
      </x:c>
      <x:c r="D1652" t="str" s="2">
        <x:v>4058889982</x:v>
      </x:c>
      <x:c r="E1652" t="str" s="2">
        <x:v>Cheyanastout9@gmail.com</x:v>
      </x:c>
      <x:c r="F1652" t="str" s="2">
        <x:v>Landing_BPM</x:v>
      </x:c>
      <x:c r="G1652" t="str" s="2">
        <x:v>Trey Rixleben</x:v>
      </x:c>
      <x:c r="H1652" s="6">
        <x:v>46274.23215582176</x:v>
      </x:c>
      <x:c r="I1652" t="str" s="2">
        <x:v>Trey Rixleben</x:v>
      </x:c>
      <x:c r="J1652" s="0"/>
      <x:c r="K1652" s="0"/>
      <x:c r="L1652" t="str" s="2">
        <x:v>Deal Created</x:v>
      </x:c>
    </x:row>
    <x:row r="1653">
      <x:c r="A1653" t="str" s="2">
        <x:f>=HYPERLINK("https://rsms.futurehomex.com/lead/39824", "Dennis Hines")</x:f>
      </x:c>
      <x:c r="B1653" t="str" s="2">
        <x:v>Heritage Housing of Oklahoma City</x:v>
      </x:c>
      <x:c r="C1653" t="str" s="2">
        <x:v/>
      </x:c>
      <x:c r="D1653" t="str" s="2">
        <x:v>5169491632</x:v>
      </x:c>
      <x:c r="E1653" t="str" s="2">
        <x:v>dhines59.dh@gmail.com</x:v>
      </x:c>
      <x:c r="F1653" t="str" s="2">
        <x:v>Youtube</x:v>
      </x:c>
      <x:c r="G1653" t="str" s="2">
        <x:v>Steve Castell</x:v>
      </x:c>
      <x:c r="H1653" s="6">
        <x:v>46274.235632488424</x:v>
      </x:c>
      <x:c r="I1653" t="str" s="2">
        <x:v>Steve Castell</x:v>
      </x:c>
      <x:c r="J1653" s="0"/>
      <x:c r="K1653" s="6">
        <x:v>46274.597877974535</x:v>
      </x:c>
      <x:c r="L1653" t="str" s="2">
        <x:v>Deal Created</x:v>
      </x:c>
    </x:row>
    <x:row r="1654">
      <x:c r="A1654" t="str" s="2">
        <x:f>=HYPERLINK("https://rsms.futurehomex.com/lead/39839", "Montavius Green")</x:f>
      </x:c>
      <x:c r="B1654" t="str" s="2">
        <x:v>Heritage Housing of Jennings</x:v>
      </x:c>
      <x:c r="C1654" t="str" s="2">
        <x:v/>
      </x:c>
      <x:c r="D1654" t="str" s="2">
        <x:v>6626815316</x:v>
      </x:c>
      <x:c r="E1654" t="str" s="2">
        <x:v>montaviusgreen18@yahoo.com</x:v>
      </x:c>
      <x:c r="F1654" t="str" s="2">
        <x:v>Financing Form</x:v>
      </x:c>
      <x:c r="G1654" t="str" s="2">
        <x:v>Clint O'Neal</x:v>
      </x:c>
      <x:c r="H1654" s="6">
        <x:v>46274.63959806713</x:v>
      </x:c>
      <x:c r="I1654" t="str" s="2">
        <x:v>Clint O'Neal</x:v>
      </x:c>
      <x:c r="J1654" s="0"/>
      <x:c r="K1654" s="6">
        <x:v>46274.66164158565</x:v>
      </x:c>
      <x:c r="L1654" t="str" s="2">
        <x:v>Deal Created</x:v>
      </x:c>
    </x:row>
    <x:row r="1655">
      <x:c r="A1655" t="str" s="2">
        <x:f>=HYPERLINK("https://rsms.futurehomex.com/lead/39828", "Erlinda Gomez")</x:f>
      </x:c>
      <x:c r="B1655" t="str" s="2">
        <x:v>Legacy Housing Corp. DBA Americasa</x:v>
      </x:c>
      <x:c r="C1655" t="str" s="2">
        <x:v/>
      </x:c>
      <x:c r="D1655" t="str" s="2">
        <x:v>8326382596</x:v>
      </x:c>
      <x:c r="E1655" t="str" s="2">
        <x:v>8326382596</x:v>
      </x:c>
      <x:c r="F1655" t="str" s="2">
        <x:v>Facebook Messenger</x:v>
      </x:c>
      <x:c r="G1655" t="str" s="2">
        <x:v>Rodrigo Ramirez</x:v>
      </x:c>
      <x:c r="H1655" s="6">
        <x:v>46274.658509988425</x:v>
      </x:c>
      <x:c r="I1655" t="str" s="2">
        <x:v>Joey Marquez</x:v>
      </x:c>
      <x:c r="J1655" s="0"/>
      <x:c r="K1655" s="6">
        <x:v>46274.658509988425</x:v>
      </x:c>
      <x:c r="L1655" t="str" s="2">
        <x:v>Deal Created</x:v>
      </x:c>
    </x:row>
    <x:row r="1656">
      <x:c r="A1656" t="str" s="2">
        <x:f>=HYPERLINK("https://rsms.futurehomex.com/lead/39835", "Jenna Fransisco")</x:f>
      </x:c>
      <x:c r="B1656" t="str" s="2">
        <x:v>Heritage Housing of Tulsa</x:v>
      </x:c>
      <x:c r="C1656" t="str" s="2">
        <x:v/>
      </x:c>
      <x:c r="D1656" t="str" s="2">
        <x:v>9189462477</x:v>
      </x:c>
      <x:c r="E1656" t="str" s="2">
        <x:v>jfransisco@heritagehousing.net</x:v>
      </x:c>
      <x:c r="F1656" t="str" s="2">
        <x:v>Walk-in</x:v>
      </x:c>
      <x:c r="G1656" t="str" s="2">
        <x:v>Jenna Fransisco</x:v>
      </x:c>
      <x:c r="H1656" s="6">
        <x:v>46274.7135875</x:v>
      </x:c>
      <x:c r="I1656" t="str" s="2">
        <x:v>Jenna Fransisco</x:v>
      </x:c>
      <x:c r="J1656" s="0"/>
      <x:c r="K1656" s="6">
        <x:v>46274.7135875</x:v>
      </x:c>
      <x:c r="L1656" t="str" s="2">
        <x:v>Deal Created</x:v>
      </x:c>
    </x:row>
    <x:row r="1657">
      <x:c r="A1657" t="str" s="2">
        <x:f>=HYPERLINK("https://rsms.futurehomex.com/lead/39840", "Brian Niccum")</x:f>
      </x:c>
      <x:c r="B1657" t="str" s="2">
        <x:v>Heritage Housing of Tulsa</x:v>
      </x:c>
      <x:c r="C1657" t="str" s="2">
        <x:v/>
      </x:c>
      <x:c r="D1657" t="str" s="2">
        <x:v>9187290432</x:v>
      </x:c>
      <x:c r="E1657" t="str" s="2">
        <x:v>bniccum316@gmail.com</x:v>
      </x:c>
      <x:c r="F1657" t="str" s="2">
        <x:v>Walk-in</x:v>
      </x:c>
      <x:c r="G1657" t="str" s="2">
        <x:v>Jenna Fransisco</x:v>
      </x:c>
      <x:c r="H1657" s="6">
        <x:v>46274.75884996528</x:v>
      </x:c>
      <x:c r="I1657" t="str" s="2">
        <x:v>Jenna Fransisco</x:v>
      </x:c>
      <x:c r="J1657" s="0"/>
      <x:c r="K1657" s="6">
        <x:v>46274.75884996528</x:v>
      </x:c>
      <x:c r="L1657" t="str" s="2">
        <x:v>Deal Created</x:v>
      </x:c>
    </x:row>
    <x:row r="1658">
      <x:c r="A1658" t="str" s="2">
        <x:f>=HYPERLINK("https://rsms.futurehomex.com/lead/39856", "Nicole Fisher")</x:f>
      </x:c>
      <x:c r="B1658" t="str" s="2">
        <x:v>Heritage Housing of Oklahoma City</x:v>
      </x:c>
      <x:c r="C1658" t="str" s="2">
        <x:v/>
      </x:c>
      <x:c r="D1658" t="str" s="2">
        <x:v>3036604341</x:v>
      </x:c>
      <x:c r="E1658" t="str" s="2">
        <x:v>3036604341</x:v>
      </x:c>
      <x:c r="F1658" t="str" s="2">
        <x:v>Facebook Messenger</x:v>
      </x:c>
      <x:c r="G1658" t="str" s="2">
        <x:v>Steve Castell</x:v>
      </x:c>
      <x:c r="H1658" s="6">
        <x:v>46274.94403741898</x:v>
      </x:c>
      <x:c r="I1658" t="str" s="2">
        <x:v>Steve Castell</x:v>
      </x:c>
      <x:c r="J1658" s="0"/>
      <x:c r="K1658" s="6">
        <x:v>46274.94403741898</x:v>
      </x:c>
      <x:c r="L1658" t="str" s="2">
        <x:v>Deal Created</x:v>
      </x:c>
    </x:row>
    <x:row r="1659">
      <x:c r="A1659" t="str" s="2">
        <x:f>=HYPERLINK("https://rsms.futurehomex.com/lead/39863", "Rebecca Holt")</x:f>
      </x:c>
      <x:c r="B1659" t="str" s="2">
        <x:v>Heritage Housing of Oklahoma City</x:v>
      </x:c>
      <x:c r="C1659" t="str" s="2">
        <x:v/>
      </x:c>
      <x:c r="D1659" t="str" s="2">
        <x:v>4059022422</x:v>
      </x:c>
      <x:c r="E1659" t="str" s="2">
        <x:v>rebeccaholt485@gmail.com</x:v>
      </x:c>
      <x:c r="F1659" t="str" s="2">
        <x:v>Landing_BPM</x:v>
      </x:c>
      <x:c r="G1659" t="str" s="2">
        <x:v>Trey Rixleben</x:v>
      </x:c>
      <x:c r="H1659" s="6">
        <x:v>46275.00222947916</x:v>
      </x:c>
      <x:c r="I1659" t="str" s="2">
        <x:v>Trey Rixleben</x:v>
      </x:c>
      <x:c r="J1659" s="0"/>
      <x:c r="K1659" s="0"/>
      <x:c r="L1659" t="str" s="2">
        <x:v>Deal Created</x:v>
      </x:c>
    </x:row>
    <x:row r="1660">
      <x:c r="A1660" t="str" s="2">
        <x:f>=HYPERLINK("https://rsms.futurehomex.com/lead/39864", "Leona Rodriguez")</x:f>
      </x:c>
      <x:c r="B1660" t="str" s="2">
        <x:v>Heritage Housing of Oklahoma City</x:v>
      </x:c>
      <x:c r="C1660" t="str" s="2">
        <x:v/>
      </x:c>
      <x:c r="D1660" t="str" s="2">
        <x:v>4055176958</x:v>
      </x:c>
      <x:c r="E1660" t="str" s="2">
        <x:v>heartslovehearts@gmail.com</x:v>
      </x:c>
      <x:c r="F1660" t="str" s="2">
        <x:v>Youtube</x:v>
      </x:c>
      <x:c r="G1660" t="str" s="2">
        <x:v>Trey Rixleben</x:v>
      </x:c>
      <x:c r="H1660" s="6">
        <x:v>46275.19627118055</x:v>
      </x:c>
      <x:c r="I1660" t="str" s="2">
        <x:v>Trey Rixleben</x:v>
      </x:c>
      <x:c r="J1660" s="0"/>
      <x:c r="K1660" s="0"/>
      <x:c r="L1660" t="str" s="2">
        <x:v>Deal Created</x:v>
      </x:c>
    </x:row>
    <x:row r="1661">
      <x:c r="A1661" t="str" s="2">
        <x:f>=HYPERLINK("https://rsms.futurehomex.com/lead/39865", "Kris Kris Blair")</x:f>
      </x:c>
      <x:c r="B1661" t="str" s="2">
        <x:v>Heritage Housing of Oklahoma City</x:v>
      </x:c>
      <x:c r="C1661" t="str" s="2">
        <x:v/>
      </x:c>
      <x:c r="D1661" t="str" s="2">
        <x:v>4053619554</x:v>
      </x:c>
      <x:c r="E1661" t="str" s="2">
        <x:v>ilovelucy482@gmail.com</x:v>
      </x:c>
      <x:c r="F1661" t="str" s="2">
        <x:v>Landing_BPM</x:v>
      </x:c>
      <x:c r="G1661" t="str" s="2">
        <x:v>Trey Rixleben</x:v>
      </x:c>
      <x:c r="H1661" s="6">
        <x:v>46275.446602083335</x:v>
      </x:c>
      <x:c r="I1661" t="str" s="2">
        <x:v>Trey Rixleben</x:v>
      </x:c>
      <x:c r="J1661" s="0"/>
      <x:c r="K1661" s="0"/>
      <x:c r="L1661" t="str" s="2">
        <x:v>Deal Created</x:v>
      </x:c>
    </x:row>
    <x:row r="1662">
      <x:c r="A1662" t="str" s="2">
        <x:f>=HYPERLINK("https://rsms.futurehomex.com/lead/39876", "Milli Hall")</x:f>
      </x:c>
      <x:c r="B1662" t="str" s="2">
        <x:v>Heritage Housing of Athens</x:v>
      </x:c>
      <x:c r="C1662" t="str" s="2">
        <x:v/>
      </x:c>
      <x:c r="D1662" t="str" s="2">
        <x:v>4042028952</x:v>
      </x:c>
      <x:c r="E1662" t="str" s="2">
        <x:v>mhall0223@gmail.com</x:v>
      </x:c>
      <x:c r="F1662" t="str" s="2">
        <x:v>Walk-in</x:v>
      </x:c>
      <x:c r="G1662" t="str" s="2">
        <x:v>Ethan Fossett</x:v>
      </x:c>
      <x:c r="H1662" s="6">
        <x:v>46275.668396030094</x:v>
      </x:c>
      <x:c r="I1662" t="str" s="2">
        <x:v>Ethan Fossett</x:v>
      </x:c>
      <x:c r="J1662" s="0"/>
      <x:c r="K1662" s="6">
        <x:v>46275.668396030094</x:v>
      </x:c>
      <x:c r="L1662" t="str" s="2">
        <x:v>Deal Created</x:v>
      </x:c>
    </x:row>
    <x:row r="1663">
      <x:c r="A1663" t="str" s="2">
        <x:f>=HYPERLINK("https://rsms.futurehomex.com/lead/39883", "Earneast Kellum")</x:f>
      </x:c>
      <x:c r="B1663" t="str" s="2">
        <x:v>Heritage Housing of Tulsa</x:v>
      </x:c>
      <x:c r="C1663" t="str" s="2">
        <x:v/>
      </x:c>
      <x:c r="D1663" t="str" s="2">
        <x:v>9188616205</x:v>
      </x:c>
      <x:c r="E1663" t="str" s="2">
        <x:v>earneastkellum33@gmail.com</x:v>
      </x:c>
      <x:c r="F1663" t="str" s="2">
        <x:v>Walk-in</x:v>
      </x:c>
      <x:c r="G1663" t="str" s="2">
        <x:v>Jenna Fransisco</x:v>
      </x:c>
      <x:c r="H1663" s="6">
        <x:v>46275.79808001158</x:v>
      </x:c>
      <x:c r="I1663" t="str" s="2">
        <x:v>Jenna Fransisco</x:v>
      </x:c>
      <x:c r="J1663" s="0"/>
      <x:c r="K1663" s="6">
        <x:v>46275.79808001158</x:v>
      </x:c>
      <x:c r="L1663" t="str" s="2">
        <x:v>Deal Created</x:v>
      </x:c>
    </x:row>
    <x:row r="1664">
      <x:c r="A1664" t="str" s="2">
        <x:f>=HYPERLINK("https://rsms.futurehomex.com/lead/39884", "Glen Knight")</x:f>
      </x:c>
      <x:c r="B1664" t="str" s="2">
        <x:v>Heritage Housing of Oklahoma City</x:v>
      </x:c>
      <x:c r="C1664" t="str" s="2">
        <x:v/>
      </x:c>
      <x:c r="D1664" t="str" s="2">
        <x:v>4055853608</x:v>
      </x:c>
      <x:c r="E1664" t="str" s="2">
        <x:v>gknight6011@yahoo.com</x:v>
      </x:c>
      <x:c r="F1664" t="str" s="2">
        <x:v>Facebook Messenger</x:v>
      </x:c>
      <x:c r="G1664" t="str" s="2">
        <x:v>Steve Castell</x:v>
      </x:c>
      <x:c r="H1664" s="6">
        <x:v>46275.85405833333</x:v>
      </x:c>
      <x:c r="I1664" t="str" s="2">
        <x:v>Steve Castell</x:v>
      </x:c>
      <x:c r="J1664" s="0"/>
      <x:c r="K1664" s="6">
        <x:v>46275.85405833333</x:v>
      </x:c>
      <x:c r="L1664" t="str" s="2">
        <x:v>Deal Created</x:v>
      </x:c>
    </x:row>
    <x:row r="1665">
      <x:c r="A1665" t="str" s="2">
        <x:f>=HYPERLINK("https://rsms.futurehomex.com/lead/40050", "Michael Landrith")</x:f>
      </x:c>
      <x:c r="B1665" t="str" s="2">
        <x:v>Heritage Housing of Oklahoma City</x:v>
      </x:c>
      <x:c r="C1665" t="str" s="2">
        <x:v/>
      </x:c>
      <x:c r="D1665" t="str" s="2">
        <x:v>4052553246</x:v>
      </x:c>
      <x:c r="E1665" t="str" s="2">
        <x:v>4052553246</x:v>
      </x:c>
      <x:c r="F1665" t="str" s="2">
        <x:v>Facebook Messenger</x:v>
      </x:c>
      <x:c r="G1665" t="str" s="2">
        <x:v>Steve Castell</x:v>
      </x:c>
      <x:c r="H1665" s="6">
        <x:v>46275.876756631944</x:v>
      </x:c>
      <x:c r="I1665" t="str" s="2">
        <x:v>Steve Castell</x:v>
      </x:c>
      <x:c r="J1665" s="6">
        <x:v>46277.8125</x:v>
      </x:c>
      <x:c r="K1665" s="6">
        <x:v>46281.10243518519</x:v>
      </x:c>
      <x:c r="L1665" t="str" s="2">
        <x:v>Deal Created</x:v>
      </x:c>
    </x:row>
    <x:row r="1666">
      <x:c r="A1666" t="str" s="2">
        <x:f>=HYPERLINK("https://rsms.futurehomex.com/lead/39893", "Michael Edwards")</x:f>
      </x:c>
      <x:c r="B1666" t="str" s="2">
        <x:v>Heritage Housing of Oklahoma City</x:v>
      </x:c>
      <x:c r="C1666" t="str" s="2">
        <x:v/>
      </x:c>
      <x:c r="D1666" t="str" s="2">
        <x:v>4059204421</x:v>
      </x:c>
      <x:c r="E1666" t="str" s="2">
        <x:v>Edwrdturf@gmail.com</x:v>
      </x:c>
      <x:c r="F1666" t="str" s="2">
        <x:v>Landing_BPM</x:v>
      </x:c>
      <x:c r="G1666" t="str" s="2">
        <x:v>Trey Rixleben</x:v>
      </x:c>
      <x:c r="H1666" s="6">
        <x:v>46276.180236458335</x:v>
      </x:c>
      <x:c r="I1666" t="str" s="2">
        <x:v>Trey Rixleben</x:v>
      </x:c>
      <x:c r="J1666" s="0"/>
      <x:c r="K1666" s="0"/>
      <x:c r="L1666" t="str" s="2">
        <x:v>Deal Created</x:v>
      </x:c>
    </x:row>
    <x:row r="1667">
      <x:c r="A1667" t="str" s="2">
        <x:f>=HYPERLINK("https://rsms.futurehomex.com/lead/39895", "Lindsay Vanbuskirk")</x:f>
      </x:c>
      <x:c r="B1667" t="str" s="2">
        <x:v>Heritage Housing of Oklahoma City</x:v>
      </x:c>
      <x:c r="C1667" t="str" s="2">
        <x:v/>
      </x:c>
      <x:c r="D1667" t="str" s="2">
        <x:v>5806302729</x:v>
      </x:c>
      <x:c r="E1667" t="str" s="2">
        <x:v>vlindsay860@gmail.com</x:v>
      </x:c>
      <x:c r="F1667" t="str" s="2">
        <x:v>Landing_BPM</x:v>
      </x:c>
      <x:c r="G1667" t="str" s="2">
        <x:v>Steve Castell</x:v>
      </x:c>
      <x:c r="H1667" s="6">
        <x:v>46276.355138391205</x:v>
      </x:c>
      <x:c r="I1667" t="str" s="2">
        <x:v>Steve Castell</x:v>
      </x:c>
      <x:c r="J1667" s="0"/>
      <x:c r="K1667" s="6">
        <x:v>46276.609354085645</x:v>
      </x:c>
      <x:c r="L1667" t="str" s="2">
        <x:v>Deal Created</x:v>
      </x:c>
    </x:row>
    <x:row r="1668">
      <x:c r="A1668" t="str" s="2">
        <x:f>=HYPERLINK("https://rsms.futurehomex.com/lead/39892", "Scott Rose")</x:f>
      </x:c>
      <x:c r="B1668" t="str" s="2">
        <x:v>Heritage Housing of Oklahoma City</x:v>
      </x:c>
      <x:c r="C1668" t="str" s="2">
        <x:v/>
      </x:c>
      <x:c r="D1668" t="str" s="2">
        <x:v>4056239276</x:v>
      </x:c>
      <x:c r="E1668" t="str" s="2">
        <x:v>4056239276</x:v>
      </x:c>
      <x:c r="F1668" t="str" s="2">
        <x:v>Office Hot Calls</x:v>
      </x:c>
      <x:c r="G1668" t="str" s="2">
        <x:v>Trey Rixleben</x:v>
      </x:c>
      <x:c r="H1668" s="6">
        <x:v>46276.59571894676</x:v>
      </x:c>
      <x:c r="I1668" t="str" s="2">
        <x:v>Trey Rixleben</x:v>
      </x:c>
      <x:c r="J1668" s="0"/>
      <x:c r="K1668" s="6">
        <x:v>46276.59571894676</x:v>
      </x:c>
      <x:c r="L1668" t="str" s="2">
        <x:v>Deal Created</x:v>
      </x:c>
    </x:row>
    <x:row r="1669">
      <x:c r="A1669" t="str" s="2">
        <x:f>=HYPERLINK("https://rsms.futurehomex.com/lead/39896", "Georgia Bussey")</x:f>
      </x:c>
      <x:c r="B1669" t="str" s="2">
        <x:v>Heritage Housing of Oklahoma City</x:v>
      </x:c>
      <x:c r="C1669" t="str" s="2">
        <x:v/>
      </x:c>
      <x:c r="D1669" t="str" s="2">
        <x:v>5394249129</x:v>
      </x:c>
      <x:c r="E1669" t="str" s="2">
        <x:v>georgiatran536@gmail.com</x:v>
      </x:c>
      <x:c r="F1669" t="str" s="2">
        <x:v>Youtube</x:v>
      </x:c>
      <x:c r="G1669" t="str" s="2">
        <x:v>Trey Rixleben</x:v>
      </x:c>
      <x:c r="H1669" s="6">
        <x:v>46276.61182488426</x:v>
      </x:c>
      <x:c r="I1669" t="str" s="2">
        <x:v>Trey Rixleben</x:v>
      </x:c>
      <x:c r="J1669" s="0"/>
      <x:c r="K1669" s="0"/>
      <x:c r="L1669" t="str" s="2">
        <x:v>Deal Created</x:v>
      </x:c>
    </x:row>
    <x:row r="1670">
      <x:c r="A1670" t="str" s="2">
        <x:f>=HYPERLINK("https://rsms.futurehomex.com/lead/40206", "Katlin Morowski")</x:f>
      </x:c>
      <x:c r="B1670" t="str" s="2">
        <x:v>Heritage Housing of Oklahoma City</x:v>
      </x:c>
      <x:c r="C1670" t="str" s="2">
        <x:v/>
      </x:c>
      <x:c r="D1670" t="str" s="2">
        <x:v>4055851337</x:v>
      </x:c>
      <x:c r="E1670" t="str" s="2">
        <x:v>katlinmorowski0@gmail.com</x:v>
      </x:c>
      <x:c r="F1670" t="str" s="2">
        <x:v>Landing_BPM</x:v>
      </x:c>
      <x:c r="G1670" t="str" s="2">
        <x:v>Steve Castell</x:v>
      </x:c>
      <x:c r="H1670" s="6">
        <x:v>46276.733823807874</x:v>
      </x:c>
      <x:c r="I1670" t="str" s="2">
        <x:v>Steve Castell</x:v>
      </x:c>
      <x:c r="J1670" s="6">
        <x:v>46284.625</x:v>
      </x:c>
      <x:c r="K1670" s="6">
        <x:v>46284.92769390046</x:v>
      </x:c>
      <x:c r="L1670" t="str" s="2">
        <x:v>Deal Created</x:v>
      </x:c>
    </x:row>
    <x:row r="1671">
      <x:c r="A1671" t="str" s="2">
        <x:f>=HYPERLINK("https://rsms.futurehomex.com/lead/39908", "Joey Marquez")</x:f>
      </x:c>
      <x:c r="B1671" t="str" s="2">
        <x:v>Legacy Housing Corp. DBA Americasa</x:v>
      </x:c>
      <x:c r="C1671" t="str" s="2">
        <x:v/>
      </x:c>
      <x:c r="D1671" t="str" s="2">
        <x:v>3108060381</x:v>
      </x:c>
      <x:c r="E1671" t="str" s="2">
        <x:v>marquezriverajoey@gmail.com</x:v>
      </x:c>
      <x:c r="F1671" t="str" s="2">
        <x:v>Other</x:v>
      </x:c>
      <x:c r="G1671" t="str" s="2">
        <x:v>Joey Marquez</x:v>
      </x:c>
      <x:c r="H1671" s="6">
        <x:v>46276.79580980324</x:v>
      </x:c>
      <x:c r="I1671" t="str" s="2">
        <x:v>Joey Marquez</x:v>
      </x:c>
      <x:c r="J1671" s="0"/>
      <x:c r="K1671" s="6">
        <x:v>46276.79580980324</x:v>
      </x:c>
      <x:c r="L1671" t="str" s="2">
        <x:v>Deal Created</x:v>
      </x:c>
    </x:row>
    <x:row r="1672">
      <x:c r="A1672" t="str" s="2">
        <x:f>=HYPERLINK("https://rsms.futurehomex.com/lead/39909", "Gary Hall")</x:f>
      </x:c>
      <x:c r="B1672" t="str" s="2">
        <x:v>Heritage Housing of Oklahoma City</x:v>
      </x:c>
      <x:c r="C1672" t="str" s="2">
        <x:v/>
      </x:c>
      <x:c r="D1672" t="str" s="2">
        <x:v>4054260201</x:v>
      </x:c>
      <x:c r="E1672" t="str" s="2">
        <x:v>sinix6868@gmail.com</x:v>
      </x:c>
      <x:c r="F1672" t="str" s="2">
        <x:v>Walk-in</x:v>
      </x:c>
      <x:c r="G1672" t="str" s="2">
        <x:v>Trey Rixleben</x:v>
      </x:c>
      <x:c r="H1672" s="6">
        <x:v>46276.79834375</x:v>
      </x:c>
      <x:c r="I1672" t="str" s="2">
        <x:v>Trey Rixleben</x:v>
      </x:c>
      <x:c r="J1672" s="0"/>
      <x:c r="K1672" s="6">
        <x:v>46276.79834375</x:v>
      </x:c>
      <x:c r="L1672" t="str" s="2">
        <x:v>Deal Created</x:v>
      </x:c>
    </x:row>
    <x:row r="1673">
      <x:c r="A1673" t="str" s="2">
        <x:f>=HYPERLINK("https://rsms.futurehomex.com/lead/39924", "cristine alcon-walker")</x:f>
      </x:c>
      <x:c r="B1673" t="str" s="2">
        <x:v>Heritage Housing of Oklahoma City</x:v>
      </x:c>
      <x:c r="C1673" t="str" s="2">
        <x:v/>
      </x:c>
      <x:c r="D1673" t="str" s="2">
        <x:v>4058028063</x:v>
      </x:c>
      <x:c r="E1673" t="str" s="2">
        <x:v>cristine.bridges12@gmail.com</x:v>
      </x:c>
      <x:c r="F1673" t="str" s="2">
        <x:v>Website</x:v>
      </x:c>
      <x:c r="G1673" t="str" s="2">
        <x:v>Trey Rixleben</x:v>
      </x:c>
      <x:c r="H1673" s="6">
        <x:v>46276.80248989583</x:v>
      </x:c>
      <x:c r="I1673" t="str" s="2">
        <x:v>Trey Rixleben</x:v>
      </x:c>
      <x:c r="J1673" s="0"/>
      <x:c r="K1673" s="0"/>
      <x:c r="L1673" t="str" s="2">
        <x:v>Deal Created</x:v>
      </x:c>
    </x:row>
    <x:row r="1674">
      <x:c r="A1674" t="str" s="2">
        <x:f>=HYPERLINK("https://rsms.futurehomex.com/lead/39911", "Kara Smith")</x:f>
      </x:c>
      <x:c r="B1674" t="str" s="2">
        <x:v>Heritage Housing of Oklahoma City</x:v>
      </x:c>
      <x:c r="C1674" t="str" s="2">
        <x:v/>
      </x:c>
      <x:c r="D1674" t="str" s="2">
        <x:v>4057041866</x:v>
      </x:c>
      <x:c r="E1674" t="str" s="2">
        <x:v>karawashburnfreedom@gmail.com</x:v>
      </x:c>
      <x:c r="F1674" t="str" s="2">
        <x:v>Landing_BPM</x:v>
      </x:c>
      <x:c r="G1674" t="str" s="2">
        <x:v>Steve Castell</x:v>
      </x:c>
      <x:c r="H1674" s="6">
        <x:v>46276.80568171296</x:v>
      </x:c>
      <x:c r="I1674" t="str" s="2">
        <x:v>Steve Castell</x:v>
      </x:c>
      <x:c r="J1674" s="0"/>
      <x:c r="K1674" s="0"/>
      <x:c r="L1674" t="str" s="2">
        <x:v>Deal Created</x:v>
      </x:c>
    </x:row>
    <x:row r="1675">
      <x:c r="A1675" t="str" s="2">
        <x:f>=HYPERLINK("https://rsms.futurehomex.com/lead/39920", "Trevor McNulty")</x:f>
      </x:c>
      <x:c r="B1675" t="str" s="2">
        <x:v>Heritage Housing of Oklahoma City</x:v>
      </x:c>
      <x:c r="C1675" t="str" s="2">
        <x:v/>
      </x:c>
      <x:c r="D1675" t="str" s="2">
        <x:v>4057475337</x:v>
      </x:c>
      <x:c r="E1675" t="str" s="2">
        <x:v>TREVORS.MCNULTY@YAHOO.COM</x:v>
      </x:c>
      <x:c r="F1675" t="str" s="2">
        <x:v>LandingPage</x:v>
      </x:c>
      <x:c r="G1675" t="str" s="2">
        <x:v>Trey Rixleben</x:v>
      </x:c>
      <x:c r="H1675" s="6">
        <x:v>46276.82533892361</x:v>
      </x:c>
      <x:c r="I1675" t="str" s="2">
        <x:v>Trey Rixleben</x:v>
      </x:c>
      <x:c r="J1675" s="0"/>
      <x:c r="K1675" s="0"/>
      <x:c r="L1675" t="str" s="2">
        <x:v>Deal Created</x:v>
      </x:c>
    </x:row>
    <x:row r="1676">
      <x:c r="A1676" t="str" s="2">
        <x:f>=HYPERLINK("https://rsms.futurehomex.com/lead/39915", "Michael Craft")</x:f>
      </x:c>
      <x:c r="B1676" t="str" s="2">
        <x:v>Heritage Housing of Oklahoma City</x:v>
      </x:c>
      <x:c r="C1676" t="str" s="2">
        <x:v/>
      </x:c>
      <x:c r="D1676" t="str" s="2">
        <x:v>4056041615</x:v>
      </x:c>
      <x:c r="E1676" t="str" s="2">
        <x:v>craftywerks@gmail.com</x:v>
      </x:c>
      <x:c r="F1676" t="str" s="2">
        <x:v>Youtube</x:v>
      </x:c>
      <x:c r="G1676" t="str" s="2">
        <x:v>Steve Castell</x:v>
      </x:c>
      <x:c r="H1676" s="6">
        <x:v>46276.84794641204</x:v>
      </x:c>
      <x:c r="I1676" t="str" s="2">
        <x:v>Steve Castell</x:v>
      </x:c>
      <x:c r="J1676" s="0"/>
      <x:c r="K1676" s="0"/>
      <x:c r="L1676" t="str" s="2">
        <x:v>Deal Created</x:v>
      </x:c>
    </x:row>
    <x:row r="1677">
      <x:c r="A1677" t="str" s="2">
        <x:f>=HYPERLINK("https://rsms.futurehomex.com/lead/39921", "Clay Nye")</x:f>
      </x:c>
      <x:c r="B1677" t="str" s="2">
        <x:v>Heritage Housing of Oklahoma City</x:v>
      </x:c>
      <x:c r="C1677" t="str" s="2">
        <x:v/>
      </x:c>
      <x:c r="D1677" t="str" s="2">
        <x:v>5805717845</x:v>
      </x:c>
      <x:c r="E1677" t="str" s="2">
        <x:v>nyeclay75@gmail.com</x:v>
      </x:c>
      <x:c r="F1677" t="str" s="2">
        <x:v>Youtube</x:v>
      </x:c>
      <x:c r="G1677" t="str" s="2">
        <x:v>Trey Rixleben</x:v>
      </x:c>
      <x:c r="H1677" s="6">
        <x:v>46276.93446863426</x:v>
      </x:c>
      <x:c r="I1677" t="str" s="2">
        <x:v>Trey Rixleben</x:v>
      </x:c>
      <x:c r="J1677" s="0"/>
      <x:c r="K1677" s="0"/>
      <x:c r="L1677" t="str" s="2">
        <x:v>Deal Created</x:v>
      </x:c>
    </x:row>
    <x:row r="1678">
      <x:c r="A1678" t="str" s="2">
        <x:f>=HYPERLINK("https://rsms.futurehomex.com/lead/40174", "michelle anderson")</x:f>
      </x:c>
      <x:c r="B1678" t="str" s="2">
        <x:v>Heritage Housing of Oklahoma City</x:v>
      </x:c>
      <x:c r="C1678" t="str" s="2">
        <x:v/>
      </x:c>
      <x:c r="D1678" t="str" s="2">
        <x:v>4052270487</x:v>
      </x:c>
      <x:c r="E1678" t="str" s="2">
        <x:v>MEKASBEADS@GMAIL.COM</x:v>
      </x:c>
      <x:c r="F1678" t="str" s="2">
        <x:v>Youtube</x:v>
      </x:c>
      <x:c r="G1678" t="str" s="2">
        <x:v>Steve Castell</x:v>
      </x:c>
      <x:c r="H1678" s="6">
        <x:v>46276.94756956019</x:v>
      </x:c>
      <x:c r="I1678" t="str" s="2">
        <x:v>Steve Castell</x:v>
      </x:c>
      <x:c r="J1678" s="6">
        <x:v>46283.75</x:v>
      </x:c>
      <x:c r="K1678" s="6">
        <x:v>46284.59718831019</x:v>
      </x:c>
      <x:c r="L1678" t="str" s="2">
        <x:v>Deal Created</x:v>
      </x:c>
    </x:row>
    <x:row r="1679">
      <x:c r="A1679" t="str" s="2">
        <x:f>=HYPERLINK("https://rsms.futurehomex.com/lead/39925", "Roxanna Gray")</x:f>
      </x:c>
      <x:c r="B1679" t="str" s="2">
        <x:v>Heritage Housing of Oklahoma City</x:v>
      </x:c>
      <x:c r="C1679" t="str" s="2">
        <x:v/>
      </x:c>
      <x:c r="D1679" t="str" s="2">
        <x:v>7753383450</x:v>
      </x:c>
      <x:c r="E1679" t="str" s="2">
        <x:v>grayrosanna3129@gmail.com</x:v>
      </x:c>
      <x:c r="F1679" t="str" s="2">
        <x:v>Youtube</x:v>
      </x:c>
      <x:c r="G1679" t="str" s="2">
        <x:v>Trey Rixleben</x:v>
      </x:c>
      <x:c r="H1679" s="6">
        <x:v>46276.98564143518</x:v>
      </x:c>
      <x:c r="I1679" t="str" s="2">
        <x:v>Trey Rixleben</x:v>
      </x:c>
      <x:c r="J1679" s="0"/>
      <x:c r="K1679" s="0"/>
      <x:c r="L1679" t="str" s="2">
        <x:v>Deal Created</x:v>
      </x:c>
    </x:row>
    <x:row r="1680">
      <x:c r="A1680" t="str" s="2">
        <x:f>=HYPERLINK("https://rsms.futurehomex.com/lead/39926", "Darlene LaMar")</x:f>
      </x:c>
      <x:c r="B1680" t="str" s="2">
        <x:v>Heritage Housing of Oklahoma City</x:v>
      </x:c>
      <x:c r="C1680" t="str" s="2">
        <x:v/>
      </x:c>
      <x:c r="D1680" t="str" s="2">
        <x:v>4793538821</x:v>
      </x:c>
      <x:c r="E1680" t="str" s="2">
        <x:v>arts_lamar_1999@yahoo.com</x:v>
      </x:c>
      <x:c r="F1680" t="str" s="2">
        <x:v>Youtube</x:v>
      </x:c>
      <x:c r="G1680" t="str" s="2">
        <x:v>Steve Castell</x:v>
      </x:c>
      <x:c r="H1680" s="6">
        <x:v>46277.04349818287</x:v>
      </x:c>
      <x:c r="I1680" t="str" s="2">
        <x:v>Steve Castell</x:v>
      </x:c>
      <x:c r="J1680" s="0"/>
      <x:c r="K1680" s="6">
        <x:v>46277.068591979165</x:v>
      </x:c>
      <x:c r="L1680" t="str" s="2">
        <x:v>Deal Created</x:v>
      </x:c>
    </x:row>
    <x:row r="1681">
      <x:c r="A1681" t="str" s="2">
        <x:f>=HYPERLINK("https://rsms.futurehomex.com/lead/39927", "Sarah Grifiin")</x:f>
      </x:c>
      <x:c r="B1681" t="str" s="2">
        <x:v>Heritage Housing of Oklahoma City</x:v>
      </x:c>
      <x:c r="C1681" t="str" s="2">
        <x:v/>
      </x:c>
      <x:c r="D1681" t="str" s="2">
        <x:v>4055967667</x:v>
      </x:c>
      <x:c r="E1681" t="str" s="2">
        <x:v>sarahgrifiin@gmail.com</x:v>
      </x:c>
      <x:c r="F1681" t="str" s="2">
        <x:v>Landing_BPM</x:v>
      </x:c>
      <x:c r="G1681" t="str" s="2">
        <x:v>Trey Rixleben</x:v>
      </x:c>
      <x:c r="H1681" s="6">
        <x:v>46277.11617565972</x:v>
      </x:c>
      <x:c r="I1681" t="str" s="2">
        <x:v>Trey Rixleben</x:v>
      </x:c>
      <x:c r="J1681" s="0"/>
      <x:c r="K1681" s="0"/>
      <x:c r="L1681" t="str" s="2">
        <x:v>Deal Created</x:v>
      </x:c>
    </x:row>
    <x:row r="1682">
      <x:c r="A1682" t="str" s="2">
        <x:f>=HYPERLINK("https://rsms.futurehomex.com/lead/40042", "Tiffany Hernandez")</x:f>
      </x:c>
      <x:c r="B1682" t="str" s="2">
        <x:v>Heritage Housing of Oklahoma City</x:v>
      </x:c>
      <x:c r="C1682" t="str" s="2">
        <x:v/>
      </x:c>
      <x:c r="D1682" t="str" s="2">
        <x:v>4059130542</x:v>
      </x:c>
      <x:c r="E1682" t="str" s="2">
        <x:v>tiffanymansfield55@gmail.com</x:v>
      </x:c>
      <x:c r="F1682" t="str" s="2">
        <x:v>LandingPage</x:v>
      </x:c>
      <x:c r="G1682" t="str" s="2">
        <x:v>Alejandra Calderon</x:v>
      </x:c>
      <x:c r="H1682" s="6">
        <x:v>46277.1726434375</x:v>
      </x:c>
      <x:c r="I1682" t="str" s="2">
        <x:v>Noemi Rojo</x:v>
      </x:c>
      <x:c r="J1682" s="6">
        <x:v>46280.666666666664</x:v>
      </x:c>
      <x:c r="K1682" s="6">
        <x:v>46280.90283556713</x:v>
      </x:c>
      <x:c r="L1682" t="str" s="2">
        <x:v>Deal Created</x:v>
      </x:c>
    </x:row>
    <x:row r="1683">
      <x:c r="A1683" t="str" s="2">
        <x:f>=HYPERLINK("https://rsms.futurehomex.com/lead/39928", "Timothy jones")</x:f>
      </x:c>
      <x:c r="B1683" t="str" s="2">
        <x:v>Heritage Housing of Oklahoma City</x:v>
      </x:c>
      <x:c r="C1683" t="str" s="2">
        <x:v/>
      </x:c>
      <x:c r="D1683" t="str" s="2">
        <x:v>8036160298</x:v>
      </x:c>
      <x:c r="E1683" t="str" s="2">
        <x:v>t47012651@gmail.com</x:v>
      </x:c>
      <x:c r="F1683" t="str" s="2">
        <x:v>Landing_BPM</x:v>
      </x:c>
      <x:c r="G1683" t="str" s="2">
        <x:v>Trey Rixleben</x:v>
      </x:c>
      <x:c r="H1683" s="6">
        <x:v>46277.556863854166</x:v>
      </x:c>
      <x:c r="I1683" t="str" s="2">
        <x:v>Trey Rixleben</x:v>
      </x:c>
      <x:c r="J1683" s="0"/>
      <x:c r="K1683" s="0"/>
      <x:c r="L1683" t="str" s="2">
        <x:v>Deal Created</x:v>
      </x:c>
    </x:row>
    <x:row r="1684">
      <x:c r="A1684" t="str" s="2">
        <x:f>=HYPERLINK("https://rsms.futurehomex.com/lead/39957", "Lisa Smith")</x:f>
      </x:c>
      <x:c r="B1684" t="str" s="2">
        <x:v>Heritage Housing of Oklahoma City</x:v>
      </x:c>
      <x:c r="C1684" t="str" s="2">
        <x:v/>
      </x:c>
      <x:c r="D1684" t="str" s="2">
        <x:v>9186237739</x:v>
      </x:c>
      <x:c r="E1684" t="str" s="2">
        <x:v>windchime05@yahoo.com</x:v>
      </x:c>
      <x:c r="F1684" t="str" s="2">
        <x:v>Website</x:v>
      </x:c>
      <x:c r="G1684" t="str" s="2">
        <x:v>Trey Rixleben</x:v>
      </x:c>
      <x:c r="H1684" s="6">
        <x:v>46277.55983568287</x:v>
      </x:c>
      <x:c r="I1684" t="str" s="2">
        <x:v>Trey Rixleben</x:v>
      </x:c>
      <x:c r="J1684" s="0"/>
      <x:c r="K1684" s="0"/>
      <x:c r="L1684" t="str" s="2">
        <x:v>Deal Created</x:v>
      </x:c>
    </x:row>
    <x:row r="1685">
      <x:c r="A1685" t="str" s="2">
        <x:f>=HYPERLINK("https://rsms.futurehomex.com/lead/39931", "Cheline Harris")</x:f>
      </x:c>
      <x:c r="B1685" t="str" s="2">
        <x:v>Heritage Housing of Oklahoma City</x:v>
      </x:c>
      <x:c r="C1685" t="str" s="2">
        <x:v/>
      </x:c>
      <x:c r="D1685" t="str" s="2">
        <x:v>5804575537</x:v>
      </x:c>
      <x:c r="E1685" t="str" s="2">
        <x:v>cheline292@gmail.com</x:v>
      </x:c>
      <x:c r="F1685" t="str" s="2">
        <x:v>Youtube</x:v>
      </x:c>
      <x:c r="G1685" t="str" s="2">
        <x:v>Steve Castell</x:v>
      </x:c>
      <x:c r="H1685" s="6">
        <x:v>46277.56084042824</x:v>
      </x:c>
      <x:c r="I1685" t="str" s="2">
        <x:v>Steve Castell</x:v>
      </x:c>
      <x:c r="J1685" s="0"/>
      <x:c r="K1685" s="6">
        <x:v>46277.58492630787</x:v>
      </x:c>
      <x:c r="L1685" t="str" s="2">
        <x:v>Deal Created</x:v>
      </x:c>
    </x:row>
    <x:row r="1686">
      <x:c r="A1686" t="str" s="2">
        <x:f>=HYPERLINK("https://rsms.futurehomex.com/lead/39956", "Rainey Linville")</x:f>
      </x:c>
      <x:c r="B1686" t="str" s="2">
        <x:v>Heritage Housing of Oklahoma City</x:v>
      </x:c>
      <x:c r="C1686" t="str" s="2">
        <x:v/>
      </x:c>
      <x:c r="D1686" t="str" s="2">
        <x:v>9183603952</x:v>
      </x:c>
      <x:c r="E1686" t="str" s="2">
        <x:v>linvillerainey@gmail.com</x:v>
      </x:c>
      <x:c r="F1686" t="str" s="2">
        <x:v>Website</x:v>
      </x:c>
      <x:c r="G1686" t="str" s="2">
        <x:v>Trey Rixleben</x:v>
      </x:c>
      <x:c r="H1686" s="6">
        <x:v>46277.610619872685</x:v>
      </x:c>
      <x:c r="I1686" t="str" s="2">
        <x:v>Trey Rixleben</x:v>
      </x:c>
      <x:c r="J1686" s="0"/>
      <x:c r="K1686" s="0"/>
      <x:c r="L1686" t="str" s="2">
        <x:v>Deal Created</x:v>
      </x:c>
    </x:row>
    <x:row r="1687">
      <x:c r="A1687" t="str" s="2">
        <x:f>=HYPERLINK("https://rsms.futurehomex.com/lead/39945", "Karim Coleman")</x:f>
      </x:c>
      <x:c r="B1687" t="str" s="2">
        <x:v>Heritage Housing of Oklahoma City</x:v>
      </x:c>
      <x:c r="C1687" t="str" s="2">
        <x:v/>
      </x:c>
      <x:c r="D1687" t="str" s="2">
        <x:v>4058028138</x:v>
      </x:c>
      <x:c r="E1687" t="str" s="2">
        <x:v>back2basics44@gmail.com</x:v>
      </x:c>
      <x:c r="F1687" t="str" s="2">
        <x:v>Landing_BPM</x:v>
      </x:c>
      <x:c r="G1687" t="str" s="2">
        <x:v>Steve Castell</x:v>
      </x:c>
      <x:c r="H1687" s="6">
        <x:v>46277.62228333333</x:v>
      </x:c>
      <x:c r="I1687" t="str" s="2">
        <x:v>Steve Castell</x:v>
      </x:c>
      <x:c r="J1687" s="0"/>
      <x:c r="K1687" s="6">
        <x:v>46277.74044259259</x:v>
      </x:c>
      <x:c r="L1687" t="str" s="2">
        <x:v>Deal Created</x:v>
      </x:c>
    </x:row>
    <x:row r="1688">
      <x:c r="A1688" t="str" s="2">
        <x:f>=HYPERLINK("https://rsms.futurehomex.com/lead/39955", "Katina Green")</x:f>
      </x:c>
      <x:c r="B1688" t="str" s="2">
        <x:v>Heritage Housing of Oklahoma City</x:v>
      </x:c>
      <x:c r="C1688" t="str" s="2">
        <x:v/>
      </x:c>
      <x:c r="D1688" t="str" s="2">
        <x:v>4056564875</x:v>
      </x:c>
      <x:c r="E1688" t="str" s="2">
        <x:v>katinargreen@gmail.com</x:v>
      </x:c>
      <x:c r="F1688" t="str" s="2">
        <x:v>Youtube</x:v>
      </x:c>
      <x:c r="G1688" t="str" s="2">
        <x:v>Trey Rixleben</x:v>
      </x:c>
      <x:c r="H1688" s="6">
        <x:v>46277.62629548611</x:v>
      </x:c>
      <x:c r="I1688" t="str" s="2">
        <x:v>Trey Rixleben</x:v>
      </x:c>
      <x:c r="J1688" s="0"/>
      <x:c r="K1688" s="0"/>
      <x:c r="L1688" t="str" s="2">
        <x:v>Deal Created</x:v>
      </x:c>
    </x:row>
    <x:row r="1689">
      <x:c r="A1689" t="str" s="2">
        <x:f>=HYPERLINK("https://rsms.futurehomex.com/lead/39939", "Prescott Hayden")</x:f>
      </x:c>
      <x:c r="B1689" t="str" s="2">
        <x:v>Heritage Housing of Athens</x:v>
      </x:c>
      <x:c r="C1689" t="str" s="2">
        <x:v/>
      </x:c>
      <x:c r="D1689" t="str" s="2">
        <x:v>4044686407</x:v>
      </x:c>
      <x:c r="E1689" t="str" s="2">
        <x:v>4044686407</x:v>
      </x:c>
      <x:c r="F1689" t="str" s="2">
        <x:v>Walk-in</x:v>
      </x:c>
      <x:c r="G1689" t="str" s="2">
        <x:v>Nathan Bishop</x:v>
      </x:c>
      <x:c r="H1689" s="6">
        <x:v>46277.67337739583</x:v>
      </x:c>
      <x:c r="I1689" t="str" s="2">
        <x:v>Nathan Bishop</x:v>
      </x:c>
      <x:c r="J1689" s="0"/>
      <x:c r="K1689" s="6">
        <x:v>46277.67337739583</x:v>
      </x:c>
      <x:c r="L1689" t="str" s="2">
        <x:v>Deal Created</x:v>
      </x:c>
    </x:row>
    <x:row r="1690">
      <x:c r="A1690" t="str" s="2">
        <x:f>=HYPERLINK("https://rsms.futurehomex.com/lead/39942", "Callie Smith")</x:f>
      </x:c>
      <x:c r="B1690" t="str" s="2">
        <x:v>Heritage Housing of Minden</x:v>
      </x:c>
      <x:c r="C1690" t="str" s="2">
        <x:v/>
      </x:c>
      <x:c r="D1690" t="str" s="2">
        <x:v>3185471922</x:v>
      </x:c>
      <x:c r="E1690" t="str" s="2">
        <x:v>3185471922</x:v>
      </x:c>
      <x:c r="F1690" t="str" s="2">
        <x:v>Walk-in</x:v>
      </x:c>
      <x:c r="G1690" t="str" s="2">
        <x:v>Patrick Schuchart</x:v>
      </x:c>
      <x:c r="H1690" s="6">
        <x:v>46277.71441084491</x:v>
      </x:c>
      <x:c r="I1690" t="str" s="2">
        <x:v>Patrick Schuchart</x:v>
      </x:c>
      <x:c r="J1690" s="0"/>
      <x:c r="K1690" s="6">
        <x:v>46277.71441084491</x:v>
      </x:c>
      <x:c r="L1690" t="str" s="2">
        <x:v>Deal Created</x:v>
      </x:c>
    </x:row>
    <x:row r="1691">
      <x:c r="A1691" t="str" s="2">
        <x:f>=HYPERLINK("https://rsms.futurehomex.com/lead/39944", "Mike Leader")</x:f>
      </x:c>
      <x:c r="B1691" t="str" s="2">
        <x:v>Heritage Housing of Oklahoma City</x:v>
      </x:c>
      <x:c r="C1691" t="str" s="2">
        <x:v/>
      </x:c>
      <x:c r="D1691" t="str" s="2">
        <x:v>4057886192</x:v>
      </x:c>
      <x:c r="E1691" t="str" s="2">
        <x:v>mikeleader89@gmail.com</x:v>
      </x:c>
      <x:c r="F1691" t="str" s="2">
        <x:v>Walk-in</x:v>
      </x:c>
      <x:c r="G1691" t="str" s="2">
        <x:v>Trey Rixleben</x:v>
      </x:c>
      <x:c r="H1691" s="6">
        <x:v>46277.734522997685</x:v>
      </x:c>
      <x:c r="I1691" t="str" s="2">
        <x:v>Trey Rixleben</x:v>
      </x:c>
      <x:c r="J1691" s="0"/>
      <x:c r="K1691" s="6">
        <x:v>46277.734522997685</x:v>
      </x:c>
      <x:c r="L1691" t="str" s="2">
        <x:v>Deal Created</x:v>
      </x:c>
    </x:row>
    <x:row r="1692">
      <x:c r="A1692" t="str" s="2">
        <x:f>=HYPERLINK("https://rsms.futurehomex.com/lead/39951", "Pedro Deloera")</x:f>
      </x:c>
      <x:c r="B1692" t="str" s="2">
        <x:v>Heritage Housing of Oklahoma City</x:v>
      </x:c>
      <x:c r="C1692" t="str" s="2">
        <x:v/>
      </x:c>
      <x:c r="D1692" t="str" s="2">
        <x:v>4058751766</x:v>
      </x:c>
      <x:c r="E1692" t="str" s="2">
        <x:v>jasminevu99@gmail.com</x:v>
      </x:c>
      <x:c r="F1692" t="str" s="2">
        <x:v>Walk-in</x:v>
      </x:c>
      <x:c r="G1692" t="str" s="2">
        <x:v>Trey Rixleben</x:v>
      </x:c>
      <x:c r="H1692" s="6">
        <x:v>46277.80479178241</x:v>
      </x:c>
      <x:c r="I1692" t="str" s="2">
        <x:v>Trey Rixleben</x:v>
      </x:c>
      <x:c r="J1692" s="0"/>
      <x:c r="K1692" s="6">
        <x:v>46277.80479178241</x:v>
      </x:c>
      <x:c r="L1692" t="str" s="2">
        <x:v>Deal Created</x:v>
      </x:c>
    </x:row>
    <x:row r="1693">
      <x:c r="A1693" t="str" s="2">
        <x:f>=HYPERLINK("https://rsms.futurehomex.com/lead/39958", "Luis Torres")</x:f>
      </x:c>
      <x:c r="B1693" t="str" s="2">
        <x:v>Legacy Housing Corp. DBA Americasa</x:v>
      </x:c>
      <x:c r="C1693" t="str" s="2">
        <x:v/>
      </x:c>
      <x:c r="D1693" t="str" s="2">
        <x:v>3465813599</x:v>
      </x:c>
      <x:c r="E1693" t="str" s="2">
        <x:v>3465813599</x:v>
      </x:c>
      <x:c r="F1693" t="str" s="2">
        <x:v>Walk-in</x:v>
      </x:c>
      <x:c r="G1693" t="str" s="2">
        <x:v>Rodrigo Ramirez</x:v>
      </x:c>
      <x:c r="H1693" s="6">
        <x:v>46277.85294899306</x:v>
      </x:c>
      <x:c r="I1693" t="str" s="2">
        <x:v>Joey Marquez</x:v>
      </x:c>
      <x:c r="J1693" s="0"/>
      <x:c r="K1693" s="6">
        <x:v>46277.85294899306</x:v>
      </x:c>
      <x:c r="L1693" t="str" s="2">
        <x:v>Deal Created</x:v>
      </x:c>
    </x:row>
    <x:row r="1694">
      <x:c r="A1694" t="str" s="2">
        <x:f>=HYPERLINK("https://rsms.futurehomex.com/lead/39960", "Allie scarbrough")</x:f>
      </x:c>
      <x:c r="B1694" t="str" s="2">
        <x:v>Heritage Housing of Oklahoma City</x:v>
      </x:c>
      <x:c r="C1694" t="str" s="2">
        <x:v/>
      </x:c>
      <x:c r="D1694" t="str" s="2">
        <x:v>4052205390</x:v>
      </x:c>
      <x:c r="E1694" t="str" s="2">
        <x:v>alliescarbrough1@gmail.com</x:v>
      </x:c>
      <x:c r="F1694" t="str" s="2">
        <x:v>Landing_BPM</x:v>
      </x:c>
      <x:c r="G1694" t="str" s="2">
        <x:v>Trey Rixleben</x:v>
      </x:c>
      <x:c r="H1694" s="6">
        <x:v>46277.859549189816</x:v>
      </x:c>
      <x:c r="I1694" t="str" s="2">
        <x:v>Trey Rixleben</x:v>
      </x:c>
      <x:c r="J1694" s="0"/>
      <x:c r="K1694" s="0"/>
      <x:c r="L1694" t="str" s="2">
        <x:v>Deal Created</x:v>
      </x:c>
    </x:row>
    <x:row r="1695">
      <x:c r="A1695" t="str" s="2">
        <x:f>=HYPERLINK("https://rsms.futurehomex.com/lead/39963", "Kenley Sandlin")</x:f>
      </x:c>
      <x:c r="B1695" t="str" s="2">
        <x:v>Heritage Housing of Oklahoma City</x:v>
      </x:c>
      <x:c r="C1695" t="str" s="2">
        <x:v/>
      </x:c>
      <x:c r="D1695" t="str" s="2">
        <x:v>5803207464</x:v>
      </x:c>
      <x:c r="E1695" t="str" s="2">
        <x:v>kenleysandlin08@icloud.com</x:v>
      </x:c>
      <x:c r="F1695" t="str" s="2">
        <x:v>Landing_BPM</x:v>
      </x:c>
      <x:c r="G1695" t="str" s="2">
        <x:v>Steve Castell</x:v>
      </x:c>
      <x:c r="H1695" s="6">
        <x:v>46277.885178240744</x:v>
      </x:c>
      <x:c r="I1695" t="str" s="2">
        <x:v>Steve Castell</x:v>
      </x:c>
      <x:c r="J1695" s="0"/>
      <x:c r="K1695" s="0"/>
      <x:c r="L1695" t="str" s="2">
        <x:v>Deal Created</x:v>
      </x:c>
    </x:row>
    <x:row r="1696">
      <x:c r="A1696" t="str" s="2">
        <x:f>=HYPERLINK("https://rsms.futurehomex.com/lead/39965", "Jakob Cox")</x:f>
      </x:c>
      <x:c r="B1696" t="str" s="2">
        <x:v>Heritage Housing of Oklahoma City</x:v>
      </x:c>
      <x:c r="C1696" t="str" s="2">
        <x:v/>
      </x:c>
      <x:c r="D1696" t="str" s="2">
        <x:v>4052135099</x:v>
      </x:c>
      <x:c r="E1696" t="str" s="2">
        <x:v>neonnarwhal37@gmail.com</x:v>
      </x:c>
      <x:c r="F1696" t="str" s="2">
        <x:v>Landing_BPM</x:v>
      </x:c>
      <x:c r="G1696" t="str" s="2">
        <x:v>Steve Castell</x:v>
      </x:c>
      <x:c r="H1696" s="6">
        <x:v>46278.00913329861</x:v>
      </x:c>
      <x:c r="I1696" t="str" s="2">
        <x:v>Steve Castell</x:v>
      </x:c>
      <x:c r="J1696" s="0"/>
      <x:c r="K1696" s="0"/>
      <x:c r="L1696" t="str" s="2">
        <x:v>Deal Created</x:v>
      </x:c>
    </x:row>
    <x:row r="1697">
      <x:c r="A1697" t="str" s="2">
        <x:f>=HYPERLINK("https://rsms.futurehomex.com/lead/39972", "Katima Bell")</x:f>
      </x:c>
      <x:c r="B1697" t="str" s="2">
        <x:v>Heritage Housing of Oklahoma City</x:v>
      </x:c>
      <x:c r="C1697" t="str" s="2">
        <x:v/>
      </x:c>
      <x:c r="D1697" t="str" s="2">
        <x:v>4696586903</x:v>
      </x:c>
      <x:c r="E1697" t="str" s="2">
        <x:v>katimabell1974@gmail.com</x:v>
      </x:c>
      <x:c r="F1697" t="str" s="2">
        <x:v>Landing_BPM</x:v>
      </x:c>
      <x:c r="G1697" t="str" s="2">
        <x:v>Alejandra Calderon</x:v>
      </x:c>
      <x:c r="H1697" s="6">
        <x:v>46278.06223711806</x:v>
      </x:c>
      <x:c r="I1697" t="str" s="2">
        <x:v>Noemi Rojo</x:v>
      </x:c>
      <x:c r="J1697" s="0"/>
      <x:c r="K1697" s="0"/>
      <x:c r="L1697" t="str" s="2">
        <x:v>Deal Created</x:v>
      </x:c>
    </x:row>
    <x:row r="1698">
      <x:c r="A1698" t="str" s="2">
        <x:f>=HYPERLINK("https://rsms.futurehomex.com/lead/39973", "stephanie Spears")</x:f>
      </x:c>
      <x:c r="B1698" t="str" s="2">
        <x:v>Heritage Housing of Oklahoma City</x:v>
      </x:c>
      <x:c r="C1698" t="str" s="2">
        <x:v/>
      </x:c>
      <x:c r="D1698" t="str" s="2">
        <x:v>5313890470</x:v>
      </x:c>
      <x:c r="E1698" t="str" s="2">
        <x:v>spearss6802@gmail.com</x:v>
      </x:c>
      <x:c r="F1698" t="str" s="2">
        <x:v>Youtube</x:v>
      </x:c>
      <x:c r="G1698" t="str" s="2">
        <x:v>Alejandra Calderon</x:v>
      </x:c>
      <x:c r="H1698" s="6">
        <x:v>46278.957315659725</x:v>
      </x:c>
      <x:c r="I1698" t="str" s="2">
        <x:v>Noemi Rojo</x:v>
      </x:c>
      <x:c r="J1698" s="0"/>
      <x:c r="K1698" s="0"/>
      <x:c r="L1698" t="str" s="2">
        <x:v>Deal Created</x:v>
      </x:c>
    </x:row>
    <x:row r="1699">
      <x:c r="A1699" t="str" s="2">
        <x:f>=HYPERLINK("https://rsms.futurehomex.com/lead/39974", "Bobby Crawford")</x:f>
      </x:c>
      <x:c r="B1699" t="str" s="2">
        <x:v>Heritage Housing of Oklahoma City</x:v>
      </x:c>
      <x:c r="C1699" t="str" s="2">
        <x:v/>
      </x:c>
      <x:c r="D1699" t="str" s="2">
        <x:v>5802389425</x:v>
      </x:c>
      <x:c r="E1699" t="str" s="2">
        <x:v>bobbyangie1966@gmail.com</x:v>
      </x:c>
      <x:c r="F1699" t="str" s="2">
        <x:v>Landing_BPM</x:v>
      </x:c>
      <x:c r="G1699" t="str" s="2">
        <x:v>Alejandra Calderon</x:v>
      </x:c>
      <x:c r="H1699" s="6">
        <x:v>46279.10161149305</x:v>
      </x:c>
      <x:c r="I1699" t="str" s="2">
        <x:v>Noemi Rojo</x:v>
      </x:c>
      <x:c r="J1699" s="0"/>
      <x:c r="K1699" s="0"/>
      <x:c r="L1699" t="str" s="2">
        <x:v>Deal Created</x:v>
      </x:c>
    </x:row>
    <x:row r="1700">
      <x:c r="A1700" t="str" s="2">
        <x:f>=HYPERLINK("https://rsms.futurehomex.com/lead/39971", "Carlos Ramirez")</x:f>
      </x:c>
      <x:c r="B1700" t="str" s="2">
        <x:v>Heritage Housing Mt Pleasant</x:v>
      </x:c>
      <x:c r="C1700" t="str" s="2">
        <x:v/>
      </x:c>
      <x:c r="D1700" t="str" s="2">
        <x:v>9034700748</x:v>
      </x:c>
      <x:c r="E1700" t="str" s="2">
        <x:v>9034700748</x:v>
      </x:c>
      <x:c r="F1700" t="str" s="2">
        <x:v>Office Hot Calls</x:v>
      </x:c>
      <x:c r="G1700" t="str" s="2">
        <x:v>Elias Gallardo</x:v>
      </x:c>
      <x:c r="H1700" s="6">
        <x:v>46279.57407005787</x:v>
      </x:c>
      <x:c r="I1700" t="str" s="2">
        <x:v>Elias Gallardo</x:v>
      </x:c>
      <x:c r="J1700" s="0"/>
      <x:c r="K1700" s="6">
        <x:v>46279.57407005787</x:v>
      </x:c>
      <x:c r="L1700" t="str" s="2">
        <x:v>Deal Created</x:v>
      </x:c>
    </x:row>
    <x:row r="1701">
      <x:c r="A1701" t="str" s="2">
        <x:f>=HYPERLINK("https://rsms.futurehomex.com/lead/39984", "Pedro Perez Prueba")</x:f>
      </x:c>
      <x:c r="B1701" t="str" s="2">
        <x:v>Legacy Housing Corp. DBA Americasa</x:v>
      </x:c>
      <x:c r="C1701" t="str" s="2">
        <x:v/>
      </x:c>
      <x:c r="D1701" t="str" s="2">
        <x:v>3654123645</x:v>
      </x:c>
      <x:c r="E1701" t="str" s="2">
        <x:v>3654123645</x:v>
      </x:c>
      <x:c r="F1701" t="str" s="2">
        <x:v>TikTok</x:v>
      </x:c>
      <x:c r="G1701" t="str" s="2">
        <x:v>Joey Marquez</x:v>
      </x:c>
      <x:c r="H1701" s="6">
        <x:v>46279.65265940972</x:v>
      </x:c>
      <x:c r="I1701" t="str" s="2">
        <x:v>Joey Marquez</x:v>
      </x:c>
      <x:c r="J1701" s="0"/>
      <x:c r="K1701" s="6">
        <x:v>46279.65265940972</x:v>
      </x:c>
      <x:c r="L1701" t="str" s="2">
        <x:v>Deal Created</x:v>
      </x:c>
    </x:row>
    <x:row r="1702">
      <x:c r="A1702" t="str" s="2">
        <x:f>=HYPERLINK("https://rsms.futurehomex.com/lead/39987", "Johnny Mathis")</x:f>
      </x:c>
      <x:c r="B1702" t="str" s="2">
        <x:v>Heritage Housing of Athens</x:v>
      </x:c>
      <x:c r="C1702" t="str" s="2">
        <x:v/>
      </x:c>
      <x:c r="D1702" t="str" s="2">
        <x:v>7627282309</x:v>
      </x:c>
      <x:c r="E1702" t="str" s="2">
        <x:v>johnnymathis897@gmail.com</x:v>
      </x:c>
      <x:c r="F1702" t="str" s="2">
        <x:v>Walk-in</x:v>
      </x:c>
      <x:c r="G1702" t="str" s="2">
        <x:v>Ethan Fossett</x:v>
      </x:c>
      <x:c r="H1702" s="6">
        <x:v>46279.71381739583</x:v>
      </x:c>
      <x:c r="I1702" t="str" s="2">
        <x:v>Ethan Fossett</x:v>
      </x:c>
      <x:c r="J1702" s="0"/>
      <x:c r="K1702" s="6">
        <x:v>46279.71381739583</x:v>
      </x:c>
      <x:c r="L1702" t="str" s="2">
        <x:v>Deal Created</x:v>
      </x:c>
    </x:row>
    <x:row r="1703">
      <x:c r="A1703" t="str" s="2">
        <x:f>=HYPERLINK("https://rsms.futurehomex.com/lead/39988", "Tyler Stallcup")</x:f>
      </x:c>
      <x:c r="B1703" t="str" s="2">
        <x:v>Heritage Housing of Tulsa</x:v>
      </x:c>
      <x:c r="C1703" t="str" s="2">
        <x:v/>
      </x:c>
      <x:c r="D1703" t="str" s="2">
        <x:v>9189354504</x:v>
      </x:c>
      <x:c r="E1703" t="str" s="2">
        <x:v>9189354504</x:v>
      </x:c>
      <x:c r="F1703" t="str" s="2">
        <x:v>Walk-in</x:v>
      </x:c>
      <x:c r="G1703" t="str" s="2">
        <x:v>Jenna Fransisco</x:v>
      </x:c>
      <x:c r="H1703" s="6">
        <x:v>46279.71384366898</x:v>
      </x:c>
      <x:c r="I1703" t="str" s="2">
        <x:v>Jenna Fransisco</x:v>
      </x:c>
      <x:c r="J1703" s="0"/>
      <x:c r="K1703" s="6">
        <x:v>46279.71384366898</x:v>
      </x:c>
      <x:c r="L1703" t="str" s="2">
        <x:v>Deal Created</x:v>
      </x:c>
    </x:row>
    <x:row r="1704">
      <x:c r="A1704" t="str" s="2">
        <x:f>=HYPERLINK("https://rsms.futurehomex.com/lead/40003", "Susan Nicholas")</x:f>
      </x:c>
      <x:c r="B1704" t="str" s="2">
        <x:v>Heritage Housing of Oklahoma City</x:v>
      </x:c>
      <x:c r="C1704" t="str" s="2">
        <x:v/>
      </x:c>
      <x:c r="D1704" t="str" s="2">
        <x:v>7577388522</x:v>
      </x:c>
      <x:c r="E1704" t="str" s="2">
        <x:v>kittysuck1017@gmail.com</x:v>
      </x:c>
      <x:c r="F1704" t="str" s="2">
        <x:v>Youtube</x:v>
      </x:c>
      <x:c r="G1704" t="str" s="2">
        <x:v>Alejandra Calderon</x:v>
      </x:c>
      <x:c r="H1704" s="6">
        <x:v>46279.73283194444</x:v>
      </x:c>
      <x:c r="I1704" t="str" s="2">
        <x:v>Noemi Rojo</x:v>
      </x:c>
      <x:c r="J1704" s="0"/>
      <x:c r="K1704" s="6">
        <x:v>46279.90621739583</x:v>
      </x:c>
      <x:c r="L1704" t="str" s="2">
        <x:v>Deal Created</x:v>
      </x:c>
    </x:row>
    <x:row r="1705">
      <x:c r="A1705" t="str" s="2">
        <x:f>=HYPERLINK("https://rsms.futurehomex.com/lead/40161", "Pretia Rozier")</x:f>
      </x:c>
      <x:c r="B1705" t="str" s="2">
        <x:v>Heritage Housing of Albany</x:v>
      </x:c>
      <x:c r="C1705" t="str" s="2">
        <x:v>0/2</x:v>
      </x:c>
      <x:c r="D1705" t="str" s="2">
        <x:v>2294188637</x:v>
      </x:c>
      <x:c r="E1705" t="str" s="2">
        <x:v>Pretiarozier@gmsil.com</x:v>
      </x:c>
      <x:c r="F1705" t="str" s="2">
        <x:v>Youtube</x:v>
      </x:c>
      <x:c r="G1705" t="str" s="2">
        <x:v>Yanet Alvarez</x:v>
      </x:c>
      <x:c r="H1705" s="6">
        <x:v>46279.81957395833</x:v>
      </x:c>
      <x:c r="I1705" t="str" s="2">
        <x:v>Yanet Alvarez</x:v>
      </x:c>
      <x:c r="J1705" s="0"/>
      <x:c r="K1705" s="6">
        <x:v>46280.74342662037</x:v>
      </x:c>
      <x:c r="L1705" t="str" s="2">
        <x:v>Deal Created</x:v>
      </x:c>
    </x:row>
    <x:row r="1706">
      <x:c r="A1706" t="str" s="2">
        <x:f>=HYPERLINK("https://rsms.futurehomex.com/lead/39999", "Michael Seitz")</x:f>
      </x:c>
      <x:c r="B1706" t="str" s="2">
        <x:v>Heritage Housing of Oklahoma City</x:v>
      </x:c>
      <x:c r="C1706" t="str" s="2">
        <x:v/>
      </x:c>
      <x:c r="D1706" t="str" s="2">
        <x:v>4052698976</x:v>
      </x:c>
      <x:c r="E1706" t="str" s="2">
        <x:v>outlawghettocowboy1987@gmail.com</x:v>
      </x:c>
      <x:c r="F1706" t="str" s="2">
        <x:v>Walk-in</x:v>
      </x:c>
      <x:c r="G1706" t="str" s="2">
        <x:v>Trey Rixleben</x:v>
      </x:c>
      <x:c r="H1706" s="6">
        <x:v>46279.832948379626</x:v>
      </x:c>
      <x:c r="I1706" t="str" s="2">
        <x:v>Trey Rixleben</x:v>
      </x:c>
      <x:c r="J1706" s="0"/>
      <x:c r="K1706" s="6">
        <x:v>46279.832948379626</x:v>
      </x:c>
      <x:c r="L1706" t="str" s="2">
        <x:v>Deal Created</x:v>
      </x:c>
    </x:row>
    <x:row r="1707">
      <x:c r="A1707" t="str" s="2">
        <x:f>=HYPERLINK("https://rsms.futurehomex.com/lead/40034", "Trinity Fisher")</x:f>
      </x:c>
      <x:c r="B1707" t="str" s="2">
        <x:v>Heritage Housing of Oklahoma City</x:v>
      </x:c>
      <x:c r="C1707" t="str" s="2">
        <x:v/>
      </x:c>
      <x:c r="D1707" t="str" s="2">
        <x:v>4054932011</x:v>
      </x:c>
      <x:c r="E1707" t="str" s="2">
        <x:v>trfisher1116@gmail.com</x:v>
      </x:c>
      <x:c r="F1707" t="str" s="2">
        <x:v>Landing_BPM</x:v>
      </x:c>
      <x:c r="G1707" t="str" s="2">
        <x:v>Alejandra Calderon</x:v>
      </x:c>
      <x:c r="H1707" s="6">
        <x:v>46279.970365127316</x:v>
      </x:c>
      <x:c r="I1707" t="str" s="2">
        <x:v>Noemi Rojo</x:v>
      </x:c>
      <x:c r="J1707" s="0"/>
      <x:c r="K1707" s="6">
        <x:v>46280.846413391206</x:v>
      </x:c>
      <x:c r="L1707" t="str" s="2">
        <x:v>Deal Created</x:v>
      </x:c>
    </x:row>
    <x:row r="1708">
      <x:c r="A1708" t="str" s="2">
        <x:f>=HYPERLINK("https://rsms.futurehomex.com/lead/40117", "Ruben Priest")</x:f>
      </x:c>
      <x:c r="B1708" t="str" s="2">
        <x:v>Heritage Housing of Oklahoma City</x:v>
      </x:c>
      <x:c r="C1708" t="str" s="2">
        <x:v/>
      </x:c>
      <x:c r="D1708" t="str" s="2">
        <x:v>4054687146</x:v>
      </x:c>
      <x:c r="E1708" t="str" s="2">
        <x:v>4054687146</x:v>
      </x:c>
      <x:c r="F1708" t="str" s="2">
        <x:v>Facebook Messenger</x:v>
      </x:c>
      <x:c r="G1708" t="str" s="2">
        <x:v>Steve Castell</x:v>
      </x:c>
      <x:c r="H1708" s="6">
        <x:v>46280.00130694445</x:v>
      </x:c>
      <x:c r="I1708" t="str" s="2">
        <x:v>Steve Castell</x:v>
      </x:c>
      <x:c r="J1708" s="6">
        <x:v>46282.666666666664</x:v>
      </x:c>
      <x:c r="K1708" s="6">
        <x:v>46282.9426934838</x:v>
      </x:c>
      <x:c r="L1708" t="str" s="2">
        <x:v>Deal Created</x:v>
      </x:c>
    </x:row>
    <x:row r="1709">
      <x:c r="A1709" t="str" s="2">
        <x:f>=HYPERLINK("https://rsms.futurehomex.com/lead/40015", "Raymond Lyon")</x:f>
      </x:c>
      <x:c r="B1709" t="str" s="2">
        <x:v>Heritage Housing of Oklahoma City</x:v>
      </x:c>
      <x:c r="C1709" t="str" s="2">
        <x:v/>
      </x:c>
      <x:c r="D1709" t="str" s="2">
        <x:v>2075803950</x:v>
      </x:c>
      <x:c r="E1709" t="str" s="2">
        <x:v>relliottlyon@gmail.com</x:v>
      </x:c>
      <x:c r="F1709" t="str" s="2">
        <x:v>Youtube</x:v>
      </x:c>
      <x:c r="G1709" t="str" s="2">
        <x:v>Steve Castell</x:v>
      </x:c>
      <x:c r="H1709" s="6">
        <x:v>46280.11068799769</x:v>
      </x:c>
      <x:c r="I1709" t="str" s="2">
        <x:v>Steve Castell</x:v>
      </x:c>
      <x:c r="J1709" s="0"/>
      <x:c r="K1709" s="6">
        <x:v>46280.617113229164</x:v>
      </x:c>
      <x:c r="L1709" t="str" s="2">
        <x:v>Deal Created</x:v>
      </x:c>
    </x:row>
    <x:row r="1710">
      <x:c r="A1710" t="str" s="2">
        <x:f>=HYPERLINK("https://rsms.futurehomex.com/lead/40031", "Tina Yeargin")</x:f>
      </x:c>
      <x:c r="B1710" t="str" s="2">
        <x:v>Heritage Housing of Oklahoma City</x:v>
      </x:c>
      <x:c r="C1710" t="str" s="2">
        <x:v/>
      </x:c>
      <x:c r="D1710" t="str" s="2">
        <x:v>8647725081</x:v>
      </x:c>
      <x:c r="E1710" t="str" s="2">
        <x:v>ctinatinac@gmail.com</x:v>
      </x:c>
      <x:c r="F1710" t="str" s="2">
        <x:v>Landing_BPM</x:v>
      </x:c>
      <x:c r="G1710" t="str" s="2">
        <x:v>Steve Castell</x:v>
      </x:c>
      <x:c r="H1710" s="6">
        <x:v>46280.15915547454</x:v>
      </x:c>
      <x:c r="I1710" t="str" s="2">
        <x:v>Steve Castell</x:v>
      </x:c>
      <x:c r="J1710" s="0"/>
      <x:c r="K1710" s="6">
        <x:v>46280.78527457176</x:v>
      </x:c>
      <x:c r="L1710" t="str" s="2">
        <x:v>Deal Created</x:v>
      </x:c>
    </x:row>
    <x:row r="1711">
      <x:c r="A1711" t="str" s="2">
        <x:f>=HYPERLINK("https://rsms.futurehomex.com/lead/40020", "Jesus Rafael Campusano")</x:f>
      </x:c>
      <x:c r="B1711" t="str" s="2">
        <x:v>Legacy Housing Corp. DBA Americasa</x:v>
      </x:c>
      <x:c r="C1711" t="str" s="2">
        <x:v/>
      </x:c>
      <x:c r="D1711" t="str" s="2">
        <x:v>8328583465</x:v>
      </x:c>
      <x:c r="E1711" t="str" s="2">
        <x:v>arcaenoc@gmail.com</x:v>
      </x:c>
      <x:c r="F1711" t="str" s="2">
        <x:v>Youtube</x:v>
      </x:c>
      <x:c r="G1711" t="str" s="2">
        <x:v>Rodrigo Ramirez</x:v>
      </x:c>
      <x:c r="H1711" s="6">
        <x:v>46280.65171087963</x:v>
      </x:c>
      <x:c r="I1711" t="str" s="2">
        <x:v>Joey Marquez</x:v>
      </x:c>
      <x:c r="J1711" s="0"/>
      <x:c r="K1711" s="6">
        <x:v>46280</x:v>
      </x:c>
      <x:c r="L1711" t="str" s="2">
        <x:v>Deal Created</x:v>
      </x:c>
    </x:row>
    <x:row r="1712">
      <x:c r="A1712" t="str" s="2">
        <x:f>=HYPERLINK("https://rsms.futurehomex.com/lead/40038", "Walter Gammill")</x:f>
      </x:c>
      <x:c r="B1712" t="str" s="2">
        <x:v>Heritage Housing of Minden</x:v>
      </x:c>
      <x:c r="C1712" t="str" s="2">
        <x:v>0/1</x:v>
      </x:c>
      <x:c r="D1712" t="str" s="2">
        <x:v>3373151653</x:v>
      </x:c>
      <x:c r="E1712" t="str" s="2">
        <x:v>keith.gammill@gmail.com</x:v>
      </x:c>
      <x:c r="F1712" t="str" s="2">
        <x:v>Financing Form</x:v>
      </x:c>
      <x:c r="G1712" t="str" s="2">
        <x:v>Patrick Schuchart</x:v>
      </x:c>
      <x:c r="H1712" s="6">
        <x:v>46280.65335547454</x:v>
      </x:c>
      <x:c r="I1712" t="str" s="2">
        <x:v>Patrick Schuchart</x:v>
      </x:c>
      <x:c r="J1712" s="0"/>
      <x:c r="K1712" s="6">
        <x:v>46280.7357727662</x:v>
      </x:c>
      <x:c r="L1712" t="str" s="2">
        <x:v>Deal Created</x:v>
      </x:c>
    </x:row>
    <x:row r="1713">
      <x:c r="A1713" t="str" s="2">
        <x:f>=HYPERLINK("https://rsms.futurehomex.com/lead/40024", "Paola Leal Garcia")</x:f>
      </x:c>
      <x:c r="B1713" t="str" s="2">
        <x:v>Heritage Housing of Canton</x:v>
      </x:c>
      <x:c r="C1713" t="str" s="2">
        <x:v/>
      </x:c>
      <x:c r="D1713" t="str" s="2">
        <x:v>4694631849</x:v>
      </x:c>
      <x:c r="E1713" t="str" s="2">
        <x:v>paoregialeal@gmail.com</x:v>
      </x:c>
      <x:c r="F1713" t="str" s="2">
        <x:v>Facebook Messenger</x:v>
      </x:c>
      <x:c r="G1713" t="str" s="2">
        <x:v>Maira Garcia</x:v>
      </x:c>
      <x:c r="H1713" s="6">
        <x:v>46280.73760431713</x:v>
      </x:c>
      <x:c r="I1713" t="str" s="2">
        <x:v>Maira Garcia</x:v>
      </x:c>
      <x:c r="J1713" s="0"/>
      <x:c r="K1713" s="6">
        <x:v>46280.73760431713</x:v>
      </x:c>
      <x:c r="L1713" t="str" s="2">
        <x:v>Deal Created</x:v>
      </x:c>
    </x:row>
    <x:row r="1714">
      <x:c r="A1714" t="str" s="2">
        <x:f>=HYPERLINK("https://rsms.futurehomex.com/lead/40030", "Charlita Clay")</x:f>
      </x:c>
      <x:c r="B1714" t="str" s="2">
        <x:v>Heritage Housing of Oklahoma City</x:v>
      </x:c>
      <x:c r="C1714" t="str" s="2">
        <x:v/>
      </x:c>
      <x:c r="D1714" t="str" s="2">
        <x:v>4059681526</x:v>
      </x:c>
      <x:c r="E1714" t="str" s="2">
        <x:v>charlitaclay62@yahoo.com</x:v>
      </x:c>
      <x:c r="F1714" t="str" s="2">
        <x:v>Youtube</x:v>
      </x:c>
      <x:c r="G1714" t="str" s="2">
        <x:v>Steve Castell</x:v>
      </x:c>
      <x:c r="H1714" s="6">
        <x:v>46280.75172303241</x:v>
      </x:c>
      <x:c r="I1714" t="str" s="2">
        <x:v>Steve Castell</x:v>
      </x:c>
      <x:c r="J1714" s="0"/>
      <x:c r="K1714" s="6">
        <x:v>46280.77801119213</x:v>
      </x:c>
      <x:c r="L1714" t="str" s="2">
        <x:v>Deal Created</x:v>
      </x:c>
    </x:row>
    <x:row r="1715">
      <x:c r="A1715" t="str" s="2">
        <x:f>=HYPERLINK("https://rsms.futurehomex.com/lead/40173", "Matthew Grass-Moore")</x:f>
      </x:c>
      <x:c r="B1715" t="str" s="2">
        <x:v>Heritage Housing of Oklahoma City</x:v>
      </x:c>
      <x:c r="C1715" t="str" s="2">
        <x:v/>
      </x:c>
      <x:c r="D1715" t="str" s="2">
        <x:v>4056172389</x:v>
      </x:c>
      <x:c r="E1715" t="str" s="2">
        <x:v>4056172389</x:v>
      </x:c>
      <x:c r="F1715" t="str" s="2">
        <x:v>Facebook Messenger</x:v>
      </x:c>
      <x:c r="G1715" t="str" s="2">
        <x:v>Steve Castell</x:v>
      </x:c>
      <x:c r="H1715" s="6">
        <x:v>46280.88285177083</x:v>
      </x:c>
      <x:c r="I1715" t="str" s="2">
        <x:v>Steve Castell</x:v>
      </x:c>
      <x:c r="J1715" s="6">
        <x:v>46283.666666666664</x:v>
      </x:c>
      <x:c r="K1715" s="6">
        <x:v>46284.5950943287</x:v>
      </x:c>
      <x:c r="L1715" t="str" s="2">
        <x:v>Deal Created</x:v>
      </x:c>
    </x:row>
    <x:row r="1716">
      <x:c r="A1716" t="str" s="2">
        <x:f>=HYPERLINK("https://rsms.futurehomex.com/lead/40053", "Joseph McManigal")</x:f>
      </x:c>
      <x:c r="B1716" t="str" s="2">
        <x:v>Heritage Housing of Oklahoma City</x:v>
      </x:c>
      <x:c r="C1716" t="str" s="2">
        <x:v/>
      </x:c>
      <x:c r="D1716" t="str" s="2">
        <x:v>4696840846</x:v>
      </x:c>
      <x:c r="E1716" t="str" s="2">
        <x:v>mcmanigaljoseph@gmail.com</x:v>
      </x:c>
      <x:c r="F1716" t="str" s="2">
        <x:v>Youtube</x:v>
      </x:c>
      <x:c r="G1716" t="str" s="2">
        <x:v>Trey Rixleben</x:v>
      </x:c>
      <x:c r="H1716" s="6">
        <x:v>46280.90792037037</x:v>
      </x:c>
      <x:c r="I1716" t="str" s="2">
        <x:v>Trey Rixleben</x:v>
      </x:c>
      <x:c r="J1716" s="0"/>
      <x:c r="K1716" s="0"/>
      <x:c r="L1716" t="str" s="2">
        <x:v>Deal Created</x:v>
      </x:c>
    </x:row>
    <x:row r="1717">
      <x:c r="A1717" t="str" s="2">
        <x:f>=HYPERLINK("https://rsms.futurehomex.com/lead/40044", "Edwin Flores")</x:f>
      </x:c>
      <x:c r="B1717" t="str" s="2">
        <x:v>Legacy Housing Corp. DBA Americasa</x:v>
      </x:c>
      <x:c r="C1717" t="str" s="2">
        <x:v/>
      </x:c>
      <x:c r="D1717" t="str" s="2">
        <x:v>3467796046</x:v>
      </x:c>
      <x:c r="E1717" t="str" s="2">
        <x:v>3467796046</x:v>
      </x:c>
      <x:c r="F1717" t="str" s="2">
        <x:v>Walk-in</x:v>
      </x:c>
      <x:c r="G1717" t="str" s="2">
        <x:v>Rodrigo Ramirez</x:v>
      </x:c>
      <x:c r="H1717" s="6">
        <x:v>46280.9252153125</x:v>
      </x:c>
      <x:c r="I1717" t="str" s="2">
        <x:v>Joey Marquez</x:v>
      </x:c>
      <x:c r="J1717" s="0"/>
      <x:c r="K1717" s="6">
        <x:v>46280.9252153125</x:v>
      </x:c>
      <x:c r="L1717" t="str" s="2">
        <x:v>Deal Created</x:v>
      </x:c>
    </x:row>
    <x:row r="1718">
      <x:c r="A1718" t="str" s="2">
        <x:f>=HYPERLINK("https://rsms.futurehomex.com/lead/40045", "Laura Francis")</x:f>
      </x:c>
      <x:c r="B1718" t="str" s="2">
        <x:v>Heritage Housing of Oklahoma City</x:v>
      </x:c>
      <x:c r="C1718" t="str" s="2">
        <x:v/>
      </x:c>
      <x:c r="D1718" t="str" s="2">
        <x:v>5802776197</x:v>
      </x:c>
      <x:c r="E1718" t="str" s="2">
        <x:v>pircnm27@gmail.com</x:v>
      </x:c>
      <x:c r="F1718" t="str" s="2">
        <x:v>Youtube</x:v>
      </x:c>
      <x:c r="G1718" t="str" s="2">
        <x:v>Steve Castell</x:v>
      </x:c>
      <x:c r="H1718" s="6">
        <x:v>46280.938411539355</x:v>
      </x:c>
      <x:c r="I1718" t="str" s="2">
        <x:v>Steve Castell</x:v>
      </x:c>
      <x:c r="J1718" s="0"/>
      <x:c r="K1718" s="0"/>
      <x:c r="L1718" t="str" s="2">
        <x:v>Deal Created</x:v>
      </x:c>
    </x:row>
    <x:row r="1719">
      <x:c r="A1719" t="str" s="2">
        <x:f>=HYPERLINK("https://rsms.futurehomex.com/lead/40073", "Mary Haggy")</x:f>
      </x:c>
      <x:c r="B1719" t="str" s="2">
        <x:v>Heritage Housing of Oklahoma City</x:v>
      </x:c>
      <x:c r="C1719" t="str" s="2">
        <x:v/>
      </x:c>
      <x:c r="D1719" t="str" s="2">
        <x:v>5722166127</x:v>
      </x:c>
      <x:c r="E1719" t="str" s="2">
        <x:v>mhaggy.mh@gmail.com</x:v>
      </x:c>
      <x:c r="F1719" t="str" s="2">
        <x:v>Website</x:v>
      </x:c>
      <x:c r="G1719" t="str" s="2">
        <x:v>Trey Rixleben</x:v>
      </x:c>
      <x:c r="H1719" s="6">
        <x:v>46280.95621311342</x:v>
      </x:c>
      <x:c r="I1719" t="str" s="2">
        <x:v>Trey Rixleben</x:v>
      </x:c>
      <x:c r="J1719" s="0"/>
      <x:c r="K1719" s="0"/>
      <x:c r="L1719" t="str" s="2">
        <x:v>Deal Created</x:v>
      </x:c>
    </x:row>
    <x:row r="1720">
      <x:c r="A1720" t="str" s="2">
        <x:f>=HYPERLINK("https://rsms.futurehomex.com/lead/40054", "Thea Wanamaker")</x:f>
      </x:c>
      <x:c r="B1720" t="str" s="2">
        <x:v>Heritage Housing of Oklahoma City</x:v>
      </x:c>
      <x:c r="C1720" t="str" s="2">
        <x:v/>
      </x:c>
      <x:c r="D1720" t="str" s="2">
        <x:v>9187183030</x:v>
      </x:c>
      <x:c r="E1720" t="str" s="2">
        <x:v>Crazysexywanamaker@gmail.com</x:v>
      </x:c>
      <x:c r="F1720" t="str" s="2">
        <x:v>Youtube</x:v>
      </x:c>
      <x:c r="G1720" t="str" s="2">
        <x:v>Trey Rixleben</x:v>
      </x:c>
      <x:c r="H1720" s="6">
        <x:v>46280.963958796296</x:v>
      </x:c>
      <x:c r="I1720" t="str" s="2">
        <x:v>Trey Rixleben</x:v>
      </x:c>
      <x:c r="J1720" s="0"/>
      <x:c r="K1720" s="0"/>
      <x:c r="L1720" t="str" s="2">
        <x:v>Deal Created</x:v>
      </x:c>
    </x:row>
    <x:row r="1721">
      <x:c r="A1721" t="str" s="2">
        <x:f>=HYPERLINK("https://rsms.futurehomex.com/lead/40553", "Scott Bailey")</x:f>
      </x:c>
      <x:c r="B1721" t="str" s="2">
        <x:v>Heritage Housing of Athens</x:v>
      </x:c>
      <x:c r="C1721" t="str" s="2">
        <x:v/>
      </x:c>
      <x:c r="D1721" t="str" s="2">
        <x:v>4704585961</x:v>
      </x:c>
      <x:c r="E1721" t="str" s="2">
        <x:v>sdbailey24601@gmail.com</x:v>
      </x:c>
      <x:c r="F1721" t="str" s="2">
        <x:v>Youtube</x:v>
      </x:c>
      <x:c r="G1721" t="str" s="2">
        <x:v>Ethan Fossett</x:v>
      </x:c>
      <x:c r="H1721" s="6">
        <x:v>46281.027419212965</x:v>
      </x:c>
      <x:c r="I1721" t="str" s="2">
        <x:v>Ethan Fossett</x:v>
      </x:c>
      <x:c r="J1721" s="0"/>
      <x:c r="K1721" s="6">
        <x:v>46298.733321527776</x:v>
      </x:c>
      <x:c r="L1721" t="str" s="2">
        <x:v>Deal Created</x:v>
      </x:c>
    </x:row>
    <x:row r="1722">
      <x:c r="A1722" t="str" s="2">
        <x:f>=HYPERLINK("https://rsms.futurehomex.com/lead/40074", "Shanell Jones")</x:f>
      </x:c>
      <x:c r="B1722" t="str" s="2">
        <x:v>Heritage Housing of Oklahoma City</x:v>
      </x:c>
      <x:c r="C1722" t="str" s="2">
        <x:v/>
      </x:c>
      <x:c r="D1722" t="str" s="2">
        <x:v>4059261367</x:v>
      </x:c>
      <x:c r="E1722" t="str" s="2">
        <x:v>Shanelljones99@gmail.com</x:v>
      </x:c>
      <x:c r="F1722" t="str" s="2">
        <x:v>Landing_BPM</x:v>
      </x:c>
      <x:c r="G1722" t="str" s="2">
        <x:v>Trey Rixleben</x:v>
      </x:c>
      <x:c r="H1722" s="6">
        <x:v>46281.27718116898</x:v>
      </x:c>
      <x:c r="I1722" t="str" s="2">
        <x:v>Trey Rixleben</x:v>
      </x:c>
      <x:c r="J1722" s="0"/>
      <x:c r="K1722" s="0"/>
      <x:c r="L1722" t="str" s="2">
        <x:v>Deal Created</x:v>
      </x:c>
    </x:row>
    <x:row r="1723">
      <x:c r="A1723" t="str" s="2">
        <x:f>=HYPERLINK("https://rsms.futurehomex.com/lead/40155", "Roderick Gibson")</x:f>
      </x:c>
      <x:c r="B1723" t="str" s="2">
        <x:v>Heritage Housing of Albany</x:v>
      </x:c>
      <x:c r="C1723" t="str" s="2">
        <x:v/>
      </x:c>
      <x:c r="D1723" t="str" s="2">
        <x:v>4785011090</x:v>
      </x:c>
      <x:c r="E1723" t="str" s="2">
        <x:v>R.gibson27@yahoo.com</x:v>
      </x:c>
      <x:c r="F1723" t="str" s="2">
        <x:v>Financing Form</x:v>
      </x:c>
      <x:c r="G1723" t="str" s="2">
        <x:v>Yanet Alvarez</x:v>
      </x:c>
      <x:c r="H1723" s="6">
        <x:v>46281.525079479165</x:v>
      </x:c>
      <x:c r="I1723" t="str" s="2">
        <x:v>Yanet Alvarez</x:v>
      </x:c>
      <x:c r="J1723" s="6">
        <x:v>46281.208333333336</x:v>
      </x:c>
      <x:c r="K1723" s="6">
        <x:v>46283.59374244213</x:v>
      </x:c>
      <x:c r="L1723" t="str" s="2">
        <x:v>Deal Created</x:v>
      </x:c>
    </x:row>
    <x:row r="1724">
      <x:c r="A1724" t="str" s="2">
        <x:f>=HYPERLINK("https://rsms.futurehomex.com/lead/40055", "Alex Noriega")</x:f>
      </x:c>
      <x:c r="B1724" t="str" s="2">
        <x:v>Heritage Housing Gainesville</x:v>
      </x:c>
      <x:c r="C1724" t="str" s="2">
        <x:v/>
      </x:c>
      <x:c r="D1724" t="str" s="2">
        <x:v>2144555981</x:v>
      </x:c>
      <x:c r="E1724" t="str" s="2">
        <x:v>ElviagNoriega@gmail.com</x:v>
      </x:c>
      <x:c r="F1724" t="str" s="2">
        <x:v>Walk-in</x:v>
      </x:c>
      <x:c r="G1724" t="str" s="2">
        <x:v>Kelly Ford</x:v>
      </x:c>
      <x:c r="H1724" s="6">
        <x:v>46281.61422033565</x:v>
      </x:c>
      <x:c r="I1724" t="str" s="2">
        <x:v>Kelly Ford</x:v>
      </x:c>
      <x:c r="J1724" s="0"/>
      <x:c r="K1724" s="6">
        <x:v>46281.61422033565</x:v>
      </x:c>
      <x:c r="L1724" t="str" s="2">
        <x:v>Deal Created</x:v>
      </x:c>
    </x:row>
    <x:row r="1725">
      <x:c r="A1725" t="str" s="2">
        <x:f>=HYPERLINK("https://rsms.futurehomex.com/lead/40060", "Paul Shaw")</x:f>
      </x:c>
      <x:c r="B1725" t="str" s="2">
        <x:v>Heritage Housing of Oklahoma City</x:v>
      </x:c>
      <x:c r="C1725" t="str" s="2">
        <x:v/>
      </x:c>
      <x:c r="D1725" t="str" s="2">
        <x:v>4054320881</x:v>
      </x:c>
      <x:c r="E1725" t="str" s="2">
        <x:v>Pshawdoesitall@gmail.com</x:v>
      </x:c>
      <x:c r="F1725" t="str" s="2">
        <x:v>Facebook Messenger</x:v>
      </x:c>
      <x:c r="G1725" t="str" s="2">
        <x:v>Trey Rixleben</x:v>
      </x:c>
      <x:c r="H1725" s="6">
        <x:v>46281.659245636576</x:v>
      </x:c>
      <x:c r="I1725" t="str" s="2">
        <x:v>Trey Rixleben</x:v>
      </x:c>
      <x:c r="J1725" s="0"/>
      <x:c r="K1725" s="6">
        <x:v>46281.659245636576</x:v>
      </x:c>
      <x:c r="L1725" t="str" s="2">
        <x:v>Deal Created</x:v>
      </x:c>
    </x:row>
    <x:row r="1726">
      <x:c r="A1726" t="str" s="2">
        <x:f>=HYPERLINK("https://rsms.futurehomex.com/lead/40075", "Katie Strand")</x:f>
      </x:c>
      <x:c r="B1726" t="str" s="2">
        <x:v>Heritage Housing of Oklahoma City</x:v>
      </x:c>
      <x:c r="C1726" t="str" s="2">
        <x:v/>
      </x:c>
      <x:c r="D1726" t="str" s="2">
        <x:v>4059928889</x:v>
      </x:c>
      <x:c r="E1726" t="str" s="2">
        <x:v>kstrand218@gmail.com</x:v>
      </x:c>
      <x:c r="F1726" t="str" s="2">
        <x:v>Landing_BPM</x:v>
      </x:c>
      <x:c r="G1726" t="str" s="2">
        <x:v>Trey Rixleben</x:v>
      </x:c>
      <x:c r="H1726" s="6">
        <x:v>46281.743464548614</x:v>
      </x:c>
      <x:c r="I1726" t="str" s="2">
        <x:v>Trey Rixleben</x:v>
      </x:c>
      <x:c r="J1726" s="0"/>
      <x:c r="K1726" s="0"/>
      <x:c r="L1726" t="str" s="2">
        <x:v>Deal Created</x:v>
      </x:c>
    </x:row>
    <x:row r="1727">
      <x:c r="A1727" t="str" s="2">
        <x:f>=HYPERLINK("https://rsms.futurehomex.com/lead/40102", "Shala Welch")</x:f>
      </x:c>
      <x:c r="B1727" t="str" s="2">
        <x:v>Heritage Housing of Oklahoma City</x:v>
      </x:c>
      <x:c r="C1727" t="str" s="2">
        <x:v/>
      </x:c>
      <x:c r="D1727" t="str" s="2">
        <x:v>4059569721</x:v>
      </x:c>
      <x:c r="E1727" t="str" s="2">
        <x:v>shala.welch@gmail.com</x:v>
      </x:c>
      <x:c r="F1727" t="str" s="2">
        <x:v>Landing_BPM</x:v>
      </x:c>
      <x:c r="G1727" t="str" s="2">
        <x:v>Alejandra Calderon</x:v>
      </x:c>
      <x:c r="H1727" s="6">
        <x:v>46281.840309756946</x:v>
      </x:c>
      <x:c r="I1727" t="str" s="2">
        <x:v>Noemi Rojo</x:v>
      </x:c>
      <x:c r="J1727" s="0"/>
      <x:c r="K1727" s="0"/>
      <x:c r="L1727" t="str" s="2">
        <x:v>Deal Created</x:v>
      </x:c>
    </x:row>
    <x:row r="1728">
      <x:c r="A1728" t="str" s="2">
        <x:f>=HYPERLINK("https://rsms.futurehomex.com/lead/40101", "Virginia Teubner")</x:f>
      </x:c>
      <x:c r="B1728" t="str" s="2">
        <x:v>Heritage Housing of Oklahoma City</x:v>
      </x:c>
      <x:c r="C1728" t="str" s="2">
        <x:v/>
      </x:c>
      <x:c r="D1728" t="str" s="2">
        <x:v>4055009993</x:v>
      </x:c>
      <x:c r="E1728" t="str" s="2">
        <x:v>virginiaspence1994@gmail.com</x:v>
      </x:c>
      <x:c r="F1728" t="str" s="2">
        <x:v>Landing_BPM</x:v>
      </x:c>
      <x:c r="G1728" t="str" s="2">
        <x:v>Alejandra Calderon</x:v>
      </x:c>
      <x:c r="H1728" s="6">
        <x:v>46281.912727233794</x:v>
      </x:c>
      <x:c r="I1728" t="str" s="2">
        <x:v>Noemi Rojo</x:v>
      </x:c>
      <x:c r="J1728" s="0"/>
      <x:c r="K1728" s="0"/>
      <x:c r="L1728" t="str" s="2">
        <x:v>Deal Created</x:v>
      </x:c>
    </x:row>
    <x:row r="1729">
      <x:c r="A1729" t="str" s="2">
        <x:f>=HYPERLINK("https://rsms.futurehomex.com/lead/40086", "Virginia McHenry")</x:f>
      </x:c>
      <x:c r="B1729" t="str" s="2">
        <x:v>Heritage Housing of Oklahoma City</x:v>
      </x:c>
      <x:c r="C1729" t="str" s="2">
        <x:v/>
      </x:c>
      <x:c r="D1729" t="str" s="2">
        <x:v>4054550167</x:v>
      </x:c>
      <x:c r="E1729" t="str" s="2">
        <x:v>mchenryv75@gmail.com</x:v>
      </x:c>
      <x:c r="F1729" t="str" s="2">
        <x:v>Landing_BPM</x:v>
      </x:c>
      <x:c r="G1729" t="str" s="2">
        <x:v>Trey Rixleben</x:v>
      </x:c>
      <x:c r="H1729" s="6">
        <x:v>46281.96168541667</x:v>
      </x:c>
      <x:c r="I1729" t="str" s="2">
        <x:v>Trey Rixleben</x:v>
      </x:c>
      <x:c r="J1729" s="0"/>
      <x:c r="K1729" s="0"/>
      <x:c r="L1729" t="str" s="2">
        <x:v>Deal Created</x:v>
      </x:c>
    </x:row>
    <x:row r="1730">
      <x:c r="A1730" t="str" s="2">
        <x:f>=HYPERLINK("https://rsms.futurehomex.com/lead/40100", "Alicia Shaw")</x:f>
      </x:c>
      <x:c r="B1730" t="str" s="2">
        <x:v>Heritage Housing of Oklahoma City</x:v>
      </x:c>
      <x:c r="C1730" t="str" s="2">
        <x:v/>
      </x:c>
      <x:c r="D1730" t="str" s="2">
        <x:v>4056969816</x:v>
      </x:c>
      <x:c r="E1730" t="str" s="2">
        <x:v>aliciashaw911@gmail.com</x:v>
      </x:c>
      <x:c r="F1730" t="str" s="2">
        <x:v>Youtube</x:v>
      </x:c>
      <x:c r="G1730" t="str" s="2">
        <x:v>Alejandra Calderon</x:v>
      </x:c>
      <x:c r="H1730" s="6">
        <x:v>46282.051579976855</x:v>
      </x:c>
      <x:c r="I1730" t="str" s="2">
        <x:v>Noemi Rojo</x:v>
      </x:c>
      <x:c r="J1730" s="0"/>
      <x:c r="K1730" s="0"/>
      <x:c r="L1730" t="str" s="2">
        <x:v>Deal Created</x:v>
      </x:c>
    </x:row>
    <x:row r="1731">
      <x:c r="A1731" t="str" s="2">
        <x:f>=HYPERLINK("https://rsms.futurehomex.com/lead/40088", "Aaliyah Coffman")</x:f>
      </x:c>
      <x:c r="B1731" t="str" s="2">
        <x:v>Heritage Housing of Oklahoma City</x:v>
      </x:c>
      <x:c r="C1731" t="str" s="2">
        <x:v/>
      </x:c>
      <x:c r="D1731" t="str" s="2">
        <x:v>4053958352</x:v>
      </x:c>
      <x:c r="E1731" t="str" s="2">
        <x:v>coffmanaaliyah@gmail.com</x:v>
      </x:c>
      <x:c r="F1731" t="str" s="2">
        <x:v>Landing_BPM</x:v>
      </x:c>
      <x:c r="G1731" t="str" s="2">
        <x:v>Trey Rixleben</x:v>
      </x:c>
      <x:c r="H1731" s="6">
        <x:v>46282.06655806713</x:v>
      </x:c>
      <x:c r="I1731" t="str" s="2">
        <x:v>Trey Rixleben</x:v>
      </x:c>
      <x:c r="J1731" s="0"/>
      <x:c r="K1731" s="0"/>
      <x:c r="L1731" t="str" s="2">
        <x:v>Deal Created</x:v>
      </x:c>
    </x:row>
    <x:row r="1732">
      <x:c r="A1732" t="str" s="2">
        <x:f>=HYPERLINK("https://rsms.futurehomex.com/lead/40099", "Emily Dobbs")</x:f>
      </x:c>
      <x:c r="B1732" t="str" s="2">
        <x:v>Heritage Housing of Oklahoma City</x:v>
      </x:c>
      <x:c r="C1732" t="str" s="2">
        <x:v/>
      </x:c>
      <x:c r="D1732" t="str" s="2">
        <x:v>4058022806</x:v>
      </x:c>
      <x:c r="E1732" t="str" s="2">
        <x:v>emilyjoesmith16@gmail.com</x:v>
      </x:c>
      <x:c r="F1732" t="str" s="2">
        <x:v>Landing_BPM</x:v>
      </x:c>
      <x:c r="G1732" t="str" s="2">
        <x:v>Alejandra Calderon</x:v>
      </x:c>
      <x:c r="H1732" s="6">
        <x:v>46282.14637931713</x:v>
      </x:c>
      <x:c r="I1732" t="str" s="2">
        <x:v>Noemi Rojo</x:v>
      </x:c>
      <x:c r="J1732" s="0"/>
      <x:c r="K1732" s="6">
        <x:v>46282.73864116898</x:v>
      </x:c>
      <x:c r="L1732" t="str" s="2">
        <x:v>Deal Created</x:v>
      </x:c>
    </x:row>
    <x:row r="1733">
      <x:c r="A1733" t="str" s="2">
        <x:f>=HYPERLINK("https://rsms.futurehomex.com/lead/40087", "RACHELE Hierra")</x:f>
      </x:c>
      <x:c r="B1733" t="str" s="2">
        <x:v>Heritage Housing of Canton</x:v>
      </x:c>
      <x:c r="C1733" t="str" s="2">
        <x:v/>
      </x:c>
      <x:c r="D1733" t="str" s="2">
        <x:v>9034676598</x:v>
      </x:c>
      <x:c r="E1733" t="str" s="2">
        <x:v>rachelej46@gmail.com</x:v>
      </x:c>
      <x:c r="F1733" t="str" s="2">
        <x:v>Facebook Messenger</x:v>
      </x:c>
      <x:c r="G1733" t="str" s="2">
        <x:v>Jacob Hatten</x:v>
      </x:c>
      <x:c r="H1733" s="6">
        <x:v>46282.59908136574</x:v>
      </x:c>
      <x:c r="I1733" t="str" s="2">
        <x:v>Jacob Hatten</x:v>
      </x:c>
      <x:c r="J1733" s="0"/>
      <x:c r="K1733" s="6">
        <x:v>46282.59908136574</x:v>
      </x:c>
      <x:c r="L1733" t="str" s="2">
        <x:v>Deal Created</x:v>
      </x:c>
    </x:row>
    <x:row r="1734">
      <x:c r="A1734" t="str" s="2">
        <x:f>=HYPERLINK("https://rsms.futurehomex.com/lead/40096", "Amber Butler")</x:f>
      </x:c>
      <x:c r="B1734" t="str" s="2">
        <x:v>Heritage Housing of Tulsa</x:v>
      </x:c>
      <x:c r="C1734" t="str" s="2">
        <x:v/>
      </x:c>
      <x:c r="D1734" t="str" s="2">
        <x:v>9188154612</x:v>
      </x:c>
      <x:c r="E1734" t="str" s="2">
        <x:v>9188154612</x:v>
      </x:c>
      <x:c r="F1734" t="str" s="2">
        <x:v>Walk-in</x:v>
      </x:c>
      <x:c r="G1734" t="str" s="2">
        <x:v>Jenna Fransisco</x:v>
      </x:c>
      <x:c r="H1734" s="6">
        <x:v>46282.703233368054</x:v>
      </x:c>
      <x:c r="I1734" t="str" s="2">
        <x:v>Jenna Fransisco</x:v>
      </x:c>
      <x:c r="J1734" s="0"/>
      <x:c r="K1734" s="6">
        <x:v>46282.703233368054</x:v>
      </x:c>
      <x:c r="L1734" t="str" s="2">
        <x:v>Deal Created</x:v>
      </x:c>
    </x:row>
    <x:row r="1735">
      <x:c r="A1735" t="str" s="2">
        <x:f>=HYPERLINK("https://rsms.futurehomex.com/lead/40108", "April Bogan")</x:f>
      </x:c>
      <x:c r="B1735" t="str" s="2">
        <x:v>Heritage Housing of Oklahoma City</x:v>
      </x:c>
      <x:c r="C1735" t="str" s="2">
        <x:v/>
      </x:c>
      <x:c r="D1735" t="str" s="2">
        <x:v>5033898134</x:v>
      </x:c>
      <x:c r="E1735" t="str" s="2">
        <x:v>aprilbogan0@gmail.com</x:v>
      </x:c>
      <x:c r="F1735" t="str" s="2">
        <x:v>Financing Form</x:v>
      </x:c>
      <x:c r="G1735" t="str" s="2">
        <x:v>Trey Rixleben</x:v>
      </x:c>
      <x:c r="H1735" s="6">
        <x:v>46282.73923799769</x:v>
      </x:c>
      <x:c r="I1735" t="str" s="2">
        <x:v>Trey Rixleben</x:v>
      </x:c>
      <x:c r="J1735" s="0"/>
      <x:c r="K1735" s="0"/>
      <x:c r="L1735" t="str" s="2">
        <x:v>Deal Created</x:v>
      </x:c>
    </x:row>
    <x:row r="1736">
      <x:c r="A1736" t="str" s="2">
        <x:f>=HYPERLINK("https://rsms.futurehomex.com/lead/40112", "Mercedes Vasquez")</x:f>
      </x:c>
      <x:c r="B1736" t="str" s="2">
        <x:v>Heritage Housing of Oklahoma City</x:v>
      </x:c>
      <x:c r="C1736" t="str" s="2">
        <x:v/>
      </x:c>
      <x:c r="D1736" t="str" s="2">
        <x:v>4056872048</x:v>
      </x:c>
      <x:c r="E1736" t="str" s="2">
        <x:v>mervasquez1204@gmail.com</x:v>
      </x:c>
      <x:c r="F1736" t="str" s="2">
        <x:v>Landing_BPM</x:v>
      </x:c>
      <x:c r="G1736" t="str" s="2">
        <x:v>Trey Rixleben</x:v>
      </x:c>
      <x:c r="H1736" s="6">
        <x:v>46282.81950405092</x:v>
      </x:c>
      <x:c r="I1736" t="str" s="2">
        <x:v>Trey Rixleben</x:v>
      </x:c>
      <x:c r="J1736" s="0"/>
      <x:c r="K1736" s="0"/>
      <x:c r="L1736" t="str" s="2">
        <x:v>Deal Created</x:v>
      </x:c>
    </x:row>
    <x:row r="1737">
      <x:c r="A1737" t="str" s="2">
        <x:f>=HYPERLINK("https://rsms.futurehomex.com/lead/40111", "Calvin Rodgers")</x:f>
      </x:c>
      <x:c r="B1737" t="str" s="2">
        <x:v>Heritage Housing of Oklahoma City</x:v>
      </x:c>
      <x:c r="C1737" t="str" s="2">
        <x:v/>
      </x:c>
      <x:c r="D1737" t="str" s="2">
        <x:v>5802092272</x:v>
      </x:c>
      <x:c r="E1737" t="str" s="2">
        <x:v>calvinjrodgerss8@gmail.com</x:v>
      </x:c>
      <x:c r="F1737" t="str" s="2">
        <x:v>Youtube</x:v>
      </x:c>
      <x:c r="G1737" t="str" s="2">
        <x:v>Trey Rixleben</x:v>
      </x:c>
      <x:c r="H1737" s="6">
        <x:v>46282.83252121528</x:v>
      </x:c>
      <x:c r="I1737" t="str" s="2">
        <x:v>Trey Rixleben</x:v>
      </x:c>
      <x:c r="J1737" s="0"/>
      <x:c r="K1737" s="0"/>
      <x:c r="L1737" t="str" s="2">
        <x:v>Deal Created</x:v>
      </x:c>
    </x:row>
    <x:row r="1738">
      <x:c r="A1738" t="str" s="2">
        <x:f>=HYPERLINK("https://rsms.futurehomex.com/lead/40114", "Eldric Coleman")</x:f>
      </x:c>
      <x:c r="B1738" t="str" s="2">
        <x:v>Heritage Housing of Albany</x:v>
      </x:c>
      <x:c r="C1738" t="str" s="2">
        <x:v/>
      </x:c>
      <x:c r="D1738" t="str" s="2">
        <x:v>2298812959</x:v>
      </x:c>
      <x:c r="E1738" t="str" s="2">
        <x:v>colemanscarrier@gmail.com</x:v>
      </x:c>
      <x:c r="F1738" t="str" s="2">
        <x:v>Facebook Messenger</x:v>
      </x:c>
      <x:c r="G1738" t="str" s="2">
        <x:v>Yanet Alvarez</x:v>
      </x:c>
      <x:c r="H1738" s="6">
        <x:v>46282.86642341435</x:v>
      </x:c>
      <x:c r="I1738" t="str" s="2">
        <x:v>Alexander Bryant</x:v>
      </x:c>
      <x:c r="J1738" s="0"/>
      <x:c r="K1738" s="6">
        <x:v>46282.86642341435</x:v>
      </x:c>
      <x:c r="L1738" t="str" s="2">
        <x:v>Deal Created</x:v>
      </x:c>
    </x:row>
    <x:row r="1739">
      <x:c r="A1739" t="str" s="2">
        <x:f>=HYPERLINK("https://rsms.futurehomex.com/lead/40122", "Marla Miller")</x:f>
      </x:c>
      <x:c r="B1739" t="str" s="2">
        <x:v>Heritage Housing of Oklahoma City</x:v>
      </x:c>
      <x:c r="C1739" t="str" s="2">
        <x:v/>
      </x:c>
      <x:c r="D1739" t="str" s="2">
        <x:v>5803441900</x:v>
      </x:c>
      <x:c r="E1739" t="str" s="2">
        <x:v>mrlmlr43@gmail.com</x:v>
      </x:c>
      <x:c r="F1739" t="str" s="2">
        <x:v>Youtube</x:v>
      </x:c>
      <x:c r="G1739" t="str" s="2">
        <x:v>Trey Rixleben</x:v>
      </x:c>
      <x:c r="H1739" s="6">
        <x:v>46282.91188677083</x:v>
      </x:c>
      <x:c r="I1739" t="str" s="2">
        <x:v>Trey Rixleben</x:v>
      </x:c>
      <x:c r="J1739" s="0"/>
      <x:c r="K1739" s="0"/>
      <x:c r="L1739" t="str" s="2">
        <x:v>Deal Created</x:v>
      </x:c>
    </x:row>
    <x:row r="1740">
      <x:c r="A1740" t="str" s="2">
        <x:f>=HYPERLINK("https://rsms.futurehomex.com/lead/40235", "Betty Perez")</x:f>
      </x:c>
      <x:c r="B1740" t="str" s="2">
        <x:v>Heritage Housing of Oklahoma City</x:v>
      </x:c>
      <x:c r="C1740" t="str" s="2">
        <x:v/>
      </x:c>
      <x:c r="D1740" t="str" s="2">
        <x:v>8703029954</x:v>
      </x:c>
      <x:c r="E1740" t="str" s="2">
        <x:v>8703029954</x:v>
      </x:c>
      <x:c r="F1740" t="str" s="2">
        <x:v>Facebook Messenger</x:v>
      </x:c>
      <x:c r="G1740" t="str" s="2">
        <x:v>Trey Rixleben</x:v>
      </x:c>
      <x:c r="H1740" s="6">
        <x:v>46282.96448753472</x:v>
      </x:c>
      <x:c r="I1740" t="str" s="2">
        <x:v>Trey Rixleben</x:v>
      </x:c>
      <x:c r="J1740" s="6">
        <x:v>46283.791666666664</x:v>
      </x:c>
      <x:c r="K1740" s="6">
        <x:v>46283.88308788194</x:v>
      </x:c>
      <x:c r="L1740" t="str" s="2">
        <x:v>Deal Created</x:v>
      </x:c>
    </x:row>
    <x:row r="1741">
      <x:c r="A1741" t="str" s="2">
        <x:f>=HYPERLINK("https://rsms.futurehomex.com/lead/40123", "William Carter")</x:f>
      </x:c>
      <x:c r="B1741" t="str" s="2">
        <x:v>Heritage Housing of Oklahoma City</x:v>
      </x:c>
      <x:c r="C1741" t="str" s="2">
        <x:v/>
      </x:c>
      <x:c r="D1741" t="str" s="2">
        <x:v>9184071488</x:v>
      </x:c>
      <x:c r="E1741" t="str" s="2">
        <x:v>williamcarterdallas21@gmail.com</x:v>
      </x:c>
      <x:c r="F1741" t="str" s="2">
        <x:v>Landing_BPM</x:v>
      </x:c>
      <x:c r="G1741" t="str" s="2">
        <x:v>Trey Rixleben</x:v>
      </x:c>
      <x:c r="H1741" s="6">
        <x:v>46282.984765706016</x:v>
      </x:c>
      <x:c r="I1741" t="str" s="2">
        <x:v>Trey Rixleben</x:v>
      </x:c>
      <x:c r="J1741" s="0"/>
      <x:c r="K1741" s="0"/>
      <x:c r="L1741" t="str" s="2">
        <x:v>Deal Created</x:v>
      </x:c>
    </x:row>
    <x:row r="1742">
      <x:c r="A1742" t="str" s="2">
        <x:f>=HYPERLINK("https://rsms.futurehomex.com/lead/40132", "Eric Haines")</x:f>
      </x:c>
      <x:c r="B1742" t="str" s="2">
        <x:v>Heritage Housing of Oklahoma City</x:v>
      </x:c>
      <x:c r="C1742" t="str" s="2">
        <x:v/>
      </x:c>
      <x:c r="D1742" t="str" s="2">
        <x:v>57</x:v>
      </x:c>
      <x:c r="E1742" t="str" s="2">
        <x:v>haineseric222@gmail.com</x:v>
      </x:c>
      <x:c r="F1742" t="str" s="2">
        <x:v>Youtube</x:v>
      </x:c>
      <x:c r="G1742" t="str" s="2">
        <x:v>Alejandra Calderon</x:v>
      </x:c>
      <x:c r="H1742" s="6">
        <x:v>46282.98795454861</x:v>
      </x:c>
      <x:c r="I1742" t="str" s="2">
        <x:v>Noemi Rojo</x:v>
      </x:c>
      <x:c r="J1742" s="0"/>
      <x:c r="K1742" s="6">
        <x:v>46283.600786076386</x:v>
      </x:c>
      <x:c r="L1742" t="str" s="2">
        <x:v>Deal Created</x:v>
      </x:c>
    </x:row>
    <x:row r="1743">
      <x:c r="A1743" t="str" s="2">
        <x:f>=HYPERLINK("https://rsms.futurehomex.com/lead/40129", "Gina York")</x:f>
      </x:c>
      <x:c r="B1743" t="str" s="2">
        <x:v>Heritage Housing of Oklahoma City</x:v>
      </x:c>
      <x:c r="C1743" t="str" s="2">
        <x:v/>
      </x:c>
      <x:c r="D1743" t="str" s="2">
        <x:v>4057602381</x:v>
      </x:c>
      <x:c r="E1743" t="str" s="2">
        <x:v>gyork46@yahoo.com</x:v>
      </x:c>
      <x:c r="F1743" t="str" s="2">
        <x:v>Youtube</x:v>
      </x:c>
      <x:c r="G1743" t="str" s="2">
        <x:v>Trey Rixleben</x:v>
      </x:c>
      <x:c r="H1743" s="6">
        <x:v>46283.07224421296</x:v>
      </x:c>
      <x:c r="I1743" t="str" s="2">
        <x:v>Trey Rixleben</x:v>
      </x:c>
      <x:c r="J1743" s="0"/>
      <x:c r="K1743" s="0"/>
      <x:c r="L1743" t="str" s="2">
        <x:v>Deal Created</x:v>
      </x:c>
    </x:row>
    <x:row r="1744">
      <x:c r="A1744" t="str" s="2">
        <x:f>=HYPERLINK("https://rsms.futurehomex.com/lead/40131", "Felicia Contreras")</x:f>
      </x:c>
      <x:c r="B1744" t="str" s="2">
        <x:v>Heritage Housing of Oklahoma City</x:v>
      </x:c>
      <x:c r="C1744" t="str" s="2">
        <x:v/>
      </x:c>
      <x:c r="D1744" t="str" s="2">
        <x:v>405-953-6676</x:v>
      </x:c>
      <x:c r="E1744" t="str" s="2">
        <x:v>feliciacontreras82@gmail.com</x:v>
      </x:c>
      <x:c r="F1744" t="str" s="2">
        <x:v>Landing_BPM</x:v>
      </x:c>
      <x:c r="G1744" t="str" s="2">
        <x:v>Alejandra Calderon</x:v>
      </x:c>
      <x:c r="H1744" s="6">
        <x:v>46283.56416142361</x:v>
      </x:c>
      <x:c r="I1744" t="str" s="2">
        <x:v>Noemi Rojo</x:v>
      </x:c>
      <x:c r="J1744" s="0"/>
      <x:c r="K1744" s="6">
        <x:v>46283.599309641206</x:v>
      </x:c>
      <x:c r="L1744" t="str" s="2">
        <x:v>Deal Created</x:v>
      </x:c>
    </x:row>
    <x:row r="1745">
      <x:c r="A1745" t="str" s="2">
        <x:f>=HYPERLINK("https://rsms.futurehomex.com/lead/40133", "Trudy McKenzie")</x:f>
      </x:c>
      <x:c r="B1745" t="str" s="2">
        <x:v>Heritage Housing of Jennings</x:v>
      </x:c>
      <x:c r="C1745" t="str" s="2">
        <x:v/>
      </x:c>
      <x:c r="D1745" t="str" s="2">
        <x:v>3373701749</x:v>
      </x:c>
      <x:c r="E1745" t="str" s="2">
        <x:v>tdiane35@gmail.com</x:v>
      </x:c>
      <x:c r="F1745" t="str" s="2">
        <x:v>Walk-in</x:v>
      </x:c>
      <x:c r="G1745" t="str" s="2">
        <x:v>Mervin Leslie Smith</x:v>
      </x:c>
      <x:c r="H1745" s="6">
        <x:v>46283.607747222224</x:v>
      </x:c>
      <x:c r="I1745" t="str" s="2">
        <x:v>Mervin Leslie Smith</x:v>
      </x:c>
      <x:c r="J1745" s="0"/>
      <x:c r="K1745" s="6">
        <x:v>46283.607747222224</x:v>
      </x:c>
      <x:c r="L1745" t="str" s="2">
        <x:v>Deal Created</x:v>
      </x:c>
    </x:row>
    <x:row r="1746">
      <x:c r="A1746" t="str" s="2">
        <x:f>=HYPERLINK("https://rsms.futurehomex.com/lead/40135", "Janet Priddy")</x:f>
      </x:c>
      <x:c r="B1746" t="str" s="2">
        <x:v>Heritage Housing of Canton</x:v>
      </x:c>
      <x:c r="C1746" t="str" s="2">
        <x:v/>
      </x:c>
      <x:c r="D1746" t="str" s="2">
        <x:v>9037038762</x:v>
      </x:c>
      <x:c r="E1746" t="str" s="2">
        <x:v>jjphotography92@gmail.com</x:v>
      </x:c>
      <x:c r="F1746" t="str" s="2">
        <x:v>Walk-in</x:v>
      </x:c>
      <x:c r="G1746" t="str" s="2">
        <x:v>Maira Garcia</x:v>
      </x:c>
      <x:c r="H1746" s="6">
        <x:v>46283.62514123842</x:v>
      </x:c>
      <x:c r="I1746" t="str" s="2">
        <x:v>Maira Garcia</x:v>
      </x:c>
      <x:c r="J1746" s="0"/>
      <x:c r="K1746" s="6">
        <x:v>46283.62514123842</x:v>
      </x:c>
      <x:c r="L1746" t="str" s="2">
        <x:v>Deal Created</x:v>
      </x:c>
    </x:row>
    <x:row r="1747">
      <x:c r="A1747" t="str" s="2">
        <x:f>=HYPERLINK("https://rsms.futurehomex.com/lead/40154", "Barbara Jones")</x:f>
      </x:c>
      <x:c r="B1747" t="str" s="2">
        <x:v>Heritage Housing of Oklahoma City</x:v>
      </x:c>
      <x:c r="C1747" t="str" s="2">
        <x:v/>
      </x:c>
      <x:c r="D1747" t="str" s="2">
        <x:v>4055106186</x:v>
      </x:c>
      <x:c r="E1747" t="str" s="2">
        <x:v>j1616barbie@gmail.com</x:v>
      </x:c>
      <x:c r="F1747" t="str" s="2">
        <x:v>Youtube</x:v>
      </x:c>
      <x:c r="G1747" t="str" s="2">
        <x:v>Trey Rixleben</x:v>
      </x:c>
      <x:c r="H1747" s="6">
        <x:v>46283.65301307871</x:v>
      </x:c>
      <x:c r="I1747" t="str" s="2">
        <x:v>Trey Rixleben</x:v>
      </x:c>
      <x:c r="J1747" s="0"/>
      <x:c r="K1747" s="0"/>
      <x:c r="L1747" t="str" s="2">
        <x:v>Deal Created</x:v>
      </x:c>
    </x:row>
    <x:row r="1748">
      <x:c r="A1748" t="str" s="2">
        <x:f>=HYPERLINK("https://rsms.futurehomex.com/lead/40137", "KURT JACKSON")</x:f>
      </x:c>
      <x:c r="B1748" t="str" s="2">
        <x:v>Heritage Housing of Canton</x:v>
      </x:c>
      <x:c r="C1748" t="str" s="2">
        <x:v/>
      </x:c>
      <x:c r="D1748" t="str" s="2">
        <x:v>9034676589</x:v>
      </x:c>
      <x:c r="E1748" t="str" s="2">
        <x:v>truckbluejack@yahoo.com</x:v>
      </x:c>
      <x:c r="F1748" t="str" s="2">
        <x:v>Facebook Messenger</x:v>
      </x:c>
      <x:c r="G1748" t="str" s="2">
        <x:v>Jacob Hatten</x:v>
      </x:c>
      <x:c r="H1748" s="6">
        <x:v>46283.664514386575</x:v>
      </x:c>
      <x:c r="I1748" t="str" s="2">
        <x:v>Jacob Hatten</x:v>
      </x:c>
      <x:c r="J1748" s="0"/>
      <x:c r="K1748" s="6">
        <x:v>46283.664514386575</x:v>
      </x:c>
      <x:c r="L1748" t="str" s="2">
        <x:v>Deal Created</x:v>
      </x:c>
    </x:row>
    <x:row r="1749">
      <x:c r="A1749" t="str" s="2">
        <x:f>=HYPERLINK("https://rsms.futurehomex.com/lead/40151", "Melissa Niccum")</x:f>
      </x:c>
      <x:c r="B1749" t="str" s="2">
        <x:v>Heritage Housing of Oklahoma City</x:v>
      </x:c>
      <x:c r="C1749" t="str" s="2">
        <x:v/>
      </x:c>
      <x:c r="D1749" t="str" s="2">
        <x:v>4059311462</x:v>
      </x:c>
      <x:c r="E1749" t="str" s="2">
        <x:v>melissaniccum1965@gmail.com</x:v>
      </x:c>
      <x:c r="F1749" t="str" s="2">
        <x:v>LandingPage</x:v>
      </x:c>
      <x:c r="G1749" t="str" s="2">
        <x:v>Alejandra Calderon</x:v>
      </x:c>
      <x:c r="H1749" s="6">
        <x:v>46283.68185706018</x:v>
      </x:c>
      <x:c r="I1749" t="str" s="2">
        <x:v>Noemi Rojo</x:v>
      </x:c>
      <x:c r="J1749" s="0"/>
      <x:c r="K1749" s="6">
        <x:v>46283.80719609954</x:v>
      </x:c>
      <x:c r="L1749" t="str" s="2">
        <x:v>Deal Created</x:v>
      </x:c>
    </x:row>
    <x:row r="1750">
      <x:c r="A1750" t="str" s="2">
        <x:f>=HYPERLINK("https://rsms.futurehomex.com/lead/40145", "Quintrell Kuria")</x:f>
      </x:c>
      <x:c r="B1750" t="str" s="2">
        <x:v>Heritage Housing of Canton</x:v>
      </x:c>
      <x:c r="C1750" t="str" s="2">
        <x:v/>
      </x:c>
      <x:c r="D1750" t="str" s="2">
        <x:v>9729714339</x:v>
      </x:c>
      <x:c r="E1750" t="str" s="2">
        <x:v>9729714339</x:v>
      </x:c>
      <x:c r="F1750" t="str" s="2">
        <x:v>Facebook Messenger</x:v>
      </x:c>
      <x:c r="G1750" t="str" s="2">
        <x:v>Maira Garcia</x:v>
      </x:c>
      <x:c r="H1750" s="6">
        <x:v>46283.77196315972</x:v>
      </x:c>
      <x:c r="I1750" t="str" s="2">
        <x:v>Adriana Jaimes-Martinez</x:v>
      </x:c>
      <x:c r="J1750" s="0"/>
      <x:c r="K1750" s="6">
        <x:v>46283.77196315972</x:v>
      </x:c>
      <x:c r="L1750" t="str" s="2">
        <x:v>Deal Created</x:v>
      </x:c>
    </x:row>
    <x:row r="1751">
      <x:c r="A1751" t="str" s="2">
        <x:f>=HYPERLINK("https://rsms.futurehomex.com/lead/40153", "Fred John Domingo")</x:f>
      </x:c>
      <x:c r="B1751" t="str" s="2">
        <x:v>Heritage Housing of Jennings</x:v>
      </x:c>
      <x:c r="C1751" t="str" s="2">
        <x:v/>
      </x:c>
      <x:c r="D1751" t="str" s="2">
        <x:v>2252185427</x:v>
      </x:c>
      <x:c r="E1751" t="str" s="2">
        <x:v>freddom54@icloud.com</x:v>
      </x:c>
      <x:c r="F1751" t="str" s="2">
        <x:v>Walk-in</x:v>
      </x:c>
      <x:c r="G1751" t="str" s="2">
        <x:v>Mervin Leslie Smith</x:v>
      </x:c>
      <x:c r="H1751" s="6">
        <x:v>46283.820533680555</x:v>
      </x:c>
      <x:c r="I1751" t="str" s="2">
        <x:v>Mervin Leslie Smith</x:v>
      </x:c>
      <x:c r="J1751" s="0"/>
      <x:c r="K1751" s="6">
        <x:v>46283.820533680555</x:v>
      </x:c>
      <x:c r="L1751" t="str" s="2">
        <x:v>Deal Created</x:v>
      </x:c>
    </x:row>
    <x:row r="1752">
      <x:c r="A1752" t="str" s="2">
        <x:f>=HYPERLINK("https://rsms.futurehomex.com/lead/40157", "Ricky Mort")</x:f>
      </x:c>
      <x:c r="B1752" t="str" s="2">
        <x:v>Heritage Housing of Oklahoma City</x:v>
      </x:c>
      <x:c r="C1752" t="str" s="2">
        <x:v/>
      </x:c>
      <x:c r="D1752" t="str" s="2">
        <x:v>4056008332</x:v>
      </x:c>
      <x:c r="E1752" t="str" s="2">
        <x:v>rickydalemort1974@gmail.com</x:v>
      </x:c>
      <x:c r="F1752" t="str" s="2">
        <x:v>Facebook Messenger</x:v>
      </x:c>
      <x:c r="G1752" t="str" s="2">
        <x:v>Trey Rixleben</x:v>
      </x:c>
      <x:c r="H1752" s="6">
        <x:v>46283.85992847222</x:v>
      </x:c>
      <x:c r="I1752" t="str" s="2">
        <x:v>Trey Rixleben</x:v>
      </x:c>
      <x:c r="J1752" s="0"/>
      <x:c r="K1752" s="6">
        <x:v>46283.85992847222</x:v>
      </x:c>
      <x:c r="L1752" t="str" s="2">
        <x:v>Deal Created</x:v>
      </x:c>
    </x:row>
    <x:row r="1753">
      <x:c r="A1753" t="str" s="2">
        <x:f>=HYPERLINK("https://rsms.futurehomex.com/lead/40166", "Charla Hernandez")</x:f>
      </x:c>
      <x:c r="B1753" t="str" s="2">
        <x:v>Heritage Housing of Oklahoma City</x:v>
      </x:c>
      <x:c r="C1753" t="str" s="2">
        <x:v/>
      </x:c>
      <x:c r="D1753" t="str" s="2">
        <x:v>4058985985</x:v>
      </x:c>
      <x:c r="E1753" t="str" s="2">
        <x:v>butterflyaway667@gmail.com</x:v>
      </x:c>
      <x:c r="F1753" t="str" s="2">
        <x:v>Landing_BPM</x:v>
      </x:c>
      <x:c r="G1753" t="str" s="2">
        <x:v>Alejandra Calderon</x:v>
      </x:c>
      <x:c r="H1753" s="6">
        <x:v>46283.918672141204</x:v>
      </x:c>
      <x:c r="I1753" t="str" s="2">
        <x:v>Noemi Rojo</x:v>
      </x:c>
      <x:c r="J1753" s="0"/>
      <x:c r="K1753" s="6">
        <x:v>46283.932258368055</x:v>
      </x:c>
      <x:c r="L1753" t="str" s="2">
        <x:v>Deal Created</x:v>
      </x:c>
    </x:row>
    <x:row r="1754">
      <x:c r="A1754" t="str" s="2">
        <x:f>=HYPERLINK("https://rsms.futurehomex.com/lead/40171", "Deven Raines")</x:f>
      </x:c>
      <x:c r="B1754" t="str" s="2">
        <x:v>Heritage Housing of Oklahoma City</x:v>
      </x:c>
      <x:c r="C1754" t="str" s="2">
        <x:v/>
      </x:c>
      <x:c r="D1754" t="str" s="2">
        <x:v>9183197183</x:v>
      </x:c>
      <x:c r="E1754" t="str" s="2">
        <x:v>devenraines32@gmail.com</x:v>
      </x:c>
      <x:c r="F1754" t="str" s="2">
        <x:v>Landing_BPM</x:v>
      </x:c>
      <x:c r="G1754" t="str" s="2">
        <x:v>Trey Rixleben</x:v>
      </x:c>
      <x:c r="H1754" s="6">
        <x:v>46283.926900266204</x:v>
      </x:c>
      <x:c r="I1754" t="str" s="2">
        <x:v>Trey Rixleben</x:v>
      </x:c>
      <x:c r="J1754" s="0"/>
      <x:c r="K1754" s="0"/>
      <x:c r="L1754" t="str" s="2">
        <x:v>Deal Created</x:v>
      </x:c>
    </x:row>
    <x:row r="1755">
      <x:c r="A1755" t="str" s="2">
        <x:f>=HYPERLINK("https://rsms.futurehomex.com/lead/40164", "Marty Privett")</x:f>
      </x:c>
      <x:c r="B1755" t="str" s="2">
        <x:v>Heritage Housing of Oklahoma City</x:v>
      </x:c>
      <x:c r="C1755" t="str" s="2">
        <x:v/>
      </x:c>
      <x:c r="D1755" t="str" s="2">
        <x:v>4054126502</x:v>
      </x:c>
      <x:c r="E1755" t="str" s="2">
        <x:v>marty@peopleresources.biz</x:v>
      </x:c>
      <x:c r="F1755" t="str" s="2">
        <x:v>Facebook Messenger</x:v>
      </x:c>
      <x:c r="G1755" t="str" s="2">
        <x:v>Steve Castell</x:v>
      </x:c>
      <x:c r="H1755" s="6">
        <x:v>46283.92844447917</x:v>
      </x:c>
      <x:c r="I1755" t="str" s="2">
        <x:v>Steve Castell</x:v>
      </x:c>
      <x:c r="J1755" s="0"/>
      <x:c r="K1755" s="6">
        <x:v>46283.92844447917</x:v>
      </x:c>
      <x:c r="L1755" t="str" s="2">
        <x:v>Deal Created</x:v>
      </x:c>
    </x:row>
    <x:row r="1756">
      <x:c r="A1756" t="str" s="2">
        <x:f>=HYPERLINK("https://rsms.futurehomex.com/lead/40167", "Melody Channon")</x:f>
      </x:c>
      <x:c r="B1756" t="str" s="2">
        <x:v>Heritage Housing of Oklahoma City</x:v>
      </x:c>
      <x:c r="C1756" t="str" s="2">
        <x:v/>
      </x:c>
      <x:c r="D1756" t="str" s="2">
        <x:v>4055688425</x:v>
      </x:c>
      <x:c r="E1756" t="str" s="2">
        <x:v>4055688425</x:v>
      </x:c>
      <x:c r="F1756" t="str" s="2">
        <x:v>Office Hot Calls</x:v>
      </x:c>
      <x:c r="G1756" t="str" s="2">
        <x:v>Trey Rixleben</x:v>
      </x:c>
      <x:c r="H1756" s="6">
        <x:v>46283.94205297454</x:v>
      </x:c>
      <x:c r="I1756" t="str" s="2">
        <x:v>Trey Rixleben</x:v>
      </x:c>
      <x:c r="J1756" s="0"/>
      <x:c r="K1756" s="6">
        <x:v>46283.94205297454</x:v>
      </x:c>
      <x:c r="L1756" t="str" s="2">
        <x:v>Deal Created</x:v>
      </x:c>
    </x:row>
    <x:row r="1757">
      <x:c r="A1757" t="str" s="2">
        <x:f>=HYPERLINK("https://rsms.futurehomex.com/lead/40183", "Verna Duvernois")</x:f>
      </x:c>
      <x:c r="B1757" t="str" s="2">
        <x:v>Heritage Housing of Oklahoma City</x:v>
      </x:c>
      <x:c r="C1757" t="str" s="2">
        <x:v/>
      </x:c>
      <x:c r="D1757" t="str" s="2">
        <x:v>4058806648</x:v>
      </x:c>
      <x:c r="E1757" t="str" s="2">
        <x:v>vernaduvernois19@gmail.com</x:v>
      </x:c>
      <x:c r="F1757" t="str" s="2">
        <x:v>Financing Form</x:v>
      </x:c>
      <x:c r="G1757" t="str" s="2">
        <x:v>Alejandra Calderon</x:v>
      </x:c>
      <x:c r="H1757" s="6">
        <x:v>46283.97605228009</x:v>
      </x:c>
      <x:c r="I1757" t="str" s="2">
        <x:v>Noemi Rojo</x:v>
      </x:c>
      <x:c r="J1757" s="0"/>
      <x:c r="K1757" s="6">
        <x:v>46284.612691979164</x:v>
      </x:c>
      <x:c r="L1757" t="str" s="2">
        <x:v>Deal Created</x:v>
      </x:c>
    </x:row>
    <x:row r="1758">
      <x:c r="A1758" t="str" s="2">
        <x:f>=HYPERLINK("https://rsms.futurehomex.com/lead/40184", "Eric Plumbar")</x:f>
      </x:c>
      <x:c r="B1758" t="str" s="2">
        <x:v>Heritage Housing of Jennings</x:v>
      </x:c>
      <x:c r="C1758" t="str" s="2">
        <x:v/>
      </x:c>
      <x:c r="D1758" t="str" s="2">
        <x:v>3377178750</x:v>
      </x:c>
      <x:c r="E1758" t="str" s="2">
        <x:v>johnq337@yahoo.com</x:v>
      </x:c>
      <x:c r="F1758" t="str" s="2">
        <x:v>Website</x:v>
      </x:c>
      <x:c r="G1758" t="str" s="2">
        <x:v>Clint O'Neal</x:v>
      </x:c>
      <x:c r="H1758" s="6">
        <x:v>46284.01870721065</x:v>
      </x:c>
      <x:c r="I1758" t="str" s="2">
        <x:v>Clint O'Neal</x:v>
      </x:c>
      <x:c r="J1758" s="0"/>
      <x:c r="K1758" s="6">
        <x:v>46284.612006400464</x:v>
      </x:c>
      <x:c r="L1758" t="str" s="2">
        <x:v>Deal Created</x:v>
      </x:c>
    </x:row>
    <x:row r="1759">
      <x:c r="A1759" t="str" s="2">
        <x:f>=HYPERLINK("https://rsms.futurehomex.com/lead/40172", "Tara Scott")</x:f>
      </x:c>
      <x:c r="B1759" t="str" s="2">
        <x:v>Heritage Housing of Oklahoma City</x:v>
      </x:c>
      <x:c r="C1759" t="str" s="2">
        <x:v/>
      </x:c>
      <x:c r="D1759" t="str" s="2">
        <x:v>4702784270</x:v>
      </x:c>
      <x:c r="E1759" t="str" s="2">
        <x:v>tarashantel@gmaill.com</x:v>
      </x:c>
      <x:c r="F1759" t="str" s="2">
        <x:v>Landing_BPM</x:v>
      </x:c>
      <x:c r="G1759" t="str" s="2">
        <x:v>Trey Rixleben</x:v>
      </x:c>
      <x:c r="H1759" s="6">
        <x:v>46284.067883599535</x:v>
      </x:c>
      <x:c r="I1759" t="str" s="2">
        <x:v>Trey Rixleben</x:v>
      </x:c>
      <x:c r="J1759" s="0"/>
      <x:c r="K1759" s="0"/>
      <x:c r="L1759" t="str" s="2">
        <x:v>Deal Created</x:v>
      </x:c>
    </x:row>
    <x:row r="1760">
      <x:c r="A1760" t="str" s="2">
        <x:f>=HYPERLINK("https://rsms.futurehomex.com/lead/40180", "KAYLEE JOHNSON")</x:f>
      </x:c>
      <x:c r="B1760" t="str" s="2">
        <x:v>Heritage Housing of Oklahoma City</x:v>
      </x:c>
      <x:c r="C1760" t="str" s="2">
        <x:v/>
      </x:c>
      <x:c r="D1760" t="str" s="2">
        <x:v>4056977278</x:v>
      </x:c>
      <x:c r="E1760" t="str" s="2">
        <x:v>kjohns405@gmail.com</x:v>
      </x:c>
      <x:c r="F1760" t="str" s="2">
        <x:v>Youtube</x:v>
      </x:c>
      <x:c r="G1760" t="str" s="2">
        <x:v>Alejandra Calderon</x:v>
      </x:c>
      <x:c r="H1760" s="6">
        <x:v>46284.09992994213</x:v>
      </x:c>
      <x:c r="I1760" t="str" s="2">
        <x:v>Noemi Rojo</x:v>
      </x:c>
      <x:c r="J1760" s="0"/>
      <x:c r="K1760" s="6">
        <x:v>46284.6107721875</x:v>
      </x:c>
      <x:c r="L1760" t="str" s="2">
        <x:v>Deal Created</x:v>
      </x:c>
    </x:row>
    <x:row r="1761">
      <x:c r="A1761" t="str" s="2">
        <x:f>=HYPERLINK("https://rsms.futurehomex.com/lead/40176", "Natosha nicely")</x:f>
      </x:c>
      <x:c r="B1761" t="str" s="2">
        <x:v>Heritage Housing of Oklahoma City</x:v>
      </x:c>
      <x:c r="C1761" t="str" s="2">
        <x:v/>
      </x:c>
      <x:c r="D1761" t="str" s="2">
        <x:v>4057654083</x:v>
      </x:c>
      <x:c r="E1761" t="str" s="2">
        <x:v>natnicely1990@gmail.com</x:v>
      </x:c>
      <x:c r="F1761" t="str" s="2">
        <x:v>Landing_BPM</x:v>
      </x:c>
      <x:c r="G1761" t="str" s="2">
        <x:v>Trey Rixleben</x:v>
      </x:c>
      <x:c r="H1761" s="6">
        <x:v>46284.187638310184</x:v>
      </x:c>
      <x:c r="I1761" t="str" s="2">
        <x:v>Trey Rixleben</x:v>
      </x:c>
      <x:c r="J1761" s="0"/>
      <x:c r="K1761" s="0"/>
      <x:c r="L1761" t="str" s="2">
        <x:v>Deal Created</x:v>
      </x:c>
    </x:row>
    <x:row r="1762">
      <x:c r="A1762" t="str" s="2">
        <x:f>=HYPERLINK("https://rsms.futurehomex.com/lead/40178", "Myrakyle Taylor")</x:f>
      </x:c>
      <x:c r="B1762" t="str" s="2">
        <x:v>Heritage Housing of Oklahoma City</x:v>
      </x:c>
      <x:c r="C1762" t="str" s="2">
        <x:v/>
      </x:c>
      <x:c r="D1762" t="str" s="2">
        <x:v>2542488298</x:v>
      </x:c>
      <x:c r="E1762" t="str" s="2">
        <x:v>myrakylet@icloud.com</x:v>
      </x:c>
      <x:c r="F1762" t="str" s="2">
        <x:v>Financing Form</x:v>
      </x:c>
      <x:c r="G1762" t="str" s="2">
        <x:v>Alejandra Calderon</x:v>
      </x:c>
      <x:c r="H1762" s="6">
        <x:v>46284.225939317126</x:v>
      </x:c>
      <x:c r="I1762" t="str" s="2">
        <x:v>Noemi Rojo</x:v>
      </x:c>
      <x:c r="J1762" s="0"/>
      <x:c r="K1762" s="6">
        <x:v>46284.607549224536</x:v>
      </x:c>
      <x:c r="L1762" t="str" s="2">
        <x:v>Deal Created</x:v>
      </x:c>
    </x:row>
    <x:row r="1763">
      <x:c r="A1763" t="str" s="2">
        <x:f>=HYPERLINK("https://rsms.futurehomex.com/lead/40179", "Kimberly Stockdale")</x:f>
      </x:c>
      <x:c r="B1763" t="str" s="2">
        <x:v>Heritage Housing of Oklahoma City</x:v>
      </x:c>
      <x:c r="C1763" t="str" s="2">
        <x:v/>
      </x:c>
      <x:c r="D1763" t="str" s="2">
        <x:v>4052874232</x:v>
      </x:c>
      <x:c r="E1763" t="str" s="2">
        <x:v>stockdalekimberly00@gmail.com</x:v>
      </x:c>
      <x:c r="F1763" t="str" s="2">
        <x:v>Youtube</x:v>
      </x:c>
      <x:c r="G1763" t="str" s="2">
        <x:v>Trey Rixleben</x:v>
      </x:c>
      <x:c r="H1763" s="6">
        <x:v>46284.26371238426</x:v>
      </x:c>
      <x:c r="I1763" t="str" s="2">
        <x:v>Trey Rixleben</x:v>
      </x:c>
      <x:c r="J1763" s="0"/>
      <x:c r="K1763" s="0"/>
      <x:c r="L1763" t="str" s="2">
        <x:v>Deal Created</x:v>
      </x:c>
    </x:row>
    <x:row r="1764">
      <x:c r="A1764" t="str" s="2">
        <x:f>=HYPERLINK("https://rsms.futurehomex.com/lead/40177", "Amanda Ballard")</x:f>
      </x:c>
      <x:c r="B1764" t="str" s="2">
        <x:v>Heritage Housing of Oklahoma City</x:v>
      </x:c>
      <x:c r="C1764" t="str" s="2">
        <x:v/>
      </x:c>
      <x:c r="D1764" t="str" s="2">
        <x:v>9188895621</x:v>
      </x:c>
      <x:c r="E1764" t="str" s="2">
        <x:v>ballardamanda44@gmail.com</x:v>
      </x:c>
      <x:c r="F1764" t="str" s="2">
        <x:v>Financing Form</x:v>
      </x:c>
      <x:c r="G1764" t="str" s="2">
        <x:v>Alejandra Calderon</x:v>
      </x:c>
      <x:c r="H1764" s="6">
        <x:v>46284.292864780095</x:v>
      </x:c>
      <x:c r="I1764" t="str" s="2">
        <x:v>Noemi Rojo</x:v>
      </x:c>
      <x:c r="J1764" s="0"/>
      <x:c r="K1764" s="6">
        <x:v>46284.60569325231</x:v>
      </x:c>
      <x:c r="L1764" t="str" s="2">
        <x:v>Deal Created</x:v>
      </x:c>
    </x:row>
    <x:row r="1765">
      <x:c r="A1765" t="str" s="2">
        <x:f>=HYPERLINK("https://rsms.futurehomex.com/lead/40170", "Jonathan Elmelund")</x:f>
      </x:c>
      <x:c r="B1765" t="str" s="2">
        <x:v>Heritage Housing of Oklahoma City</x:v>
      </x:c>
      <x:c r="C1765" t="str" s="2">
        <x:v/>
      </x:c>
      <x:c r="D1765" t="str" s="2">
        <x:v>3035017765</x:v>
      </x:c>
      <x:c r="E1765" t="str" s="2">
        <x:v>jonathan.elmelund@yahoo.com</x:v>
      </x:c>
      <x:c r="F1765" t="str" s="2">
        <x:v>Walk-in</x:v>
      </x:c>
      <x:c r="G1765" t="str" s="2">
        <x:v>Trey Rixleben</x:v>
      </x:c>
      <x:c r="H1765" s="6">
        <x:v>46284.56981721065</x:v>
      </x:c>
      <x:c r="I1765" t="str" s="2">
        <x:v>Trey Rixleben</x:v>
      </x:c>
      <x:c r="J1765" s="0"/>
      <x:c r="K1765" s="6">
        <x:v>46284.56981721065</x:v>
      </x:c>
      <x:c r="L1765" t="str" s="2">
        <x:v>Deal Created</x:v>
      </x:c>
    </x:row>
    <x:row r="1766">
      <x:c r="A1766" t="str" s="2">
        <x:f>=HYPERLINK("https://rsms.futurehomex.com/lead/40188", "Chaz Sherbourne")</x:f>
      </x:c>
      <x:c r="B1766" t="str" s="2">
        <x:v>Heritage Housing of Oklahoma City</x:v>
      </x:c>
      <x:c r="C1766" t="str" s="2">
        <x:v/>
      </x:c>
      <x:c r="D1766" t="str" s="2">
        <x:v>4056988339</x:v>
      </x:c>
      <x:c r="E1766" t="str" s="2">
        <x:v>gannonandace@gmail.com</x:v>
      </x:c>
      <x:c r="F1766" t="str" s="2">
        <x:v>Facebook Messenger</x:v>
      </x:c>
      <x:c r="G1766" t="str" s="2">
        <x:v>Trey Rixleben</x:v>
      </x:c>
      <x:c r="H1766" s="6">
        <x:v>46284.69704255787</x:v>
      </x:c>
      <x:c r="I1766" t="str" s="2">
        <x:v>Trey Rixleben</x:v>
      </x:c>
      <x:c r="J1766" s="0"/>
      <x:c r="K1766" s="6">
        <x:v>46284.69704255787</x:v>
      </x:c>
      <x:c r="L1766" t="str" s="2">
        <x:v>Deal Created</x:v>
      </x:c>
    </x:row>
    <x:row r="1767">
      <x:c r="A1767" t="str" s="2">
        <x:f>=HYPERLINK("https://rsms.futurehomex.com/lead/40190", "Mike Dekel")</x:f>
      </x:c>
      <x:c r="B1767" t="str" s="2">
        <x:v>Heritage Housing of Albany</x:v>
      </x:c>
      <x:c r="C1767" t="str" s="2">
        <x:v/>
      </x:c>
      <x:c r="D1767" t="str" s="2">
        <x:v>4043168754</x:v>
      </x:c>
      <x:c r="E1767" t="str" s="2">
        <x:v>mikedekel@gmail.com</x:v>
      </x:c>
      <x:c r="F1767" t="str" s="2">
        <x:v>Facebook Messenger</x:v>
      </x:c>
      <x:c r="G1767" t="str" s="2">
        <x:v>Yanet Alvarez</x:v>
      </x:c>
      <x:c r="H1767" s="6">
        <x:v>46284.70131704861</x:v>
      </x:c>
      <x:c r="I1767" t="str" s="2">
        <x:v>Yanet Alvarez</x:v>
      </x:c>
      <x:c r="J1767" s="0"/>
      <x:c r="K1767" s="6">
        <x:v>46284.70131704861</x:v>
      </x:c>
      <x:c r="L1767" t="str" s="2">
        <x:v>Deal Created</x:v>
      </x:c>
    </x:row>
    <x:row r="1768">
      <x:c r="A1768" t="str" s="2">
        <x:f>=HYPERLINK("https://rsms.futurehomex.com/lead/40233", "Frederick Brooks")</x:f>
      </x:c>
      <x:c r="B1768" t="str" s="2">
        <x:v>Heritage Housing of Oklahoma City</x:v>
      </x:c>
      <x:c r="C1768" t="str" s="2">
        <x:v/>
      </x:c>
      <x:c r="D1768" t="str" s="2">
        <x:v>6088440777</x:v>
      </x:c>
      <x:c r="E1768" t="str" s="2">
        <x:v>brooksrvok@aol.com</x:v>
      </x:c>
      <x:c r="F1768" t="str" s="2">
        <x:v>Facebook Messenger</x:v>
      </x:c>
      <x:c r="G1768" t="str" s="2">
        <x:v>Trey Rixleben</x:v>
      </x:c>
      <x:c r="H1768" s="6">
        <x:v>46284.7622022338</x:v>
      </x:c>
      <x:c r="I1768" t="str" s="2">
        <x:v>Trey Rixleben</x:v>
      </x:c>
      <x:c r="J1768" s="0"/>
      <x:c r="K1768" s="6">
        <x:v>46284.7622022338</x:v>
      </x:c>
      <x:c r="L1768" t="str" s="2">
        <x:v>Deal Created</x:v>
      </x:c>
    </x:row>
    <x:row r="1769">
      <x:c r="A1769" t="str" s="2">
        <x:f>=HYPERLINK("https://rsms.futurehomex.com/lead/40199", "Dallas Snow")</x:f>
      </x:c>
      <x:c r="B1769" t="str" s="2">
        <x:v>Heritage Housing of Albany</x:v>
      </x:c>
      <x:c r="C1769" t="str" s="2">
        <x:v/>
      </x:c>
      <x:c r="D1769" t="str" s="2">
        <x:v>7065343616</x:v>
      </x:c>
      <x:c r="E1769" t="str" s="2">
        <x:v>7065343616</x:v>
      </x:c>
      <x:c r="F1769" t="str" s="2">
        <x:v>Google Ads</x:v>
      </x:c>
      <x:c r="G1769" t="str" s="2">
        <x:v>Yanet Alvarez</x:v>
      </x:c>
      <x:c r="H1769" s="6">
        <x:v>46284.77527222222</x:v>
      </x:c>
      <x:c r="I1769" t="str" s="2">
        <x:v>Alexander Bryant</x:v>
      </x:c>
      <x:c r="J1769" s="0"/>
      <x:c r="K1769" s="6">
        <x:v>46284.77527222222</x:v>
      </x:c>
      <x:c r="L1769" t="str" s="2">
        <x:v>Deal Created</x:v>
      </x:c>
    </x:row>
    <x:row r="1770">
      <x:c r="A1770" t="str" s="2">
        <x:f>=HYPERLINK("https://rsms.futurehomex.com/lead/40216", "Ryan Pardon")</x:f>
      </x:c>
      <x:c r="B1770" t="str" s="2">
        <x:v>Heritage Housing of Oklahoma City</x:v>
      </x:c>
      <x:c r="C1770" t="str" s="2">
        <x:v/>
      </x:c>
      <x:c r="D1770" t="str" s="2">
        <x:v>5734121212</x:v>
      </x:c>
      <x:c r="E1770" t="str" s="2">
        <x:v>jopardon22@gmail.com</x:v>
      </x:c>
      <x:c r="F1770" t="str" s="2">
        <x:v>Financing Form</x:v>
      </x:c>
      <x:c r="G1770" t="str" s="2">
        <x:v>Steve Castell</x:v>
      </x:c>
      <x:c r="H1770" s="6">
        <x:v>46284.81137688657</x:v>
      </x:c>
      <x:c r="I1770" t="str" s="2">
        <x:v>Steve Castell</x:v>
      </x:c>
      <x:c r="J1770" s="0"/>
      <x:c r="K1770" s="6">
        <x:v>46285.96008040509</x:v>
      </x:c>
      <x:c r="L1770" t="str" s="2">
        <x:v>Deal Created</x:v>
      </x:c>
    </x:row>
    <x:row r="1771">
      <x:c r="A1771" t="str" s="2">
        <x:f>=HYPERLINK("https://rsms.futurehomex.com/lead/40209", "Ryan Pardon")</x:f>
      </x:c>
      <x:c r="B1771" t="str" s="2">
        <x:v>Heritage Housing of Oklahoma City</x:v>
      </x:c>
      <x:c r="C1771" t="str" s="2">
        <x:v/>
      </x:c>
      <x:c r="D1771" t="str" s="2">
        <x:v>5734121212</x:v>
      </x:c>
      <x:c r="E1771" t="str" s="2">
        <x:v>jopardon22@gmail.com</x:v>
      </x:c>
      <x:c r="F1771" t="str" s="2">
        <x:v>Financing Form</x:v>
      </x:c>
      <x:c r="G1771" t="str" s="2">
        <x:v>Steve Castell</x:v>
      </x:c>
      <x:c r="H1771" s="6">
        <x:v>46284.81137688657</x:v>
      </x:c>
      <x:c r="I1771" t="str" s="2">
        <x:v>Alejandra Calderon</x:v>
      </x:c>
      <x:c r="J1771" s="0"/>
      <x:c r="K1771" s="6">
        <x:v>46285.96008040509</x:v>
      </x:c>
      <x:c r="L1771" t="str" s="2">
        <x:v>Deal Created</x:v>
      </x:c>
    </x:row>
    <x:row r="1772">
      <x:c r="A1772" t="str" s="2">
        <x:f>=HYPERLINK("https://rsms.futurehomex.com/lead/40221", "AdaLynn Marler")</x:f>
      </x:c>
      <x:c r="B1772" t="str" s="2">
        <x:v>Heritage Housing of Oklahoma City</x:v>
      </x:c>
      <x:c r="C1772" t="str" s="2">
        <x:v/>
      </x:c>
      <x:c r="D1772" t="str" s="2">
        <x:v>4052071342</x:v>
      </x:c>
      <x:c r="E1772" t="str" s="2">
        <x:v>adalynnmarler@gmail.com</x:v>
      </x:c>
      <x:c r="F1772" t="str" s="2">
        <x:v>Landing_BPM</x:v>
      </x:c>
      <x:c r="G1772" t="str" s="2">
        <x:v>Trey Rixleben</x:v>
      </x:c>
      <x:c r="H1772" s="6">
        <x:v>46284.889968055555</x:v>
      </x:c>
      <x:c r="I1772" t="str" s="2">
        <x:v>Trey Rixleben</x:v>
      </x:c>
      <x:c r="J1772" s="0"/>
      <x:c r="K1772" s="0"/>
      <x:c r="L1772" t="str" s="2">
        <x:v>Deal Created</x:v>
      </x:c>
    </x:row>
    <x:row r="1773">
      <x:c r="A1773" t="str" s="2">
        <x:f>=HYPERLINK("https://rsms.futurehomex.com/lead/40205", "Jaime Fregoso")</x:f>
      </x:c>
      <x:c r="B1773" t="str" s="2">
        <x:v>Heritage Housing of Oklahoma City</x:v>
      </x:c>
      <x:c r="C1773" t="str" s="2">
        <x:v/>
      </x:c>
      <x:c r="D1773" t="str" s="2">
        <x:v>4055035026</x:v>
      </x:c>
      <x:c r="E1773" t="str" s="2">
        <x:v>j2hconstructionllc@gmail.com</x:v>
      </x:c>
      <x:c r="F1773" t="str" s="2">
        <x:v>Facebook Messenger</x:v>
      </x:c>
      <x:c r="G1773" t="str" s="2">
        <x:v>Steve Castell</x:v>
      </x:c>
      <x:c r="H1773" s="6">
        <x:v>46284.897022488425</x:v>
      </x:c>
      <x:c r="I1773" t="str" s="2">
        <x:v>Steve Castell</x:v>
      </x:c>
      <x:c r="J1773" s="0"/>
      <x:c r="K1773" s="6">
        <x:v>46284.897022488425</x:v>
      </x:c>
      <x:c r="L1773" t="str" s="2">
        <x:v>Deal Created</x:v>
      </x:c>
    </x:row>
    <x:row r="1774">
      <x:c r="A1774" t="str" s="2">
        <x:f>=HYPERLINK("https://rsms.futurehomex.com/lead/40208", "Karen Whygle")</x:f>
      </x:c>
      <x:c r="B1774" t="str" s="2">
        <x:v>Heritage Housing of Oklahoma City</x:v>
      </x:c>
      <x:c r="C1774" t="str" s="2">
        <x:v/>
      </x:c>
      <x:c r="D1774" t="str" s="2">
        <x:v>4028336417</x:v>
      </x:c>
      <x:c r="E1774" t="str" s="2">
        <x:v>karenwhygle@gmail.com</x:v>
      </x:c>
      <x:c r="F1774" t="str" s="2">
        <x:v>Youtube</x:v>
      </x:c>
      <x:c r="G1774" t="str" s="2">
        <x:v>Alejandra Calderon</x:v>
      </x:c>
      <x:c r="H1774" s="6">
        <x:v>46285.00995358796</x:v>
      </x:c>
      <x:c r="I1774" t="str" s="2">
        <x:v>Noemi Rojo</x:v>
      </x:c>
      <x:c r="J1774" s="0"/>
      <x:c r="K1774" s="6">
        <x:v>46285.07851921296</x:v>
      </x:c>
      <x:c r="L1774" t="str" s="2">
        <x:v>Deal Created</x:v>
      </x:c>
    </x:row>
    <x:row r="1775">
      <x:c r="A1775" t="str" s="2">
        <x:f>=HYPERLINK("https://rsms.futurehomex.com/lead/40223", "Tabi Hollingsworth")</x:f>
      </x:c>
      <x:c r="B1775" t="str" s="2">
        <x:v>Heritage Housing of Oklahoma City</x:v>
      </x:c>
      <x:c r="C1775" t="str" s="2">
        <x:v/>
      </x:c>
      <x:c r="D1775" t="str" s="2">
        <x:v>9184086508</x:v>
      </x:c>
      <x:c r="E1775" t="str" s="2">
        <x:v>sunnythope4@gmail.com</x:v>
      </x:c>
      <x:c r="F1775" t="str" s="2">
        <x:v>Landing_BPM</x:v>
      </x:c>
      <x:c r="G1775" t="str" s="2">
        <x:v>Trey Rixleben</x:v>
      </x:c>
      <x:c r="H1775" s="6">
        <x:v>46285.36220844907</x:v>
      </x:c>
      <x:c r="I1775" t="str" s="2">
        <x:v>Trey Rixleben</x:v>
      </x:c>
      <x:c r="J1775" s="0"/>
      <x:c r="K1775" s="0"/>
      <x:c r="L1775" t="str" s="2">
        <x:v>Deal Created</x:v>
      </x:c>
    </x:row>
    <x:row r="1776">
      <x:c r="A1776" t="str" s="2">
        <x:f>=HYPERLINK("https://rsms.futurehomex.com/lead/40218", "Kevonte Chandler")</x:f>
      </x:c>
      <x:c r="B1776" t="str" s="2">
        <x:v>Heritage Housing of Oklahoma City</x:v>
      </x:c>
      <x:c r="C1776" t="str" s="2">
        <x:v/>
      </x:c>
      <x:c r="D1776" t="str" s="2">
        <x:v>4052208492</x:v>
      </x:c>
      <x:c r="E1776" t="str" s="2">
        <x:v>kevonte.chandler@icloud.com</x:v>
      </x:c>
      <x:c r="F1776" t="str" s="2">
        <x:v>Landing_BPM</x:v>
      </x:c>
      <x:c r="G1776" t="str" s="2">
        <x:v>Steve Castell</x:v>
      </x:c>
      <x:c r="H1776" s="6">
        <x:v>46285.63478487269</x:v>
      </x:c>
      <x:c r="I1776" t="str" s="2">
        <x:v>Steve Castell</x:v>
      </x:c>
      <x:c r="J1776" s="0"/>
      <x:c r="K1776" s="6">
        <x:v>46285.989790706015</x:v>
      </x:c>
      <x:c r="L1776" t="str" s="2">
        <x:v>Deal Created</x:v>
      </x:c>
    </x:row>
    <x:row r="1777">
      <x:c r="A1777" t="str" s="2">
        <x:f>=HYPERLINK("https://rsms.futurehomex.com/lead/40224", "Serina Snook")</x:f>
      </x:c>
      <x:c r="B1777" t="str" s="2">
        <x:v>Heritage Housing of Oklahoma City</x:v>
      </x:c>
      <x:c r="C1777" t="str" s="2">
        <x:v/>
      </x:c>
      <x:c r="D1777" t="str" s="2">
        <x:v>5802360249</x:v>
      </x:c>
      <x:c r="E1777" t="str" s="2">
        <x:v>serina.snook1817@gmail.com</x:v>
      </x:c>
      <x:c r="F1777" t="str" s="2">
        <x:v>Landing_BPM</x:v>
      </x:c>
      <x:c r="G1777" t="str" s="2">
        <x:v>Trey Rixleben</x:v>
      </x:c>
      <x:c r="H1777" s="6">
        <x:v>46285.686002118055</x:v>
      </x:c>
      <x:c r="I1777" t="str" s="2">
        <x:v>Trey Rixleben</x:v>
      </x:c>
      <x:c r="J1777" s="0"/>
      <x:c r="K1777" s="0"/>
      <x:c r="L1777" t="str" s="2">
        <x:v>Deal Created</x:v>
      </x:c>
    </x:row>
    <x:row r="1778">
      <x:c r="A1778" t="str" s="2">
        <x:f>=HYPERLINK("https://rsms.futurehomex.com/lead/40243", "Julie Gilbert Shah")</x:f>
      </x:c>
      <x:c r="B1778" t="str" s="2">
        <x:v>Heritage Housing of Jennings</x:v>
      </x:c>
      <x:c r="C1778" t="str" s="2">
        <x:v>1/2</x:v>
      </x:c>
      <x:c r="D1778" t="str" s="2">
        <x:v>3375704260</x:v>
      </x:c>
      <x:c r="E1778" t="str" s="2">
        <x:v>juliegilbert1970@yahoo.com</x:v>
      </x:c>
      <x:c r="F1778" t="str" s="2">
        <x:v>Website</x:v>
      </x:c>
      <x:c r="G1778" t="str" s="2">
        <x:v>Clint O'Neal</x:v>
      </x:c>
      <x:c r="H1778" s="6">
        <x:v>46285.816358449076</x:v>
      </x:c>
      <x:c r="I1778" t="str" s="2">
        <x:v>Clint O'Neal</x:v>
      </x:c>
      <x:c r="J1778" s="0"/>
      <x:c r="K1778" s="6">
        <x:v>46286.79295934028</x:v>
      </x:c>
      <x:c r="L1778" t="str" s="2">
        <x:v>Deal Created</x:v>
      </x:c>
    </x:row>
    <x:row r="1779">
      <x:c r="A1779" t="str" s="2">
        <x:f>=HYPERLINK("https://rsms.futurehomex.com/lead/40217", "Kristina Clark")</x:f>
      </x:c>
      <x:c r="B1779" t="str" s="2">
        <x:v>Heritage Housing of Oklahoma City</x:v>
      </x:c>
      <x:c r="C1779" t="str" s="2">
        <x:v/>
      </x:c>
      <x:c r="D1779" t="str" s="2">
        <x:v>5722474218</x:v>
      </x:c>
      <x:c r="E1779" t="str" s="2">
        <x:v>kristinadawnbell1989@gmail.com</x:v>
      </x:c>
      <x:c r="F1779" t="str" s="2">
        <x:v>Financing Form</x:v>
      </x:c>
      <x:c r="G1779" t="str" s="2">
        <x:v>Steve Castell</x:v>
      </x:c>
      <x:c r="H1779" s="6">
        <x:v>46285.89132303241</x:v>
      </x:c>
      <x:c r="I1779" t="str" s="2">
        <x:v>Steve Castell</x:v>
      </x:c>
      <x:c r="J1779" s="0"/>
      <x:c r="K1779" s="6">
        <x:v>46285.98197986111</x:v>
      </x:c>
      <x:c r="L1779" t="str" s="2">
        <x:v>Deal Created</x:v>
      </x:c>
    </x:row>
    <x:row r="1780">
      <x:c r="A1780" t="str" s="2">
        <x:f>=HYPERLINK("https://rsms.futurehomex.com/lead/40414", "Kathy Baker")</x:f>
      </x:c>
      <x:c r="B1780" t="str" s="2">
        <x:v>Heritage Housing Marble Falls</x:v>
      </x:c>
      <x:c r="C1780" t="str" s="2">
        <x:v>2/2</x:v>
      </x:c>
      <x:c r="D1780" t="str" s="2">
        <x:v>3252483019</x:v>
      </x:c>
      <x:c r="E1780" t="str" s="2">
        <x:v>texaskat.kb@gmail.com</x:v>
      </x:c>
      <x:c r="F1780" t="str" s="2">
        <x:v>LandingPage</x:v>
      </x:c>
      <x:c r="G1780" t="str" s="2">
        <x:v>Garrett Riedesel</x:v>
      </x:c>
      <x:c r="H1780" s="6">
        <x:v>46285.91078568287</x:v>
      </x:c>
      <x:c r="I1780" t="str" s="2">
        <x:v>Garrett Riedesel</x:v>
      </x:c>
      <x:c r="J1780" s="0"/>
      <x:c r="K1780" s="6">
        <x:v>46290.85318923611</x:v>
      </x:c>
      <x:c r="L1780" t="str" s="2">
        <x:v>Deal Created</x:v>
      </x:c>
    </x:row>
    <x:row r="1781">
      <x:c r="A1781" t="str" s="2">
        <x:f>=HYPERLINK("https://rsms.futurehomex.com/lead/40225", "Glenna Rowe")</x:f>
      </x:c>
      <x:c r="B1781" t="str" s="2">
        <x:v>Heritage Housing of Oklahoma City</x:v>
      </x:c>
      <x:c r="C1781" t="str" s="2">
        <x:v/>
      </x:c>
      <x:c r="D1781" t="str" s="2">
        <x:v>4053858346</x:v>
      </x:c>
      <x:c r="E1781" t="str" s="2">
        <x:v>glennarowe4@gmail.com</x:v>
      </x:c>
      <x:c r="F1781" t="str" s="2">
        <x:v>Youtube</x:v>
      </x:c>
      <x:c r="G1781" t="str" s="2">
        <x:v>Trey Rixleben</x:v>
      </x:c>
      <x:c r="H1781" s="6">
        <x:v>46285.941805752314</x:v>
      </x:c>
      <x:c r="I1781" t="str" s="2">
        <x:v>Trey Rixleben</x:v>
      </x:c>
      <x:c r="J1781" s="0"/>
      <x:c r="K1781" s="0"/>
      <x:c r="L1781" t="str" s="2">
        <x:v>Deal Created</x:v>
      </x:c>
    </x:row>
    <x:row r="1782">
      <x:c r="A1782" t="str" s="2">
        <x:f>=HYPERLINK("https://rsms.futurehomex.com/lead/40230", "Nicky Davis")</x:f>
      </x:c>
      <x:c r="B1782" t="str" s="2">
        <x:v>Heritage Housing of Oklahoma City</x:v>
      </x:c>
      <x:c r="C1782" t="str" s="2">
        <x:v/>
      </x:c>
      <x:c r="D1782" t="str" s="2">
        <x:v>9314269795</x:v>
      </x:c>
      <x:c r="E1782" t="str" s="2">
        <x:v>nickydavis61984@gmail.com</x:v>
      </x:c>
      <x:c r="F1782" t="str" s="2">
        <x:v>Website</x:v>
      </x:c>
      <x:c r="G1782" t="str" s="2">
        <x:v>Steve Castell</x:v>
      </x:c>
      <x:c r="H1782" s="6">
        <x:v>46286.00475501157</x:v>
      </x:c>
      <x:c r="I1782" t="str" s="2">
        <x:v>Steve Castell</x:v>
      </x:c>
      <x:c r="J1782" s="0"/>
      <x:c r="K1782" s="0"/>
      <x:c r="L1782" t="str" s="2">
        <x:v>Deal Created</x:v>
      </x:c>
    </x:row>
    <x:row r="1783">
      <x:c r="A1783" t="str" s="2">
        <x:f>=HYPERLINK("https://rsms.futurehomex.com/lead/40227", "Jazmyn Ruth")</x:f>
      </x:c>
      <x:c r="B1783" t="str" s="2">
        <x:v>Heritage Housing of Oklahoma City</x:v>
      </x:c>
      <x:c r="C1783" t="str" s="2">
        <x:v/>
      </x:c>
      <x:c r="D1783" t="str" s="2">
        <x:v>5725227743</x:v>
      </x:c>
      <x:c r="E1783" t="str" s="2">
        <x:v>ruthjazmyn74@gmail.com</x:v>
      </x:c>
      <x:c r="F1783" t="str" s="2">
        <x:v>Landing_BPM</x:v>
      </x:c>
      <x:c r="G1783" t="str" s="2">
        <x:v>Trey Rixleben</x:v>
      </x:c>
      <x:c r="H1783" s="6">
        <x:v>46286.03393105324</x:v>
      </x:c>
      <x:c r="I1783" t="str" s="2">
        <x:v>Trey Rixleben</x:v>
      </x:c>
      <x:c r="J1783" s="0"/>
      <x:c r="K1783" s="0"/>
      <x:c r="L1783" t="str" s="2">
        <x:v>Deal Created</x:v>
      </x:c>
    </x:row>
    <x:row r="1784">
      <x:c r="A1784" t="str" s="2">
        <x:f>=HYPERLINK("https://rsms.futurehomex.com/lead/40229", "Jorge Sigcho")</x:f>
      </x:c>
      <x:c r="B1784" t="str" s="2">
        <x:v>Heritage Housing of Oklahoma City</x:v>
      </x:c>
      <x:c r="C1784" t="str" s="2">
        <x:v/>
      </x:c>
      <x:c r="D1784" t="str" s="2">
        <x:v>4057386108</x:v>
      </x:c>
      <x:c r="E1784" t="str" s="2">
        <x:v>sigchoj78@gmail.com</x:v>
      </x:c>
      <x:c r="F1784" t="str" s="2">
        <x:v>Landing_BPM</x:v>
      </x:c>
      <x:c r="G1784" t="str" s="2">
        <x:v>Steve Castell</x:v>
      </x:c>
      <x:c r="H1784" s="6">
        <x:v>46286.079548877315</x:v>
      </x:c>
      <x:c r="I1784" t="str" s="2">
        <x:v>Trey Rixleben</x:v>
      </x:c>
      <x:c r="J1784" s="0"/>
      <x:c r="K1784" s="0"/>
      <x:c r="L1784" t="str" s="2">
        <x:v>Deal Created</x:v>
      </x:c>
    </x:row>
    <x:row r="1785">
      <x:c r="A1785" t="str" s="2">
        <x:f>=HYPERLINK("https://rsms.futurehomex.com/lead/40220", "Charles Carpenter")</x:f>
      </x:c>
      <x:c r="B1785" t="str" s="2">
        <x:v>Heritage Housing of Athens</x:v>
      </x:c>
      <x:c r="C1785" t="str" s="2">
        <x:v/>
      </x:c>
      <x:c r="D1785" t="str" s="2">
        <x:v>7063181979</x:v>
      </x:c>
      <x:c r="E1785" t="str" s="2">
        <x:v>7063181979</x:v>
      </x:c>
      <x:c r="F1785" t="str" s="2">
        <x:v>Facebook Messenger</x:v>
      </x:c>
      <x:c r="G1785" t="str" s="2">
        <x:v>Nathan Bishop</x:v>
      </x:c>
      <x:c r="H1785" s="6">
        <x:v>46286.587400543984</x:v>
      </x:c>
      <x:c r="I1785" t="str" s="2">
        <x:v>Nathan Bishop</x:v>
      </x:c>
      <x:c r="J1785" s="0"/>
      <x:c r="K1785" s="6">
        <x:v>46286.587400543984</x:v>
      </x:c>
      <x:c r="L1785" t="str" s="2">
        <x:v>Deal Created</x:v>
      </x:c>
    </x:row>
    <x:row r="1786">
      <x:c r="A1786" t="str" s="2">
        <x:f>=HYPERLINK("https://rsms.futurehomex.com/lead/40228", "TAHSHA HANSARD")</x:f>
      </x:c>
      <x:c r="B1786" t="str" s="2">
        <x:v>Heritage Housing of Oklahoma City</x:v>
      </x:c>
      <x:c r="C1786" t="str" s="2">
        <x:v/>
      </x:c>
      <x:c r="D1786" t="str" s="2">
        <x:v>4055142742</x:v>
      </x:c>
      <x:c r="E1786" t="str" s="2">
        <x:v>Tahshahansard@ymail.com</x:v>
      </x:c>
      <x:c r="F1786" t="str" s="2">
        <x:v>Youtube</x:v>
      </x:c>
      <x:c r="G1786" t="str" s="2">
        <x:v>Trey Rixleben</x:v>
      </x:c>
      <x:c r="H1786" s="6">
        <x:v>46286.59093684028</x:v>
      </x:c>
      <x:c r="I1786" t="str" s="2">
        <x:v>Trey Rixleben</x:v>
      </x:c>
      <x:c r="J1786" s="0"/>
      <x:c r="K1786" s="0"/>
      <x:c r="L1786" t="str" s="2">
        <x:v>Deal Created</x:v>
      </x:c>
    </x:row>
    <x:row r="1787">
      <x:c r="A1787" t="str" s="2">
        <x:f>=HYPERLINK("https://rsms.futurehomex.com/lead/40194", "Sherry Brooks")</x:f>
      </x:c>
      <x:c r="B1787" s="0"/>
      <x:c r="C1787" t="str" s="2">
        <x:v/>
      </x:c>
      <x:c r="D1787" t="str" s="2">
        <x:v>6084770592</x:v>
      </x:c>
      <x:c r="E1787" t="str" s="2">
        <x:v>frbroo6@aol.com</x:v>
      </x:c>
      <x:c r="F1787" t="str" s="2">
        <x:v>Facebook Messenger</x:v>
      </x:c>
      <x:c r="G1787" t="str" s="2">
        <x:v>Trey Rixleben</x:v>
      </x:c>
      <x:c r="H1787" s="6">
        <x:v>46286.69400899306</x:v>
      </x:c>
      <x:c r="I1787" t="str" s="2">
        <x:v>Trey Rixleben</x:v>
      </x:c>
      <x:c r="J1787" s="0"/>
      <x:c r="K1787" s="0"/>
      <x:c r="L1787" t="str" s="2">
        <x:v>Deal Created</x:v>
      </x:c>
    </x:row>
    <x:row r="1788">
      <x:c r="A1788" t="str" s="2">
        <x:f>=HYPERLINK("https://rsms.futurehomex.com/lead/40244", "Robert E Wright")</x:f>
      </x:c>
      <x:c r="B1788" t="str" s="2">
        <x:v>Heritage Housing of Jennings</x:v>
      </x:c>
      <x:c r="C1788" t="str" s="2">
        <x:v/>
      </x:c>
      <x:c r="D1788" t="str" s="2">
        <x:v>3187749231</x:v>
      </x:c>
      <x:c r="E1788" t="str" s="2">
        <x:v>Robertearlwrightjr@gmail.com</x:v>
      </x:c>
      <x:c r="F1788" t="str" s="2">
        <x:v>Website</x:v>
      </x:c>
      <x:c r="G1788" t="str" s="2">
        <x:v>Clint O'Neal</x:v>
      </x:c>
      <x:c r="H1788" s="6">
        <x:v>46286.70644386574</x:v>
      </x:c>
      <x:c r="I1788" t="str" s="2">
        <x:v>Clint O'Neal</x:v>
      </x:c>
      <x:c r="J1788" s="0"/>
      <x:c r="K1788" s="6">
        <x:v>46286.816276736114</x:v>
      </x:c>
      <x:c r="L1788" t="str" s="2">
        <x:v>Deal Created</x:v>
      </x:c>
    </x:row>
    <x:row r="1789">
      <x:c r="A1789" t="str" s="2">
        <x:f>=HYPERLINK("https://rsms.futurehomex.com/lead/40245", "Terrence Gwyn")</x:f>
      </x:c>
      <x:c r="B1789" t="str" s="2">
        <x:v>Heritage Housing of Oklahoma City</x:v>
      </x:c>
      <x:c r="C1789" t="str" s="2">
        <x:v/>
      </x:c>
      <x:c r="D1789" t="str" s="2">
        <x:v>3365941983</x:v>
      </x:c>
      <x:c r="E1789" t="str" s="2">
        <x:v>jazzykayg@gmail.com</x:v>
      </x:c>
      <x:c r="F1789" t="str" s="2">
        <x:v>Landing_BPM</x:v>
      </x:c>
      <x:c r="G1789" t="str" s="2">
        <x:v>Trey Rixleben</x:v>
      </x:c>
      <x:c r="H1789" s="6">
        <x:v>46286.84169398148</x:v>
      </x:c>
      <x:c r="I1789" t="str" s="2">
        <x:v>Trey Rixleben</x:v>
      </x:c>
      <x:c r="J1789" s="0"/>
      <x:c r="K1789" s="0"/>
      <x:c r="L1789" t="str" s="2">
        <x:v>Deal Created</x:v>
      </x:c>
    </x:row>
    <x:row r="1790">
      <x:c r="A1790" t="str" s="2">
        <x:f>=HYPERLINK("https://rsms.futurehomex.com/lead/40241", "JOHN JACKSON")</x:f>
      </x:c>
      <x:c r="B1790" t="str" s="2">
        <x:v>Heritage Housing of Augusta</x:v>
      </x:c>
      <x:c r="C1790" t="str" s="2">
        <x:v/>
      </x:c>
      <x:c r="D1790" t="str" s="2">
        <x:v>8646718406</x:v>
      </x:c>
      <x:c r="E1790" t="str" s="2">
        <x:v>artemasjackson@gmail.com</x:v>
      </x:c>
      <x:c r="F1790" t="str" s="2">
        <x:v>Walk-in</x:v>
      </x:c>
      <x:c r="G1790" t="str" s="2">
        <x:v>Jose Chavez</x:v>
      </x:c>
      <x:c r="H1790" s="6">
        <x:v>46286.84214065972</x:v>
      </x:c>
      <x:c r="I1790" t="str" s="2">
        <x:v>Faye Lively</x:v>
      </x:c>
      <x:c r="J1790" s="0"/>
      <x:c r="K1790" s="6">
        <x:v>46286.84214065972</x:v>
      </x:c>
      <x:c r="L1790" t="str" s="2">
        <x:v>Deal Created</x:v>
      </x:c>
    </x:row>
    <x:row r="1791">
      <x:c r="A1791" t="str" s="2">
        <x:f>=HYPERLINK("https://rsms.futurehomex.com/lead/40248", "Wendy Castillo")</x:f>
      </x:c>
      <x:c r="B1791" t="str" s="2">
        <x:v>Legacy Housing Corp. DBA Americasa</x:v>
      </x:c>
      <x:c r="C1791" t="str" s="2">
        <x:v/>
      </x:c>
      <x:c r="D1791" t="str" s="2">
        <x:v>7133852883</x:v>
      </x:c>
      <x:c r="E1791" t="str" s="2">
        <x:v>7133852883</x:v>
      </x:c>
      <x:c r="F1791" t="str" s="2">
        <x:v>Other</x:v>
      </x:c>
      <x:c r="G1791" t="str" s="2">
        <x:v>Joey Marquez</x:v>
      </x:c>
      <x:c r="H1791" s="6">
        <x:v>46286.87471304398</x:v>
      </x:c>
      <x:c r="I1791" t="str" s="2">
        <x:v>Joey Marquez</x:v>
      </x:c>
      <x:c r="J1791" s="0"/>
      <x:c r="K1791" s="6">
        <x:v>46286.87471304398</x:v>
      </x:c>
      <x:c r="L1791" t="str" s="2">
        <x:v>Deal Created</x:v>
      </x:c>
    </x:row>
    <x:row r="1792">
      <x:c r="A1792" t="str" s="2">
        <x:f>=HYPERLINK("https://rsms.futurehomex.com/lead/40252", "Virgil Adamson")</x:f>
      </x:c>
      <x:c r="B1792" t="str" s="2">
        <x:v>Heritage Housing of Oklahoma City</x:v>
      </x:c>
      <x:c r="C1792" t="str" s="2">
        <x:v/>
      </x:c>
      <x:c r="D1792" t="str" s="2">
        <x:v>5802510938</x:v>
      </x:c>
      <x:c r="E1792" t="str" s="2">
        <x:v>Virgil.Adamson1998@gmail.com</x:v>
      </x:c>
      <x:c r="F1792" t="str" s="2">
        <x:v>Walk-in</x:v>
      </x:c>
      <x:c r="G1792" t="str" s="2">
        <x:v>Trey Rixleben</x:v>
      </x:c>
      <x:c r="H1792" s="6">
        <x:v>46286.94322797454</x:v>
      </x:c>
      <x:c r="I1792" t="str" s="2">
        <x:v>Trey Rixleben</x:v>
      </x:c>
      <x:c r="J1792" s="0"/>
      <x:c r="K1792" s="6">
        <x:v>46286.94322797454</x:v>
      </x:c>
      <x:c r="L1792" t="str" s="2">
        <x:v>Deal Created</x:v>
      </x:c>
    </x:row>
    <x:row r="1793">
      <x:c r="A1793" t="str" s="2">
        <x:f>=HYPERLINK("https://rsms.futurehomex.com/lead/40254", "John Taylor")</x:f>
      </x:c>
      <x:c r="B1793" t="str" s="2">
        <x:v>Heritage Housing of Oklahoma City</x:v>
      </x:c>
      <x:c r="C1793" t="str" s="2">
        <x:v/>
      </x:c>
      <x:c r="D1793" t="str" s="2">
        <x:v>4057798112</x:v>
      </x:c>
      <x:c r="E1793" t="str" s="2">
        <x:v>Mumbles.jt09@gmail.com</x:v>
      </x:c>
      <x:c r="F1793" t="str" s="2">
        <x:v>Financing Form</x:v>
      </x:c>
      <x:c r="G1793" t="str" s="2">
        <x:v>Steve Castell</x:v>
      </x:c>
      <x:c r="H1793" s="6">
        <x:v>46287.00458746528</x:v>
      </x:c>
      <x:c r="I1793" t="str" s="2">
        <x:v>Alejandra Calderon</x:v>
      </x:c>
      <x:c r="J1793" s="0"/>
      <x:c r="K1793" s="6">
        <x:v>46287.05856091435</x:v>
      </x:c>
      <x:c r="L1793" t="str" s="2">
        <x:v>Deal Created</x:v>
      </x:c>
    </x:row>
    <x:row r="1794">
      <x:c r="A1794" t="str" s="2">
        <x:f>=HYPERLINK("https://rsms.futurehomex.com/lead/40274", "Cassie Edlebeck")</x:f>
      </x:c>
      <x:c r="B1794" t="str" s="2">
        <x:v>Heritage Housing of Oklahoma City</x:v>
      </x:c>
      <x:c r="C1794" t="str" s="2">
        <x:v/>
      </x:c>
      <x:c r="D1794" t="str" s="2">
        <x:v>5397374502</x:v>
      </x:c>
      <x:c r="E1794" t="str" s="2">
        <x:v>Cassiee5403@gmail.com</x:v>
      </x:c>
      <x:c r="F1794" t="str" s="2">
        <x:v>Youtube</x:v>
      </x:c>
      <x:c r="G1794" t="str" s="2">
        <x:v>Alejandra Calderon</x:v>
      </x:c>
      <x:c r="H1794" s="6">
        <x:v>46287.01679204861</x:v>
      </x:c>
      <x:c r="I1794" t="str" s="2">
        <x:v>Noemi Rojo</x:v>
      </x:c>
      <x:c r="J1794" s="0"/>
      <x:c r="K1794" s="6">
        <x:v>46287.805217789355</x:v>
      </x:c>
      <x:c r="L1794" t="str" s="2">
        <x:v>Deal Created</x:v>
      </x:c>
    </x:row>
    <x:row r="1795">
      <x:c r="A1795" t="str" s="2">
        <x:f>=HYPERLINK("https://rsms.futurehomex.com/lead/40256", "Jessica Neal")</x:f>
      </x:c>
      <x:c r="B1795" t="str" s="2">
        <x:v>Heritage Housing of Oklahoma City</x:v>
      </x:c>
      <x:c r="C1795" t="str" s="2">
        <x:v/>
      </x:c>
      <x:c r="D1795" t="str" s="2">
        <x:v>4698290743</x:v>
      </x:c>
      <x:c r="E1795" t="str" s="2">
        <x:v>bakerjesse088@gmail.com</x:v>
      </x:c>
      <x:c r="F1795" t="str" s="2">
        <x:v>Landing_BPM</x:v>
      </x:c>
      <x:c r="G1795" t="str" s="2">
        <x:v>Steve Castell</x:v>
      </x:c>
      <x:c r="H1795" s="6">
        <x:v>46287.555714699076</x:v>
      </x:c>
      <x:c r="I1795" t="str" s="2">
        <x:v>Steve Castell</x:v>
      </x:c>
      <x:c r="J1795" s="0"/>
      <x:c r="K1795" s="6">
        <x:v>46287.59568549768</x:v>
      </x:c>
      <x:c r="L1795" t="str" s="2">
        <x:v>Deal Created</x:v>
      </x:c>
    </x:row>
    <x:row r="1796">
      <x:c r="A1796" t="str" s="2">
        <x:f>=HYPERLINK("https://rsms.futurehomex.com/lead/40273", "Jenee Stacier")</x:f>
      </x:c>
      <x:c r="B1796" t="str" s="2">
        <x:v>Heritage Housing of Oklahoma City</x:v>
      </x:c>
      <x:c r="C1796" t="str" s="2">
        <x:v/>
      </x:c>
      <x:c r="D1796" t="str" s="2">
        <x:v>4054414161</x:v>
      </x:c>
      <x:c r="E1796" t="str" s="2">
        <x:v>4054414161</x:v>
      </x:c>
      <x:c r="F1796" t="str" s="2">
        <x:v>Meta Ads - Messenger</x:v>
      </x:c>
      <x:c r="G1796" t="str" s="2">
        <x:v>Alejandra Calderon</x:v>
      </x:c>
      <x:c r="H1796" s="6">
        <x:v>46287.827363923614</x:v>
      </x:c>
      <x:c r="I1796" t="str" s="2">
        <x:v>Alejandra Calderon</x:v>
      </x:c>
      <x:c r="J1796" s="0"/>
      <x:c r="K1796" s="6">
        <x:v>46287.827363923614</x:v>
      </x:c>
      <x:c r="L1796" t="str" s="2">
        <x:v>Deal Created</x:v>
      </x:c>
    </x:row>
    <x:row r="1797">
      <x:c r="A1797" t="str" s="2">
        <x:f>=HYPERLINK("https://rsms.futurehomex.com/lead/40290", "Destiny Walters")</x:f>
      </x:c>
      <x:c r="B1797" t="str" s="2">
        <x:v>Heritage Housing of Oklahoma City</x:v>
      </x:c>
      <x:c r="C1797" t="str" s="2">
        <x:v/>
      </x:c>
      <x:c r="D1797" t="str" s="2">
        <x:v>(405) 400-3767</x:v>
      </x:c>
      <x:c r="E1797" t="str" s="2">
        <x:v>Destinyawalters@gmail.com</x:v>
      </x:c>
      <x:c r="F1797" t="str" s="2">
        <x:v>Website</x:v>
      </x:c>
      <x:c r="G1797" t="str" s="2">
        <x:v>Alejandra Calderon</x:v>
      </x:c>
      <x:c r="H1797" s="6">
        <x:v>46287.88131438658</x:v>
      </x:c>
      <x:c r="I1797" t="str" s="2">
        <x:v>Noemi Rojo</x:v>
      </x:c>
      <x:c r="J1797" s="0"/>
      <x:c r="K1797" s="0"/>
      <x:c r="L1797" t="str" s="2">
        <x:v>Deal Created</x:v>
      </x:c>
    </x:row>
    <x:row r="1798">
      <x:c r="A1798" t="str" s="2">
        <x:f>=HYPERLINK("https://rsms.futurehomex.com/lead/40282", "Rachel Zhang")</x:f>
      </x:c>
      <x:c r="B1798" t="str" s="2">
        <x:v>Heritage Housing of Minden</x:v>
      </x:c>
      <x:c r="C1798" t="str" s="2">
        <x:v/>
      </x:c>
      <x:c r="D1798" t="str" s="2">
        <x:v>8703628381</x:v>
      </x:c>
      <x:c r="E1798" t="str" s="2">
        <x:v>8703628381</x:v>
      </x:c>
      <x:c r="F1798" t="str" s="2">
        <x:v>Landing_BPM</x:v>
      </x:c>
      <x:c r="G1798" t="str" s="2">
        <x:v>Patrick Schuchart</x:v>
      </x:c>
      <x:c r="H1798" s="6">
        <x:v>46287.88583579861</x:v>
      </x:c>
      <x:c r="I1798" t="str" s="2">
        <x:v>Patrick Schuchart</x:v>
      </x:c>
      <x:c r="J1798" s="0"/>
      <x:c r="K1798" s="6">
        <x:v>46287.88583579861</x:v>
      </x:c>
      <x:c r="L1798" t="str" s="2">
        <x:v>Deal Created</x:v>
      </x:c>
    </x:row>
    <x:row r="1799">
      <x:c r="A1799" t="str" s="2">
        <x:f>=HYPERLINK("https://rsms.futurehomex.com/lead/40303", "Ta Sandra Simpson")</x:f>
      </x:c>
      <x:c r="B1799" t="str" s="2">
        <x:v>Heritage Housing of Oklahoma City</x:v>
      </x:c>
      <x:c r="C1799" t="str" s="2">
        <x:v/>
      </x:c>
      <x:c r="D1799" t="str" s="2">
        <x:v>6827859829</x:v>
      </x:c>
      <x:c r="E1799" t="str" s="2">
        <x:v>tasandra27.ts@gmail.com</x:v>
      </x:c>
      <x:c r="F1799" t="str" s="2">
        <x:v>Landing_BPM</x:v>
      </x:c>
      <x:c r="G1799" t="str" s="2">
        <x:v>Devon McCoy</x:v>
      </x:c>
      <x:c r="H1799" s="6">
        <x:v>46287.91230420139</x:v>
      </x:c>
      <x:c r="I1799" t="str" s="2">
        <x:v>Devon McCoy</x:v>
      </x:c>
      <x:c r="J1799" s="0"/>
      <x:c r="K1799" s="0"/>
      <x:c r="L1799" t="str" s="2">
        <x:v>Deal Created</x:v>
      </x:c>
    </x:row>
    <x:row r="1800">
      <x:c r="A1800" t="str" s="2">
        <x:f>=HYPERLINK("https://rsms.futurehomex.com/lead/40292", "Jacob Walkup")</x:f>
      </x:c>
      <x:c r="B1800" t="str" s="2">
        <x:v>Heritage Housing of Oklahoma City</x:v>
      </x:c>
      <x:c r="C1800" t="str" s="2">
        <x:v/>
      </x:c>
      <x:c r="D1800" t="str" s="2">
        <x:v>4055148787</x:v>
      </x:c>
      <x:c r="E1800" t="str" s="2">
        <x:v>jwalkup707@gmail.com</x:v>
      </x:c>
      <x:c r="F1800" t="str" s="2">
        <x:v>Landing_BPM</x:v>
      </x:c>
      <x:c r="G1800" t="str" s="2">
        <x:v>Alejandra Calderon</x:v>
      </x:c>
      <x:c r="H1800" s="6">
        <x:v>46287.96998472222</x:v>
      </x:c>
      <x:c r="I1800" t="str" s="2">
        <x:v>Alejandra Calderon</x:v>
      </x:c>
      <x:c r="J1800" s="0"/>
      <x:c r="K1800" s="0"/>
      <x:c r="L1800" t="str" s="2">
        <x:v>Deal Created</x:v>
      </x:c>
    </x:row>
    <x:row r="1801">
      <x:c r="A1801" t="str" s="2">
        <x:f>=HYPERLINK("https://rsms.futurehomex.com/lead/40288", "Jacy Salda")</x:f>
      </x:c>
      <x:c r="B1801" t="str" s="2">
        <x:v>Heritage Housing of Oklahoma City</x:v>
      </x:c>
      <x:c r="C1801" t="str" s="2">
        <x:v/>
      </x:c>
      <x:c r="D1801" t="str" s="2">
        <x:v>4059936652</x:v>
      </x:c>
      <x:c r="E1801" t="str" s="2">
        <x:v>jacysalda.okc@gmail.com</x:v>
      </x:c>
      <x:c r="F1801" t="str" s="2">
        <x:v>Landing_BPM</x:v>
      </x:c>
      <x:c r="G1801" t="str" s="2">
        <x:v>Trey Rixleben</x:v>
      </x:c>
      <x:c r="H1801" s="6">
        <x:v>46288.02275011574</x:v>
      </x:c>
      <x:c r="I1801" t="str" s="2">
        <x:v>Trey Rixleben</x:v>
      </x:c>
      <x:c r="J1801" s="0"/>
      <x:c r="K1801" s="0"/>
      <x:c r="L1801" t="str" s="2">
        <x:v>Deal Created</x:v>
      </x:c>
    </x:row>
    <x:row r="1802">
      <x:c r="A1802" t="str" s="2">
        <x:f>=HYPERLINK("https://rsms.futurehomex.com/lead/40299", "Latisha Luttrell")</x:f>
      </x:c>
      <x:c r="B1802" t="str" s="2">
        <x:v>Heritage Housing of Oklahoma City</x:v>
      </x:c>
      <x:c r="C1802" t="str" s="2">
        <x:v/>
      </x:c>
      <x:c r="D1802" t="str" s="2">
        <x:v>9184870512</x:v>
      </x:c>
      <x:c r="E1802" t="str" s="2">
        <x:v>moonchild404040@gmail.com</x:v>
      </x:c>
      <x:c r="F1802" t="str" s="2">
        <x:v>Landing_BPM</x:v>
      </x:c>
      <x:c r="G1802" t="str" s="2">
        <x:v>Steve Castell</x:v>
      </x:c>
      <x:c r="H1802" s="6">
        <x:v>46288.10198121528</x:v>
      </x:c>
      <x:c r="I1802" t="str" s="2">
        <x:v>Devon McCoy</x:v>
      </x:c>
      <x:c r="J1802" s="0"/>
      <x:c r="K1802" s="0"/>
      <x:c r="L1802" t="str" s="2">
        <x:v>Deal Created</x:v>
      </x:c>
    </x:row>
    <x:row r="1803">
      <x:c r="A1803" t="str" s="2">
        <x:f>=HYPERLINK("https://rsms.futurehomex.com/lead/40289", "Suprena Kane")</x:f>
      </x:c>
      <x:c r="B1803" t="str" s="2">
        <x:v>Heritage Housing of Oklahoma City</x:v>
      </x:c>
      <x:c r="C1803" t="str" s="2">
        <x:v/>
      </x:c>
      <x:c r="D1803" t="str" s="2">
        <x:v>9037367034</x:v>
      </x:c>
      <x:c r="E1803" t="str" s="2">
        <x:v>suprena.sweeney@gmail.com</x:v>
      </x:c>
      <x:c r="F1803" t="str" s="2">
        <x:v>Landing_BPM</x:v>
      </x:c>
      <x:c r="G1803" t="str" s="2">
        <x:v>Alejandra Calderon</x:v>
      </x:c>
      <x:c r="H1803" s="6">
        <x:v>46288.158256215276</x:v>
      </x:c>
      <x:c r="I1803" t="str" s="2">
        <x:v>Noemi Rojo</x:v>
      </x:c>
      <x:c r="J1803" s="0"/>
      <x:c r="K1803" s="0"/>
      <x:c r="L1803" t="str" s="2">
        <x:v>Deal Created</x:v>
      </x:c>
    </x:row>
    <x:row r="1804">
      <x:c r="A1804" t="str" s="2">
        <x:f>=HYPERLINK("https://rsms.futurehomex.com/lead/40294", "Dakota Canada")</x:f>
      </x:c>
      <x:c r="B1804" t="str" s="2">
        <x:v>Heritage Housing of Oklahoma City</x:v>
      </x:c>
      <x:c r="C1804" t="str" s="2">
        <x:v/>
      </x:c>
      <x:c r="D1804" t="str" s="2">
        <x:v>3048439799</x:v>
      </x:c>
      <x:c r="E1804" t="str" s="2">
        <x:v>3048439799</x:v>
      </x:c>
      <x:c r="F1804" t="str" s="2">
        <x:v>Facebook Messenger</x:v>
      </x:c>
      <x:c r="G1804" t="str" s="2">
        <x:v>Devon McCoy</x:v>
      </x:c>
      <x:c r="H1804" s="6">
        <x:v>46288.66107430556</x:v>
      </x:c>
      <x:c r="I1804" t="str" s="2">
        <x:v>Devon McCoy</x:v>
      </x:c>
      <x:c r="J1804" s="0"/>
      <x:c r="K1804" s="6">
        <x:v>46288.66107430556</x:v>
      </x:c>
      <x:c r="L1804" t="str" s="2">
        <x:v>Deal Created</x:v>
      </x:c>
    </x:row>
    <x:row r="1805">
      <x:c r="A1805" t="str" s="2">
        <x:f>=HYPERLINK("https://rsms.futurehomex.com/lead/40301", "Don Martin")</x:f>
      </x:c>
      <x:c r="B1805" t="str" s="2">
        <x:v>Heritage Housing of Oklahoma City</x:v>
      </x:c>
      <x:c r="C1805" t="str" s="2">
        <x:v/>
      </x:c>
      <x:c r="D1805" t="str" s="2">
        <x:v>4056533128</x:v>
      </x:c>
      <x:c r="E1805" t="str" s="2">
        <x:v>toddmar1958@gmail.com</x:v>
      </x:c>
      <x:c r="F1805" t="str" s="2">
        <x:v>Facebook Messenger</x:v>
      </x:c>
      <x:c r="G1805" t="str" s="2">
        <x:v>Trey Rixleben</x:v>
      </x:c>
      <x:c r="H1805" s="6">
        <x:v>46288.737064270834</x:v>
      </x:c>
      <x:c r="I1805" t="str" s="2">
        <x:v>Trey Rixleben</x:v>
      </x:c>
      <x:c r="J1805" s="0"/>
      <x:c r="K1805" s="6">
        <x:v>46288.737064270834</x:v>
      </x:c>
      <x:c r="L1805" t="str" s="2">
        <x:v>Deal Created</x:v>
      </x:c>
    </x:row>
    <x:row r="1806">
      <x:c r="A1806" t="str" s="2">
        <x:f>=HYPERLINK("https://rsms.futurehomex.com/lead/40305", "Stephanie Paoletti")</x:f>
      </x:c>
      <x:c r="B1806" t="str" s="2">
        <x:v>Heritage Housing of Oklahoma City</x:v>
      </x:c>
      <x:c r="C1806" t="str" s="2">
        <x:v/>
      </x:c>
      <x:c r="D1806" t="str" s="2">
        <x:v>4172363483</x:v>
      </x:c>
      <x:c r="E1806" t="str" s="2">
        <x:v>stephpaoletti@gmail.com</x:v>
      </x:c>
      <x:c r="F1806" t="str" s="2">
        <x:v>Walk-in</x:v>
      </x:c>
      <x:c r="G1806" t="str" s="2">
        <x:v>Alejandra Calderon</x:v>
      </x:c>
      <x:c r="H1806" s="6">
        <x:v>46288.75708834491</x:v>
      </x:c>
      <x:c r="I1806" t="str" s="2">
        <x:v>Alejandra Calderon</x:v>
      </x:c>
      <x:c r="J1806" s="0"/>
      <x:c r="K1806" s="6">
        <x:v>46288.75708834491</x:v>
      </x:c>
      <x:c r="L1806" t="str" s="2">
        <x:v>Deal Created</x:v>
      </x:c>
    </x:row>
    <x:row r="1807">
      <x:c r="A1807" t="str" s="2">
        <x:f>=HYPERLINK("https://rsms.futurehomex.com/lead/40317", "Grisel Luevanos Fernandez")</x:f>
      </x:c>
      <x:c r="B1807" t="str" s="2">
        <x:v>Heritage Housing of Oklahoma City</x:v>
      </x:c>
      <x:c r="C1807" t="str" s="2">
        <x:v/>
      </x:c>
      <x:c r="D1807" t="str" s="2">
        <x:v>8169720905</x:v>
      </x:c>
      <x:c r="E1807" t="str" s="2">
        <x:v>Grisel.luevano1983@gmail.com</x:v>
      </x:c>
      <x:c r="F1807" t="str" s="2">
        <x:v>Facebook Messenger</x:v>
      </x:c>
      <x:c r="G1807" t="str" s="2">
        <x:v>Alejandra Calderon</x:v>
      </x:c>
      <x:c r="H1807" s="6">
        <x:v>46288.88909660879</x:v>
      </x:c>
      <x:c r="I1807" t="str" s="2">
        <x:v>Noemi Rojo</x:v>
      </x:c>
      <x:c r="J1807" s="0"/>
      <x:c r="K1807" s="6">
        <x:v>46288.88909660879</x:v>
      </x:c>
      <x:c r="L1807" t="str" s="2">
        <x:v>Deal Created</x:v>
      </x:c>
    </x:row>
    <x:row r="1808">
      <x:c r="A1808" t="str" s="2">
        <x:f>=HYPERLINK("https://rsms.futurehomex.com/lead/40318", "Luis Carlos")</x:f>
      </x:c>
      <x:c r="B1808" t="str" s="2">
        <x:v>Heritage Housing of Oklahoma City</x:v>
      </x:c>
      <x:c r="C1808" t="str" s="2">
        <x:v/>
      </x:c>
      <x:c r="D1808" t="str" s="2">
        <x:v>4055466624</x:v>
      </x:c>
      <x:c r="E1808" t="str" s="2">
        <x:v>garod200203@icloud.com</x:v>
      </x:c>
      <x:c r="F1808" t="str" s="2">
        <x:v>Facebook Messenger</x:v>
      </x:c>
      <x:c r="G1808" t="str" s="2">
        <x:v>Alejandra Calderon</x:v>
      </x:c>
      <x:c r="H1808" s="6">
        <x:v>46288.898462881945</x:v>
      </x:c>
      <x:c r="I1808" t="str" s="2">
        <x:v>Noemi Rojo</x:v>
      </x:c>
      <x:c r="J1808" s="0"/>
      <x:c r="K1808" s="6">
        <x:v>46288.898462881945</x:v>
      </x:c>
      <x:c r="L1808" t="str" s="2">
        <x:v>Deal Created</x:v>
      </x:c>
    </x:row>
    <x:row r="1809">
      <x:c r="A1809" t="str" s="2">
        <x:f>=HYPERLINK("https://rsms.futurehomex.com/lead/40320", "Haley Hyatt")</x:f>
      </x:c>
      <x:c r="B1809" t="str" s="2">
        <x:v>Heritage Housing of Minden</x:v>
      </x:c>
      <x:c r="C1809" t="str" s="2">
        <x:v/>
      </x:c>
      <x:c r="D1809" t="str" s="2">
        <x:v>3182684730</x:v>
      </x:c>
      <x:c r="E1809" t="str" s="2">
        <x:v>3182684730</x:v>
      </x:c>
      <x:c r="F1809" t="str" s="2">
        <x:v>Walk-in</x:v>
      </x:c>
      <x:c r="G1809" t="str" s="2">
        <x:v>Patrick Schuchart</x:v>
      </x:c>
      <x:c r="H1809" s="6">
        <x:v>46288.92084170139</x:v>
      </x:c>
      <x:c r="I1809" t="str" s="2">
        <x:v>Patrick Schuchart</x:v>
      </x:c>
      <x:c r="J1809" s="0"/>
      <x:c r="K1809" s="6">
        <x:v>46288.92084170139</x:v>
      </x:c>
      <x:c r="L1809" t="str" s="2">
        <x:v>Deal Created</x:v>
      </x:c>
    </x:row>
    <x:row r="1810">
      <x:c r="A1810" t="str" s="2">
        <x:f>=HYPERLINK("https://rsms.futurehomex.com/lead/40321", "Mathew Chandler")</x:f>
      </x:c>
      <x:c r="B1810" t="str" s="2">
        <x:v>Heritage Housing of Oklahoma City</x:v>
      </x:c>
      <x:c r="C1810" t="str" s="2">
        <x:v/>
      </x:c>
      <x:c r="D1810" t="str" s="2">
        <x:v>4054658506</x:v>
      </x:c>
      <x:c r="E1810" t="str" s="2">
        <x:v>mathewchandler2009@gmail.com</x:v>
      </x:c>
      <x:c r="F1810" t="str" s="2">
        <x:v>Other</x:v>
      </x:c>
      <x:c r="G1810" t="str" s="2">
        <x:v>Devon McCoy</x:v>
      </x:c>
      <x:c r="H1810" s="6">
        <x:v>46288.94493961806</x:v>
      </x:c>
      <x:c r="I1810" t="str" s="2">
        <x:v>Steve Castell</x:v>
      </x:c>
      <x:c r="J1810" s="0"/>
      <x:c r="K1810" s="6">
        <x:v>46288.94493961806</x:v>
      </x:c>
      <x:c r="L1810" t="str" s="2">
        <x:v>Deal Created</x:v>
      </x:c>
    </x:row>
    <x:row r="1811">
      <x:c r="A1811" t="str" s="2">
        <x:f>=HYPERLINK("https://rsms.futurehomex.com/lead/40481", "Eduardo Figueroa")</x:f>
      </x:c>
      <x:c r="B1811" t="str" s="2">
        <x:v>Heritage Housing of Oklahoma City</x:v>
      </x:c>
      <x:c r="C1811" t="str" s="2">
        <x:v/>
      </x:c>
      <x:c r="D1811" t="str" s="2">
        <x:v>5127880065</x:v>
      </x:c>
      <x:c r="E1811" t="str" s="2">
        <x:v>lalod05@icloud.com</x:v>
      </x:c>
      <x:c r="F1811" t="str" s="2">
        <x:v>Facebook Messenger</x:v>
      </x:c>
      <x:c r="G1811" t="str" s="2">
        <x:v>Alejandra Calderon</x:v>
      </x:c>
      <x:c r="H1811" s="6">
        <x:v>46288.95523846065</x:v>
      </x:c>
      <x:c r="I1811" t="str" s="2">
        <x:v>Noemi Rojo</x:v>
      </x:c>
      <x:c r="J1811" s="6">
        <x:v>46291.916666666664</x:v>
      </x:c>
      <x:c r="K1811" s="6">
        <x:v>46291.842885185186</x:v>
      </x:c>
      <x:c r="L1811" t="str" s="2">
        <x:v>Deal Created</x:v>
      </x:c>
    </x:row>
    <x:row r="1812">
      <x:c r="A1812" t="str" s="2">
        <x:f>=HYPERLINK("https://rsms.futurehomex.com/lead/40324", "Lewis Bailey")</x:f>
      </x:c>
      <x:c r="B1812" t="str" s="2">
        <x:v>Heritage Housing of Oklahoma City</x:v>
      </x:c>
      <x:c r="C1812" t="str" s="2">
        <x:v/>
      </x:c>
      <x:c r="D1812" t="str" s="2">
        <x:v>5804589542</x:v>
      </x:c>
      <x:c r="E1812" t="str" s="2">
        <x:v>5804589542</x:v>
      </x:c>
      <x:c r="F1812" t="str" s="2">
        <x:v>Facebook Messenger</x:v>
      </x:c>
      <x:c r="G1812" t="str" s="2">
        <x:v>Trey Rixleben</x:v>
      </x:c>
      <x:c r="H1812" s="6">
        <x:v>46288.96305628472</x:v>
      </x:c>
      <x:c r="I1812" t="str" s="2">
        <x:v>Trey Rixleben</x:v>
      </x:c>
      <x:c r="J1812" s="0"/>
      <x:c r="K1812" s="6">
        <x:v>46288.96305628472</x:v>
      </x:c>
      <x:c r="L1812" t="str" s="2">
        <x:v>Deal Created</x:v>
      </x:c>
    </x:row>
    <x:row r="1813">
      <x:c r="A1813" t="str" s="2">
        <x:f>=HYPERLINK("https://rsms.futurehomex.com/lead/40432", "ROBERT GARVIN")</x:f>
      </x:c>
      <x:c r="B1813" t="str" s="2">
        <x:v>Heritage Housing of Augusta</x:v>
      </x:c>
      <x:c r="C1813" t="str" s="2">
        <x:v>1/1</x:v>
      </x:c>
      <x:c r="D1813" t="str" s="2">
        <x:v>8035080574</x:v>
      </x:c>
      <x:c r="E1813" t="str" s="2">
        <x:v>GARVINROBERT37@GMAIL.COM</x:v>
      </x:c>
      <x:c r="F1813" t="str" s="2">
        <x:v>Walk-in</x:v>
      </x:c>
      <x:c r="G1813" t="str" s="2">
        <x:v>Jose Chavez</x:v>
      </x:c>
      <x:c r="H1813" s="6">
        <x:v>46288.96499105324</x:v>
      </x:c>
      <x:c r="I1813" t="str" s="2">
        <x:v>Faye Lively</x:v>
      </x:c>
      <x:c r="J1813" s="0"/>
      <x:c r="K1813" s="6">
        <x:v>46288.96499105324</x:v>
      </x:c>
      <x:c r="L1813" t="str" s="2">
        <x:v>Deal Created</x:v>
      </x:c>
    </x:row>
    <x:row r="1814">
      <x:c r="A1814" t="str" s="2">
        <x:f>=HYPERLINK("https://rsms.futurehomex.com/lead/40328", "Justin Gooden")</x:f>
      </x:c>
      <x:c r="B1814" t="str" s="2">
        <x:v>Heritage Housing of Oklahoma City</x:v>
      </x:c>
      <x:c r="C1814" t="str" s="2">
        <x:v/>
      </x:c>
      <x:c r="D1814" t="str" s="2">
        <x:v>4059825218</x:v>
      </x:c>
      <x:c r="E1814" t="str" s="2">
        <x:v>goodenpleny@gmail.com</x:v>
      </x:c>
      <x:c r="F1814" t="str" s="2">
        <x:v>Landing_BPM</x:v>
      </x:c>
      <x:c r="G1814" t="str" s="2">
        <x:v>Trey Rixleben</x:v>
      </x:c>
      <x:c r="H1814" s="6">
        <x:v>46289.03148445602</x:v>
      </x:c>
      <x:c r="I1814" t="str" s="2">
        <x:v>Trey Rixleben</x:v>
      </x:c>
      <x:c r="J1814" s="0"/>
      <x:c r="K1814" s="0"/>
      <x:c r="L1814" t="str" s="2">
        <x:v>Deal Created</x:v>
      </x:c>
    </x:row>
    <x:row r="1815">
      <x:c r="A1815" t="str" s="2">
        <x:f>=HYPERLINK("https://rsms.futurehomex.com/lead/40346", "Mayra Hernandez")</x:f>
      </x:c>
      <x:c r="B1815" t="str" s="2">
        <x:v>Heritage Housing of Oklahoma City</x:v>
      </x:c>
      <x:c r="C1815" t="str" s="2">
        <x:v/>
      </x:c>
      <x:c r="D1815" t="str" s="2">
        <x:v>4055409201</x:v>
      </x:c>
      <x:c r="E1815" t="str" s="2">
        <x:v>jocelynjh31@gmail.com</x:v>
      </x:c>
      <x:c r="F1815" t="str" s="2">
        <x:v>Financing Form</x:v>
      </x:c>
      <x:c r="G1815" t="str" s="2">
        <x:v>Alejandra Calderon</x:v>
      </x:c>
      <x:c r="H1815" s="6">
        <x:v>46289.26222013889</x:v>
      </x:c>
      <x:c r="I1815" t="str" s="2">
        <x:v>Alejandra Calderon</x:v>
      </x:c>
      <x:c r="J1815" s="0"/>
      <x:c r="K1815" s="0"/>
      <x:c r="L1815" t="str" s="2">
        <x:v>Deal Created</x:v>
      </x:c>
    </x:row>
    <x:row r="1816">
      <x:c r="A1816" t="str" s="2">
        <x:f>=HYPERLINK("https://rsms.futurehomex.com/lead/40327", "Sharee Benjamin")</x:f>
      </x:c>
      <x:c r="B1816" t="str" s="2">
        <x:v>Heritage Housing of Oklahoma City</x:v>
      </x:c>
      <x:c r="C1816" t="str" s="2">
        <x:v/>
      </x:c>
      <x:c r="D1816" t="str" s="2">
        <x:v>2144441790</x:v>
      </x:c>
      <x:c r="E1816" t="str" s="2">
        <x:v>shareeelisa05@gmail.com</x:v>
      </x:c>
      <x:c r="F1816" t="str" s="2">
        <x:v>Website</x:v>
      </x:c>
      <x:c r="G1816" t="str" s="2">
        <x:v>Trey Rixleben</x:v>
      </x:c>
      <x:c r="H1816" s="6">
        <x:v>46289.30471724537</x:v>
      </x:c>
      <x:c r="I1816" t="str" s="2">
        <x:v>Trey Rixleben</x:v>
      </x:c>
      <x:c r="J1816" s="0"/>
      <x:c r="K1816" s="0"/>
      <x:c r="L1816" t="str" s="2">
        <x:v>Deal Created</x:v>
      </x:c>
    </x:row>
    <x:row r="1817">
      <x:c r="A1817" t="str" s="2">
        <x:f>=HYPERLINK("https://rsms.futurehomex.com/lead/40325", "Robert Garvin")</x:f>
      </x:c>
      <x:c r="B1817" s="0"/>
      <x:c r="C1817" t="str" s="2">
        <x:v/>
      </x:c>
      <x:c r="D1817" t="str" s="2">
        <x:v>18035080574</x:v>
      </x:c>
      <x:c r="E1817" t="str" s="2">
        <x:v>robertgarvin37@gmail.com</x:v>
      </x:c>
      <x:c r="F1817" t="str" s="2">
        <x:v>Walk-in</x:v>
      </x:c>
      <x:c r="G1817" t="str" s="2">
        <x:v>Brian Amato</x:v>
      </x:c>
      <x:c r="H1817" s="6">
        <x:v>46289.618189733796</x:v>
      </x:c>
      <x:c r="I1817" t="str" s="2">
        <x:v>Faye Lively</x:v>
      </x:c>
      <x:c r="J1817" s="0"/>
      <x:c r="K1817" s="0"/>
      <x:c r="L1817" t="str" s="2">
        <x:v>Deal Created</x:v>
      </x:c>
    </x:row>
    <x:row r="1818">
      <x:c r="A1818" t="str" s="2">
        <x:f>=HYPERLINK("https://rsms.futurehomex.com/lead/40333", "Maria Griselda Peralta")</x:f>
      </x:c>
      <x:c r="B1818" t="str" s="2">
        <x:v>Heritage Housing of Oklahoma City</x:v>
      </x:c>
      <x:c r="C1818" t="str" s="2">
        <x:v/>
      </x:c>
      <x:c r="D1818" t="str" s="2">
        <x:v>4794276115</x:v>
      </x:c>
      <x:c r="E1818" t="str" s="2">
        <x:v>peraltamaria0219@gmail.com</x:v>
      </x:c>
      <x:c r="F1818" t="str" s="2">
        <x:v>Facebook Messenger</x:v>
      </x:c>
      <x:c r="G1818" t="str" s="2">
        <x:v>Alejandra Calderon</x:v>
      </x:c>
      <x:c r="H1818" s="6">
        <x:v>46289.65905142361</x:v>
      </x:c>
      <x:c r="I1818" t="str" s="2">
        <x:v>Noemi Rojo</x:v>
      </x:c>
      <x:c r="J1818" s="0"/>
      <x:c r="K1818" s="6">
        <x:v>46289.65905142361</x:v>
      </x:c>
      <x:c r="L1818" t="str" s="2">
        <x:v>Deal Created</x:v>
      </x:c>
    </x:row>
    <x:row r="1819">
      <x:c r="A1819" t="str" s="2">
        <x:f>=HYPERLINK("https://rsms.futurehomex.com/lead/40336", "James Lindsey")</x:f>
      </x:c>
      <x:c r="B1819" t="str" s="2">
        <x:v>Heritage Housing of Oklahoma City</x:v>
      </x:c>
      <x:c r="C1819" t="str" s="2">
        <x:v/>
      </x:c>
      <x:c r="D1819" t="str" s="2">
        <x:v>5806650809</x:v>
      </x:c>
      <x:c r="E1819" t="str" s="2">
        <x:v>jokerlindsey798@gmail.com</x:v>
      </x:c>
      <x:c r="F1819" t="str" s="2">
        <x:v>Landing_BPM</x:v>
      </x:c>
      <x:c r="G1819" t="str" s="2">
        <x:v>Alejandra Calderon</x:v>
      </x:c>
      <x:c r="H1819" s="6">
        <x:v>46289.715605983794</x:v>
      </x:c>
      <x:c r="I1819" t="str" s="2">
        <x:v>Noemi Rojo</x:v>
      </x:c>
      <x:c r="J1819" s="0"/>
      <x:c r="K1819" s="0"/>
      <x:c r="L1819" t="str" s="2">
        <x:v>Deal Created</x:v>
      </x:c>
    </x:row>
    <x:row r="1820">
      <x:c r="A1820" t="str" s="2">
        <x:f>="Megan Garvin"</x:f>
      </x:c>
      <x:c r="B1820" s="0"/>
      <x:c r="C1820" t="str" s="2">
        <x:v/>
      </x:c>
      <x:c r="D1820" t="str" s="2">
        <x:v>8036532608</x:v>
      </x:c>
      <x:c r="E1820" t="str" s="2">
        <x:v>GARVINMEGAN96@GMAIL.COM</x:v>
      </x:c>
      <x:c r="F1820" t="str" s="2">
        <x:v>Walk-in</x:v>
      </x:c>
      <x:c r="G1820" t="str" s="2">
        <x:v>Brian Amato</x:v>
      </x:c>
      <x:c r="H1820" s="6">
        <x:v>46289.71573503472</x:v>
      </x:c>
      <x:c r="I1820" s="0"/>
      <x:c r="J1820" s="0"/>
      <x:c r="K1820" s="0"/>
      <x:c r="L1820" t="str" s="2">
        <x:v>Deal Created</x:v>
      </x:c>
    </x:row>
    <x:row r="1821">
      <x:c r="A1821" t="str" s="2">
        <x:f>=HYPERLINK("https://rsms.futurehomex.com/lead/40430", "Chynna Smith")</x:f>
      </x:c>
      <x:c r="B1821" t="str" s="2">
        <x:v>Heritage Housing of Oklahoma City</x:v>
      </x:c>
      <x:c r="C1821" t="str" s="2">
        <x:v/>
      </x:c>
      <x:c r="D1821" t="str" s="2">
        <x:v>4055107417</x:v>
      </x:c>
      <x:c r="E1821" t="str" s="2">
        <x:v>4055107417</x:v>
      </x:c>
      <x:c r="F1821" t="str" s="2">
        <x:v>Facebook Messenger</x:v>
      </x:c>
      <x:c r="G1821" t="str" s="2">
        <x:v>Steve Castell</x:v>
      </x:c>
      <x:c r="H1821" s="6">
        <x:v>46289.80743981482</x:v>
      </x:c>
      <x:c r="I1821" t="str" s="2">
        <x:v>Steve Castell</x:v>
      </x:c>
      <x:c r="J1821" s="6">
        <x:v>46291.645833333336</x:v>
      </x:c>
      <x:c r="K1821" s="6">
        <x:v>46293.92650042824</x:v>
      </x:c>
      <x:c r="L1821" t="str" s="2">
        <x:v>Deal Created</x:v>
      </x:c>
    </x:row>
    <x:row r="1822">
      <x:c r="A1822" t="str" s="2">
        <x:f>=HYPERLINK("https://rsms.futurehomex.com/lead/40342", "Alondra Molar")</x:f>
      </x:c>
      <x:c r="B1822" t="str" s="2">
        <x:v>Legacy Housing Corp. DBA Americasa</x:v>
      </x:c>
      <x:c r="C1822" t="str" s="2">
        <x:v/>
      </x:c>
      <x:c r="D1822" t="str" s="2">
        <x:v>4322432398</x:v>
      </x:c>
      <x:c r="E1822" t="str" s="2">
        <x:v>4322432398</x:v>
      </x:c>
      <x:c r="F1822" t="str" s="2">
        <x:v>Other</x:v>
      </x:c>
      <x:c r="G1822" t="str" s="2">
        <x:v>Joey Marquez</x:v>
      </x:c>
      <x:c r="H1822" s="6">
        <x:v>46289.82246797454</x:v>
      </x:c>
      <x:c r="I1822" t="str" s="2">
        <x:v>Joey Marquez</x:v>
      </x:c>
      <x:c r="J1822" s="0"/>
      <x:c r="K1822" s="6">
        <x:v>46289.82246797454</x:v>
      </x:c>
      <x:c r="L1822" t="str" s="2">
        <x:v>Deal Created</x:v>
      </x:c>
    </x:row>
    <x:row r="1823">
      <x:c r="A1823" t="str" s="2">
        <x:f>=HYPERLINK("https://rsms.futurehomex.com/lead/40364", "Taylor Kimball")</x:f>
      </x:c>
      <x:c r="B1823" t="str" s="2">
        <x:v>Heritage Housing of Jennings</x:v>
      </x:c>
      <x:c r="C1823" t="str" s="2">
        <x:v/>
      </x:c>
      <x:c r="D1823" t="str" s="2">
        <x:v>5099362830</x:v>
      </x:c>
      <x:c r="E1823" t="str" s="2">
        <x:v>littlebird9619@gmail.com</x:v>
      </x:c>
      <x:c r="F1823" t="str" s="2">
        <x:v>Landing_BPM</x:v>
      </x:c>
      <x:c r="G1823" t="str" s="2">
        <x:v>Clint O'Neal</x:v>
      </x:c>
      <x:c r="H1823" s="6">
        <x:v>46290.62610644676</x:v>
      </x:c>
      <x:c r="I1823" t="str" s="2">
        <x:v>Clint O'Neal</x:v>
      </x:c>
      <x:c r="J1823" s="0"/>
      <x:c r="K1823" s="6">
        <x:v>46290.632079016206</x:v>
      </x:c>
      <x:c r="L1823" t="str" s="2">
        <x:v>Deal Created</x:v>
      </x:c>
    </x:row>
    <x:row r="1824">
      <x:c r="A1824" t="str" s="2">
        <x:f>=HYPERLINK("https://rsms.futurehomex.com/lead/40366", "Pam Thompson")</x:f>
      </x:c>
      <x:c r="B1824" t="str" s="2">
        <x:v>Heritage Housing of Oklahoma City</x:v>
      </x:c>
      <x:c r="C1824" t="str" s="2">
        <x:v/>
      </x:c>
      <x:c r="D1824" t="str" s="2">
        <x:v>4053201540</x:v>
      </x:c>
      <x:c r="E1824" t="str" s="2">
        <x:v>pamthompson8@gmail.com</x:v>
      </x:c>
      <x:c r="F1824" t="str" s="2">
        <x:v>Walk-in</x:v>
      </x:c>
      <x:c r="G1824" t="str" s="2">
        <x:v>Devon McCoy</x:v>
      </x:c>
      <x:c r="H1824" s="6">
        <x:v>46290.694459756945</x:v>
      </x:c>
      <x:c r="I1824" t="str" s="2">
        <x:v>Devon McCoy</x:v>
      </x:c>
      <x:c r="J1824" s="0"/>
      <x:c r="K1824" s="6">
        <x:v>46290.694459756945</x:v>
      </x:c>
      <x:c r="L1824" t="str" s="2">
        <x:v>Deal Created</x:v>
      </x:c>
    </x:row>
    <x:row r="1825">
      <x:c r="A1825" t="str" s="2">
        <x:f>=HYPERLINK("https://rsms.futurehomex.com/lead/40370", "Lenora Lewis")</x:f>
      </x:c>
      <x:c r="B1825" t="str" s="2">
        <x:v>Heritage Housing of Minden</x:v>
      </x:c>
      <x:c r="C1825" t="str" s="2">
        <x:v/>
      </x:c>
      <x:c r="D1825" t="str" s="2">
        <x:v>3108196116</x:v>
      </x:c>
      <x:c r="E1825" t="str" s="2">
        <x:v>3108196116</x:v>
      </x:c>
      <x:c r="F1825" t="str" s="2">
        <x:v>Walk-in</x:v>
      </x:c>
      <x:c r="G1825" t="str" s="2">
        <x:v>Patrick Schuchart</x:v>
      </x:c>
      <x:c r="H1825" s="6">
        <x:v>46290.77761658565</x:v>
      </x:c>
      <x:c r="I1825" t="str" s="2">
        <x:v>Patrick Schuchart</x:v>
      </x:c>
      <x:c r="J1825" s="0"/>
      <x:c r="K1825" s="6">
        <x:v>46290.77761658565</x:v>
      </x:c>
      <x:c r="L1825" t="str" s="2">
        <x:v>Deal Created</x:v>
      </x:c>
    </x:row>
    <x:row r="1826">
      <x:c r="A1826" t="str" s="2">
        <x:f>=HYPERLINK("https://rsms.futurehomex.com/lead/40375", "Donna Solter")</x:f>
      </x:c>
      <x:c r="B1826" t="str" s="2">
        <x:v>Heritage Housing of Minden</x:v>
      </x:c>
      <x:c r="C1826" t="str" s="2">
        <x:v/>
      </x:c>
      <x:c r="D1826" t="str" s="2">
        <x:v>3185605972</x:v>
      </x:c>
      <x:c r="E1826" t="str" s="2">
        <x:v>3185605972</x:v>
      </x:c>
      <x:c r="F1826" t="str" s="2">
        <x:v>Walk-in</x:v>
      </x:c>
      <x:c r="G1826" t="str" s="2">
        <x:v>Patrick Schuchart</x:v>
      </x:c>
      <x:c r="H1826" s="6">
        <x:v>46290.939636574076</x:v>
      </x:c>
      <x:c r="I1826" t="str" s="2">
        <x:v>Patrick Schuchart</x:v>
      </x:c>
      <x:c r="J1826" s="0"/>
      <x:c r="K1826" s="6">
        <x:v>46290.939636574076</x:v>
      </x:c>
      <x:c r="L1826" t="str" s="2">
        <x:v>Deal Created</x:v>
      </x:c>
    </x:row>
    <x:row r="1827">
      <x:c r="A1827" t="str" s="2">
        <x:f>=HYPERLINK("https://rsms.futurehomex.com/lead/40382", "Isis Barnett")</x:f>
      </x:c>
      <x:c r="B1827" t="str" s="2">
        <x:v>Heritage Housing of Oklahoma City</x:v>
      </x:c>
      <x:c r="C1827" t="str" s="2">
        <x:v/>
      </x:c>
      <x:c r="D1827" t="str" s="2">
        <x:v>4058857635</x:v>
      </x:c>
      <x:c r="E1827" t="str" s="2">
        <x:v>isisbarnett215@gmail.com</x:v>
      </x:c>
      <x:c r="F1827" t="str" s="2">
        <x:v>Landing_BPM</x:v>
      </x:c>
      <x:c r="G1827" t="str" s="2">
        <x:v>Steve Castell</x:v>
      </x:c>
      <x:c r="H1827" s="6">
        <x:v>46291.10910929398</x:v>
      </x:c>
      <x:c r="I1827" t="str" s="2">
        <x:v>Devon McCoy</x:v>
      </x:c>
      <x:c r="J1827" s="0"/>
      <x:c r="K1827" s="6">
        <x:v>46291.65092303241</x:v>
      </x:c>
      <x:c r="L1827" t="str" s="2">
        <x:v>Deal Created</x:v>
      </x:c>
    </x:row>
    <x:row r="1828">
      <x:c r="A1828" t="str" s="2">
        <x:f>=HYPERLINK("https://rsms.futurehomex.com/lead/40389", "Jacqueline Payne")</x:f>
      </x:c>
      <x:c r="B1828" t="str" s="2">
        <x:v>Heritage Housing of Oklahoma City</x:v>
      </x:c>
      <x:c r="C1828" t="str" s="2">
        <x:v/>
      </x:c>
      <x:c r="D1828" t="str" s="2">
        <x:v>5392569058</x:v>
      </x:c>
      <x:c r="E1828" t="str" s="2">
        <x:v>jacquelinepayne2020@gmail.com</x:v>
      </x:c>
      <x:c r="F1828" t="str" s="2">
        <x:v>Landing_BPM</x:v>
      </x:c>
      <x:c r="G1828" t="str" s="2">
        <x:v>Steve Castell</x:v>
      </x:c>
      <x:c r="H1828" s="6">
        <x:v>46291.17182607639</x:v>
      </x:c>
      <x:c r="I1828" t="str" s="2">
        <x:v>Devon McCoy</x:v>
      </x:c>
      <x:c r="J1828" s="0"/>
      <x:c r="K1828" s="0"/>
      <x:c r="L1828" t="str" s="2">
        <x:v>Deal Created</x:v>
      </x:c>
    </x:row>
    <x:row r="1829">
      <x:c r="A1829" t="str" s="2">
        <x:f>=HYPERLINK("https://rsms.futurehomex.com/lead/40388", "Amie Mainus")</x:f>
      </x:c>
      <x:c r="B1829" t="str" s="2">
        <x:v>Heritage Housing of Oklahoma City</x:v>
      </x:c>
      <x:c r="C1829" t="str" s="2">
        <x:v/>
      </x:c>
      <x:c r="D1829" t="str" s="2">
        <x:v>4057654565</x:v>
      </x:c>
      <x:c r="E1829" t="str" s="2">
        <x:v>amiemainus66@gmail.com</x:v>
      </x:c>
      <x:c r="F1829" t="str" s="2">
        <x:v>Landing_BPM</x:v>
      </x:c>
      <x:c r="G1829" t="str" s="2">
        <x:v>Steve Castell</x:v>
      </x:c>
      <x:c r="H1829" s="6">
        <x:v>46291.3859897338</x:v>
      </x:c>
      <x:c r="I1829" t="str" s="2">
        <x:v>Devon McCoy</x:v>
      </x:c>
      <x:c r="J1829" s="0"/>
      <x:c r="K1829" s="0"/>
      <x:c r="L1829" t="str" s="2">
        <x:v>Deal Created</x:v>
      </x:c>
    </x:row>
    <x:row r="1830">
      <x:c r="A1830" t="str" s="2">
        <x:f>=HYPERLINK("https://rsms.futurehomex.com/lead/40387", "Valentin Trujillo")</x:f>
      </x:c>
      <x:c r="B1830" t="str" s="2">
        <x:v>Heritage Housing Marble Falls</x:v>
      </x:c>
      <x:c r="C1830" t="str" s="2">
        <x:v/>
      </x:c>
      <x:c r="D1830" t="str" s="2">
        <x:v>15123799159</x:v>
      </x:c>
      <x:c r="E1830" t="str" s="2">
        <x:v>valentintrujillo437@ymail.com</x:v>
      </x:c>
      <x:c r="F1830" t="str" s="2">
        <x:v>Meta Ads - Traffic</x:v>
      </x:c>
      <x:c r="G1830" t="str" s="2">
        <x:v>Stephen Sanders</x:v>
      </x:c>
      <x:c r="H1830" s="6">
        <x:v>46291.66151207176</x:v>
      </x:c>
      <x:c r="I1830" t="str" s="2">
        <x:v>Stephen Sanders</x:v>
      </x:c>
      <x:c r="J1830" s="0"/>
      <x:c r="K1830" s="6">
        <x:v>46291.66151207176</x:v>
      </x:c>
      <x:c r="L1830" t="str" s="2">
        <x:v>Deal Created</x:v>
      </x:c>
    </x:row>
    <x:row r="1831">
      <x:c r="A1831" t="str" s="2">
        <x:f>=HYPERLINK("https://rsms.futurehomex.com/lead/40395", "jamontie Belton")</x:f>
      </x:c>
      <x:c r="B1831" t="str" s="2">
        <x:v>Heritage Housing of Oklahoma City</x:v>
      </x:c>
      <x:c r="C1831" t="str" s="2">
        <x:v/>
      </x:c>
      <x:c r="D1831" t="str" s="2">
        <x:v>4056338138</x:v>
      </x:c>
      <x:c r="E1831" t="str" s="2">
        <x:v>jamontieb@gmail.com</x:v>
      </x:c>
      <x:c r="F1831" t="str" s="2">
        <x:v>Landing_BPM</x:v>
      </x:c>
      <x:c r="G1831" t="str" s="2">
        <x:v>Steve Castell</x:v>
      </x:c>
      <x:c r="H1831" s="6">
        <x:v>46291.740864733794</x:v>
      </x:c>
      <x:c r="I1831" t="str" s="2">
        <x:v>Devon McCoy</x:v>
      </x:c>
      <x:c r="J1831" s="0"/>
      <x:c r="K1831" s="0"/>
      <x:c r="L1831" t="str" s="2">
        <x:v>Deal Created</x:v>
      </x:c>
    </x:row>
    <x:row r="1832">
      <x:c r="A1832" t="str" s="2">
        <x:f>=HYPERLINK("https://rsms.futurehomex.com/lead/40397", "Amber Atyia")</x:f>
      </x:c>
      <x:c r="B1832" t="str" s="2">
        <x:v>Heritage Housing of Oklahoma City</x:v>
      </x:c>
      <x:c r="C1832" t="str" s="2">
        <x:v/>
      </x:c>
      <x:c r="D1832" t="str" s="2">
        <x:v>4055841503</x:v>
      </x:c>
      <x:c r="E1832" t="str" s="2">
        <x:v>amberatyia@yahoo.com</x:v>
      </x:c>
      <x:c r="F1832" t="str" s="2">
        <x:v>Walk-in</x:v>
      </x:c>
      <x:c r="G1832" t="str" s="2">
        <x:v>Steve Castell</x:v>
      </x:c>
      <x:c r="H1832" s="6">
        <x:v>46291.7890977662</x:v>
      </x:c>
      <x:c r="I1832" t="str" s="2">
        <x:v>Steve Castell</x:v>
      </x:c>
      <x:c r="J1832" s="0"/>
      <x:c r="K1832" s="6">
        <x:v>46291.7890977662</x:v>
      </x:c>
      <x:c r="L1832" t="str" s="2">
        <x:v>Deal Created</x:v>
      </x:c>
    </x:row>
    <x:row r="1833">
      <x:c r="A1833" t="str" s="2">
        <x:f>=HYPERLINK("https://rsms.futurehomex.com/lead/40398", "Ashley Linares")</x:f>
      </x:c>
      <x:c r="B1833" t="str" s="2">
        <x:v>Legacy Housing Corp. DBA Americasa</x:v>
      </x:c>
      <x:c r="C1833" t="str" s="2">
        <x:v/>
      </x:c>
      <x:c r="D1833" t="str" s="2">
        <x:v>8324680237</x:v>
      </x:c>
      <x:c r="E1833" t="str" s="2">
        <x:v>8324680237</x:v>
      </x:c>
      <x:c r="F1833" t="str" s="2">
        <x:v>Other</x:v>
      </x:c>
      <x:c r="G1833" t="str" s="2">
        <x:v>Joey Marquez</x:v>
      </x:c>
      <x:c r="H1833" s="6">
        <x:v>46291.79016145833</x:v>
      </x:c>
      <x:c r="I1833" t="str" s="2">
        <x:v>Joey Marquez</x:v>
      </x:c>
      <x:c r="J1833" s="0"/>
      <x:c r="K1833" s="6">
        <x:v>46291.79016145833</x:v>
      </x:c>
      <x:c r="L1833" t="str" s="2">
        <x:v>Deal Created</x:v>
      </x:c>
    </x:row>
    <x:row r="1834">
      <x:c r="A1834" t="str" s="2">
        <x:f>=HYPERLINK("https://rsms.futurehomex.com/lead/40436", "Shae Taber")</x:f>
      </x:c>
      <x:c r="B1834" t="str" s="2">
        <x:v>Heritage Housing of Oklahoma City</x:v>
      </x:c>
      <x:c r="C1834" t="str" s="2">
        <x:v/>
      </x:c>
      <x:c r="D1834" t="str" s="2">
        <x:v>4055662497</x:v>
      </x:c>
      <x:c r="E1834" t="str" s="2">
        <x:v>shaetaber552@gmail.com</x:v>
      </x:c>
      <x:c r="F1834" t="str" s="2">
        <x:v>Landing_BPM</x:v>
      </x:c>
      <x:c r="G1834" t="str" s="2">
        <x:v>Devon McCoy</x:v>
      </x:c>
      <x:c r="H1834" s="6">
        <x:v>46292.081110266205</x:v>
      </x:c>
      <x:c r="I1834" t="str" s="2">
        <x:v>Devon McCoy</x:v>
      </x:c>
      <x:c r="J1834" s="0"/>
      <x:c r="K1834" s="0"/>
      <x:c r="L1834" t="str" s="2">
        <x:v>Deal Created</x:v>
      </x:c>
    </x:row>
    <x:row r="1835">
      <x:c r="A1835" t="str" s="2">
        <x:f>=HYPERLINK("https://rsms.futurehomex.com/lead/40480", "Sonya Sullivan")</x:f>
      </x:c>
      <x:c r="B1835" t="str" s="2">
        <x:v>Heritage Housing of Oklahoma City</x:v>
      </x:c>
      <x:c r="C1835" t="str" s="2">
        <x:v/>
      </x:c>
      <x:c r="D1835" t="str" s="2">
        <x:v>4058162709</x:v>
      </x:c>
      <x:c r="E1835" t="str" s="2">
        <x:v>warming.corneal.6i@icloud.com</x:v>
      </x:c>
      <x:c r="F1835" t="str" s="2">
        <x:v>Landing_BPM</x:v>
      </x:c>
      <x:c r="G1835" t="str" s="2">
        <x:v>Devon McCoy</x:v>
      </x:c>
      <x:c r="H1835" s="6">
        <x:v>46292.60716890046</x:v>
      </x:c>
      <x:c r="I1835" t="str" s="2">
        <x:v>Devon McCoy</x:v>
      </x:c>
      <x:c r="J1835" s="0"/>
      <x:c r="K1835" s="6">
        <x:v>46294.62606038195</x:v>
      </x:c>
      <x:c r="L1835" t="str" s="2">
        <x:v>Deal Created</x:v>
      </x:c>
    </x:row>
    <x:row r="1836">
      <x:c r="A1836" t="str" s="2">
        <x:f>=HYPERLINK("https://rsms.futurehomex.com/lead/40482", "Sonya Sullivan")</x:f>
      </x:c>
      <x:c r="B1836" t="str" s="2">
        <x:v>Heritage Housing of Oklahoma City</x:v>
      </x:c>
      <x:c r="C1836" t="str" s="2">
        <x:v/>
      </x:c>
      <x:c r="D1836" t="str" s="2">
        <x:v>4058162709</x:v>
      </x:c>
      <x:c r="E1836" t="str" s="2">
        <x:v>warming.corneal.6i@icloud.com</x:v>
      </x:c>
      <x:c r="F1836" t="str" s="2">
        <x:v>Landing_BPM</x:v>
      </x:c>
      <x:c r="G1836" t="str" s="2">
        <x:v>Devon McCoy</x:v>
      </x:c>
      <x:c r="H1836" s="6">
        <x:v>46292.60716890046</x:v>
      </x:c>
      <x:c r="I1836" t="str" s="2">
        <x:v>Devon McCoy</x:v>
      </x:c>
      <x:c r="J1836" s="0"/>
      <x:c r="K1836" s="6">
        <x:v>46294.62606038195</x:v>
      </x:c>
      <x:c r="L1836" t="str" s="2">
        <x:v>Deal Created</x:v>
      </x:c>
    </x:row>
    <x:row r="1837">
      <x:c r="A1837" t="str" s="2">
        <x:f>=HYPERLINK("https://rsms.futurehomex.com/lead/40476", "Dalton Baeriswyl")</x:f>
      </x:c>
      <x:c r="B1837" t="str" s="2">
        <x:v>Heritage Housing of Oklahoma City</x:v>
      </x:c>
      <x:c r="C1837" t="str" s="2">
        <x:v/>
      </x:c>
      <x:c r="D1837" t="str" s="2">
        <x:v>4054713847</x:v>
      </x:c>
      <x:c r="E1837" t="str" s="2">
        <x:v>daltonbaeriswyl@yahoo.com</x:v>
      </x:c>
      <x:c r="F1837" t="str" s="2">
        <x:v>Financing Form</x:v>
      </x:c>
      <x:c r="G1837" t="str" s="2">
        <x:v>Devon McCoy</x:v>
      </x:c>
      <x:c r="H1837" s="6">
        <x:v>46292.89900899305</x:v>
      </x:c>
      <x:c r="I1837" t="str" s="2">
        <x:v>Devon McCoy</x:v>
      </x:c>
      <x:c r="J1837" s="0"/>
      <x:c r="K1837" s="6">
        <x:v>46294.62595957176</x:v>
      </x:c>
      <x:c r="L1837" t="str" s="2">
        <x:v>Deal Created</x:v>
      </x:c>
    </x:row>
    <x:row r="1838">
      <x:c r="A1838" t="str" s="2">
        <x:f>=HYPERLINK("https://rsms.futurehomex.com/lead/40412", "Heather Brown")</x:f>
      </x:c>
      <x:c r="B1838" t="str" s="2">
        <x:v>Heritage Housing of Oklahoma City</x:v>
      </x:c>
      <x:c r="C1838" t="str" s="2">
        <x:v/>
      </x:c>
      <x:c r="D1838" t="str" s="2">
        <x:v>4052871285</x:v>
      </x:c>
      <x:c r="E1838" t="str" s="2">
        <x:v>heather_200045@yahoo.com</x:v>
      </x:c>
      <x:c r="F1838" t="str" s="2">
        <x:v>Landing_BPM</x:v>
      </x:c>
      <x:c r="G1838" t="str" s="2">
        <x:v>Trey Rixleben</x:v>
      </x:c>
      <x:c r="H1838" s="6">
        <x:v>46292.948603668985</x:v>
      </x:c>
      <x:c r="I1838" t="str" s="2">
        <x:v>Trey Rixleben</x:v>
      </x:c>
      <x:c r="J1838" s="0"/>
      <x:c r="K1838" s="0"/>
      <x:c r="L1838" t="str" s="2">
        <x:v>Deal Created</x:v>
      </x:c>
    </x:row>
    <x:row r="1839">
      <x:c r="A1839" t="str" s="2">
        <x:f>=HYPERLINK("https://rsms.futurehomex.com/lead/40785", "Shannon Roberts")</x:f>
      </x:c>
      <x:c r="B1839" t="str" s="2">
        <x:v>Heritage Housing of Oklahoma City</x:v>
      </x:c>
      <x:c r="C1839" t="str" s="2">
        <x:v/>
      </x:c>
      <x:c r="D1839" t="str" s="2">
        <x:v>5809675490</x:v>
      </x:c>
      <x:c r="E1839" t="str" s="2">
        <x:v>shannonrobertsjr2001@gmail.com</x:v>
      </x:c>
      <x:c r="F1839" t="str" s="2">
        <x:v>Landing_BPM</x:v>
      </x:c>
      <x:c r="G1839" t="str" s="2">
        <x:v>Steve Castell</x:v>
      </x:c>
      <x:c r="H1839" s="6">
        <x:v>46293.025156400465</x:v>
      </x:c>
      <x:c r="I1839" t="str" s="2">
        <x:v>Steve Castell</x:v>
      </x:c>
      <x:c r="J1839" s="6">
        <x:v>46305.75</x:v>
      </x:c>
      <x:c r="K1839" s="6">
        <x:v>46308.13918295139</x:v>
      </x:c>
      <x:c r="L1839" t="str" s="2">
        <x:v>Deal Created</x:v>
      </x:c>
    </x:row>
    <x:row r="1840">
      <x:c r="A1840" t="str" s="2">
        <x:f>=HYPERLINK("https://rsms.futurehomex.com/lead/40484", "Damien Sinegal")</x:f>
      </x:c>
      <x:c r="B1840" t="str" s="2">
        <x:v>Heritage Housing of Jennings</x:v>
      </x:c>
      <x:c r="C1840" t="str" s="2">
        <x:v/>
      </x:c>
      <x:c r="D1840" t="str" s="2">
        <x:v>3372230425</x:v>
      </x:c>
      <x:c r="E1840" t="str" s="2">
        <x:v>damazon330@yahoo.com</x:v>
      </x:c>
      <x:c r="F1840" t="str" s="2">
        <x:v>Landing_BPM</x:v>
      </x:c>
      <x:c r="G1840" t="str" s="2">
        <x:v>Mervin Leslie Smith</x:v>
      </x:c>
      <x:c r="H1840" s="6">
        <x:v>46293.654806597224</x:v>
      </x:c>
      <x:c r="I1840" t="str" s="2">
        <x:v>Mervin Leslie Smith</x:v>
      </x:c>
      <x:c r="J1840" s="0"/>
      <x:c r="K1840" s="6">
        <x:v>46293.75978984954</x:v>
      </x:c>
      <x:c r="L1840" t="str" s="2">
        <x:v>Deal Created</x:v>
      </x:c>
    </x:row>
    <x:row r="1841">
      <x:c r="A1841" t="str" s="2">
        <x:f>=HYPERLINK("https://rsms.futurehomex.com/lead/40460", "Alaina del Rosario")</x:f>
      </x:c>
      <x:c r="B1841" t="str" s="2">
        <x:v>Heritage Housing of Oklahoma City</x:v>
      </x:c>
      <x:c r="C1841" t="str" s="2">
        <x:v/>
      </x:c>
      <x:c r="D1841" t="str" s="2">
        <x:v>4056841804</x:v>
      </x:c>
      <x:c r="E1841" t="str" s="2">
        <x:v>animalsrmyheart@gmail.com</x:v>
      </x:c>
      <x:c r="F1841" t="str" s="2">
        <x:v>Landing_BPM</x:v>
      </x:c>
      <x:c r="G1841" t="str" s="2">
        <x:v>Alejandra Calderon</x:v>
      </x:c>
      <x:c r="H1841" s="6">
        <x:v>46293.69697167824</x:v>
      </x:c>
      <x:c r="I1841" t="str" s="2">
        <x:v>Alejandra Calderon</x:v>
      </x:c>
      <x:c r="J1841" s="0"/>
      <x:c r="K1841" s="0"/>
      <x:c r="L1841" t="str" s="2">
        <x:v>Deal Created</x:v>
      </x:c>
    </x:row>
    <x:row r="1842">
      <x:c r="A1842" t="str" s="2">
        <x:f>=HYPERLINK("https://rsms.futurehomex.com/lead/40461", "SHARON TURROBIARTES")</x:f>
      </x:c>
      <x:c r="B1842" t="str" s="2">
        <x:v>Heritage Housing of Oklahoma City</x:v>
      </x:c>
      <x:c r="C1842" t="str" s="2">
        <x:v/>
      </x:c>
      <x:c r="D1842" t="str" s="2">
        <x:v>5802510415</x:v>
      </x:c>
      <x:c r="E1842" t="str" s="2">
        <x:v>sharonrt2002@yahoo.com</x:v>
      </x:c>
      <x:c r="F1842" t="str" s="2">
        <x:v>LandingPage</x:v>
      </x:c>
      <x:c r="G1842" t="str" s="2">
        <x:v>Alejandra Calderon</x:v>
      </x:c>
      <x:c r="H1842" s="6">
        <x:v>46293.71573792824</x:v>
      </x:c>
      <x:c r="I1842" t="str" s="2">
        <x:v>Alejandra Calderon</x:v>
      </x:c>
      <x:c r="J1842" s="0"/>
      <x:c r="K1842" s="0"/>
      <x:c r="L1842" t="str" s="2">
        <x:v>Deal Created</x:v>
      </x:c>
    </x:row>
    <x:row r="1843">
      <x:c r="A1843" t="str" s="2">
        <x:f>=HYPERLINK("https://rsms.futurehomex.com/lead/40419", "Chris A")</x:f>
      </x:c>
      <x:c r="B1843" t="str" s="2">
        <x:v>Legacy Housing Corp. DBA Americasa</x:v>
      </x:c>
      <x:c r="C1843" t="str" s="2">
        <x:v/>
      </x:c>
      <x:c r="D1843" t="str" s="2">
        <x:v>2142830245</x:v>
      </x:c>
      <x:c r="E1843" t="str" s="2">
        <x:v>2142830245</x:v>
      </x:c>
      <x:c r="F1843" t="str" s="2">
        <x:v>Other</x:v>
      </x:c>
      <x:c r="G1843" t="str" s="2">
        <x:v>Joey Marquez</x:v>
      </x:c>
      <x:c r="H1843" s="6">
        <x:v>46293.77564146991</x:v>
      </x:c>
      <x:c r="I1843" t="str" s="2">
        <x:v>Joey Marquez</x:v>
      </x:c>
      <x:c r="J1843" s="0"/>
      <x:c r="K1843" s="6">
        <x:v>46293.77564146991</x:v>
      </x:c>
      <x:c r="L1843" t="str" s="2">
        <x:v>Deal Created</x:v>
      </x:c>
    </x:row>
    <x:row r="1844">
      <x:c r="A1844" t="str" s="2">
        <x:f>=HYPERLINK("https://rsms.futurehomex.com/lead/40422", "Schuyler Edillor")</x:f>
      </x:c>
      <x:c r="B1844" t="str" s="2">
        <x:v>Heritage Housing of Oklahoma City</x:v>
      </x:c>
      <x:c r="C1844" t="str" s="2">
        <x:v/>
      </x:c>
      <x:c r="D1844" t="str" s="2">
        <x:v>4052870303</x:v>
      </x:c>
      <x:c r="E1844" t="str" s="2">
        <x:v>edillorschuyler@gmail.com</x:v>
      </x:c>
      <x:c r="F1844" t="str" s="2">
        <x:v>Walk-in</x:v>
      </x:c>
      <x:c r="G1844" t="str" s="2">
        <x:v>Trey Rixleben</x:v>
      </x:c>
      <x:c r="H1844" s="6">
        <x:v>46293.81879039352</x:v>
      </x:c>
      <x:c r="I1844" t="str" s="2">
        <x:v>Trey Rixleben</x:v>
      </x:c>
      <x:c r="J1844" s="0"/>
      <x:c r="K1844" s="6">
        <x:v>46293.81879039352</x:v>
      </x:c>
      <x:c r="L1844" t="str" s="2">
        <x:v>Deal Created</x:v>
      </x:c>
    </x:row>
    <x:row r="1845">
      <x:c r="A1845" t="str" s="2">
        <x:f>=HYPERLINK("https://rsms.futurehomex.com/lead/40424", "Kody Truelove")</x:f>
      </x:c>
      <x:c r="B1845" t="str" s="2">
        <x:v>Heritage Housing of Oklahoma City</x:v>
      </x:c>
      <x:c r="C1845" t="str" s="2">
        <x:v/>
      </x:c>
      <x:c r="D1845" t="str" s="2">
        <x:v>4058087984</x:v>
      </x:c>
      <x:c r="E1845" t="str" s="2">
        <x:v>yardofthemonth1@gmail.com</x:v>
      </x:c>
      <x:c r="F1845" t="str" s="2">
        <x:v>Referrals</x:v>
      </x:c>
      <x:c r="G1845" t="str" s="2">
        <x:v>Devon McCoy</x:v>
      </x:c>
      <x:c r="H1845" s="6">
        <x:v>46293.8360190625</x:v>
      </x:c>
      <x:c r="I1845" t="str" s="2">
        <x:v>Devon McCoy</x:v>
      </x:c>
      <x:c r="J1845" s="0"/>
      <x:c r="K1845" s="6">
        <x:v>46293.8360190625</x:v>
      </x:c>
      <x:c r="L1845" t="str" s="2">
        <x:v>Deal Created</x:v>
      </x:c>
    </x:row>
    <x:row r="1846">
      <x:c r="A1846" t="str" s="2">
        <x:f>=HYPERLINK("https://rsms.futurehomex.com/lead/40426", "Ashley Foster")</x:f>
      </x:c>
      <x:c r="B1846" t="str" s="2">
        <x:v>Heritage Housing of Oklahoma City</x:v>
      </x:c>
      <x:c r="C1846" t="str" s="2">
        <x:v/>
      </x:c>
      <x:c r="D1846" t="str" s="2">
        <x:v>5802843165</x:v>
      </x:c>
      <x:c r="E1846" t="str" s="2">
        <x:v>5802843165</x:v>
      </x:c>
      <x:c r="F1846" t="str" s="2">
        <x:v>Facebook Messenger</x:v>
      </x:c>
      <x:c r="G1846" t="str" s="2">
        <x:v>Devon McCoy</x:v>
      </x:c>
      <x:c r="H1846" s="6">
        <x:v>46293.88353445602</x:v>
      </x:c>
      <x:c r="I1846" t="str" s="2">
        <x:v>Devon McCoy</x:v>
      </x:c>
      <x:c r="J1846" s="0"/>
      <x:c r="K1846" s="6">
        <x:v>46293.88353445602</x:v>
      </x:c>
      <x:c r="L1846" t="str" s="2">
        <x:v>Deal Created</x:v>
      </x:c>
    </x:row>
    <x:row r="1847">
      <x:c r="A1847" t="str" s="2">
        <x:f>=HYPERLINK("https://rsms.futurehomex.com/lead/40427", "Robin Hughes")</x:f>
      </x:c>
      <x:c r="B1847" t="str" s="2">
        <x:v>Heritage Housing of Athens</x:v>
      </x:c>
      <x:c r="C1847" t="str" s="2">
        <x:v/>
      </x:c>
      <x:c r="D1847" t="str" s="2">
        <x:v>7703660523</x:v>
      </x:c>
      <x:c r="E1847" t="str" s="2">
        <x:v>hughesgirls69@gmail.com</x:v>
      </x:c>
      <x:c r="F1847" t="str" s="2">
        <x:v>Walk-in</x:v>
      </x:c>
      <x:c r="G1847" t="str" s="2">
        <x:v>Ethan Fossett</x:v>
      </x:c>
      <x:c r="H1847" s="6">
        <x:v>46293.8868377662</x:v>
      </x:c>
      <x:c r="I1847" t="str" s="2">
        <x:v>Ethan Fossett</x:v>
      </x:c>
      <x:c r="J1847" s="0"/>
      <x:c r="K1847" s="6">
        <x:v>46293.8868377662</x:v>
      </x:c>
      <x:c r="L1847" t="str" s="2">
        <x:v>Deal Created</x:v>
      </x:c>
    </x:row>
    <x:row r="1848">
      <x:c r="A1848" t="str" s="2">
        <x:f>=HYPERLINK("https://rsms.futurehomex.com/lead/40431", "Anthony Yahola")</x:f>
      </x:c>
      <x:c r="B1848" t="str" s="2">
        <x:v>Heritage Housing of Oklahoma City</x:v>
      </x:c>
      <x:c r="C1848" t="str" s="2">
        <x:v/>
      </x:c>
      <x:c r="D1848" t="str" s="2">
        <x:v>4056283583</x:v>
      </x:c>
      <x:c r="E1848" t="str" s="2">
        <x:v>wotko045@gmail.com</x:v>
      </x:c>
      <x:c r="F1848" t="str" s="2">
        <x:v>Landing_BPM</x:v>
      </x:c>
      <x:c r="G1848" t="str" s="2">
        <x:v>Trey Rixleben</x:v>
      </x:c>
      <x:c r="H1848" s="6">
        <x:v>46293.92992403935</x:v>
      </x:c>
      <x:c r="I1848" t="str" s="2">
        <x:v>Trey Rixleben</x:v>
      </x:c>
      <x:c r="J1848" s="0"/>
      <x:c r="K1848" s="0"/>
      <x:c r="L1848" t="str" s="2">
        <x:v>Deal Created</x:v>
      </x:c>
    </x:row>
    <x:row r="1849">
      <x:c r="A1849" t="str" s="2">
        <x:f>=HYPERLINK("https://rsms.futurehomex.com/lead/40434", "Shaniece Wright")</x:f>
      </x:c>
      <x:c r="B1849" t="str" s="2">
        <x:v>Heritage Housing of Oklahoma City</x:v>
      </x:c>
      <x:c r="C1849" t="str" s="2">
        <x:v/>
      </x:c>
      <x:c r="D1849" t="str" s="2">
        <x:v>4058351327</x:v>
      </x:c>
      <x:c r="E1849" t="str" s="2">
        <x:v>shaniece202020@gmail.com</x:v>
      </x:c>
      <x:c r="F1849" t="str" s="2">
        <x:v>Landing_BPM</x:v>
      </x:c>
      <x:c r="G1849" t="str" s="2">
        <x:v>Steve Castell</x:v>
      </x:c>
      <x:c r="H1849" s="6">
        <x:v>46293.99878746528</x:v>
      </x:c>
      <x:c r="I1849" t="str" s="2">
        <x:v>Steve Castell</x:v>
      </x:c>
      <x:c r="J1849" s="0"/>
      <x:c r="K1849" s="6">
        <x:v>46294.59512600694</x:v>
      </x:c>
      <x:c r="L1849" t="str" s="2">
        <x:v>Deal Created</x:v>
      </x:c>
    </x:row>
    <x:row r="1850">
      <x:c r="A1850" t="str" s="2">
        <x:f>=HYPERLINK("https://rsms.futurehomex.com/lead/40444", "Amber Hawes")</x:f>
      </x:c>
      <x:c r="B1850" t="str" s="2">
        <x:v>Heritage Housing of Oklahoma City</x:v>
      </x:c>
      <x:c r="C1850" t="str" s="2">
        <x:v/>
      </x:c>
      <x:c r="D1850" t="str" s="2">
        <x:v>5413739596</x:v>
      </x:c>
      <x:c r="E1850" t="str" s="2">
        <x:v>momcircus99@gmail.com</x:v>
      </x:c>
      <x:c r="F1850" t="str" s="2">
        <x:v>Landing_BPM</x:v>
      </x:c>
      <x:c r="G1850" t="str" s="2">
        <x:v>Alejandra Calderon</x:v>
      </x:c>
      <x:c r="H1850" s="6">
        <x:v>46294.033632673614</x:v>
      </x:c>
      <x:c r="I1850" t="str" s="2">
        <x:v>Noemi Rojo</x:v>
      </x:c>
      <x:c r="J1850" s="0"/>
      <x:c r="K1850" s="0"/>
      <x:c r="L1850" t="str" s="2">
        <x:v>Deal Created</x:v>
      </x:c>
    </x:row>
    <x:row r="1851">
      <x:c r="A1851" t="str" s="2">
        <x:f>=HYPERLINK("https://rsms.futurehomex.com/lead/40437", "Taylor Wood")</x:f>
      </x:c>
      <x:c r="B1851" t="str" s="2">
        <x:v>Heritage Housing of Oklahoma City</x:v>
      </x:c>
      <x:c r="C1851" t="str" s="2">
        <x:v/>
      </x:c>
      <x:c r="D1851" t="str" s="2">
        <x:v>8503561056</x:v>
      </x:c>
      <x:c r="E1851" t="str" s="2">
        <x:v>tmwsirtay@gmail.com</x:v>
      </x:c>
      <x:c r="F1851" t="str" s="2">
        <x:v>Landing_BPM</x:v>
      </x:c>
      <x:c r="G1851" t="str" s="2">
        <x:v>Devon McCoy</x:v>
      </x:c>
      <x:c r="H1851" s="6">
        <x:v>46294.172866203706</x:v>
      </x:c>
      <x:c r="I1851" t="str" s="2">
        <x:v>Devon McCoy</x:v>
      </x:c>
      <x:c r="J1851" s="0"/>
      <x:c r="K1851" s="0"/>
      <x:c r="L1851" t="str" s="2">
        <x:v>Deal Created</x:v>
      </x:c>
    </x:row>
    <x:row r="1852">
      <x:c r="A1852" t="str" s="2">
        <x:f>=HYPERLINK("https://rsms.futurehomex.com/lead/40435", "Clint Howard")</x:f>
      </x:c>
      <x:c r="B1852" t="str" s="2">
        <x:v>Heritage Housing of Tulsa</x:v>
      </x:c>
      <x:c r="C1852" t="str" s="2">
        <x:v/>
      </x:c>
      <x:c r="D1852" t="str" s="2">
        <x:v>9185279584</x:v>
      </x:c>
      <x:c r="E1852" t="str" s="2">
        <x:v>clint@tulsafitnesssystems.com</x:v>
      </x:c>
      <x:c r="F1852" t="str" s="2">
        <x:v>Website</x:v>
      </x:c>
      <x:c r="G1852" t="str" s="2">
        <x:v>Jenna Fransisco</x:v>
      </x:c>
      <x:c r="H1852" s="6">
        <x:v>46294.60855512731</x:v>
      </x:c>
      <x:c r="I1852" t="str" s="2">
        <x:v>Jenna Fransisco</x:v>
      </x:c>
      <x:c r="J1852" s="0"/>
      <x:c r="K1852" s="6">
        <x:v>46294.60855512731</x:v>
      </x:c>
      <x:c r="L1852" t="str" s="2">
        <x:v>Deal Created</x:v>
      </x:c>
    </x:row>
    <x:row r="1853">
      <x:c r="A1853" t="str" s="2">
        <x:f>=HYPERLINK("https://rsms.futurehomex.com/lead/40468", "Chris Cox")</x:f>
      </x:c>
      <x:c r="B1853" t="str" s="2">
        <x:v>Heritage Housing of Oklahoma City</x:v>
      </x:c>
      <x:c r="C1853" t="str" s="2">
        <x:v/>
      </x:c>
      <x:c r="D1853" t="str" s="2">
        <x:v>4195038465</x:v>
      </x:c>
      <x:c r="E1853" t="str" s="2">
        <x:v>Chriscox081182@iCloud.com</x:v>
      </x:c>
      <x:c r="F1853" t="str" s="2">
        <x:v>Financing Form</x:v>
      </x:c>
      <x:c r="G1853" t="str" s="2">
        <x:v>Trey Rixleben</x:v>
      </x:c>
      <x:c r="H1853" s="6">
        <x:v>46294.64549563657</x:v>
      </x:c>
      <x:c r="I1853" t="str" s="2">
        <x:v>Trey Rixleben</x:v>
      </x:c>
      <x:c r="J1853" s="0"/>
      <x:c r="K1853" s="0"/>
      <x:c r="L1853" t="str" s="2">
        <x:v>Deal Created</x:v>
      </x:c>
    </x:row>
    <x:row r="1854">
      <x:c r="A1854" t="str" s="2">
        <x:f>=HYPERLINK("https://rsms.futurehomex.com/lead/40509", "Savie Helm")</x:f>
      </x:c>
      <x:c r="B1854" t="str" s="2">
        <x:v>Heritage Housing of Oklahoma City</x:v>
      </x:c>
      <x:c r="C1854" t="str" s="2">
        <x:v/>
      </x:c>
      <x:c r="D1854" t="str" s="2">
        <x:v>5807981179</x:v>
      </x:c>
      <x:c r="E1854" t="str" s="2">
        <x:v>5807981179</x:v>
      </x:c>
      <x:c r="F1854" t="str" s="2">
        <x:v>Facebook Messenger</x:v>
      </x:c>
      <x:c r="G1854" t="str" s="2">
        <x:v>Steve Castell</x:v>
      </x:c>
      <x:c r="H1854" s="6">
        <x:v>46294.69028383102</x:v>
      </x:c>
      <x:c r="I1854" t="str" s="2">
        <x:v>Steve Castell</x:v>
      </x:c>
      <x:c r="J1854" s="6">
        <x:v>46294.875</x:v>
      </x:c>
      <x:c r="K1854" s="6">
        <x:v>46296.670163807874</x:v>
      </x:c>
      <x:c r="L1854" t="str" s="2">
        <x:v>Deal Created</x:v>
      </x:c>
    </x:row>
    <x:row r="1855">
      <x:c r="A1855" t="str" s="2">
        <x:f>=HYPERLINK("https://rsms.futurehomex.com/lead/40449", "Christian Sanders")</x:f>
      </x:c>
      <x:c r="B1855" t="str" s="2">
        <x:v>Heritage Housing of Oklahoma City</x:v>
      </x:c>
      <x:c r="C1855" t="str" s="2">
        <x:v/>
      </x:c>
      <x:c r="D1855" t="str" s="2">
        <x:v>4062204212</x:v>
      </x:c>
      <x:c r="E1855" t="str" s="2">
        <x:v>4062204212</x:v>
      </x:c>
      <x:c r="F1855" t="str" s="2">
        <x:v>Facebook Messenger</x:v>
      </x:c>
      <x:c r="G1855" t="str" s="2">
        <x:v>Devon McCoy</x:v>
      </x:c>
      <x:c r="H1855" s="6">
        <x:v>46294.70492959491</x:v>
      </x:c>
      <x:c r="I1855" t="str" s="2">
        <x:v>Devon McCoy</x:v>
      </x:c>
      <x:c r="J1855" s="0"/>
      <x:c r="K1855" s="6">
        <x:v>46294.70492959491</x:v>
      </x:c>
      <x:c r="L1855" t="str" s="2">
        <x:v>Deal Created</x:v>
      </x:c>
    </x:row>
    <x:row r="1856">
      <x:c r="A1856" t="str" s="2">
        <x:f>=HYPERLINK("https://rsms.futurehomex.com/lead/40451", "Michael Long")</x:f>
      </x:c>
      <x:c r="B1856" t="str" s="2">
        <x:v>Heritage Housing of Augusta</x:v>
      </x:c>
      <x:c r="C1856" t="str" s="2">
        <x:v/>
      </x:c>
      <x:c r="D1856" t="str" s="2">
        <x:v>2052341124</x:v>
      </x:c>
      <x:c r="E1856" t="str" s="2">
        <x:v>mplong5664@gmail.com</x:v>
      </x:c>
      <x:c r="F1856" t="str" s="2">
        <x:v>Other</x:v>
      </x:c>
      <x:c r="G1856" t="str" s="2">
        <x:v>Jose Chavez</x:v>
      </x:c>
      <x:c r="H1856" s="6">
        <x:v>46294.70988553241</x:v>
      </x:c>
      <x:c r="I1856" t="str" s="2">
        <x:v>Jose Chavez</x:v>
      </x:c>
      <x:c r="J1856" s="0"/>
      <x:c r="K1856" s="6">
        <x:v>46294.70988553241</x:v>
      </x:c>
      <x:c r="L1856" t="str" s="2">
        <x:v>Deal Created</x:v>
      </x:c>
    </x:row>
    <x:row r="1857">
      <x:c r="A1857" t="str" s="2">
        <x:f>=HYPERLINK("https://rsms.futurehomex.com/lead/40452", "Katherine Murphy")</x:f>
      </x:c>
      <x:c r="B1857" t="str" s="2">
        <x:v>Heritage Housing of Albany</x:v>
      </x:c>
      <x:c r="C1857" t="str" s="2">
        <x:v/>
      </x:c>
      <x:c r="D1857" t="str" s="2">
        <x:v>4782129189</x:v>
      </x:c>
      <x:c r="E1857" t="str" s="2">
        <x:v>katherine1996.brooklyn@gmail.com</x:v>
      </x:c>
      <x:c r="F1857" t="str" s="2">
        <x:v>Facebook Messenger</x:v>
      </x:c>
      <x:c r="G1857" t="str" s="2">
        <x:v>Justin Johnson</x:v>
      </x:c>
      <x:c r="H1857" s="6">
        <x:v>46294.7429159375</x:v>
      </x:c>
      <x:c r="I1857" t="str" s="2">
        <x:v>Justin Johnson</x:v>
      </x:c>
      <x:c r="J1857" s="0"/>
      <x:c r="K1857" s="6">
        <x:v>46294.7429159375</x:v>
      </x:c>
      <x:c r="L1857" t="str" s="2">
        <x:v>Deal Created</x:v>
      </x:c>
    </x:row>
    <x:row r="1858">
      <x:c r="A1858" t="str" s="2">
        <x:f>=HYPERLINK("https://rsms.futurehomex.com/lead/40459", "Keezia BoClair BoClair")</x:f>
      </x:c>
      <x:c r="B1858" t="str" s="2">
        <x:v>Heritage Housing of Oklahoma City</x:v>
      </x:c>
      <x:c r="C1858" t="str" s="2">
        <x:v/>
      </x:c>
      <x:c r="D1858" t="str" s="2">
        <x:v>3168163674</x:v>
      </x:c>
      <x:c r="E1858" t="str" s="2">
        <x:v>kboclair@yahoo.com</x:v>
      </x:c>
      <x:c r="F1858" t="str" s="2">
        <x:v>Landing_BPM</x:v>
      </x:c>
      <x:c r="G1858" t="str" s="2">
        <x:v>Steve Castell</x:v>
      </x:c>
      <x:c r="H1858" s="6">
        <x:v>46294.78860443287</x:v>
      </x:c>
      <x:c r="I1858" t="str" s="2">
        <x:v>Steve Castell</x:v>
      </x:c>
      <x:c r="J1858" s="0"/>
      <x:c r="K1858" s="6">
        <x:v>46294.93353275463</x:v>
      </x:c>
      <x:c r="L1858" t="str" s="2">
        <x:v>Deal Created</x:v>
      </x:c>
    </x:row>
    <x:row r="1859">
      <x:c r="A1859" t="str" s="2">
        <x:f>=HYPERLINK("https://rsms.futurehomex.com/lead/40454", "Tommie Shelton")</x:f>
      </x:c>
      <x:c r="B1859" t="str" s="2">
        <x:v>Heritage Housing of Oklahoma City</x:v>
      </x:c>
      <x:c r="C1859" t="str" s="2">
        <x:v/>
      </x:c>
      <x:c r="D1859" t="str" s="2">
        <x:v>4052450626</x:v>
      </x:c>
      <x:c r="E1859" t="str" s="2">
        <x:v>tommierae22@gmail.com</x:v>
      </x:c>
      <x:c r="F1859" t="str" s="2">
        <x:v>Landing_BPM</x:v>
      </x:c>
      <x:c r="G1859" t="str" s="2">
        <x:v>Alejandra Calderon</x:v>
      </x:c>
      <x:c r="H1859" s="6">
        <x:v>46294.81259336806</x:v>
      </x:c>
      <x:c r="I1859" t="str" s="2">
        <x:v>Noemi Rojo</x:v>
      </x:c>
      <x:c r="J1859" s="0"/>
      <x:c r="K1859" s="0"/>
      <x:c r="L1859" t="str" s="2">
        <x:v>Deal Created</x:v>
      </x:c>
    </x:row>
    <x:row r="1860">
      <x:c r="A1860" t="str" s="2">
        <x:f>=HYPERLINK("https://rsms.futurehomex.com/lead/40479", "Joe Farrell")</x:f>
      </x:c>
      <x:c r="B1860" t="str" s="2">
        <x:v>Heritage Housing of Oklahoma City</x:v>
      </x:c>
      <x:c r="C1860" t="str" s="2">
        <x:v/>
      </x:c>
      <x:c r="D1860" t="str" s="2">
        <x:v>7084390461</x:v>
      </x:c>
      <x:c r="E1860" t="str" s="2">
        <x:v>joerfarr@icloud.com</x:v>
      </x:c>
      <x:c r="F1860" t="str" s="2">
        <x:v>Landing_BPM</x:v>
      </x:c>
      <x:c r="G1860" t="str" s="2">
        <x:v>Devon McCoy</x:v>
      </x:c>
      <x:c r="H1860" s="6">
        <x:v>46294.90884293982</x:v>
      </x:c>
      <x:c r="I1860" t="str" s="2">
        <x:v>Devon McCoy</x:v>
      </x:c>
      <x:c r="J1860" s="0"/>
      <x:c r="K1860" s="6">
        <x:v>46295.68378533565</x:v>
      </x:c>
      <x:c r="L1860" t="str" s="2">
        <x:v>Deal Created</x:v>
      </x:c>
    </x:row>
    <x:row r="1861">
      <x:c r="A1861" t="str" s="2">
        <x:f>=HYPERLINK("https://rsms.futurehomex.com/lead/40477", "Joe Farrell")</x:f>
      </x:c>
      <x:c r="B1861" t="str" s="2">
        <x:v>Heritage Housing of Oklahoma City</x:v>
      </x:c>
      <x:c r="C1861" t="str" s="2">
        <x:v/>
      </x:c>
      <x:c r="D1861" t="str" s="2">
        <x:v>7084390461</x:v>
      </x:c>
      <x:c r="E1861" t="str" s="2">
        <x:v>joerfarr@icloud.com</x:v>
      </x:c>
      <x:c r="F1861" t="str" s="2">
        <x:v>Landing_BPM</x:v>
      </x:c>
      <x:c r="G1861" t="str" s="2">
        <x:v>Devon McCoy</x:v>
      </x:c>
      <x:c r="H1861" s="6">
        <x:v>46294.90884293982</x:v>
      </x:c>
      <x:c r="I1861" t="str" s="2">
        <x:v>Devon McCoy</x:v>
      </x:c>
      <x:c r="J1861" s="0"/>
      <x:c r="K1861" s="6">
        <x:v>46295.68378533565</x:v>
      </x:c>
      <x:c r="L1861" t="str" s="2">
        <x:v>Deal Created</x:v>
      </x:c>
    </x:row>
    <x:row r="1862">
      <x:c r="A1862" t="str" s="2">
        <x:f>=HYPERLINK("https://rsms.futurehomex.com/lead/40471", "Debra Thurman")</x:f>
      </x:c>
      <x:c r="B1862" t="str" s="2">
        <x:v>Heritage Housing of Oklahoma City</x:v>
      </x:c>
      <x:c r="C1862" t="str" s="2">
        <x:v/>
      </x:c>
      <x:c r="D1862" t="str" s="2">
        <x:v>5803751231</x:v>
      </x:c>
      <x:c r="E1862" t="str" s="2">
        <x:v>bedalynn89@gmail.com</x:v>
      </x:c>
      <x:c r="F1862" t="str" s="2">
        <x:v>Landing_BPM</x:v>
      </x:c>
      <x:c r="G1862" t="str" s="2">
        <x:v>Alejandra Calderon</x:v>
      </x:c>
      <x:c r="H1862" s="6">
        <x:v>46295.05851678241</x:v>
      </x:c>
      <x:c r="I1862" t="str" s="2">
        <x:v>Alejandra Calderon</x:v>
      </x:c>
      <x:c r="J1862" s="0"/>
      <x:c r="K1862" s="0"/>
      <x:c r="L1862" t="str" s="2">
        <x:v>Deal Created</x:v>
      </x:c>
    </x:row>
    <x:row r="1863">
      <x:c r="A1863" t="str" s="2">
        <x:f>=HYPERLINK("https://rsms.futurehomex.com/lead/40469", "Lynda Landreth")</x:f>
      </x:c>
      <x:c r="B1863" t="str" s="2">
        <x:v>Heritage Housing of Oklahoma City</x:v>
      </x:c>
      <x:c r="C1863" t="str" s="2">
        <x:v/>
      </x:c>
      <x:c r="D1863" t="str" s="2">
        <x:v>4055204624</x:v>
      </x:c>
      <x:c r="E1863" t="str" s="2">
        <x:v>lyndalandreth6971@gmail.com</x:v>
      </x:c>
      <x:c r="F1863" t="str" s="2">
        <x:v>Landing_BPM</x:v>
      </x:c>
      <x:c r="G1863" t="str" s="2">
        <x:v>Trey Rixleben</x:v>
      </x:c>
      <x:c r="H1863" s="6">
        <x:v>46295.28305373843</x:v>
      </x:c>
      <x:c r="I1863" t="str" s="2">
        <x:v>Trey Rixleben</x:v>
      </x:c>
      <x:c r="J1863" s="0"/>
      <x:c r="K1863" s="0"/>
      <x:c r="L1863" t="str" s="2">
        <x:v>Deal Created</x:v>
      </x:c>
    </x:row>
    <x:row r="1864">
      <x:c r="A1864" t="str" s="2">
        <x:f>=HYPERLINK("https://rsms.futurehomex.com/lead/40491", "Jonathon James")</x:f>
      </x:c>
      <x:c r="B1864" t="str" s="2">
        <x:v>Heritage Housing of Minden</x:v>
      </x:c>
      <x:c r="C1864" t="str" s="2">
        <x:v/>
      </x:c>
      <x:c r="D1864" t="str" s="2">
        <x:v>3184646208</x:v>
      </x:c>
      <x:c r="E1864" t="str" s="2">
        <x:v>3184646208</x:v>
      </x:c>
      <x:c r="F1864" t="str" s="2">
        <x:v>Walk-in</x:v>
      </x:c>
      <x:c r="G1864" t="str" s="2">
        <x:v>Patrick Schuchart</x:v>
      </x:c>
      <x:c r="H1864" s="6">
        <x:v>46295.762512152774</x:v>
      </x:c>
      <x:c r="I1864" t="str" s="2">
        <x:v>Patrick Schuchart</x:v>
      </x:c>
      <x:c r="J1864" s="0"/>
      <x:c r="K1864" s="6">
        <x:v>46295.762512152774</x:v>
      </x:c>
      <x:c r="L1864" t="str" s="2">
        <x:v>Deal Created</x:v>
      </x:c>
    </x:row>
    <x:row r="1865">
      <x:c r="A1865" t="str" s="2">
        <x:f>=HYPERLINK("https://rsms.futurehomex.com/lead/40493", "Bill Ross")</x:f>
      </x:c>
      <x:c r="B1865" t="str" s="2">
        <x:v>Heritage Housing of Oklahoma City</x:v>
      </x:c>
      <x:c r="C1865" t="str" s="2">
        <x:v/>
      </x:c>
      <x:c r="D1865" t="str" s="2">
        <x:v>3342355740</x:v>
      </x:c>
      <x:c r="E1865" t="str" s="2">
        <x:v>3342355740</x:v>
      </x:c>
      <x:c r="F1865" t="str" s="2">
        <x:v>Facebook Messenger</x:v>
      </x:c>
      <x:c r="G1865" t="str" s="2">
        <x:v>Devon McCoy</x:v>
      </x:c>
      <x:c r="H1865" s="6">
        <x:v>46295.803164386576</x:v>
      </x:c>
      <x:c r="I1865" t="str" s="2">
        <x:v>Devon McCoy</x:v>
      </x:c>
      <x:c r="J1865" s="0"/>
      <x:c r="K1865" s="6">
        <x:v>46295.803164386576</x:v>
      </x:c>
      <x:c r="L1865" t="str" s="2">
        <x:v>Deal Created</x:v>
      </x:c>
    </x:row>
    <x:row r="1866">
      <x:c r="A1866" t="str" s="2">
        <x:f>=HYPERLINK("https://rsms.futurehomex.com/lead/40517", "Nathan Price")</x:f>
      </x:c>
      <x:c r="B1866" t="str" s="2">
        <x:v>Heritage Housing of Oklahoma City</x:v>
      </x:c>
      <x:c r="C1866" t="str" s="2">
        <x:v/>
      </x:c>
      <x:c r="D1866" t="str" s="2">
        <x:v>4057477406</x:v>
      </x:c>
      <x:c r="E1866" t="str" s="2">
        <x:v>nat38744@gmail.com</x:v>
      </x:c>
      <x:c r="F1866" t="str" s="2">
        <x:v>Landing_BPM</x:v>
      </x:c>
      <x:c r="G1866" t="str" s="2">
        <x:v>Trey Rixleben</x:v>
      </x:c>
      <x:c r="H1866" s="6">
        <x:v>46295.81388854167</x:v>
      </x:c>
      <x:c r="I1866" t="str" s="2">
        <x:v>Trey Rixleben</x:v>
      </x:c>
      <x:c r="J1866" s="0"/>
      <x:c r="K1866" s="0"/>
      <x:c r="L1866" t="str" s="2">
        <x:v>Deal Created</x:v>
      </x:c>
    </x:row>
    <x:row r="1867">
      <x:c r="A1867" t="str" s="2">
        <x:f>=HYPERLINK("https://rsms.futurehomex.com/lead/40494", "Tammy Bishop")</x:f>
      </x:c>
      <x:c r="B1867" t="str" s="2">
        <x:v>Heritage Housing of Oklahoma City</x:v>
      </x:c>
      <x:c r="C1867" t="str" s="2">
        <x:v/>
      </x:c>
      <x:c r="D1867" t="str" s="2">
        <x:v>5803994399</x:v>
      </x:c>
      <x:c r="E1867" t="str" s="2">
        <x:v>tammiebishop.tb@gmail.com</x:v>
      </x:c>
      <x:c r="F1867" t="str" s="2">
        <x:v>Facebook Messenger</x:v>
      </x:c>
      <x:c r="G1867" t="str" s="2">
        <x:v>Devon McCoy</x:v>
      </x:c>
      <x:c r="H1867" s="6">
        <x:v>46295.86829818287</x:v>
      </x:c>
      <x:c r="I1867" t="str" s="2">
        <x:v>Devon McCoy</x:v>
      </x:c>
      <x:c r="J1867" s="0"/>
      <x:c r="K1867" s="6">
        <x:v>46295.86829818287</x:v>
      </x:c>
      <x:c r="L1867" t="str" s="2">
        <x:v>Deal Created</x:v>
      </x:c>
    </x:row>
    <x:row r="1868">
      <x:c r="A1868" t="str" s="2">
        <x:f>=HYPERLINK("https://rsms.futurehomex.com/lead/40498", "Pam Curry")</x:f>
      </x:c>
      <x:c r="B1868" t="str" s="2">
        <x:v>Heritage Housing of Oklahoma City</x:v>
      </x:c>
      <x:c r="C1868" t="str" s="2">
        <x:v/>
      </x:c>
      <x:c r="D1868" t="str" s="2">
        <x:v>7725381559</x:v>
      </x:c>
      <x:c r="E1868" t="str" s="2">
        <x:v>howdie00@outlook.com</x:v>
      </x:c>
      <x:c r="F1868" t="str" s="2">
        <x:v>Website</x:v>
      </x:c>
      <x:c r="G1868" t="str" s="2">
        <x:v>Alejandra Calderon</x:v>
      </x:c>
      <x:c r="H1868" s="6">
        <x:v>46295.88976061343</x:v>
      </x:c>
      <x:c r="I1868" t="str" s="2">
        <x:v>Noemi Rojo</x:v>
      </x:c>
      <x:c r="J1868" s="0"/>
      <x:c r="K1868" s="0"/>
      <x:c r="L1868" t="str" s="2">
        <x:v>Deal Created</x:v>
      </x:c>
    </x:row>
    <x:row r="1869">
      <x:c r="A1869" t="str" s="2">
        <x:f>=HYPERLINK("https://rsms.futurehomex.com/lead/40496", "Natasha Carter")</x:f>
      </x:c>
      <x:c r="B1869" t="str" s="2">
        <x:v>Heritage Housing of Athens</x:v>
      </x:c>
      <x:c r="C1869" t="str" s="2">
        <x:v/>
      </x:c>
      <x:c r="D1869" t="str" s="2">
        <x:v>6789738311</x:v>
      </x:c>
      <x:c r="E1869" t="str" s="2">
        <x:v>natashaec82@gmail.com</x:v>
      </x:c>
      <x:c r="F1869" t="str" s="2">
        <x:v>Facebook Messenger</x:v>
      </x:c>
      <x:c r="G1869" t="str" s="2">
        <x:v>Nathan Bishop</x:v>
      </x:c>
      <x:c r="H1869" s="6">
        <x:v>46295.89174027778</x:v>
      </x:c>
      <x:c r="I1869" t="str" s="2">
        <x:v>Nathan Bishop</x:v>
      </x:c>
      <x:c r="J1869" s="0"/>
      <x:c r="K1869" s="6">
        <x:v>46295.89174027778</x:v>
      </x:c>
      <x:c r="L1869" t="str" s="2">
        <x:v>Deal Created</x:v>
      </x:c>
    </x:row>
    <x:row r="1870">
      <x:c r="A1870" t="str" s="2">
        <x:f>=HYPERLINK("https://rsms.futurehomex.com/lead/40499", "Russell Kelly")</x:f>
      </x:c>
      <x:c r="B1870" t="str" s="2">
        <x:v>Heritage Housing of Albany</x:v>
      </x:c>
      <x:c r="C1870" t="str" s="2">
        <x:v/>
      </x:c>
      <x:c r="D1870" t="str" s="2">
        <x:v>2292208291</x:v>
      </x:c>
      <x:c r="E1870" t="str" s="2">
        <x:v>2292208291</x:v>
      </x:c>
      <x:c r="F1870" t="str" s="2">
        <x:v>Walk-in</x:v>
      </x:c>
      <x:c r="G1870" t="str" s="2">
        <x:v>Yanet Alvarez</x:v>
      </x:c>
      <x:c r="H1870" s="6">
        <x:v>46296.54651056713</x:v>
      </x:c>
      <x:c r="I1870" t="str" s="2">
        <x:v>Justin Johnson</x:v>
      </x:c>
      <x:c r="J1870" s="0"/>
      <x:c r="K1870" s="6">
        <x:v>46296.54651056713</x:v>
      </x:c>
      <x:c r="L1870" t="str" s="2">
        <x:v>Deal Created</x:v>
      </x:c>
    </x:row>
    <x:row r="1871">
      <x:c r="A1871" t="str" s="2">
        <x:f>=HYPERLINK("https://rsms.futurehomex.com/lead/40507", "Shantna young")</x:f>
      </x:c>
      <x:c r="B1871" t="str" s="2">
        <x:v>Heritage Housing of Oklahoma City</x:v>
      </x:c>
      <x:c r="C1871" t="str" s="2">
        <x:v/>
      </x:c>
      <x:c r="D1871" t="str" s="2">
        <x:v>7252334828</x:v>
      </x:c>
      <x:c r="E1871" t="str" s="2">
        <x:v>yshantna@gmail.com</x:v>
      </x:c>
      <x:c r="F1871" t="str" s="2">
        <x:v>Landing_BPM</x:v>
      </x:c>
      <x:c r="G1871" t="str" s="2">
        <x:v>Alejandra Calderon</x:v>
      </x:c>
      <x:c r="H1871" s="6">
        <x:v>46296.633902974536</x:v>
      </x:c>
      <x:c r="I1871" t="str" s="2">
        <x:v>Noemi Rojo</x:v>
      </x:c>
      <x:c r="J1871" s="0"/>
      <x:c r="K1871" s="0"/>
      <x:c r="L1871" t="str" s="2">
        <x:v>Deal Created</x:v>
      </x:c>
    </x:row>
    <x:row r="1872">
      <x:c r="A1872" t="str" s="2">
        <x:f>=HYPERLINK("https://rsms.futurehomex.com/lead/40505", "Teresa Sanabria")</x:f>
      </x:c>
      <x:c r="B1872" t="str" s="2">
        <x:v>Heritage Housing of Albany</x:v>
      </x:c>
      <x:c r="C1872" t="str" s="2">
        <x:v/>
      </x:c>
      <x:c r="D1872" t="str" s="2">
        <x:v>4783973608</x:v>
      </x:c>
      <x:c r="E1872" t="str" s="2">
        <x:v>teresitasmaran@gmail.com</x:v>
      </x:c>
      <x:c r="F1872" t="str" s="2">
        <x:v>Walk-in</x:v>
      </x:c>
      <x:c r="G1872" t="str" s="2">
        <x:v>Yanet Alvarez</x:v>
      </x:c>
      <x:c r="H1872" s="6">
        <x:v>46296.64606160879</x:v>
      </x:c>
      <x:c r="I1872" t="str" s="2">
        <x:v>Yanet Alvarez</x:v>
      </x:c>
      <x:c r="J1872" s="0"/>
      <x:c r="K1872" s="6">
        <x:v>46296.64606160879</x:v>
      </x:c>
      <x:c r="L1872" t="str" s="2">
        <x:v>Deal Created</x:v>
      </x:c>
    </x:row>
    <x:row r="1873">
      <x:c r="A1873" t="str" s="2">
        <x:f>=HYPERLINK("https://rsms.futurehomex.com/lead/40513", "Steven Burger")</x:f>
      </x:c>
      <x:c r="B1873" t="str" s="2">
        <x:v>Heritage Housing of Oklahoma City</x:v>
      </x:c>
      <x:c r="C1873" t="str" s="2">
        <x:v/>
      </x:c>
      <x:c r="D1873" t="str" s="2">
        <x:v>4058274024</x:v>
      </x:c>
      <x:c r="E1873" t="str" s="2">
        <x:v>4058274024</x:v>
      </x:c>
      <x:c r="F1873" t="str" s="2">
        <x:v>Walk-in</x:v>
      </x:c>
      <x:c r="G1873" t="str" s="2">
        <x:v>Trey Rixleben</x:v>
      </x:c>
      <x:c r="H1873" s="6">
        <x:v>46296.785195752316</x:v>
      </x:c>
      <x:c r="I1873" t="str" s="2">
        <x:v>Trey Rixleben</x:v>
      </x:c>
      <x:c r="J1873" s="0"/>
      <x:c r="K1873" s="6">
        <x:v>46296.785195752316</x:v>
      </x:c>
      <x:c r="L1873" t="str" s="2">
        <x:v>Deal Created</x:v>
      </x:c>
    </x:row>
    <x:row r="1874">
      <x:c r="A1874" t="str" s="2">
        <x:f>=HYPERLINK("https://rsms.futurehomex.com/lead/40522", "Sherilyn Deeter")</x:f>
      </x:c>
      <x:c r="B1874" t="str" s="2">
        <x:v>Heritage Housing of Oklahoma City</x:v>
      </x:c>
      <x:c r="C1874" t="str" s="2">
        <x:v/>
      </x:c>
      <x:c r="D1874" t="str" s="2">
        <x:v>4059566288</x:v>
      </x:c>
      <x:c r="E1874" t="str" s="2">
        <x:v>sherilyndeeter@icloud.com</x:v>
      </x:c>
      <x:c r="F1874" t="str" s="2">
        <x:v>Landing_BPM</x:v>
      </x:c>
      <x:c r="G1874" t="str" s="2">
        <x:v>Trey Rixleben</x:v>
      </x:c>
      <x:c r="H1874" s="6">
        <x:v>46296.84162496528</x:v>
      </x:c>
      <x:c r="I1874" t="str" s="2">
        <x:v>Trey Rixleben</x:v>
      </x:c>
      <x:c r="J1874" s="0"/>
      <x:c r="K1874" s="0"/>
      <x:c r="L1874" t="str" s="2">
        <x:v>Deal Created</x:v>
      </x:c>
    </x:row>
    <x:row r="1875">
      <x:c r="A1875" t="str" s="2">
        <x:f>=HYPERLINK("https://rsms.futurehomex.com/lead/40518", "Jerry Loggans")</x:f>
      </x:c>
      <x:c r="B1875" t="str" s="2">
        <x:v>Heritage Housing of Athens</x:v>
      </x:c>
      <x:c r="C1875" t="str" s="2">
        <x:v/>
      </x:c>
      <x:c r="D1875" t="str" s="2">
        <x:v>7062071966</x:v>
      </x:c>
      <x:c r="E1875" t="str" s="2">
        <x:v>7062071966</x:v>
      </x:c>
      <x:c r="F1875" t="str" s="2">
        <x:v>Walk-in</x:v>
      </x:c>
      <x:c r="G1875" t="str" s="2">
        <x:v>Nathan Bishop</x:v>
      </x:c>
      <x:c r="H1875" s="6">
        <x:v>46296.9010628125</x:v>
      </x:c>
      <x:c r="I1875" t="str" s="2">
        <x:v>Nathan Bishop</x:v>
      </x:c>
      <x:c r="J1875" s="0"/>
      <x:c r="K1875" s="6">
        <x:v>46296.9010628125</x:v>
      </x:c>
      <x:c r="L1875" t="str" s="2">
        <x:v>Deal Created</x:v>
      </x:c>
    </x:row>
    <x:row r="1876">
      <x:c r="A1876" t="str" s="2">
        <x:f>=HYPERLINK("https://rsms.futurehomex.com/lead/40520", "Paula shadix")</x:f>
      </x:c>
      <x:c r="B1876" t="str" s="2">
        <x:v>Heritage Housing of Oklahoma City</x:v>
      </x:c>
      <x:c r="C1876" t="str" s="2">
        <x:v/>
      </x:c>
      <x:c r="D1876" t="str" s="2">
        <x:v>4057886199</x:v>
      </x:c>
      <x:c r="E1876" t="str" s="2">
        <x:v>paulashadix405@gmail.com</x:v>
      </x:c>
      <x:c r="F1876" t="str" s="2">
        <x:v>Landing_BPM</x:v>
      </x:c>
      <x:c r="G1876" t="str" s="2">
        <x:v>Alejandra Calderon</x:v>
      </x:c>
      <x:c r="H1876" s="6">
        <x:v>46296.901907060186</x:v>
      </x:c>
      <x:c r="I1876" t="str" s="2">
        <x:v>Alejandra Calderon</x:v>
      </x:c>
      <x:c r="J1876" s="0"/>
      <x:c r="K1876" s="0"/>
      <x:c r="L1876" t="str" s="2">
        <x:v>Deal Created</x:v>
      </x:c>
    </x:row>
    <x:row r="1877">
      <x:c r="A1877" t="str" s="2">
        <x:f>=HYPERLINK("https://rsms.futurehomex.com/lead/40519", "Byron Duhon")</x:f>
      </x:c>
      <x:c r="B1877" t="str" s="2">
        <x:v>Heritage Housing of Oklahoma City</x:v>
      </x:c>
      <x:c r="C1877" t="str" s="2">
        <x:v/>
      </x:c>
      <x:c r="D1877" t="str" s="2">
        <x:v>4058201950</x:v>
      </x:c>
      <x:c r="E1877" t="str" s="2">
        <x:v>byronduhon78@gmail.com</x:v>
      </x:c>
      <x:c r="F1877" t="str" s="2">
        <x:v>Referrals</x:v>
      </x:c>
      <x:c r="G1877" t="str" s="2">
        <x:v>Trey Rixleben</x:v>
      </x:c>
      <x:c r="H1877" s="6">
        <x:v>46296.91565636574</x:v>
      </x:c>
      <x:c r="I1877" t="str" s="2">
        <x:v>Trey Rixleben</x:v>
      </x:c>
      <x:c r="J1877" s="0"/>
      <x:c r="K1877" s="6">
        <x:v>46296.91565636574</x:v>
      </x:c>
      <x:c r="L1877" t="str" s="2">
        <x:v>Deal Created</x:v>
      </x:c>
    </x:row>
    <x:row r="1878">
      <x:c r="A1878" t="str" s="2">
        <x:f>=HYPERLINK("https://rsms.futurehomex.com/lead/40523", "Isaac Gregg")</x:f>
      </x:c>
      <x:c r="B1878" t="str" s="2">
        <x:v>Heritage Housing of Oklahoma City</x:v>
      </x:c>
      <x:c r="C1878" t="str" s="2">
        <x:v/>
      </x:c>
      <x:c r="D1878" t="str" s="2">
        <x:v>5806152616</x:v>
      </x:c>
      <x:c r="E1878" t="str" s="2">
        <x:v>isaacgregg95@gmail.com</x:v>
      </x:c>
      <x:c r="F1878" t="str" s="2">
        <x:v>Landing_BPM</x:v>
      </x:c>
      <x:c r="G1878" t="str" s="2">
        <x:v>Trey Rixleben</x:v>
      </x:c>
      <x:c r="H1878" s="6">
        <x:v>46296.95435196759</x:v>
      </x:c>
      <x:c r="I1878" t="str" s="2">
        <x:v>Trey Rixleben</x:v>
      </x:c>
      <x:c r="J1878" s="0"/>
      <x:c r="K1878" s="0"/>
      <x:c r="L1878" t="str" s="2">
        <x:v>Deal Created</x:v>
      </x:c>
    </x:row>
    <x:row r="1879">
      <x:c r="A1879" t="str" s="2">
        <x:f>=HYPERLINK("https://rsms.futurehomex.com/lead/40683", "Malique Burnes")</x:f>
      </x:c>
      <x:c r="B1879" t="str" s="2">
        <x:v>Heritage Housing of Oklahoma City</x:v>
      </x:c>
      <x:c r="C1879" t="str" s="2">
        <x:v/>
      </x:c>
      <x:c r="D1879" t="str" s="2">
        <x:v>8324281155</x:v>
      </x:c>
      <x:c r="E1879" t="str" s="2">
        <x:v>8324281155</x:v>
      </x:c>
      <x:c r="F1879" t="str" s="2">
        <x:v>Facebook Messenger</x:v>
      </x:c>
      <x:c r="G1879" t="str" s="2">
        <x:v>Steve Castell</x:v>
      </x:c>
      <x:c r="H1879" s="6">
        <x:v>46296.99623059028</x:v>
      </x:c>
      <x:c r="I1879" t="str" s="2">
        <x:v>Steve Castell</x:v>
      </x:c>
      <x:c r="J1879" s="6">
        <x:v>46301.75</x:v>
      </x:c>
      <x:c r="K1879" s="6">
        <x:v>46303.92647241898</x:v>
      </x:c>
      <x:c r="L1879" t="str" s="2">
        <x:v>Deal Created</x:v>
      </x:c>
    </x:row>
    <x:row r="1880">
      <x:c r="A1880" t="str" s="2">
        <x:f>=HYPERLINK("https://rsms.futurehomex.com/lead/40621", "janet cruz")</x:f>
      </x:c>
      <x:c r="B1880" t="str" s="2">
        <x:v>Heritage Housing of Oklahoma City</x:v>
      </x:c>
      <x:c r="C1880" t="str" s="2">
        <x:v/>
      </x:c>
      <x:c r="D1880" t="str" s="2">
        <x:v>6575360388</x:v>
      </x:c>
      <x:c r="E1880" t="str" s="2">
        <x:v>cruz.janet0@gmail.com</x:v>
      </x:c>
      <x:c r="F1880" t="str" s="2">
        <x:v>Landing_BPM</x:v>
      </x:c>
      <x:c r="G1880" t="str" s="2">
        <x:v>Steve Castell</x:v>
      </x:c>
      <x:c r="H1880" s="6">
        <x:v>46297.06989791667</x:v>
      </x:c>
      <x:c r="I1880" t="str" s="2">
        <x:v>Steve Castell</x:v>
      </x:c>
      <x:c r="J1880" s="6">
        <x:v>46298.8125</x:v>
      </x:c>
      <x:c r="K1880" s="6">
        <x:v>46301.94484123842</x:v>
      </x:c>
      <x:c r="L1880" t="str" s="2">
        <x:v>Deal Created</x:v>
      </x:c>
    </x:row>
    <x:row r="1881">
      <x:c r="A1881" t="str" s="2">
        <x:f>=HYPERLINK("https://rsms.futurehomex.com/lead/40529", "Machella Dunn")</x:f>
      </x:c>
      <x:c r="B1881" t="str" s="2">
        <x:v>Heritage Housing of Oklahoma City</x:v>
      </x:c>
      <x:c r="C1881" t="str" s="2">
        <x:v/>
      </x:c>
      <x:c r="D1881" t="str" s="2">
        <x:v>4793059921</x:v>
      </x:c>
      <x:c r="E1881" t="str" s="2">
        <x:v>dunnishmael997@gmail.com</x:v>
      </x:c>
      <x:c r="F1881" t="str" s="2">
        <x:v>Landing_BPM</x:v>
      </x:c>
      <x:c r="G1881" t="str" s="2">
        <x:v>Devon McCoy</x:v>
      </x:c>
      <x:c r="H1881" s="6">
        <x:v>46297.1320596875</x:v>
      </x:c>
      <x:c r="I1881" t="str" s="2">
        <x:v>Devon McCoy</x:v>
      </x:c>
      <x:c r="J1881" s="0"/>
      <x:c r="K1881" s="0"/>
      <x:c r="L1881" t="str" s="2">
        <x:v>Deal Created</x:v>
      </x:c>
    </x:row>
    <x:row r="1882">
      <x:c r="A1882" t="str" s="2">
        <x:f>=HYPERLINK("https://rsms.futurehomex.com/lead/40533", "Yolanda Dominguez")</x:f>
      </x:c>
      <x:c r="B1882" t="str" s="2">
        <x:v>Heritage Housing of Oklahoma City</x:v>
      </x:c>
      <x:c r="C1882" t="str" s="2">
        <x:v/>
      </x:c>
      <x:c r="D1882" t="str" s="2">
        <x:v>4692261633</x:v>
      </x:c>
      <x:c r="E1882" t="str" s="2">
        <x:v>chancey1501@gmail.com</x:v>
      </x:c>
      <x:c r="F1882" t="str" s="2">
        <x:v>Landing_BPM</x:v>
      </x:c>
      <x:c r="G1882" t="str" s="2">
        <x:v>Alejandra Calderon</x:v>
      </x:c>
      <x:c r="H1882" s="6">
        <x:v>46297.33568457176</x:v>
      </x:c>
      <x:c r="I1882" t="str" s="2">
        <x:v>Alejandra Calderon</x:v>
      </x:c>
      <x:c r="J1882" s="0"/>
      <x:c r="K1882" s="0"/>
      <x:c r="L1882" t="str" s="2">
        <x:v>Deal Created</x:v>
      </x:c>
    </x:row>
    <x:row r="1883">
      <x:c r="A1883" t="str" s="2">
        <x:f>=HYPERLINK("https://rsms.futurehomex.com/lead/40526", "Chad Girouard")</x:f>
      </x:c>
      <x:c r="B1883" t="str" s="2">
        <x:v>Heritage Housing of Jennings</x:v>
      </x:c>
      <x:c r="C1883" t="str" s="2">
        <x:v/>
      </x:c>
      <x:c r="D1883" t="str" s="2">
        <x:v>13377728833</x:v>
      </x:c>
      <x:c r="E1883" t="str" s="2">
        <x:v>CG@nomail.com</x:v>
      </x:c>
      <x:c r="F1883" t="str" s="2">
        <x:v>Facebook Messenger</x:v>
      </x:c>
      <x:c r="G1883" t="str" s="2">
        <x:v>Mervin Leslie Smith</x:v>
      </x:c>
      <x:c r="H1883" s="6">
        <x:v>46297.61884065972</x:v>
      </x:c>
      <x:c r="I1883" t="str" s="2">
        <x:v>Mervin Leslie Smith</x:v>
      </x:c>
      <x:c r="J1883" s="0"/>
      <x:c r="K1883" s="6">
        <x:v>46297.61884065972</x:v>
      </x:c>
      <x:c r="L1883" t="str" s="2">
        <x:v>Deal Created</x:v>
      </x:c>
    </x:row>
    <x:row r="1884">
      <x:c r="A1884" t="str" s="2">
        <x:f>=HYPERLINK("https://rsms.futurehomex.com/lead/40530", "Shelley Rhode")</x:f>
      </x:c>
      <x:c r="B1884" t="str" s="2">
        <x:v>Heritage Housing of Jennings</x:v>
      </x:c>
      <x:c r="C1884" t="str" s="2">
        <x:v/>
      </x:c>
      <x:c r="D1884" t="str" s="2">
        <x:v>7572911584</x:v>
      </x:c>
      <x:c r="E1884" t="str" s="2">
        <x:v>shelleyrhoden@yahoo.com</x:v>
      </x:c>
      <x:c r="F1884" t="str" s="2">
        <x:v>Walk-in</x:v>
      </x:c>
      <x:c r="G1884" t="str" s="2">
        <x:v>Mervin Leslie Smith</x:v>
      </x:c>
      <x:c r="H1884" s="6">
        <x:v>46297.69080170139</x:v>
      </x:c>
      <x:c r="I1884" t="str" s="2">
        <x:v>Mervin Leslie Smith</x:v>
      </x:c>
      <x:c r="J1884" s="0"/>
      <x:c r="K1884" s="6">
        <x:v>46297.69080170139</x:v>
      </x:c>
      <x:c r="L1884" t="str" s="2">
        <x:v>Deal Created</x:v>
      </x:c>
    </x:row>
    <x:row r="1885">
      <x:c r="A1885" t="str" s="2">
        <x:f>=HYPERLINK("https://rsms.futurehomex.com/lead/40535", "Anthony Koonce")</x:f>
      </x:c>
      <x:c r="B1885" t="str" s="2">
        <x:v>Heritage Housing of Jennings</x:v>
      </x:c>
      <x:c r="C1885" t="str" s="2">
        <x:v>0/1</x:v>
      </x:c>
      <x:c r="D1885" t="str" s="2">
        <x:v>3373048416</x:v>
      </x:c>
      <x:c r="E1885" t="str" s="2">
        <x:v>ak@nomail.com</x:v>
      </x:c>
      <x:c r="F1885" t="str" s="2">
        <x:v>Walk-in</x:v>
      </x:c>
      <x:c r="G1885" t="str" s="2">
        <x:v>Mervin Leslie Smith</x:v>
      </x:c>
      <x:c r="H1885" s="6">
        <x:v>46297.77910633102</x:v>
      </x:c>
      <x:c r="I1885" t="str" s="2">
        <x:v>Mervin Leslie Smith</x:v>
      </x:c>
      <x:c r="J1885" s="0"/>
      <x:c r="K1885" s="6">
        <x:v>46297.77910633102</x:v>
      </x:c>
      <x:c r="L1885" t="str" s="2">
        <x:v>Deal Created</x:v>
      </x:c>
    </x:row>
    <x:row r="1886">
      <x:c r="A1886" t="str" s="2">
        <x:f>=HYPERLINK("https://rsms.futurehomex.com/lead/40540", "Elisa Benitez")</x:f>
      </x:c>
      <x:c r="B1886" t="str" s="2">
        <x:v>Heritage Housing of Oklahoma City</x:v>
      </x:c>
      <x:c r="C1886" t="str" s="2">
        <x:v/>
      </x:c>
      <x:c r="D1886" t="str" s="2">
        <x:v>405-992-4430</x:v>
      </x:c>
      <x:c r="E1886" t="str" s="2">
        <x:v>morenachiquita144@gmail.com</x:v>
      </x:c>
      <x:c r="F1886" t="str" s="2">
        <x:v>Landing_BPM</x:v>
      </x:c>
      <x:c r="G1886" t="str" s="2">
        <x:v>Alejandra Calderon</x:v>
      </x:c>
      <x:c r="H1886" s="6">
        <x:v>46297.8056900463</x:v>
      </x:c>
      <x:c r="I1886" t="str" s="2">
        <x:v>Alejandra Calderon</x:v>
      </x:c>
      <x:c r="J1886" s="0"/>
      <x:c r="K1886" s="0"/>
      <x:c r="L1886" t="str" s="2">
        <x:v>Deal Created</x:v>
      </x:c>
    </x:row>
    <x:row r="1887">
      <x:c r="A1887" t="str" s="2">
        <x:f>=HYPERLINK("https://rsms.futurehomex.com/lead/40539", "James Wright")</x:f>
      </x:c>
      <x:c r="B1887" t="str" s="2">
        <x:v>Heritage Housing of Jennings</x:v>
      </x:c>
      <x:c r="C1887" t="str" s="2">
        <x:v/>
      </x:c>
      <x:c r="D1887" t="str" s="2">
        <x:v>4172318861</x:v>
      </x:c>
      <x:c r="E1887" t="str" s="2">
        <x:v>4172318861</x:v>
      </x:c>
      <x:c r="F1887" t="str" s="2">
        <x:v>Office Hot Calls</x:v>
      </x:c>
      <x:c r="G1887" t="str" s="2">
        <x:v>Clint O'Neal</x:v>
      </x:c>
      <x:c r="H1887" s="6">
        <x:v>46297.89199556713</x:v>
      </x:c>
      <x:c r="I1887" t="str" s="2">
        <x:v>Clint O'Neal</x:v>
      </x:c>
      <x:c r="J1887" s="0"/>
      <x:c r="K1887" s="6">
        <x:v>46297.89199556713</x:v>
      </x:c>
      <x:c r="L1887" t="str" s="2">
        <x:v>Deal Created</x:v>
      </x:c>
    </x:row>
    <x:row r="1888">
      <x:c r="A1888" t="str" s="2">
        <x:f>=HYPERLINK("https://rsms.futurehomex.com/lead/40568", "Virginia Mchenry")</x:f>
      </x:c>
      <x:c r="B1888" t="str" s="2">
        <x:v>Heritage Housing of Oklahoma City</x:v>
      </x:c>
      <x:c r="C1888" t="str" s="2">
        <x:v/>
      </x:c>
      <x:c r="D1888" t="str" s="2">
        <x:v>9188627416</x:v>
      </x:c>
      <x:c r="E1888" t="str" s="2">
        <x:v>wyourmomma1@gmail.com</x:v>
      </x:c>
      <x:c r="F1888" t="str" s="2">
        <x:v>Landing_BPM</x:v>
      </x:c>
      <x:c r="G1888" t="str" s="2">
        <x:v>Steve Castell</x:v>
      </x:c>
      <x:c r="H1888" s="6">
        <x:v>46297.957684375</x:v>
      </x:c>
      <x:c r="I1888" t="str" s="2">
        <x:v>Steve Castell</x:v>
      </x:c>
      <x:c r="J1888" s="0"/>
      <x:c r="K1888" s="0"/>
      <x:c r="L1888" t="str" s="2">
        <x:v>Deal Created</x:v>
      </x:c>
    </x:row>
    <x:row r="1889">
      <x:c r="A1889" t="str" s="2">
        <x:f>=HYPERLINK("https://rsms.futurehomex.com/lead/40560", "Ruth Baker")</x:f>
      </x:c>
      <x:c r="B1889" t="str" s="2">
        <x:v>Heritage Housing of Oklahoma City</x:v>
      </x:c>
      <x:c r="C1889" t="str" s="2">
        <x:v/>
      </x:c>
      <x:c r="D1889" t="str" s="2">
        <x:v>4054308581</x:v>
      </x:c>
      <x:c r="E1889" t="str" s="2">
        <x:v>ruthchanningsale@gmail.com</x:v>
      </x:c>
      <x:c r="F1889" t="str" s="2">
        <x:v>Landing_BPM</x:v>
      </x:c>
      <x:c r="G1889" t="str" s="2">
        <x:v>Trey Rixleben</x:v>
      </x:c>
      <x:c r="H1889" s="6">
        <x:v>46298.229582789354</x:v>
      </x:c>
      <x:c r="I1889" t="str" s="2">
        <x:v>Trey Rixleben</x:v>
      </x:c>
      <x:c r="J1889" s="0"/>
      <x:c r="K1889" s="0"/>
      <x:c r="L1889" t="str" s="2">
        <x:v>Deal Created</x:v>
      </x:c>
    </x:row>
    <x:row r="1890">
      <x:c r="A1890" t="str" s="2">
        <x:f>=HYPERLINK("https://rsms.futurehomex.com/lead/40552", "Erykah Runnels")</x:f>
      </x:c>
      <x:c r="B1890" t="str" s="2">
        <x:v>Heritage Housing of Oklahoma City</x:v>
      </x:c>
      <x:c r="C1890" t="str" s="2">
        <x:v/>
      </x:c>
      <x:c r="D1890" t="str" s="2">
        <x:v>4055906163</x:v>
      </x:c>
      <x:c r="E1890" t="str" s="2">
        <x:v>christhtngga00@gmail.com</x:v>
      </x:c>
      <x:c r="F1890" t="str" s="2">
        <x:v>Landing_BPM</x:v>
      </x:c>
      <x:c r="G1890" t="str" s="2">
        <x:v>Alejandra Calderon</x:v>
      </x:c>
      <x:c r="H1890" s="6">
        <x:v>46298.52392885416</x:v>
      </x:c>
      <x:c r="I1890" t="str" s="2">
        <x:v>Alejandra Calderon</x:v>
      </x:c>
      <x:c r="J1890" s="0"/>
      <x:c r="K1890" s="0"/>
      <x:c r="L1890" t="str" s="2">
        <x:v>Deal Created</x:v>
      </x:c>
    </x:row>
    <x:row r="1891">
      <x:c r="A1891" t="str" s="2">
        <x:f>=HYPERLINK("https://rsms.futurehomex.com/lead/40548", "Rick Patti")</x:f>
      </x:c>
      <x:c r="B1891" t="str" s="2">
        <x:v>Heritage Housing of Oklahoma City</x:v>
      </x:c>
      <x:c r="C1891" t="str" s="2">
        <x:v/>
      </x:c>
      <x:c r="D1891" t="str" s="2">
        <x:v>4057654037</x:v>
      </x:c>
      <x:c r="E1891" t="str" s="2">
        <x:v>4057654037</x:v>
      </x:c>
      <x:c r="F1891" t="str" s="2">
        <x:v>Walk-in</x:v>
      </x:c>
      <x:c r="G1891" t="str" s="2">
        <x:v>Trey Rixleben</x:v>
      </x:c>
      <x:c r="H1891" s="6">
        <x:v>46298.70616778935</x:v>
      </x:c>
      <x:c r="I1891" t="str" s="2">
        <x:v>Trey Rixleben</x:v>
      </x:c>
      <x:c r="J1891" s="0"/>
      <x:c r="K1891" s="6">
        <x:v>46298.70616778935</x:v>
      </x:c>
      <x:c r="L1891" t="str" s="2">
        <x:v>Deal Created</x:v>
      </x:c>
    </x:row>
    <x:row r="1892">
      <x:c r="A1892" t="str" s="2">
        <x:f>=HYPERLINK("https://rsms.futurehomex.com/lead/40584", "Diamond Davis")</x:f>
      </x:c>
      <x:c r="B1892" t="str" s="2">
        <x:v>Heritage Housing of Jennings</x:v>
      </x:c>
      <x:c r="C1892" t="str" s="2">
        <x:v/>
      </x:c>
      <x:c r="D1892" t="str" s="2">
        <x:v>2672485828</x:v>
      </x:c>
      <x:c r="E1892" t="str" s="2">
        <x:v>blaquegah2018@gmail.com</x:v>
      </x:c>
      <x:c r="F1892" t="str" s="2">
        <x:v>Landing_BPM</x:v>
      </x:c>
      <x:c r="G1892" t="str" s="2">
        <x:v>Clint O'Neal</x:v>
      </x:c>
      <x:c r="H1892" s="6">
        <x:v>46298.72307959491</x:v>
      </x:c>
      <x:c r="I1892" t="str" s="2">
        <x:v>Clint O'Neal</x:v>
      </x:c>
      <x:c r="J1892" s="0"/>
      <x:c r="K1892" s="6">
        <x:v>46300</x:v>
      </x:c>
      <x:c r="L1892" t="str" s="2">
        <x:v>Deal Created</x:v>
      </x:c>
    </x:row>
    <x:row r="1893">
      <x:c r="A1893" t="str" s="2">
        <x:f>=HYPERLINK("https://rsms.futurehomex.com/lead/40556", "Cesar Zavala")</x:f>
      </x:c>
      <x:c r="B1893" t="str" s="2">
        <x:v>Heritage Housing of Oklahoma City</x:v>
      </x:c>
      <x:c r="C1893" t="str" s="2">
        <x:v/>
      </x:c>
      <x:c r="D1893" t="str" s="2">
        <x:v>9013375977</x:v>
      </x:c>
      <x:c r="E1893" t="str" s="2">
        <x:v>9013375977</x:v>
      </x:c>
      <x:c r="F1893" t="str" s="2">
        <x:v>Meta Ads - Messenger</x:v>
      </x:c>
      <x:c r="G1893" t="str" s="2">
        <x:v>Alejandra Calderon</x:v>
      </x:c>
      <x:c r="H1893" s="6">
        <x:v>46298.796714930555</x:v>
      </x:c>
      <x:c r="I1893" t="str" s="2">
        <x:v>Alejandra Calderon</x:v>
      </x:c>
      <x:c r="J1893" s="0"/>
      <x:c r="K1893" s="6">
        <x:v>46298.796714930555</x:v>
      </x:c>
      <x:c r="L1893" t="str" s="2">
        <x:v>Deal Created</x:v>
      </x:c>
    </x:row>
    <x:row r="1894">
      <x:c r="A1894" t="str" s="2">
        <x:f>=HYPERLINK("https://rsms.futurehomex.com/lead/40562", "Aliya Bowdoin")</x:f>
      </x:c>
      <x:c r="B1894" t="str" s="2">
        <x:v>Heritage Housing of Oklahoma City</x:v>
      </x:c>
      <x:c r="C1894" t="str" s="2">
        <x:v/>
      </x:c>
      <x:c r="D1894" t="str" s="2">
        <x:v>7015807055</x:v>
      </x:c>
      <x:c r="E1894" t="str" s="2">
        <x:v>7015807055</x:v>
      </x:c>
      <x:c r="F1894" t="str" s="2">
        <x:v>Office Hot Calls</x:v>
      </x:c>
      <x:c r="G1894" t="str" s="2">
        <x:v>Devon McCoy</x:v>
      </x:c>
      <x:c r="H1894" s="6">
        <x:v>46298.83609927083</x:v>
      </x:c>
      <x:c r="I1894" t="str" s="2">
        <x:v>Devon McCoy</x:v>
      </x:c>
      <x:c r="J1894" s="0"/>
      <x:c r="K1894" s="6">
        <x:v>46298.83609927083</x:v>
      </x:c>
      <x:c r="L1894" t="str" s="2">
        <x:v>Deal Created</x:v>
      </x:c>
    </x:row>
    <x:row r="1895">
      <x:c r="A1895" t="str" s="2">
        <x:f>=HYPERLINK("https://rsms.futurehomex.com/lead/40565", "Blayne Lankford")</x:f>
      </x:c>
      <x:c r="B1895" t="str" s="2">
        <x:v>Heritage Housing of Oklahoma City</x:v>
      </x:c>
      <x:c r="C1895" t="str" s="2">
        <x:v/>
      </x:c>
      <x:c r="D1895" t="str" s="2">
        <x:v>4057652040</x:v>
      </x:c>
      <x:c r="E1895" t="str" s="2">
        <x:v>4057652040</x:v>
      </x:c>
      <x:c r="F1895" t="str" s="2">
        <x:v>Walk-in</x:v>
      </x:c>
      <x:c r="G1895" t="str" s="2">
        <x:v>Trey Rixleben</x:v>
      </x:c>
      <x:c r="H1895" s="6">
        <x:v>46298.84924255787</x:v>
      </x:c>
      <x:c r="I1895" t="str" s="2">
        <x:v>Trey Rixleben</x:v>
      </x:c>
      <x:c r="J1895" s="0"/>
      <x:c r="K1895" s="6">
        <x:v>46298.84924255787</x:v>
      </x:c>
      <x:c r="L1895" t="str" s="2">
        <x:v>Deal Created</x:v>
      </x:c>
    </x:row>
    <x:row r="1896">
      <x:c r="A1896" t="str" s="2">
        <x:f>=HYPERLINK("https://rsms.futurehomex.com/lead/40567", "Cameron Birdt")</x:f>
      </x:c>
      <x:c r="B1896" t="str" s="2">
        <x:v>Heritage Housing of Minden</x:v>
      </x:c>
      <x:c r="C1896" t="str" s="2">
        <x:v/>
      </x:c>
      <x:c r="D1896" t="str" s="2">
        <x:v>3185783201</x:v>
      </x:c>
      <x:c r="E1896" t="str" s="2">
        <x:v>3185783201</x:v>
      </x:c>
      <x:c r="F1896" t="str" s="2">
        <x:v>Walk-in</x:v>
      </x:c>
      <x:c r="G1896" t="str" s="2">
        <x:v>Patrick Schuchart</x:v>
      </x:c>
      <x:c r="H1896" s="6">
        <x:v>46298.86043587963</x:v>
      </x:c>
      <x:c r="I1896" t="str" s="2">
        <x:v>Patrick Schuchart</x:v>
      </x:c>
      <x:c r="J1896" s="0"/>
      <x:c r="K1896" s="6">
        <x:v>46298.86043587963</x:v>
      </x:c>
      <x:c r="L1896" t="str" s="2">
        <x:v>Deal Created</x:v>
      </x:c>
    </x:row>
    <x:row r="1897">
      <x:c r="A1897" t="str" s="2">
        <x:f>=HYPERLINK("https://rsms.futurehomex.com/lead/40569", "Freddy Hernandez")</x:f>
      </x:c>
      <x:c r="B1897" t="str" s="2">
        <x:v>Heritage Housing Mt Pleasant</x:v>
      </x:c>
      <x:c r="C1897" t="str" s="2">
        <x:v/>
      </x:c>
      <x:c r="D1897" t="str" s="2">
        <x:v>8705825851</x:v>
      </x:c>
      <x:c r="E1897" t="str" s="2">
        <x:v>gaviriastefany18@gmail.com</x:v>
      </x:c>
      <x:c r="F1897" t="str" s="2">
        <x:v>Office Hot Calls</x:v>
      </x:c>
      <x:c r="G1897" t="str" s="2">
        <x:v>Yarelis Torres</x:v>
      </x:c>
      <x:c r="H1897" s="6">
        <x:v>46298.954302858794</x:v>
      </x:c>
      <x:c r="I1897" t="str" s="2">
        <x:v>Yarelis Torres</x:v>
      </x:c>
      <x:c r="J1897" s="0"/>
      <x:c r="K1897" s="6">
        <x:v>46298.954302858794</x:v>
      </x:c>
      <x:c r="L1897" t="str" s="2">
        <x:v>Deal Created</x:v>
      </x:c>
    </x:row>
    <x:row r="1898">
      <x:c r="A1898" t="str" s="2">
        <x:f>=HYPERLINK("https://rsms.futurehomex.com/lead/40570", "Kailey Powell")</x:f>
      </x:c>
      <x:c r="B1898" t="str" s="2">
        <x:v>Heritage Housing of Oklahoma City</x:v>
      </x:c>
      <x:c r="C1898" t="str" s="2">
        <x:v/>
      </x:c>
      <x:c r="D1898" t="str" s="2">
        <x:v>3163080925</x:v>
      </x:c>
      <x:c r="E1898" t="str" s="2">
        <x:v>kpowell091503@gmail.com</x:v>
      </x:c>
      <x:c r="F1898" t="str" s="2">
        <x:v>Facebook Messenger</x:v>
      </x:c>
      <x:c r="G1898" t="str" s="2">
        <x:v>Steve Castell</x:v>
      </x:c>
      <x:c r="H1898" s="6">
        <x:v>46298.95791982639</x:v>
      </x:c>
      <x:c r="I1898" t="str" s="2">
        <x:v>Steve Castell</x:v>
      </x:c>
      <x:c r="J1898" s="0"/>
      <x:c r="K1898" s="6">
        <x:v>46298.95791982639</x:v>
      </x:c>
      <x:c r="L1898" t="str" s="2">
        <x:v>Deal Created</x:v>
      </x:c>
    </x:row>
    <x:row r="1899">
      <x:c r="A1899" t="str" s="2">
        <x:f>=HYPERLINK("https://rsms.futurehomex.com/lead/40578", "Victor Bartlett")</x:f>
      </x:c>
      <x:c r="B1899" t="str" s="2">
        <x:v>Heritage Housing of Oklahoma City</x:v>
      </x:c>
      <x:c r="C1899" t="str" s="2">
        <x:v/>
      </x:c>
      <x:c r="D1899" t="str" s="2">
        <x:v>3613329149</x:v>
      </x:c>
      <x:c r="E1899" t="str" s="2">
        <x:v>bartlettv326@gmail.com</x:v>
      </x:c>
      <x:c r="F1899" t="str" s="2">
        <x:v>Landing_BPM</x:v>
      </x:c>
      <x:c r="G1899" t="str" s="2">
        <x:v>Steve Castell</x:v>
      </x:c>
      <x:c r="H1899" s="6">
        <x:v>46299.626751655094</x:v>
      </x:c>
      <x:c r="I1899" t="str" s="2">
        <x:v>Joey Marquez</x:v>
      </x:c>
      <x:c r="J1899" s="0"/>
      <x:c r="K1899" s="6">
        <x:v>46300.61006585648</x:v>
      </x:c>
      <x:c r="L1899" t="str" s="2">
        <x:v>Deal Created</x:v>
      </x:c>
    </x:row>
    <x:row r="1900">
      <x:c r="A1900" t="str" s="2">
        <x:f>=HYPERLINK("https://rsms.futurehomex.com/lead/40586", "Veronica Townsend")</x:f>
      </x:c>
      <x:c r="B1900" t="str" s="2">
        <x:v>Heritage Housing of Oklahoma City</x:v>
      </x:c>
      <x:c r="C1900" t="str" s="2">
        <x:v/>
      </x:c>
      <x:c r="D1900" t="str" s="2">
        <x:v>5722418646</x:v>
      </x:c>
      <x:c r="E1900" t="str" s="2">
        <x:v>townsend0910@gmail.com</x:v>
      </x:c>
      <x:c r="F1900" t="str" s="2">
        <x:v>Financing Form</x:v>
      </x:c>
      <x:c r="G1900" t="str" s="2">
        <x:v>Steve Castell</x:v>
      </x:c>
      <x:c r="H1900" s="6">
        <x:v>46300.242138229165</x:v>
      </x:c>
      <x:c r="I1900" t="str" s="2">
        <x:v>Steve Castell</x:v>
      </x:c>
      <x:c r="J1900" s="0"/>
      <x:c r="K1900" s="6">
        <x:v>46300.78528376157</x:v>
      </x:c>
      <x:c r="L1900" t="str" s="2">
        <x:v>Deal Created</x:v>
      </x:c>
    </x:row>
    <x:row r="1901">
      <x:c r="A1901" t="str" s="2">
        <x:f>=HYPERLINK("https://rsms.futurehomex.com/lead/40577", "Dulce Galindo Galindo")</x:f>
      </x:c>
      <x:c r="B1901" t="str" s="2">
        <x:v>Heritage Housing of Oklahoma City</x:v>
      </x:c>
      <x:c r="C1901" t="str" s="2">
        <x:v/>
      </x:c>
      <x:c r="D1901" t="str" s="2">
        <x:v>3852187321</x:v>
      </x:c>
      <x:c r="E1901" t="str" s="2">
        <x:v>dgalindo1978@gmail.com</x:v>
      </x:c>
      <x:c r="F1901" t="str" s="2">
        <x:v>Landing_BPM</x:v>
      </x:c>
      <x:c r="G1901" t="str" s="2">
        <x:v>Steve Castell</x:v>
      </x:c>
      <x:c r="H1901" s="6">
        <x:v>46300.56712480324</x:v>
      </x:c>
      <x:c r="I1901" t="str" s="2">
        <x:v>Steve Castell</x:v>
      </x:c>
      <x:c r="J1901" s="0"/>
      <x:c r="K1901" s="6">
        <x:v>46300.61018167824</x:v>
      </x:c>
      <x:c r="L1901" t="str" s="2">
        <x:v>Deal Created</x:v>
      </x:c>
    </x:row>
    <x:row r="1902">
      <x:c r="A1902" t="str" s="2">
        <x:f>=HYPERLINK("https://rsms.futurehomex.com/lead/40585", "Jone Williams")</x:f>
      </x:c>
      <x:c r="B1902" t="str" s="2">
        <x:v>Heritage Housing of Oklahoma City</x:v>
      </x:c>
      <x:c r="C1902" t="str" s="2">
        <x:v/>
      </x:c>
      <x:c r="D1902" t="str" s="2">
        <x:v>4058589654</x:v>
      </x:c>
      <x:c r="E1902" t="str" s="2">
        <x:v>hasmat130@gmail.com</x:v>
      </x:c>
      <x:c r="F1902" t="str" s="2">
        <x:v>Landing_BPM</x:v>
      </x:c>
      <x:c r="G1902" t="str" s="2">
        <x:v>Trey Rixleben</x:v>
      </x:c>
      <x:c r="H1902" s="6">
        <x:v>46300.64429459491</x:v>
      </x:c>
      <x:c r="I1902" t="str" s="2">
        <x:v>Trey Rixleben</x:v>
      </x:c>
      <x:c r="J1902" s="0"/>
      <x:c r="K1902" s="0"/>
      <x:c r="L1902" t="str" s="2">
        <x:v>Deal Created</x:v>
      </x:c>
    </x:row>
    <x:row r="1903">
      <x:c r="A1903" t="str" s="2">
        <x:f>=HYPERLINK("https://rsms.futurehomex.com/lead/40582", "Diangelo Jenkins")</x:f>
      </x:c>
      <x:c r="B1903" t="str" s="2">
        <x:v>Heritage Housing of Oklahoma City</x:v>
      </x:c>
      <x:c r="C1903" t="str" s="2">
        <x:v/>
      </x:c>
      <x:c r="D1903" t="str" s="2">
        <x:v>4057238401</x:v>
      </x:c>
      <x:c r="E1903" t="str" s="2">
        <x:v>jackie.ingraham@gmail.com</x:v>
      </x:c>
      <x:c r="F1903" t="str" s="2">
        <x:v>Facebook Messenger</x:v>
      </x:c>
      <x:c r="G1903" t="str" s="2">
        <x:v>Devon McCoy</x:v>
      </x:c>
      <x:c r="H1903" s="6">
        <x:v>46300.693492280094</x:v>
      </x:c>
      <x:c r="I1903" t="str" s="2">
        <x:v>Devon McCoy</x:v>
      </x:c>
      <x:c r="J1903" s="0"/>
      <x:c r="K1903" s="6">
        <x:v>46300.693492280094</x:v>
      </x:c>
      <x:c r="L1903" t="str" s="2">
        <x:v>Deal Created</x:v>
      </x:c>
    </x:row>
    <x:row r="1904">
      <x:c r="A1904" t="str" s="2">
        <x:f>=HYPERLINK("https://rsms.futurehomex.com/lead/40592", "Jeremy Vanhorn")</x:f>
      </x:c>
      <x:c r="B1904" t="str" s="2">
        <x:v>Heritage Housing of Oklahoma City</x:v>
      </x:c>
      <x:c r="C1904" t="str" s="2">
        <x:v/>
      </x:c>
      <x:c r="D1904" t="str" s="2">
        <x:v>4059819984</x:v>
      </x:c>
      <x:c r="E1904" t="str" s="2">
        <x:v>4059819984</x:v>
      </x:c>
      <x:c r="F1904" t="str" s="2">
        <x:v>Walk-in</x:v>
      </x:c>
      <x:c r="G1904" t="str" s="2">
        <x:v>Devon McCoy</x:v>
      </x:c>
      <x:c r="H1904" s="6">
        <x:v>46300.845552928244</x:v>
      </x:c>
      <x:c r="I1904" t="str" s="2">
        <x:v>Devon McCoy</x:v>
      </x:c>
      <x:c r="J1904" s="0"/>
      <x:c r="K1904" s="6">
        <x:v>46300.845552928244</x:v>
      </x:c>
      <x:c r="L1904" t="str" s="2">
        <x:v>Deal Created</x:v>
      </x:c>
    </x:row>
    <x:row r="1905">
      <x:c r="A1905" t="str" s="2">
        <x:f>=HYPERLINK("https://rsms.futurehomex.com/lead/40597", "Melanie Lewis")</x:f>
      </x:c>
      <x:c r="B1905" t="str" s="2">
        <x:v>Heritage Housing of Oklahoma City</x:v>
      </x:c>
      <x:c r="C1905" t="str" s="2">
        <x:v/>
      </x:c>
      <x:c r="D1905" t="str" s="2">
        <x:v>2088410895</x:v>
      </x:c>
      <x:c r="E1905" t="str" s="2">
        <x:v>mel090170@yahoo.com</x:v>
      </x:c>
      <x:c r="F1905" t="str" s="2">
        <x:v>Walk-in</x:v>
      </x:c>
      <x:c r="G1905" t="str" s="2">
        <x:v>Devon McCoy</x:v>
      </x:c>
      <x:c r="H1905" s="6">
        <x:v>46300.89533283565</x:v>
      </x:c>
      <x:c r="I1905" t="str" s="2">
        <x:v>Devon McCoy</x:v>
      </x:c>
      <x:c r="J1905" s="0"/>
      <x:c r="K1905" s="6">
        <x:v>46300.89533283565</x:v>
      </x:c>
      <x:c r="L1905" t="str" s="2">
        <x:v>Deal Created</x:v>
      </x:c>
    </x:row>
    <x:row r="1906">
      <x:c r="A1906" t="str" s="2">
        <x:f>=HYPERLINK("https://rsms.futurehomex.com/lead/40599", "Kense Martinez")</x:f>
      </x:c>
      <x:c r="B1906" t="str" s="2">
        <x:v>Heritage Housing of Oklahoma City</x:v>
      </x:c>
      <x:c r="C1906" t="str" s="2">
        <x:v/>
      </x:c>
      <x:c r="D1906" t="str" s="2">
        <x:v>4056796835</x:v>
      </x:c>
      <x:c r="E1906" t="str" s="2">
        <x:v>ocampokense@gmail.com</x:v>
      </x:c>
      <x:c r="F1906" t="str" s="2">
        <x:v>Landing_BPM</x:v>
      </x:c>
      <x:c r="G1906" t="str" s="2">
        <x:v>Steve Castell</x:v>
      </x:c>
      <x:c r="H1906" s="6">
        <x:v>46300.99873521991</x:v>
      </x:c>
      <x:c r="I1906" t="str" s="2">
        <x:v>Steve Castell</x:v>
      </x:c>
      <x:c r="J1906" s="0"/>
      <x:c r="K1906" s="6">
        <x:v>46301.5920153125</x:v>
      </x:c>
      <x:c r="L1906" t="str" s="2">
        <x:v>Deal Created</x:v>
      </x:c>
    </x:row>
    <x:row r="1907">
      <x:c r="A1907" t="str" s="2">
        <x:f>=HYPERLINK("https://rsms.futurehomex.com/lead/40604", "Virginia Langston")</x:f>
      </x:c>
      <x:c r="B1907" t="str" s="2">
        <x:v>Heritage Housing of Oklahoma City</x:v>
      </x:c>
      <x:c r="C1907" t="str" s="2">
        <x:v/>
      </x:c>
      <x:c r="D1907" t="str" s="2">
        <x:v>5722777729</x:v>
      </x:c>
      <x:c r="E1907" t="str" s="2">
        <x:v>Virginia.thomas1975@gmail.com</x:v>
      </x:c>
      <x:c r="F1907" t="str" s="2">
        <x:v>Landing_BPM</x:v>
      </x:c>
      <x:c r="G1907" t="str" s="2">
        <x:v>Alejandra Calderon</x:v>
      </x:c>
      <x:c r="H1907" s="6">
        <x:v>46301.03432766204</x:v>
      </x:c>
      <x:c r="I1907" t="str" s="2">
        <x:v>Alejandra Calderon</x:v>
      </x:c>
      <x:c r="J1907" s="0"/>
      <x:c r="K1907" s="0"/>
      <x:c r="L1907" t="str" s="2">
        <x:v>Deal Created</x:v>
      </x:c>
    </x:row>
    <x:row r="1908">
      <x:c r="A1908" t="str" s="2">
        <x:f>=HYPERLINK("https://rsms.futurehomex.com/lead/40607", "Rocky Pershall")</x:f>
      </x:c>
      <x:c r="B1908" t="str" s="2">
        <x:v>Heritage Housing of Tulsa</x:v>
      </x:c>
      <x:c r="C1908" t="str" s="2">
        <x:v/>
      </x:c>
      <x:c r="D1908" t="str" s="2">
        <x:v>9186059321</x:v>
      </x:c>
      <x:c r="E1908" t="str" s="2">
        <x:v>rock.1116@gmail.com</x:v>
      </x:c>
      <x:c r="F1908" t="str" s="2">
        <x:v>Website</x:v>
      </x:c>
      <x:c r="G1908" t="str" s="2">
        <x:v>Jenna Fransisco</x:v>
      </x:c>
      <x:c r="H1908" s="6">
        <x:v>46301.70462881945</x:v>
      </x:c>
      <x:c r="I1908" t="str" s="2">
        <x:v>Jenna Fransisco</x:v>
      </x:c>
      <x:c r="J1908" s="0"/>
      <x:c r="K1908" s="6">
        <x:v>46301.70462881945</x:v>
      </x:c>
      <x:c r="L1908" t="str" s="2">
        <x:v>Deal Created</x:v>
      </x:c>
    </x:row>
    <x:row r="1909">
      <x:c r="A1909" t="str" s="2">
        <x:f>=HYPERLINK("https://rsms.futurehomex.com/lead/40632", "Melissa Mills")</x:f>
      </x:c>
      <x:c r="B1909" t="str" s="2">
        <x:v>Heritage Housing of Oklahoma City</x:v>
      </x:c>
      <x:c r="C1909" t="str" s="2">
        <x:v/>
      </x:c>
      <x:c r="D1909" t="str" s="2">
        <x:v>4059224148</x:v>
      </x:c>
      <x:c r="E1909" t="str" s="2">
        <x:v>melissasmithnursing@yahoo.com</x:v>
      </x:c>
      <x:c r="F1909" t="str" s="2">
        <x:v>Landing_BPM</x:v>
      </x:c>
      <x:c r="G1909" t="str" s="2">
        <x:v>Alejandra Calderon</x:v>
      </x:c>
      <x:c r="H1909" s="6">
        <x:v>46301.72546987268</x:v>
      </x:c>
      <x:c r="I1909" t="str" s="2">
        <x:v>Alejandra Calderon</x:v>
      </x:c>
      <x:c r="J1909" s="0"/>
      <x:c r="K1909" s="0"/>
      <x:c r="L1909" t="str" s="2">
        <x:v>Deal Created</x:v>
      </x:c>
    </x:row>
    <x:row r="1910">
      <x:c r="A1910" t="str" s="2">
        <x:f>=HYPERLINK("https://rsms.futurehomex.com/lead/40636", "Devon Muncy")</x:f>
      </x:c>
      <x:c r="B1910" t="str" s="2">
        <x:v>Heritage Housing of Oklahoma City</x:v>
      </x:c>
      <x:c r="C1910" t="str" s="2">
        <x:v/>
      </x:c>
      <x:c r="D1910" t="str" s="2">
        <x:v>4058083855</x:v>
      </x:c>
      <x:c r="E1910" t="str" s="2">
        <x:v>dmuncy31@gmail.com</x:v>
      </x:c>
      <x:c r="F1910" t="str" s="2">
        <x:v>LandingPage</x:v>
      </x:c>
      <x:c r="G1910" t="str" s="2">
        <x:v>Devon McCoy</x:v>
      </x:c>
      <x:c r="H1910" s="6">
        <x:v>46301.789594409725</x:v>
      </x:c>
      <x:c r="I1910" t="str" s="2">
        <x:v>Devon McCoy</x:v>
      </x:c>
      <x:c r="J1910" s="0"/>
      <x:c r="K1910" s="0"/>
      <x:c r="L1910" t="str" s="2">
        <x:v>Deal Created</x:v>
      </x:c>
    </x:row>
    <x:row r="1911">
      <x:c r="A1911" t="str" s="2">
        <x:f>=HYPERLINK("https://rsms.futurehomex.com/lead/40613", "Samuel Thornton")</x:f>
      </x:c>
      <x:c r="B1911" t="str" s="2">
        <x:v>Heritage Housing of Tulsa</x:v>
      </x:c>
      <x:c r="C1911" t="str" s="2">
        <x:v/>
      </x:c>
      <x:c r="D1911" t="str" s="2">
        <x:v>9182049031</x:v>
      </x:c>
      <x:c r="E1911" t="str" s="2">
        <x:v>samuel.thorton35@outlook.com</x:v>
      </x:c>
      <x:c r="F1911" t="str" s="2">
        <x:v>Walk-in</x:v>
      </x:c>
      <x:c r="G1911" t="str" s="2">
        <x:v>Jenna Fransisco</x:v>
      </x:c>
      <x:c r="H1911" s="6">
        <x:v>46301.81608318287</x:v>
      </x:c>
      <x:c r="I1911" t="str" s="2">
        <x:v>Jenna Fransisco</x:v>
      </x:c>
      <x:c r="J1911" s="0"/>
      <x:c r="K1911" s="6">
        <x:v>46301.81608318287</x:v>
      </x:c>
      <x:c r="L1911" t="str" s="2">
        <x:v>Deal Created</x:v>
      </x:c>
    </x:row>
    <x:row r="1912">
      <x:c r="A1912" t="str" s="2">
        <x:f>=HYPERLINK("https://rsms.futurehomex.com/lead/40616", "Mike &amp; Amber Smith")</x:f>
      </x:c>
      <x:c r="B1912" t="str" s="2">
        <x:v>Heritage Housing of Oklahoma City</x:v>
      </x:c>
      <x:c r="C1912" t="str" s="2">
        <x:v/>
      </x:c>
      <x:c r="D1912" t="str" s="2">
        <x:v>5722701130</x:v>
      </x:c>
      <x:c r="E1912" t="str" s="2">
        <x:v>amberdeansmith77@gmail.com</x:v>
      </x:c>
      <x:c r="F1912" t="str" s="2">
        <x:v>Facebook Messenger</x:v>
      </x:c>
      <x:c r="G1912" t="str" s="2">
        <x:v>Steve Castell</x:v>
      </x:c>
      <x:c r="H1912" s="6">
        <x:v>46301.83922033565</x:v>
      </x:c>
      <x:c r="I1912" t="str" s="2">
        <x:v>Steve Castell</x:v>
      </x:c>
      <x:c r="J1912" s="0"/>
      <x:c r="K1912" s="6">
        <x:v>46301.83922033565</x:v>
      </x:c>
      <x:c r="L1912" t="str" s="2">
        <x:v>Deal Created</x:v>
      </x:c>
    </x:row>
    <x:row r="1913">
      <x:c r="A1913" t="str" s="2">
        <x:f>=HYPERLINK("https://rsms.futurehomex.com/lead/40619", "George Wagner")</x:f>
      </x:c>
      <x:c r="B1913" t="str" s="2">
        <x:v>Heritage Housing of Oklahoma City</x:v>
      </x:c>
      <x:c r="C1913" t="str" s="2">
        <x:v/>
      </x:c>
      <x:c r="D1913" t="str" s="2">
        <x:v>4055008623</x:v>
      </x:c>
      <x:c r="E1913" t="str" s="2">
        <x:v>gmwagner91@gmail.com</x:v>
      </x:c>
      <x:c r="F1913" t="str" s="2">
        <x:v>Walk-in</x:v>
      </x:c>
      <x:c r="G1913" t="str" s="2">
        <x:v>Alejandra Calderon</x:v>
      </x:c>
      <x:c r="H1913" s="6">
        <x:v>46301.911658599536</x:v>
      </x:c>
      <x:c r="I1913" t="str" s="2">
        <x:v>Alejandra Calderon</x:v>
      </x:c>
      <x:c r="J1913" s="0"/>
      <x:c r="K1913" s="6">
        <x:v>46301.911658599536</x:v>
      </x:c>
      <x:c r="L1913" t="str" s="2">
        <x:v>Deal Created</x:v>
      </x:c>
    </x:row>
    <x:row r="1914">
      <x:c r="A1914" t="str" s="2">
        <x:f>=HYPERLINK("https://rsms.futurehomex.com/lead/40637", "Brian Glidewell")</x:f>
      </x:c>
      <x:c r="B1914" t="str" s="2">
        <x:v>Heritage Housing of Oklahoma City</x:v>
      </x:c>
      <x:c r="C1914" t="str" s="2">
        <x:v/>
      </x:c>
      <x:c r="D1914" t="str" s="2">
        <x:v>4059078943</x:v>
      </x:c>
      <x:c r="E1914" t="str" s="2">
        <x:v>bglidewell16@outlook.com</x:v>
      </x:c>
      <x:c r="F1914" t="str" s="2">
        <x:v>Landing_BPM</x:v>
      </x:c>
      <x:c r="G1914" t="str" s="2">
        <x:v>Devon McCoy</x:v>
      </x:c>
      <x:c r="H1914" s="6">
        <x:v>46302.09836956018</x:v>
      </x:c>
      <x:c r="I1914" t="str" s="2">
        <x:v>Devon McCoy</x:v>
      </x:c>
      <x:c r="J1914" s="0"/>
      <x:c r="K1914" s="0"/>
      <x:c r="L1914" t="str" s="2">
        <x:v>Deal Created</x:v>
      </x:c>
    </x:row>
    <x:row r="1915">
      <x:c r="A1915" t="str" s="2">
        <x:f>=HYPERLINK("https://rsms.futurehomex.com/lead/40743", "Deon Belle")</x:f>
      </x:c>
      <x:c r="B1915" t="str" s="2">
        <x:v>Heritage Housing of Albany</x:v>
      </x:c>
      <x:c r="C1915" t="str" s="2">
        <x:v>0/1</x:v>
      </x:c>
      <x:c r="D1915" t="str" s="2">
        <x:v>2293642968</x:v>
      </x:c>
      <x:c r="E1915" t="str" s="2">
        <x:v>deonbelle28@yahoo.com</x:v>
      </x:c>
      <x:c r="F1915" t="str" s="2">
        <x:v>Landing_BPM</x:v>
      </x:c>
      <x:c r="G1915" t="str" s="2">
        <x:v>Yanet Alvarez</x:v>
      </x:c>
      <x:c r="H1915" s="6">
        <x:v>46302.56313174769</x:v>
      </x:c>
      <x:c r="I1915" t="str" s="2">
        <x:v>Yanet Alvarez</x:v>
      </x:c>
      <x:c r="J1915" s="0"/>
      <x:c r="K1915" s="6">
        <x:v>46302.62368298611</x:v>
      </x:c>
      <x:c r="L1915" t="str" s="2">
        <x:v>Deal Created</x:v>
      </x:c>
    </x:row>
    <x:row r="1916">
      <x:c r="A1916" t="str" s="2">
        <x:f>=HYPERLINK("https://rsms.futurehomex.com/lead/40635", "JOESPH HARVEY")</x:f>
      </x:c>
      <x:c r="B1916" t="str" s="2">
        <x:v>Heritage Housing of Canton</x:v>
      </x:c>
      <x:c r="C1916" t="str" s="2">
        <x:v/>
      </x:c>
      <x:c r="D1916" t="str" s="2">
        <x:v>4699552357</x:v>
      </x:c>
      <x:c r="E1916" t="str" s="2">
        <x:v>jmharvey2000@gmail.com</x:v>
      </x:c>
      <x:c r="F1916" t="str" s="2">
        <x:v>Facebook Messenger</x:v>
      </x:c>
      <x:c r="G1916" t="str" s="2">
        <x:v>Maira Garcia</x:v>
      </x:c>
      <x:c r="H1916" s="6">
        <x:v>46302.762618368055</x:v>
      </x:c>
      <x:c r="I1916" t="str" s="2">
        <x:v>Maira Garcia</x:v>
      </x:c>
      <x:c r="J1916" s="0"/>
      <x:c r="K1916" s="6">
        <x:v>46302.762618368055</x:v>
      </x:c>
      <x:c r="L1916" t="str" s="2">
        <x:v>Deal Created</x:v>
      </x:c>
    </x:row>
    <x:row r="1917">
      <x:c r="A1917" t="str" s="2">
        <x:f>=HYPERLINK("https://rsms.futurehomex.com/lead/40642", "Ernie Nettles")</x:f>
      </x:c>
      <x:c r="B1917" t="str" s="2">
        <x:v>Heritage Housing of Jennings</x:v>
      </x:c>
      <x:c r="C1917" t="str" s="2">
        <x:v/>
      </x:c>
      <x:c r="D1917" t="str" s="2">
        <x:v>3373024743</x:v>
      </x:c>
      <x:c r="E1917" t="str" s="2">
        <x:v>en@nomail.com</x:v>
      </x:c>
      <x:c r="F1917" t="str" s="2">
        <x:v>Walk-in</x:v>
      </x:c>
      <x:c r="G1917" t="str" s="2">
        <x:v>Mervin Leslie Smith</x:v>
      </x:c>
      <x:c r="H1917" s="6">
        <x:v>46302.80674818287</x:v>
      </x:c>
      <x:c r="I1917" t="str" s="2">
        <x:v>Mervin Leslie Smith</x:v>
      </x:c>
      <x:c r="J1917" s="0"/>
      <x:c r="K1917" s="6">
        <x:v>46302.80674818287</x:v>
      </x:c>
      <x:c r="L1917" t="str" s="2">
        <x:v>Deal Created</x:v>
      </x:c>
    </x:row>
    <x:row r="1918">
      <x:c r="A1918" t="str" s="2">
        <x:f>=HYPERLINK("https://rsms.futurehomex.com/lead/40660", "Christopher Lohman")</x:f>
      </x:c>
      <x:c r="B1918" t="str" s="2">
        <x:v>Heritage Housing of Oklahoma City</x:v>
      </x:c>
      <x:c r="C1918" t="str" s="2">
        <x:v/>
      </x:c>
      <x:c r="D1918" t="str" s="2">
        <x:v>4059154983</x:v>
      </x:c>
      <x:c r="E1918" t="str" s="2">
        <x:v>ltlohm28@gmail.com</x:v>
      </x:c>
      <x:c r="F1918" t="str" s="2">
        <x:v>Landing_BPM</x:v>
      </x:c>
      <x:c r="G1918" t="str" s="2">
        <x:v>Trey Rixleben</x:v>
      </x:c>
      <x:c r="H1918" s="6">
        <x:v>46302.83607167824</x:v>
      </x:c>
      <x:c r="I1918" t="str" s="2">
        <x:v>Trey Rixleben</x:v>
      </x:c>
      <x:c r="J1918" s="0"/>
      <x:c r="K1918" s="0"/>
      <x:c r="L1918" t="str" s="2">
        <x:v>Deal Created</x:v>
      </x:c>
    </x:row>
    <x:row r="1919">
      <x:c r="A1919" t="str" s="2">
        <x:f>=HYPERLINK("https://rsms.futurehomex.com/lead/40646", "Mario Robitson")</x:f>
      </x:c>
      <x:c r="B1919" t="str" s="2">
        <x:v>Heritage Housing of Oklahoma City</x:v>
      </x:c>
      <x:c r="C1919" t="str" s="2">
        <x:v/>
      </x:c>
      <x:c r="D1919" t="str" s="2">
        <x:v>4053944247</x:v>
      </x:c>
      <x:c r="E1919" t="str" s="2">
        <x:v>kattlyn.hockman02@gmail.com</x:v>
      </x:c>
      <x:c r="F1919" t="str" s="2">
        <x:v>Walk-in</x:v>
      </x:c>
      <x:c r="G1919" t="str" s="2">
        <x:v>Devon McCoy</x:v>
      </x:c>
      <x:c r="H1919" s="6">
        <x:v>46302.85498105324</x:v>
      </x:c>
      <x:c r="I1919" t="str" s="2">
        <x:v>Devon McCoy</x:v>
      </x:c>
      <x:c r="J1919" s="0"/>
      <x:c r="K1919" s="6">
        <x:v>46302.85498105324</x:v>
      </x:c>
      <x:c r="L1919" t="str" s="2">
        <x:v>Deal Created</x:v>
      </x:c>
    </x:row>
    <x:row r="1920">
      <x:c r="A1920" t="str" s="2">
        <x:f>=HYPERLINK("https://rsms.futurehomex.com/lead/40656", "Nichole Samuels")</x:f>
      </x:c>
      <x:c r="B1920" t="str" s="2">
        <x:v>Heritage Housing of Oklahoma City</x:v>
      </x:c>
      <x:c r="C1920" t="str" s="2">
        <x:v/>
      </x:c>
      <x:c r="D1920" t="str" s="2">
        <x:v>4054394180</x:v>
      </x:c>
      <x:c r="E1920" t="str" s="2">
        <x:v>nicholenikki373@gmail.com</x:v>
      </x:c>
      <x:c r="F1920" t="str" s="2">
        <x:v>Landing_BPM</x:v>
      </x:c>
      <x:c r="G1920" t="str" s="2">
        <x:v>Steve Castell</x:v>
      </x:c>
      <x:c r="H1920" s="6">
        <x:v>46303.139292824075</x:v>
      </x:c>
      <x:c r="I1920" t="str" s="2">
        <x:v>Steve Castell</x:v>
      </x:c>
      <x:c r="J1920" s="0"/>
      <x:c r="K1920" s="6">
        <x:v>46303.61249487269</x:v>
      </x:c>
      <x:c r="L1920" t="str" s="2">
        <x:v>Deal Created</x:v>
      </x:c>
    </x:row>
    <x:row r="1921">
      <x:c r="A1921" t="str" s="2">
        <x:f>=HYPERLINK("https://rsms.futurehomex.com/lead/40655", "Amy Smotherman")</x:f>
      </x:c>
      <x:c r="B1921" t="str" s="2">
        <x:v>Heritage Housing of Oklahoma City</x:v>
      </x:c>
      <x:c r="C1921" t="str" s="2">
        <x:v/>
      </x:c>
      <x:c r="D1921" t="str" s="2">
        <x:v>5736044326</x:v>
      </x:c>
      <x:c r="E1921" t="str" s="2">
        <x:v>amysmotherman180@gmail.com</x:v>
      </x:c>
      <x:c r="F1921" t="str" s="2">
        <x:v>Financing Form</x:v>
      </x:c>
      <x:c r="G1921" t="str" s="2">
        <x:v>Steve Castell</x:v>
      </x:c>
      <x:c r="H1921" s="6">
        <x:v>46303.35909996528</x:v>
      </x:c>
      <x:c r="I1921" t="str" s="2">
        <x:v>Steve Castell</x:v>
      </x:c>
      <x:c r="J1921" s="0"/>
      <x:c r="K1921" s="6">
        <x:v>46303.612406747685</x:v>
      </x:c>
      <x:c r="L1921" t="str" s="2">
        <x:v>Deal Created</x:v>
      </x:c>
    </x:row>
    <x:row r="1922">
      <x:c r="A1922" t="str" s="2">
        <x:f>=HYPERLINK("https://rsms.futurehomex.com/lead/40661", "Lourdes Jaquez")</x:f>
      </x:c>
      <x:c r="B1922" t="str" s="2">
        <x:v>Heritage Housing of Oklahoma City</x:v>
      </x:c>
      <x:c r="C1922" t="str" s="2">
        <x:v/>
      </x:c>
      <x:c r="D1922" t="str" s="2">
        <x:v>4054855432</x:v>
      </x:c>
      <x:c r="E1922" t="str" s="2">
        <x:v>lourwomen@gmail.com</x:v>
      </x:c>
      <x:c r="F1922" t="str" s="2">
        <x:v>Meta Ads - Forms</x:v>
      </x:c>
      <x:c r="G1922" t="str" s="2">
        <x:v>Trey Rixleben</x:v>
      </x:c>
      <x:c r="H1922" s="6">
        <x:v>46303.649739733795</x:v>
      </x:c>
      <x:c r="I1922" t="str" s="2">
        <x:v>Trey Rixleben</x:v>
      </x:c>
      <x:c r="J1922" s="0"/>
      <x:c r="K1922" s="0"/>
      <x:c r="L1922" t="str" s="2">
        <x:v>Deal Created</x:v>
      </x:c>
    </x:row>
    <x:row r="1923">
      <x:c r="A1923" t="str" s="2">
        <x:f>=HYPERLINK("https://rsms.futurehomex.com/lead/40665", "Eli Parker")</x:f>
      </x:c>
      <x:c r="B1923" t="str" s="2">
        <x:v>Legacy Housing Corp. DBA Americasa</x:v>
      </x:c>
      <x:c r="C1923" t="str" s="2">
        <x:v/>
      </x:c>
      <x:c r="D1923" t="str" s="2">
        <x:v>7138635482</x:v>
      </x:c>
      <x:c r="E1923" t="str" s="2">
        <x:v>7138635482</x:v>
      </x:c>
      <x:c r="F1923" t="str" s="2">
        <x:v>Walk-in</x:v>
      </x:c>
      <x:c r="G1923" t="str" s="2">
        <x:v>Joey Marquez</x:v>
      </x:c>
      <x:c r="H1923" s="6">
        <x:v>46303.70560648148</x:v>
      </x:c>
      <x:c r="I1923" t="str" s="2">
        <x:v>Joey Marquez</x:v>
      </x:c>
      <x:c r="J1923" s="0"/>
      <x:c r="K1923" s="6">
        <x:v>46303.70560648148</x:v>
      </x:c>
      <x:c r="L1923" t="str" s="2">
        <x:v>Deal Created</x:v>
      </x:c>
    </x:row>
    <x:row r="1924">
      <x:c r="A1924" t="str" s="2">
        <x:f>=HYPERLINK("https://rsms.futurehomex.com/lead/40670", "Sharon Bellew")</x:f>
      </x:c>
      <x:c r="B1924" t="str" s="2">
        <x:v>Heritage Housing of Oklahoma City</x:v>
      </x:c>
      <x:c r="C1924" t="str" s="2">
        <x:v/>
      </x:c>
      <x:c r="D1924" t="str" s="2">
        <x:v>4057882830</x:v>
      </x:c>
      <x:c r="E1924" t="str" s="2">
        <x:v>sharonbellew@att.net</x:v>
      </x:c>
      <x:c r="F1924" t="str" s="2">
        <x:v>Meta Ads - Messenger</x:v>
      </x:c>
      <x:c r="G1924" t="str" s="2">
        <x:v>Alejandra Calderon</x:v>
      </x:c>
      <x:c r="H1924" s="6">
        <x:v>46303.72512268519</x:v>
      </x:c>
      <x:c r="I1924" t="str" s="2">
        <x:v>Alejandra Calderon</x:v>
      </x:c>
      <x:c r="J1924" s="0"/>
      <x:c r="K1924" s="6">
        <x:v>46303.72512268519</x:v>
      </x:c>
      <x:c r="L1924" t="str" s="2">
        <x:v>Deal Created</x:v>
      </x:c>
    </x:row>
    <x:row r="1925">
      <x:c r="A1925" t="str" s="2">
        <x:f>=HYPERLINK("https://rsms.futurehomex.com/lead/40672", "Tiffany Webb")</x:f>
      </x:c>
      <x:c r="B1925" t="str" s="2">
        <x:v>Heritage Housing of Oklahoma City</x:v>
      </x:c>
      <x:c r="C1925" t="str" s="2">
        <x:v/>
      </x:c>
      <x:c r="D1925" t="str" s="2">
        <x:v>4058034704</x:v>
      </x:c>
      <x:c r="E1925" t="str" s="2">
        <x:v>twebb8084@gmail.com</x:v>
      </x:c>
      <x:c r="F1925" t="str" s="2">
        <x:v>Landing_BPM</x:v>
      </x:c>
      <x:c r="G1925" t="str" s="2">
        <x:v>Steve Castell</x:v>
      </x:c>
      <x:c r="H1925" s="6">
        <x:v>46303.738133101855</x:v>
      </x:c>
      <x:c r="I1925" t="str" s="2">
        <x:v>Steve Castell</x:v>
      </x:c>
      <x:c r="J1925" s="0"/>
      <x:c r="K1925" s="6">
        <x:v>46303.746808020835</x:v>
      </x:c>
      <x:c r="L1925" t="str" s="2">
        <x:v>Deal Created</x:v>
      </x:c>
    </x:row>
    <x:row r="1926">
      <x:c r="A1926" t="str" s="2">
        <x:f>=HYPERLINK("https://rsms.futurehomex.com/lead/40787", "Samaya Holden")</x:f>
      </x:c>
      <x:c r="B1926" t="str" s="2">
        <x:v>Heritage Housing of Jennings</x:v>
      </x:c>
      <x:c r="C1926" t="str" s="2">
        <x:v/>
      </x:c>
      <x:c r="D1926" t="str" s="2">
        <x:v>2254005416</x:v>
      </x:c>
      <x:c r="E1926" t="str" s="2">
        <x:v>samayaholden13@icloud.com</x:v>
      </x:c>
      <x:c r="F1926" t="str" s="2">
        <x:v>Financing Form</x:v>
      </x:c>
      <x:c r="G1926" t="str" s="2">
        <x:v>Mervin Leslie Smith</x:v>
      </x:c>
      <x:c r="H1926" s="6">
        <x:v>46303.7713681713</x:v>
      </x:c>
      <x:c r="I1926" t="str" s="2">
        <x:v>Mervin Leslie Smith</x:v>
      </x:c>
      <x:c r="J1926" s="0"/>
      <x:c r="K1926" s="6">
        <x:v>46303.79117832176</x:v>
      </x:c>
      <x:c r="L1926" t="str" s="2">
        <x:v>Deal Created</x:v>
      </x:c>
    </x:row>
    <x:row r="1927">
      <x:c r="A1927" t="str" s="2">
        <x:f>=HYPERLINK("https://rsms.futurehomex.com/lead/40716", "Desira Queen")</x:f>
      </x:c>
      <x:c r="B1927" t="str" s="2">
        <x:v>Heritage Housing of Oklahoma City</x:v>
      </x:c>
      <x:c r="C1927" t="str" s="2">
        <x:v/>
      </x:c>
      <x:c r="D1927" t="str" s="2">
        <x:v>4059311922</x:v>
      </x:c>
      <x:c r="E1927" t="str" s="2">
        <x:v>desiraqueen2015@gmail.com</x:v>
      </x:c>
      <x:c r="F1927" t="str" s="2">
        <x:v>Financing Form</x:v>
      </x:c>
      <x:c r="G1927" t="str" s="2">
        <x:v>Trey Rixleben</x:v>
      </x:c>
      <x:c r="H1927" s="6">
        <x:v>46303.832323807874</x:v>
      </x:c>
      <x:c r="I1927" t="str" s="2">
        <x:v>Trey Rixleben</x:v>
      </x:c>
      <x:c r="J1927" s="0"/>
      <x:c r="K1927" s="0"/>
      <x:c r="L1927" t="str" s="2">
        <x:v>Deal Created</x:v>
      </x:c>
    </x:row>
    <x:row r="1928">
      <x:c r="A1928" t="str" s="2">
        <x:f>=HYPERLINK("https://rsms.futurehomex.com/lead/40689", "Christopher Depriest")</x:f>
      </x:c>
      <x:c r="B1928" t="str" s="2">
        <x:v>Heritage Housing of Oklahoma City</x:v>
      </x:c>
      <x:c r="C1928" t="str" s="2">
        <x:v/>
      </x:c>
      <x:c r="D1928" t="str" s="2">
        <x:v>7316189849</x:v>
      </x:c>
      <x:c r="E1928" t="str" s="2">
        <x:v>chrisdepriest70@gmail.com</x:v>
      </x:c>
      <x:c r="F1928" t="str" s="2">
        <x:v>Landing_BPM</x:v>
      </x:c>
      <x:c r="G1928" t="str" s="2">
        <x:v>Trey Rixleben</x:v>
      </x:c>
      <x:c r="H1928" s="6">
        <x:v>46303.925977430554</x:v>
      </x:c>
      <x:c r="I1928" t="str" s="2">
        <x:v>Trey Rixleben</x:v>
      </x:c>
      <x:c r="J1928" s="0"/>
      <x:c r="K1928" s="0"/>
      <x:c r="L1928" t="str" s="2">
        <x:v>Deal Created</x:v>
      </x:c>
    </x:row>
    <x:row r="1929">
      <x:c r="A1929" t="str" s="2">
        <x:f>=HYPERLINK("https://rsms.futurehomex.com/lead/40717", "Juan Pereira")</x:f>
      </x:c>
      <x:c r="B1929" t="str" s="2">
        <x:v>Heritage Housing of Oklahoma City</x:v>
      </x:c>
      <x:c r="C1929" t="str" s="2">
        <x:v/>
      </x:c>
      <x:c r="D1929" t="str" s="2">
        <x:v>4058129694</x:v>
      </x:c>
      <x:c r="E1929" t="str" s="2">
        <x:v>Juanpereiragomez03@gmail.com</x:v>
      </x:c>
      <x:c r="F1929" t="str" s="2">
        <x:v>Meta Ads - Forms</x:v>
      </x:c>
      <x:c r="G1929" t="str" s="2">
        <x:v>Trey Rixleben</x:v>
      </x:c>
      <x:c r="H1929" s="6">
        <x:v>46304.15146489583</x:v>
      </x:c>
      <x:c r="I1929" t="str" s="2">
        <x:v>Trey Rixleben</x:v>
      </x:c>
      <x:c r="J1929" s="0"/>
      <x:c r="K1929" s="0"/>
      <x:c r="L1929" t="str" s="2">
        <x:v>Deal Created</x:v>
      </x:c>
    </x:row>
    <x:row r="1930">
      <x:c r="A1930" t="str" s="2">
        <x:f>=HYPERLINK("https://rsms.futurehomex.com/lead/40702", "Karrie Mckeever")</x:f>
      </x:c>
      <x:c r="B1930" t="str" s="2">
        <x:v>Heritage Housing of Oklahoma City</x:v>
      </x:c>
      <x:c r="C1930" t="str" s="2">
        <x:v/>
      </x:c>
      <x:c r="D1930" t="str" s="2">
        <x:v>5809823797</x:v>
      </x:c>
      <x:c r="E1930" t="str" s="2">
        <x:v>karriebear0324@gmail.com</x:v>
      </x:c>
      <x:c r="F1930" t="str" s="2">
        <x:v>Landing_BPM</x:v>
      </x:c>
      <x:c r="G1930" t="str" s="2">
        <x:v>Trey Rixleben</x:v>
      </x:c>
      <x:c r="H1930" s="6">
        <x:v>46304.62763533565</x:v>
      </x:c>
      <x:c r="I1930" t="str" s="2">
        <x:v>Trey Rixleben</x:v>
      </x:c>
      <x:c r="J1930" s="0"/>
      <x:c r="K1930" s="0"/>
      <x:c r="L1930" t="str" s="2">
        <x:v>Deal Created</x:v>
      </x:c>
    </x:row>
    <x:row r="1931">
      <x:c r="A1931" t="str" s="2">
        <x:f>=HYPERLINK("https://rsms.futurehomex.com/lead/40738", "Joe Smith")</x:f>
      </x:c>
      <x:c r="B1931" t="str" s="2">
        <x:v>Heritage Housing of Oklahoma City</x:v>
      </x:c>
      <x:c r="C1931" t="str" s="2">
        <x:v/>
      </x:c>
      <x:c r="D1931" t="str" s="2">
        <x:v>1212121212</x:v>
      </x:c>
      <x:c r="E1931" t="str" s="2">
        <x:v>1212121212</x:v>
      </x:c>
      <x:c r="F1931" t="str" s="2">
        <x:v>Meta Marketplace</x:v>
      </x:c>
      <x:c r="G1931" t="str" s="2">
        <x:v>Alejandra Calderon</x:v>
      </x:c>
      <x:c r="H1931" s="6">
        <x:v>46304.631054861115</x:v>
      </x:c>
      <x:c r="I1931" t="str" s="2">
        <x:v>Alejandra Calderon</x:v>
      </x:c>
      <x:c r="J1931" s="6">
        <x:v>46305.708333333336</x:v>
      </x:c>
      <x:c r="K1931" s="6">
        <x:v>46305.769278125</x:v>
      </x:c>
      <x:c r="L1931" t="str" s="2">
        <x:v>Deal Created</x:v>
      </x:c>
    </x:row>
    <x:row r="1932">
      <x:c r="A1932" t="str" s="2">
        <x:f>=HYPERLINK("https://rsms.futurehomex.com/lead/40718", "John Eubanks")</x:f>
      </x:c>
      <x:c r="B1932" t="str" s="2">
        <x:v>Heritage Housing of Oklahoma City</x:v>
      </x:c>
      <x:c r="C1932" t="str" s="2">
        <x:v/>
      </x:c>
      <x:c r="D1932" t="str" s="2">
        <x:v>405-492-0809</x:v>
      </x:c>
      <x:c r="E1932" t="str" s="2">
        <x:v>jeubanks1169@gmail.com</x:v>
      </x:c>
      <x:c r="F1932" t="str" s="2">
        <x:v>Landing_BPM</x:v>
      </x:c>
      <x:c r="G1932" t="str" s="2">
        <x:v>Trey Rixleben</x:v>
      </x:c>
      <x:c r="H1932" s="6">
        <x:v>46304.70870725694</x:v>
      </x:c>
      <x:c r="I1932" t="str" s="2">
        <x:v>Trey Rixleben</x:v>
      </x:c>
      <x:c r="J1932" s="0"/>
      <x:c r="K1932" s="0"/>
      <x:c r="L1932" t="str" s="2">
        <x:v>Deal Created</x:v>
      </x:c>
    </x:row>
    <x:row r="1933">
      <x:c r="A1933" t="str" s="2">
        <x:f>=HYPERLINK("https://rsms.futurehomex.com/lead/40703", "Tamika .")</x:f>
      </x:c>
      <x:c r="B1933" t="str" s="2">
        <x:v>Heritage Housing of Augusta</x:v>
      </x:c>
      <x:c r="C1933" t="str" s="2">
        <x:v/>
      </x:c>
      <x:c r="D1933" t="str" s="2">
        <x:v>8039798655</x:v>
      </x:c>
      <x:c r="E1933" t="str" s="2">
        <x:v>8039798655</x:v>
      </x:c>
      <x:c r="F1933" t="str" s="2">
        <x:v>Website</x:v>
      </x:c>
      <x:c r="G1933" t="str" s="2">
        <x:v>Jennifer Johnson</x:v>
      </x:c>
      <x:c r="H1933" s="6">
        <x:v>46304.744413506945</x:v>
      </x:c>
      <x:c r="I1933" t="str" s="2">
        <x:v>Jennifer Johnson</x:v>
      </x:c>
      <x:c r="J1933" s="0"/>
      <x:c r="K1933" s="6">
        <x:v>46304.744413506945</x:v>
      </x:c>
      <x:c r="L1933" t="str" s="2">
        <x:v>Deal Created</x:v>
      </x:c>
    </x:row>
    <x:row r="1934">
      <x:c r="A1934" t="str" s="2">
        <x:f>=HYPERLINK("https://rsms.futurehomex.com/lead/40708", "Dylan Paul")</x:f>
      </x:c>
      <x:c r="B1934" t="str" s="2">
        <x:v>Heritage Housing of Oklahoma City</x:v>
      </x:c>
      <x:c r="C1934" t="str" s="2">
        <x:v/>
      </x:c>
      <x:c r="D1934" t="str" s="2">
        <x:v>9073709487</x:v>
      </x:c>
      <x:c r="E1934" t="str" s="2">
        <x:v>paulfamily66@yahoo.com</x:v>
      </x:c>
      <x:c r="F1934" t="str" s="2">
        <x:v>Referrals</x:v>
      </x:c>
      <x:c r="G1934" t="str" s="2">
        <x:v>Devon McCoy</x:v>
      </x:c>
      <x:c r="H1934" s="6">
        <x:v>46304.78793472222</x:v>
      </x:c>
      <x:c r="I1934" t="str" s="2">
        <x:v>Devon McCoy</x:v>
      </x:c>
      <x:c r="J1934" s="0"/>
      <x:c r="K1934" s="6">
        <x:v>46304.78793472222</x:v>
      </x:c>
      <x:c r="L1934" t="str" s="2">
        <x:v>Deal Created</x:v>
      </x:c>
    </x:row>
    <x:row r="1935">
      <x:c r="A1935" t="str" s="2">
        <x:f>=HYPERLINK("https://rsms.futurehomex.com/lead/40711", "Harley Cargill")</x:f>
      </x:c>
      <x:c r="B1935" t="str" s="2">
        <x:v>Heritage Housing of Oklahoma City</x:v>
      </x:c>
      <x:c r="C1935" t="str" s="2">
        <x:v/>
      </x:c>
      <x:c r="D1935" t="str" s="2">
        <x:v>4055853053</x:v>
      </x:c>
      <x:c r="E1935" t="str" s="2">
        <x:v>harley_bell_07@icloud.com</x:v>
      </x:c>
      <x:c r="F1935" t="str" s="2">
        <x:v>Facebook Messenger</x:v>
      </x:c>
      <x:c r="G1935" t="str" s="2">
        <x:v>Steve Castell</x:v>
      </x:c>
      <x:c r="H1935" s="6">
        <x:v>46304.82966469907</x:v>
      </x:c>
      <x:c r="I1935" t="str" s="2">
        <x:v>Steve Castell</x:v>
      </x:c>
      <x:c r="J1935" s="0"/>
      <x:c r="K1935" s="6">
        <x:v>46304.82966469907</x:v>
      </x:c>
      <x:c r="L1935" t="str" s="2">
        <x:v>Deal Created</x:v>
      </x:c>
    </x:row>
    <x:row r="1936">
      <x:c r="A1936" t="str" s="2">
        <x:f>=HYPERLINK("https://rsms.futurehomex.com/lead/40712", "Roy Wilkerson")</x:f>
      </x:c>
      <x:c r="B1936" t="str" s="2">
        <x:v>Heritage Housing of Minden</x:v>
      </x:c>
      <x:c r="C1936" t="str" s="2">
        <x:v/>
      </x:c>
      <x:c r="D1936" t="str" s="2">
        <x:v>3183413264</x:v>
      </x:c>
      <x:c r="E1936" t="str" s="2">
        <x:v>3183413264</x:v>
      </x:c>
      <x:c r="F1936" t="str" s="2">
        <x:v>Other</x:v>
      </x:c>
      <x:c r="G1936" t="str" s="2">
        <x:v>Kyla Brown</x:v>
      </x:c>
      <x:c r="H1936" s="6">
        <x:v>46304.83917670139</x:v>
      </x:c>
      <x:c r="I1936" t="str" s="2">
        <x:v>Kyla Brown</x:v>
      </x:c>
      <x:c r="J1936" s="0"/>
      <x:c r="K1936" s="6">
        <x:v>46304.83917670139</x:v>
      </x:c>
      <x:c r="L1936" t="str" s="2">
        <x:v>Deal Created</x:v>
      </x:c>
    </x:row>
    <x:row r="1937">
      <x:c r="A1937" t="str" s="2">
        <x:f>=HYPERLINK("https://rsms.futurehomex.com/lead/40714", "Portland Andrews")</x:f>
      </x:c>
      <x:c r="B1937" t="str" s="2">
        <x:v>Heritage Housing of Oklahoma City</x:v>
      </x:c>
      <x:c r="C1937" t="str" s="2">
        <x:v/>
      </x:c>
      <x:c r="D1937" t="str" s="2">
        <x:v>4055501143</x:v>
      </x:c>
      <x:c r="E1937" t="str" s="2">
        <x:v>4055501143</x:v>
      </x:c>
      <x:c r="F1937" t="str" s="2">
        <x:v>Meta Ads - Messenger</x:v>
      </x:c>
      <x:c r="G1937" t="str" s="2">
        <x:v>Alejandra Calderon</x:v>
      </x:c>
      <x:c r="H1937" s="6">
        <x:v>46304.86361600694</x:v>
      </x:c>
      <x:c r="I1937" t="str" s="2">
        <x:v>Alejandra Calderon</x:v>
      </x:c>
      <x:c r="J1937" s="0"/>
      <x:c r="K1937" s="6">
        <x:v>46304.86361600694</x:v>
      </x:c>
      <x:c r="L1937" t="str" s="2">
        <x:v>Deal Created</x:v>
      </x:c>
    </x:row>
    <x:row r="1938">
      <x:c r="A1938" t="str" s="2">
        <x:f>=HYPERLINK("https://rsms.futurehomex.com/lead/40719", "Veronica DE")</x:f>
      </x:c>
      <x:c r="B1938" t="str" s="2">
        <x:v>Heritage Housing of Oklahoma City</x:v>
      </x:c>
      <x:c r="C1938" t="str" s="2">
        <x:v/>
      </x:c>
      <x:c r="D1938" t="str" s="2">
        <x:v>4057958068</x:v>
      </x:c>
      <x:c r="E1938" t="str" s="2">
        <x:v>solisveronica03@gmail.com</x:v>
      </x:c>
      <x:c r="F1938" t="str" s="2">
        <x:v>Meta Ads - Forms</x:v>
      </x:c>
      <x:c r="G1938" t="str" s="2">
        <x:v>Trey Rixleben</x:v>
      </x:c>
      <x:c r="H1938" s="6">
        <x:v>46304.90300706019</x:v>
      </x:c>
      <x:c r="I1938" t="str" s="2">
        <x:v>Trey Rixleben</x:v>
      </x:c>
      <x:c r="J1938" s="0"/>
      <x:c r="K1938" s="0"/>
      <x:c r="L1938" t="str" s="2">
        <x:v>Deal Created</x:v>
      </x:c>
    </x:row>
    <x:row r="1939">
      <x:c r="A1939" t="str" s="2">
        <x:f>=HYPERLINK("https://rsms.futurehomex.com/lead/40720", "Stephanie Campbell")</x:f>
      </x:c>
      <x:c r="B1939" t="str" s="2">
        <x:v>Heritage Housing of Oklahoma City</x:v>
      </x:c>
      <x:c r="C1939" t="str" s="2">
        <x:v/>
      </x:c>
      <x:c r="D1939" t="str" s="2">
        <x:v>4056549667</x:v>
      </x:c>
      <x:c r="E1939" t="str" s="2">
        <x:v>scampbell7305@gmail.com</x:v>
      </x:c>
      <x:c r="F1939" t="str" s="2">
        <x:v>Financing Form</x:v>
      </x:c>
      <x:c r="G1939" t="str" s="2">
        <x:v>Alejandra Calderon</x:v>
      </x:c>
      <x:c r="H1939" s="6">
        <x:v>46304.940993634256</x:v>
      </x:c>
      <x:c r="I1939" t="str" s="2">
        <x:v>Alejandra Calderon</x:v>
      </x:c>
      <x:c r="J1939" s="0"/>
      <x:c r="K1939" s="0"/>
      <x:c r="L1939" t="str" s="2">
        <x:v>Deal Created</x:v>
      </x:c>
    </x:row>
    <x:row r="1940">
      <x:c r="A1940" t="str" s="2">
        <x:f>=HYPERLINK("https://rsms.futurehomex.com/lead/40728", "Hector roque")</x:f>
      </x:c>
      <x:c r="B1940" t="str" s="2">
        <x:v>Heritage Housing of Oklahoma City</x:v>
      </x:c>
      <x:c r="C1940" t="str" s="2">
        <x:v/>
      </x:c>
      <x:c r="D1940" t="str" s="2">
        <x:v>4057549457</x:v>
      </x:c>
      <x:c r="E1940" t="str" s="2">
        <x:v>roqueyahir08@gmail.com</x:v>
      </x:c>
      <x:c r="F1940" t="str" s="2">
        <x:v>Meta Ads - Forms</x:v>
      </x:c>
      <x:c r="G1940" t="str" s="2">
        <x:v>Trey Rixleben</x:v>
      </x:c>
      <x:c r="H1940" s="6">
        <x:v>46305.186338113424</x:v>
      </x:c>
      <x:c r="I1940" t="str" s="2">
        <x:v>Trey Rixleben</x:v>
      </x:c>
      <x:c r="J1940" s="0"/>
      <x:c r="K1940" s="0"/>
      <x:c r="L1940" t="str" s="2">
        <x:v>Deal Created</x:v>
      </x:c>
    </x:row>
    <x:row r="1941">
      <x:c r="A1941" t="str" s="2">
        <x:f>=HYPERLINK("https://rsms.futurehomex.com/lead/40723", "Talitha young")</x:f>
      </x:c>
      <x:c r="B1941" t="str" s="2">
        <x:v>Heritage Housing of Oklahoma City</x:v>
      </x:c>
      <x:c r="C1941" t="str" s="2">
        <x:v/>
      </x:c>
      <x:c r="D1941" t="str" s="2">
        <x:v>4052263605</x:v>
      </x:c>
      <x:c r="E1941" t="str" s="2">
        <x:v>talithayoung366@gmail.com</x:v>
      </x:c>
      <x:c r="F1941" t="str" s="2">
        <x:v>Landing_BPM</x:v>
      </x:c>
      <x:c r="G1941" t="str" s="2">
        <x:v>Steve Castell</x:v>
      </x:c>
      <x:c r="H1941" s="6">
        <x:v>46305.4406716088</x:v>
      </x:c>
      <x:c r="I1941" t="str" s="2">
        <x:v>Steve Castell</x:v>
      </x:c>
      <x:c r="J1941" s="0"/>
      <x:c r="K1941" s="0"/>
      <x:c r="L1941" t="str" s="2">
        <x:v>Deal Created</x:v>
      </x:c>
    </x:row>
    <x:row r="1942">
      <x:c r="A1942" t="str" s="2">
        <x:f>=HYPERLINK("https://rsms.futurehomex.com/lead/40721", "Cesar Hernandez")</x:f>
      </x:c>
      <x:c r="B1942" t="str" s="2">
        <x:v>Heritage Housing of Greenville</x:v>
      </x:c>
      <x:c r="C1942" t="str" s="2">
        <x:v/>
      </x:c>
      <x:c r="D1942" t="str" s="2">
        <x:v>4698255030</x:v>
      </x:c>
      <x:c r="E1942" t="str" s="2">
        <x:v>hernanhern61@gmail.com</x:v>
      </x:c>
      <x:c r="F1942" t="str" s="2">
        <x:v>TikTok</x:v>
      </x:c>
      <x:c r="G1942" t="str" s="2">
        <x:v>Ana Garcia</x:v>
      </x:c>
      <x:c r="H1942" s="6">
        <x:v>46305.561697488425</x:v>
      </x:c>
      <x:c r="I1942" t="str" s="2">
        <x:v>Ana Garcia</x:v>
      </x:c>
      <x:c r="J1942" s="0"/>
      <x:c r="K1942" s="6">
        <x:v>46305.561697488425</x:v>
      </x:c>
      <x:c r="L1942" t="str" s="2">
        <x:v>Deal Created</x:v>
      </x:c>
    </x:row>
    <x:row r="1943">
      <x:c r="A1943" t="str" s="2">
        <x:f>=HYPERLINK("https://rsms.futurehomex.com/lead/40724", "Abby Breve")</x:f>
      </x:c>
      <x:c r="B1943" t="str" s="2">
        <x:v>Legacy Housing Corp. DBA Americasa</x:v>
      </x:c>
      <x:c r="C1943" t="str" s="2">
        <x:v/>
      </x:c>
      <x:c r="D1943" t="str" s="2">
        <x:v>8322170764</x:v>
      </x:c>
      <x:c r="E1943" t="str" s="2">
        <x:v>8322170764</x:v>
      </x:c>
      <x:c r="F1943" t="str" s="2">
        <x:v>Walk-in</x:v>
      </x:c>
      <x:c r="G1943" t="str" s="2">
        <x:v>Joey Marquez</x:v>
      </x:c>
      <x:c r="H1943" s="6">
        <x:v>46305.636393368055</x:v>
      </x:c>
      <x:c r="I1943" t="str" s="2">
        <x:v>Joey Marquez</x:v>
      </x:c>
      <x:c r="J1943" s="0"/>
      <x:c r="K1943" s="6">
        <x:v>46305.636393368055</x:v>
      </x:c>
      <x:c r="L1943" t="str" s="2">
        <x:v>Deal Created</x:v>
      </x:c>
    </x:row>
    <x:row r="1944">
      <x:c r="A1944" t="str" s="2">
        <x:f>=HYPERLINK("https://rsms.futurehomex.com/lead/40725", "Pat Schuchart")</x:f>
      </x:c>
      <x:c r="B1944" t="str" s="2">
        <x:v>Heritage Housing of Minden</x:v>
      </x:c>
      <x:c r="C1944" t="str" s="2">
        <x:v/>
      </x:c>
      <x:c r="D1944" t="str" s="2">
        <x:v>2145440880</x:v>
      </x:c>
      <x:c r="E1944" t="str" s="2">
        <x:v>2145440880</x:v>
      </x:c>
      <x:c r="F1944" t="str" s="2">
        <x:v>Walk-in</x:v>
      </x:c>
      <x:c r="G1944" t="str" s="2">
        <x:v>Patrick Schuchart</x:v>
      </x:c>
      <x:c r="H1944" s="6">
        <x:v>46305.66515621528</x:v>
      </x:c>
      <x:c r="I1944" t="str" s="2">
        <x:v>Patrick Schuchart</x:v>
      </x:c>
      <x:c r="J1944" s="0"/>
      <x:c r="K1944" s="6">
        <x:v>46305.66515621528</x:v>
      </x:c>
      <x:c r="L1944" t="str" s="2">
        <x:v>Deal Created</x:v>
      </x:c>
    </x:row>
    <x:row r="1945">
      <x:c r="A1945" t="str" s="2">
        <x:f>=HYPERLINK("https://rsms.futurehomex.com/lead/40733", "Wymilet Pena")</x:f>
      </x:c>
      <x:c r="B1945" t="str" s="2">
        <x:v>Heritage Housing of Oklahoma City</x:v>
      </x:c>
      <x:c r="C1945" t="str" s="2">
        <x:v/>
      </x:c>
      <x:c r="D1945" t="str" s="2">
        <x:v>4054135496</x:v>
      </x:c>
      <x:c r="E1945" t="str" s="2">
        <x:v>silbayamailt3@yahoo.com</x:v>
      </x:c>
      <x:c r="F1945" t="str" s="2">
        <x:v>Other</x:v>
      </x:c>
      <x:c r="G1945" t="str" s="2">
        <x:v>Devon McCoy</x:v>
      </x:c>
      <x:c r="H1945" s="6">
        <x:v>46305.76708376157</x:v>
      </x:c>
      <x:c r="I1945" t="str" s="2">
        <x:v>Devon McCoy</x:v>
      </x:c>
      <x:c r="J1945" s="0"/>
      <x:c r="K1945" s="6">
        <x:v>46305.76708376157</x:v>
      </x:c>
      <x:c r="L1945" t="str" s="2">
        <x:v>Deal Created</x:v>
      </x:c>
    </x:row>
    <x:row r="1946">
      <x:c r="A1946" t="str" s="2">
        <x:f>=HYPERLINK("https://rsms.futurehomex.com/lead/40734", "Jesse Wallace")</x:f>
      </x:c>
      <x:c r="B1946" t="str" s="2">
        <x:v>Heritage Housing of Oklahoma City</x:v>
      </x:c>
      <x:c r="C1946" t="str" s="2">
        <x:v/>
      </x:c>
      <x:c r="D1946" t="str" s="2">
        <x:v>4052100881</x:v>
      </x:c>
      <x:c r="E1946" t="str" s="2">
        <x:v>twistedtabor@yahoo.com</x:v>
      </x:c>
      <x:c r="F1946" t="str" s="2">
        <x:v>Walk-in</x:v>
      </x:c>
      <x:c r="G1946" t="str" s="2">
        <x:v>Steve Castell</x:v>
      </x:c>
      <x:c r="H1946" s="6">
        <x:v>46305.78167630787</x:v>
      </x:c>
      <x:c r="I1946" t="str" s="2">
        <x:v>Steve Castell</x:v>
      </x:c>
      <x:c r="J1946" s="0"/>
      <x:c r="K1946" s="6">
        <x:v>46305.78167630787</x:v>
      </x:c>
      <x:c r="L1946" t="str" s="2">
        <x:v>Deal Created</x:v>
      </x:c>
    </x:row>
    <x:row r="1947">
      <x:c r="A1947" t="str" s="2">
        <x:f>=HYPERLINK("https://rsms.futurehomex.com/lead/40736", "Stephen Davis")</x:f>
      </x:c>
      <x:c r="B1947" t="str" s="2">
        <x:v>Heritage Housing of Oklahoma City</x:v>
      </x:c>
      <x:c r="C1947" t="str" s="2">
        <x:v/>
      </x:c>
      <x:c r="D1947" t="str" s="2">
        <x:v>4058187977</x:v>
      </x:c>
      <x:c r="E1947" t="str" s="2">
        <x:v>4058187977</x:v>
      </x:c>
      <x:c r="F1947" t="str" s="2">
        <x:v>Walk-in</x:v>
      </x:c>
      <x:c r="G1947" t="str" s="2">
        <x:v>Devon McCoy</x:v>
      </x:c>
      <x:c r="H1947" s="6">
        <x:v>46305.850773067126</x:v>
      </x:c>
      <x:c r="I1947" t="str" s="2">
        <x:v>Devon McCoy</x:v>
      </x:c>
      <x:c r="J1947" s="0"/>
      <x:c r="K1947" s="6">
        <x:v>46305.850773067126</x:v>
      </x:c>
      <x:c r="L1947" t="str" s="2">
        <x:v>Deal Created</x:v>
      </x:c>
    </x:row>
    <x:row r="1948">
      <x:c r="A1948" t="str" s="2">
        <x:f>=HYPERLINK("https://rsms.futurehomex.com/lead/40737", "Chip Kelly")</x:f>
      </x:c>
      <x:c r="B1948" t="str" s="2">
        <x:v>Heritage Housing of Oklahoma City</x:v>
      </x:c>
      <x:c r="C1948" t="str" s="2">
        <x:v/>
      </x:c>
      <x:c r="D1948" t="str" s="2">
        <x:v>4058822293</x:v>
      </x:c>
      <x:c r="E1948" t="str" s="2">
        <x:v>4058822293</x:v>
      </x:c>
      <x:c r="F1948" t="str" s="2">
        <x:v>Walk-in</x:v>
      </x:c>
      <x:c r="G1948" t="str" s="2">
        <x:v>Devon McCoy</x:v>
      </x:c>
      <x:c r="H1948" s="6">
        <x:v>46305.89057376157</x:v>
      </x:c>
      <x:c r="I1948" t="str" s="2">
        <x:v>Devon McCoy</x:v>
      </x:c>
      <x:c r="J1948" s="0"/>
      <x:c r="K1948" s="6">
        <x:v>46305.89057376157</x:v>
      </x:c>
      <x:c r="L1948" t="str" s="2">
        <x:v>Deal Created</x:v>
      </x:c>
    </x:row>
    <x:row r="1949">
      <x:c r="A1949" t="str" s="2">
        <x:f>=HYPERLINK("https://rsms.futurehomex.com/lead/40772", "Martin Alvarado")</x:f>
      </x:c>
      <x:c r="B1949" t="str" s="2">
        <x:v>Heritage Housing of Oklahoma City</x:v>
      </x:c>
      <x:c r="C1949" t="str" s="2">
        <x:v/>
      </x:c>
      <x:c r="D1949" t="str" s="2">
        <x:v>4054108145</x:v>
      </x:c>
      <x:c r="E1949" t="str" s="2">
        <x:v>martinborgas6464@gmail.com</x:v>
      </x:c>
      <x:c r="F1949" t="str" s="2">
        <x:v>Meta Ads - Forms</x:v>
      </x:c>
      <x:c r="G1949" t="str" s="2">
        <x:v>Trey Rixleben</x:v>
      </x:c>
      <x:c r="H1949" s="6">
        <x:v>46306.094174039354</x:v>
      </x:c>
      <x:c r="I1949" t="str" s="2">
        <x:v>Trey Rixleben</x:v>
      </x:c>
      <x:c r="J1949" s="0"/>
      <x:c r="K1949" s="0"/>
      <x:c r="L1949" t="str" s="2">
        <x:v>Deal Created</x:v>
      </x:c>
    </x:row>
    <x:row r="1950">
      <x:c r="A1950" t="str" s="2">
        <x:f>=HYPERLINK("https://rsms.futurehomex.com/lead/40780", "Marilyn Hernandez")</x:f>
      </x:c>
      <x:c r="B1950" t="str" s="2">
        <x:v>Heritage Housing of Oklahoma City</x:v>
      </x:c>
      <x:c r="C1950" t="str" s="2">
        <x:v/>
      </x:c>
      <x:c r="D1950" t="str" s="2">
        <x:v>4058817136</x:v>
      </x:c>
      <x:c r="E1950" t="str" s="2">
        <x:v>marilyhernandez69@gmail.com</x:v>
      </x:c>
      <x:c r="F1950" t="str" s="2">
        <x:v>Meta Ads - Traffic</x:v>
      </x:c>
      <x:c r="G1950" t="str" s="2">
        <x:v>Trey Rixleben</x:v>
      </x:c>
      <x:c r="H1950" s="6">
        <x:v>46306.237222881944</x:v>
      </x:c>
      <x:c r="I1950" t="str" s="2">
        <x:v>Trey Rixleben</x:v>
      </x:c>
      <x:c r="J1950" s="0"/>
      <x:c r="K1950" s="0"/>
      <x:c r="L1950" t="str" s="2">
        <x:v>Deal Created</x:v>
      </x:c>
    </x:row>
    <x:row r="1951">
      <x:c r="A1951" t="str" s="2">
        <x:f>=HYPERLINK("https://rsms.futurehomex.com/lead/40746", "Debra Rose")</x:f>
      </x:c>
      <x:c r="B1951" t="str" s="2">
        <x:v>Heritage Housing of Oklahoma City</x:v>
      </x:c>
      <x:c r="C1951" t="str" s="2">
        <x:v/>
      </x:c>
      <x:c r="D1951" t="str" s="2">
        <x:v>5808267764</x:v>
      </x:c>
      <x:c r="E1951" t="str" s="2">
        <x:v>debiwest88@gmail.com</x:v>
      </x:c>
      <x:c r="F1951" t="str" s="2">
        <x:v>Financing Form</x:v>
      </x:c>
      <x:c r="G1951" t="str" s="2">
        <x:v>Steve Castell</x:v>
      </x:c>
      <x:c r="H1951" s="6">
        <x:v>46306.33451288194</x:v>
      </x:c>
      <x:c r="I1951" t="str" s="2">
        <x:v>Steve Castell</x:v>
      </x:c>
      <x:c r="J1951" s="0"/>
      <x:c r="K1951" s="0"/>
      <x:c r="L1951" t="str" s="2">
        <x:v>Deal Created</x:v>
      </x:c>
    </x:row>
    <x:row r="1952">
      <x:c r="A1952" t="str" s="2">
        <x:f>=HYPERLINK("https://rsms.futurehomex.com/lead/40779", "Breanna Johnston")</x:f>
      </x:c>
      <x:c r="B1952" t="str" s="2">
        <x:v>Heritage Housing of Oklahoma City</x:v>
      </x:c>
      <x:c r="C1952" t="str" s="2">
        <x:v/>
      </x:c>
      <x:c r="D1952" t="str" s="2">
        <x:v>4058632121</x:v>
      </x:c>
      <x:c r="E1952" t="str" s="2">
        <x:v>breannajohnston548@gmail.com</x:v>
      </x:c>
      <x:c r="F1952" t="str" s="2">
        <x:v>Landing_BPM</x:v>
      </x:c>
      <x:c r="G1952" t="str" s="2">
        <x:v>Devon McCoy</x:v>
      </x:c>
      <x:c r="H1952" s="6">
        <x:v>46306.57937704861</x:v>
      </x:c>
      <x:c r="I1952" t="str" s="2">
        <x:v>Devon McCoy</x:v>
      </x:c>
      <x:c r="J1952" s="0"/>
      <x:c r="K1952" s="0"/>
      <x:c r="L1952" t="str" s="2">
        <x:v>Deal Created</x:v>
      </x:c>
    </x:row>
    <x:row r="1953">
      <x:c r="A1953" t="str" s="2">
        <x:f>=HYPERLINK("https://rsms.futurehomex.com/lead/40776", "Jason Taylor")</x:f>
      </x:c>
      <x:c r="B1953" t="str" s="2">
        <x:v>Heritage Housing of Oklahoma City</x:v>
      </x:c>
      <x:c r="C1953" t="str" s="2">
        <x:v/>
      </x:c>
      <x:c r="D1953" t="str" s="2">
        <x:v>4053002279</x:v>
      </x:c>
      <x:c r="E1953" t="str" s="2">
        <x:v>jasontaylor0418@gmail.com</x:v>
      </x:c>
      <x:c r="F1953" t="str" s="2">
        <x:v>Landing_BPM</x:v>
      </x:c>
      <x:c r="G1953" t="str" s="2">
        <x:v>Steve Castell</x:v>
      </x:c>
      <x:c r="H1953" s="6">
        <x:v>46306.80304675926</x:v>
      </x:c>
      <x:c r="I1953" t="str" s="2">
        <x:v>Steve Castell</x:v>
      </x:c>
      <x:c r="J1953" s="0"/>
      <x:c r="K1953" s="0"/>
      <x:c r="L1953" t="str" s="2">
        <x:v>Deal Created</x:v>
      </x:c>
    </x:row>
    <x:row r="1954">
      <x:c r="A1954" t="str" s="2">
        <x:f>=HYPERLINK("https://rsms.futurehomex.com/lead/40778", "Verda Ward")</x:f>
      </x:c>
      <x:c r="B1954" t="str" s="2">
        <x:v>Heritage Housing of Oklahoma City</x:v>
      </x:c>
      <x:c r="C1954" t="str" s="2">
        <x:v/>
      </x:c>
      <x:c r="D1954" t="str" s="2">
        <x:v>4052138133</x:v>
      </x:c>
      <x:c r="E1954" t="str" s="2">
        <x:v>verdaw1980@gmail.com</x:v>
      </x:c>
      <x:c r="F1954" t="str" s="2">
        <x:v>Landing_BPM</x:v>
      </x:c>
      <x:c r="G1954" t="str" s="2">
        <x:v>Trey Rixleben</x:v>
      </x:c>
      <x:c r="H1954" s="6">
        <x:v>46306.89652766204</x:v>
      </x:c>
      <x:c r="I1954" t="str" s="2">
        <x:v>Trey Rixleben</x:v>
      </x:c>
      <x:c r="J1954" s="0"/>
      <x:c r="K1954" s="0"/>
      <x:c r="L1954" t="str" s="2">
        <x:v>Deal Created</x:v>
      </x:c>
    </x:row>
    <x:row r="1955">
      <x:c r="A1955" t="str" s="2">
        <x:f>=HYPERLINK("https://rsms.futurehomex.com/lead/40777", "Zaquitta Bible")</x:f>
      </x:c>
      <x:c r="B1955" t="str" s="2">
        <x:v>Heritage Housing of Oklahoma City</x:v>
      </x:c>
      <x:c r="C1955" t="str" s="2">
        <x:v/>
      </x:c>
      <x:c r="D1955" t="str" s="2">
        <x:v>4053708015</x:v>
      </x:c>
      <x:c r="E1955" t="str" s="2">
        <x:v>zaquittab.zb@gmail.com</x:v>
      </x:c>
      <x:c r="F1955" t="str" s="2">
        <x:v>Landing_BPM</x:v>
      </x:c>
      <x:c r="G1955" t="str" s="2">
        <x:v>Devon McCoy</x:v>
      </x:c>
      <x:c r="H1955" s="6">
        <x:v>46307.08435767361</x:v>
      </x:c>
      <x:c r="I1955" t="str" s="2">
        <x:v>Devon McCoy</x:v>
      </x:c>
      <x:c r="J1955" s="0"/>
      <x:c r="K1955" s="0"/>
      <x:c r="L1955" t="str" s="2">
        <x:v>Deal Created</x:v>
      </x:c>
    </x:row>
    <x:row r="1956">
      <x:c r="A1956" t="str" s="2">
        <x:f>=HYPERLINK("https://rsms.futurehomex.com/lead/40774", "Claudia P")</x:f>
      </x:c>
      <x:c r="B1956" t="str" s="2">
        <x:v>Heritage Housing of Oklahoma City</x:v>
      </x:c>
      <x:c r="C1956" t="str" s="2">
        <x:v/>
      </x:c>
      <x:c r="D1956" t="str" s="2">
        <x:v>5806498072</x:v>
      </x:c>
      <x:c r="E1956" t="str" s="2">
        <x:v>claupaco@hotmail.com</x:v>
      </x:c>
      <x:c r="F1956" t="str" s="2">
        <x:v>Meta Ads - Forms</x:v>
      </x:c>
      <x:c r="G1956" t="str" s="2">
        <x:v>Alejandra Calderon</x:v>
      </x:c>
      <x:c r="H1956" s="6">
        <x:v>46307.180070636576</x:v>
      </x:c>
      <x:c r="I1956" t="str" s="2">
        <x:v>Alejandra Calderon</x:v>
      </x:c>
      <x:c r="J1956" s="0"/>
      <x:c r="K1956" s="0"/>
      <x:c r="L1956" t="str" s="2">
        <x:v>Deal Created</x:v>
      </x:c>
    </x:row>
    <x:row r="1957">
      <x:c r="A1957" t="str" s="2">
        <x:f>=HYPERLINK("https://rsms.futurehomex.com/lead/40773", "Mayra Olsen")</x:f>
      </x:c>
      <x:c r="B1957" t="str" s="2">
        <x:v>Heritage Housing of Oklahoma City</x:v>
      </x:c>
      <x:c r="C1957" t="str" s="2">
        <x:v/>
      </x:c>
      <x:c r="D1957" t="str" s="2">
        <x:v>4055493413</x:v>
      </x:c>
      <x:c r="E1957" t="str" s="2">
        <x:v>Alejaaaadrahedz@gmail.com</x:v>
      </x:c>
      <x:c r="F1957" t="str" s="2">
        <x:v>Meta Ads - Forms</x:v>
      </x:c>
      <x:c r="G1957" t="str" s="2">
        <x:v>Trey Rixleben</x:v>
      </x:c>
      <x:c r="H1957" s="6">
        <x:v>46307.20971875</x:v>
      </x:c>
      <x:c r="I1957" t="str" s="2">
        <x:v>Trey Rixleben</x:v>
      </x:c>
      <x:c r="J1957" s="0"/>
      <x:c r="K1957" s="0"/>
      <x:c r="L1957" t="str" s="2">
        <x:v>Deal Created</x:v>
      </x:c>
    </x:row>
    <x:row r="1958">
      <x:c r="A1958" t="str" s="2">
        <x:f>=HYPERLINK("https://rsms.futurehomex.com/lead/40747", "alivia hazen")</x:f>
      </x:c>
      <x:c r="B1958" t="str" s="2">
        <x:v>Heritage Housing of Oklahoma City</x:v>
      </x:c>
      <x:c r="C1958" t="str" s="2">
        <x:v/>
      </x:c>
      <x:c r="D1958" t="str" s="2">
        <x:v>5802297751</x:v>
      </x:c>
      <x:c r="E1958" t="str" s="2">
        <x:v>aliviahazen130@gmail.com</x:v>
      </x:c>
      <x:c r="F1958" t="str" s="2">
        <x:v>Financing Form</x:v>
      </x:c>
      <x:c r="G1958" t="str" s="2">
        <x:v>Steve Castell</x:v>
      </x:c>
      <x:c r="H1958" s="6">
        <x:v>46307.48465239583</x:v>
      </x:c>
      <x:c r="I1958" t="str" s="2">
        <x:v>Steve Castell</x:v>
      </x:c>
      <x:c r="J1958" s="0"/>
      <x:c r="K1958" s="0"/>
      <x:c r="L1958" t="str" s="2">
        <x:v>Deal Created</x:v>
      </x:c>
    </x:row>
    <x:row r="1959">
      <x:c r="A1959" t="str" s="2">
        <x:f>=HYPERLINK("https://rsms.futurehomex.com/lead/40749", "Daryl Furn")</x:f>
      </x:c>
      <x:c r="B1959" t="str" s="2">
        <x:v>Heritage Housing of Oklahoma City</x:v>
      </x:c>
      <x:c r="C1959" t="str" s="2">
        <x:v/>
      </x:c>
      <x:c r="D1959" t="str" s="2">
        <x:v>4056328954</x:v>
      </x:c>
      <x:c r="E1959" t="str" s="2">
        <x:v>darylsfurniture@gmail.com</x:v>
      </x:c>
      <x:c r="F1959" t="str" s="2">
        <x:v>Facebook Messenger</x:v>
      </x:c>
      <x:c r="G1959" t="str" s="2">
        <x:v>Devon McCoy</x:v>
      </x:c>
      <x:c r="H1959" s="6">
        <x:v>46307.600266469904</x:v>
      </x:c>
      <x:c r="I1959" t="str" s="2">
        <x:v>Devon McCoy</x:v>
      </x:c>
      <x:c r="J1959" s="0"/>
      <x:c r="K1959" s="6">
        <x:v>46307.600266469904</x:v>
      </x:c>
      <x:c r="L1959" t="str" s="2">
        <x:v>Deal Created</x:v>
      </x:c>
    </x:row>
    <x:row r="1960">
      <x:c r="A1960" t="str" s="2">
        <x:f>=HYPERLINK("https://rsms.futurehomex.com/lead/40770", "Kristopher Baxter")</x:f>
      </x:c>
      <x:c r="B1960" t="str" s="2">
        <x:v>Heritage Housing of Oklahoma City</x:v>
      </x:c>
      <x:c r="C1960" t="str" s="2">
        <x:v/>
      </x:c>
      <x:c r="D1960" t="str" s="2">
        <x:v>5803403549</x:v>
      </x:c>
      <x:c r="E1960" t="str" s="2">
        <x:v>baxterkristopher@yahoo.com</x:v>
      </x:c>
      <x:c r="F1960" t="str" s="2">
        <x:v>Landing_BPM</x:v>
      </x:c>
      <x:c r="G1960" t="str" s="2">
        <x:v>Steve Castell</x:v>
      </x:c>
      <x:c r="H1960" s="6">
        <x:v>46307.689751122685</x:v>
      </x:c>
      <x:c r="I1960" t="str" s="2">
        <x:v>Steve Castell</x:v>
      </x:c>
      <x:c r="J1960" s="0"/>
      <x:c r="K1960" s="0"/>
      <x:c r="L1960" t="str" s="2">
        <x:v>Deal Created</x:v>
      </x:c>
    </x:row>
    <x:row r="1961">
      <x:c r="A1961" t="str" s="2">
        <x:f>=HYPERLINK("https://rsms.futurehomex.com/lead/40761", "Steven Mullins")</x:f>
      </x:c>
      <x:c r="B1961" t="str" s="2">
        <x:v>Heritage Housing of Athens</x:v>
      </x:c>
      <x:c r="C1961" t="str" s="2">
        <x:v/>
      </x:c>
      <x:c r="D1961" t="str" s="2">
        <x:v>2563486878</x:v>
      </x:c>
      <x:c r="E1961" t="str" s="2">
        <x:v>kellyssteven4@gmail.com</x:v>
      </x:c>
      <x:c r="F1961" t="str" s="2">
        <x:v>Referrals</x:v>
      </x:c>
      <x:c r="G1961" t="str" s="2">
        <x:v>Nathan Bishop</x:v>
      </x:c>
      <x:c r="H1961" s="6">
        <x:v>46307.70818954861</x:v>
      </x:c>
      <x:c r="I1961" t="str" s="2">
        <x:v>Nathan Bishop</x:v>
      </x:c>
      <x:c r="J1961" s="0"/>
      <x:c r="K1961" s="6">
        <x:v>46307.70818954861</x:v>
      </x:c>
      <x:c r="L1961" t="str" s="2">
        <x:v>Deal Created</x:v>
      </x:c>
    </x:row>
    <x:row r="1962">
      <x:c r="A1962" t="str" s="2">
        <x:f>=HYPERLINK("https://rsms.futurehomex.com/lead/40763", "Lisa Gayneaux")</x:f>
      </x:c>
      <x:c r="B1962" t="str" s="2">
        <x:v>Heritage Housing of Jennings</x:v>
      </x:c>
      <x:c r="C1962" t="str" s="2">
        <x:v/>
      </x:c>
      <x:c r="D1962" t="str" s="2">
        <x:v>3378521009</x:v>
      </x:c>
      <x:c r="E1962" t="str" s="2">
        <x:v>lg@nomail.com</x:v>
      </x:c>
      <x:c r="F1962" t="str" s="2">
        <x:v>Walk-in</x:v>
      </x:c>
      <x:c r="G1962" t="str" s="2">
        <x:v>Clint O'Neal</x:v>
      </x:c>
      <x:c r="H1962" s="6">
        <x:v>46307.7829684838</x:v>
      </x:c>
      <x:c r="I1962" t="str" s="2">
        <x:v>Clint O'Neal</x:v>
      </x:c>
      <x:c r="J1962" s="0"/>
      <x:c r="K1962" s="6">
        <x:v>46307.7829684838</x:v>
      </x:c>
      <x:c r="L1962" t="str" s="2">
        <x:v>Deal Created</x:v>
      </x:c>
    </x:row>
    <x:row r="1963">
      <x:c r="A1963" t="str" s="2">
        <x:f>="Eirica Wallace"</x:f>
      </x:c>
      <x:c r="B1963" s="0"/>
      <x:c r="C1963" t="str" s="2">
        <x:v/>
      </x:c>
      <x:c r="D1963" t="str" s="2">
        <x:v>4055507727</x:v>
      </x:c>
      <x:c r="E1963" t="str" s="2">
        <x:v>twistedtabor@yahoo.com</x:v>
      </x:c>
      <x:c r="F1963" t="str" s="2">
        <x:v>Walk-in</x:v>
      </x:c>
      <x:c r="G1963" t="str" s="2">
        <x:v>Steve Castell</x:v>
      </x:c>
      <x:c r="H1963" s="6">
        <x:v>46307.79256894676</x:v>
      </x:c>
      <x:c r="I1963" s="0"/>
      <x:c r="J1963" s="0"/>
      <x:c r="K1963" s="0"/>
      <x:c r="L1963" t="str" s="2">
        <x:v>Deal Created</x:v>
      </x:c>
    </x:row>
    <x:row r="1964">
      <x:c r="A1964" t="str" s="2">
        <x:f>=HYPERLINK("https://rsms.futurehomex.com/lead/40775", "Nikko Wilson")</x:f>
      </x:c>
      <x:c r="B1964" t="str" s="2">
        <x:v>Heritage Housing of Oklahoma City</x:v>
      </x:c>
      <x:c r="C1964" t="str" s="2">
        <x:v/>
      </x:c>
      <x:c r="D1964" t="str" s="2">
        <x:v>4058754559</x:v>
      </x:c>
      <x:c r="E1964" t="str" s="2">
        <x:v>myzz.wilson1.nk05@gmail.com</x:v>
      </x:c>
      <x:c r="F1964" t="str" s="2">
        <x:v>Landing_BPM</x:v>
      </x:c>
      <x:c r="G1964" t="str" s="2">
        <x:v>Alejandra Calderon</x:v>
      </x:c>
      <x:c r="H1964" s="6">
        <x:v>46307.832118287035</x:v>
      </x:c>
      <x:c r="I1964" t="str" s="2">
        <x:v>Alejandra Calderon</x:v>
      </x:c>
      <x:c r="J1964" s="0"/>
      <x:c r="K1964" s="0"/>
      <x:c r="L1964" t="str" s="2">
        <x:v>Deal Created</x:v>
      </x:c>
    </x:row>
    <x:row r="1965">
      <x:c r="A1965" t="str" s="2">
        <x:f>=HYPERLINK("https://rsms.futurehomex.com/lead/40769", "Richard Reeves")</x:f>
      </x:c>
      <x:c r="B1965" t="str" s="2">
        <x:v>Heritage Housing of Oklahoma City</x:v>
      </x:c>
      <x:c r="C1965" t="str" s="2">
        <x:v/>
      </x:c>
      <x:c r="D1965" t="str" s="2">
        <x:v>4057041624</x:v>
      </x:c>
      <x:c r="E1965" t="str" s="2">
        <x:v>throwedoffrichard@aol.com</x:v>
      </x:c>
      <x:c r="F1965" t="str" s="2">
        <x:v>Facebook Messenger</x:v>
      </x:c>
      <x:c r="G1965" t="str" s="2">
        <x:v>Steve Castell</x:v>
      </x:c>
      <x:c r="H1965" s="6">
        <x:v>46307.894066469904</x:v>
      </x:c>
      <x:c r="I1965" t="str" s="2">
        <x:v>Steve Castell</x:v>
      </x:c>
      <x:c r="J1965" s="0"/>
      <x:c r="K1965" s="6">
        <x:v>46307.894066469904</x:v>
      </x:c>
      <x:c r="L1965" t="str" s="2">
        <x:v>Deal Created</x:v>
      </x:c>
    </x:row>
    <x:row r="1966">
      <x:c r="A1966" t="str" s="2">
        <x:f>=HYPERLINK("https://rsms.futurehomex.com/lead/40781", "John Bauman")</x:f>
      </x:c>
      <x:c r="B1966" t="str" s="2">
        <x:v>Heritage Housing of Oklahoma City</x:v>
      </x:c>
      <x:c r="C1966" t="str" s="2">
        <x:v/>
      </x:c>
      <x:c r="D1966" t="str" s="2">
        <x:v>4053233005</x:v>
      </x:c>
      <x:c r="E1966" t="str" s="2">
        <x:v>jabauman64@gmail.com</x:v>
      </x:c>
      <x:c r="F1966" t="str" s="2">
        <x:v>Walk-in</x:v>
      </x:c>
      <x:c r="G1966" t="str" s="2">
        <x:v>Steve Castell</x:v>
      </x:c>
      <x:c r="H1966" s="6">
        <x:v>46307.92172554398</x:v>
      </x:c>
      <x:c r="I1966" t="str" s="2">
        <x:v>Steve Castell</x:v>
      </x:c>
      <x:c r="J1966" s="0"/>
      <x:c r="K1966" s="6">
        <x:v>46307.92172554398</x:v>
      </x:c>
      <x:c r="L1966" t="str" s="2">
        <x:v>Deal Created</x:v>
      </x:c>
    </x:row>
    <x:row r="1967">
      <x:c r="A1967" t="str" s="2">
        <x:f>="Sharon Bynum Johnson"</x:f>
      </x:c>
      <x:c r="B1967" t="str" s="2">
        <x:v>Heritage Housing Marble Falls</x:v>
      </x:c>
      <x:c r="C1967" t="str" s="2">
        <x:v/>
      </x:c>
      <x:c r="D1967" t="str" s="2" xml:space="preserve">
        <x:v> 8707373823    </x:v>
      </x:c>
      <x:c r="E1967" t="str" s="2">
        <x:v>bigmama19677@yahoo.com</x:v>
      </x:c>
      <x:c r="F1967" t="str" s="2">
        <x:v>Meta Ads - Forms</x:v>
      </x:c>
      <x:c r="G1967" t="str" s="2">
        <x:v>Stephen Sanders</x:v>
      </x:c>
      <x:c r="H1967" s="6">
        <x:v>46204.079085729165</x:v>
      </x:c>
      <x:c r="I1967" s="0"/>
      <x:c r="J1967" s="0"/>
      <x:c r="K1967" s="6">
        <x:v>46204.57688425926</x:v>
      </x:c>
      <x:c r="L1967" t="str" s="2">
        <x:v>Lost</x:v>
      </x:c>
    </x:row>
    <x:row r="1968">
      <x:c r="A1968" t="str" s="2">
        <x:f>="Denise Turner"</x:f>
      </x:c>
      <x:c r="B1968" t="str" s="2">
        <x:v>Heritage Housing of Albany</x:v>
      </x:c>
      <x:c r="C1968" t="str" s="2">
        <x:v>0/1</x:v>
      </x:c>
      <x:c r="D1968" t="str" s="2">
        <x:v>2033178301</x:v>
      </x:c>
      <x:c r="E1968" t="str" s="2">
        <x:v>niecyturner1964@gmail.com</x:v>
      </x:c>
      <x:c r="F1968" t="str" s="2">
        <x:v>Google Ads</x:v>
      </x:c>
      <x:c r="G1968" t="str" s="2">
        <x:v>Yanet Alvarez</x:v>
      </x:c>
      <x:c r="H1968" s="6">
        <x:v>46204.09080466435</x:v>
      </x:c>
      <x:c r="I1968" s="0"/>
      <x:c r="J1968" s="0"/>
      <x:c r="K1968" s="6">
        <x:v>46220</x:v>
      </x:c>
      <x:c r="L1968" t="str" s="2">
        <x:v>Lost</x:v>
      </x:c>
    </x:row>
    <x:row r="1969">
      <x:c r="A1969" t="str" s="2">
        <x:f>="Craig Como"</x:f>
      </x:c>
      <x:c r="B1969" t="str" s="2">
        <x:v>Heritage Housing of Jennings</x:v>
      </x:c>
      <x:c r="C1969" t="str" s="2">
        <x:v>0/6</x:v>
      </x:c>
      <x:c r="D1969" t="str" s="2">
        <x:v>3372873217</x:v>
      </x:c>
      <x:c r="E1969" t="str" s="2">
        <x:v>bettycomo@yahoo.com</x:v>
      </x:c>
      <x:c r="F1969" t="str" s="2">
        <x:v>Website</x:v>
      </x:c>
      <x:c r="G1969" t="str" s="2">
        <x:v>Mervin Leslie Smith</x:v>
      </x:c>
      <x:c r="H1969" s="6">
        <x:v>46204.23665486111</x:v>
      </x:c>
      <x:c r="I1969" s="0"/>
      <x:c r="J1969" s="0"/>
      <x:c r="K1969" s="6">
        <x:v>46219</x:v>
      </x:c>
      <x:c r="L1969" t="str" s="2">
        <x:v>Lost</x:v>
      </x:c>
    </x:row>
    <x:row r="1970">
      <x:c r="A1970" t="str" s="2">
        <x:f>="Patrick Blair"</x:f>
      </x:c>
      <x:c r="B1970" t="str" s="2">
        <x:v>Heritage Housing of Jennings</x:v>
      </x:c>
      <x:c r="C1970" t="str" s="2">
        <x:v>0/8</x:v>
      </x:c>
      <x:c r="D1970" t="str" s="2">
        <x:v>5043732217</x:v>
      </x:c>
      <x:c r="E1970" t="str" s="2">
        <x:v>patrickblair53@gmail.com</x:v>
      </x:c>
      <x:c r="F1970" t="str" s="2">
        <x:v>Meta Ads - Forms</x:v>
      </x:c>
      <x:c r="G1970" t="str" s="2">
        <x:v>Mervin Leslie Smith</x:v>
      </x:c>
      <x:c r="H1970" s="6">
        <x:v>46204.33506230324</x:v>
      </x:c>
      <x:c r="I1970" s="0"/>
      <x:c r="J1970" s="0"/>
      <x:c r="K1970" s="6">
        <x:v>46220</x:v>
      </x:c>
      <x:c r="L1970" t="str" s="2">
        <x:v>Lost</x:v>
      </x:c>
    </x:row>
    <x:row r="1971">
      <x:c r="A1971" t="str" s="2">
        <x:f>="alyssa landry"</x:f>
      </x:c>
      <x:c r="B1971" t="str" s="2">
        <x:v>Heritage Housing of Jennings</x:v>
      </x:c>
      <x:c r="C1971" t="str" s="2">
        <x:v>0/11</x:v>
      </x:c>
      <x:c r="D1971" t="str" s="2">
        <x:v>9854153882</x:v>
      </x:c>
      <x:c r="E1971" t="str" s="2">
        <x:v>alyssalandry92@gmail.com</x:v>
      </x:c>
      <x:c r="F1971" t="str" s="2">
        <x:v>Financing Form</x:v>
      </x:c>
      <x:c r="G1971" t="str" s="2">
        <x:v>Mervin Leslie Smith</x:v>
      </x:c>
      <x:c r="H1971" s="6">
        <x:v>46204.55520636574</x:v>
      </x:c>
      <x:c r="I1971" s="0"/>
      <x:c r="J1971" s="0"/>
      <x:c r="K1971" s="6">
        <x:v>46234.85962415509</x:v>
      </x:c>
      <x:c r="L1971" t="str" s="2">
        <x:v>Lost</x:v>
      </x:c>
    </x:row>
    <x:row r="1972">
      <x:c r="A1972" t="str" s="2">
        <x:f>="Jennifer Obrien"</x:f>
      </x:c>
      <x:c r="B1972" t="str" s="2">
        <x:v>Heritage Housing of Athens</x:v>
      </x:c>
      <x:c r="C1972" t="str" s="2">
        <x:v/>
      </x:c>
      <x:c r="D1972" t="str" s="2">
        <x:v>(949)-755-7782</x:v>
      </x:c>
      <x:c r="E1972" t="str" s="2">
        <x:v>jenn.obrien@dandyaisoftware.com</x:v>
      </x:c>
      <x:c r="F1972" t="str" s="2">
        <x:v>Financing Form</x:v>
      </x:c>
      <x:c r="G1972" t="str" s="2">
        <x:v>Timothy Postlethwait</x:v>
      </x:c>
      <x:c r="H1972" s="6">
        <x:v>46204.897411377315</x:v>
      </x:c>
      <x:c r="I1972" s="0"/>
      <x:c r="J1972" s="0"/>
      <x:c r="K1972" s="6">
        <x:v>46205.73042623843</x:v>
      </x:c>
      <x:c r="L1972" t="str" s="2">
        <x:v>Lost</x:v>
      </x:c>
    </x:row>
    <x:row r="1973">
      <x:c r="A1973" t="str" s="2">
        <x:f>="Joshua Stricklin"</x:f>
      </x:c>
      <x:c r="B1973" t="str" s="2">
        <x:v>Heritage Housing Marble Falls</x:v>
      </x:c>
      <x:c r="C1973" t="str" s="2">
        <x:v>0/1</x:v>
      </x:c>
      <x:c r="D1973" t="str" s="2">
        <x:v>5015534644</x:v>
      </x:c>
      <x:c r="E1973" t="str" s="2">
        <x:v>robynpv@gmail.com</x:v>
      </x:c>
      <x:c r="F1973" t="str" s="2">
        <x:v>Meta Ads - Forms</x:v>
      </x:c>
      <x:c r="G1973" t="str" s="2">
        <x:v>Stephen Sanders</x:v>
      </x:c>
      <x:c r="H1973" s="6">
        <x:v>46204.922129976854</x:v>
      </x:c>
      <x:c r="I1973" s="0"/>
      <x:c r="J1973" s="0"/>
      <x:c r="K1973" s="6">
        <x:v>46206.77942496528</x:v>
      </x:c>
      <x:c r="L1973" t="str" s="2">
        <x:v>Lost</x:v>
      </x:c>
    </x:row>
    <x:row r="1974">
      <x:c r="A1974" t="str" s="2">
        <x:f>="Juanita Holmes"</x:f>
      </x:c>
      <x:c r="B1974" t="str" s="2">
        <x:v>Heritage Housing of Albany</x:v>
      </x:c>
      <x:c r="C1974" t="str" s="2">
        <x:v/>
      </x:c>
      <x:c r="D1974" t="str" s="2">
        <x:v>2295833186</x:v>
      </x:c>
      <x:c r="E1974" t="str" s="2">
        <x:v>juanitaholmes1997@gmail.com</x:v>
      </x:c>
      <x:c r="F1974" t="str" s="2">
        <x:v>Financing Form</x:v>
      </x:c>
      <x:c r="G1974" t="str" s="2">
        <x:v>Yanet Alvarez</x:v>
      </x:c>
      <x:c r="H1974" s="6">
        <x:v>46204.990390162035</x:v>
      </x:c>
      <x:c r="I1974" s="0"/>
      <x:c r="J1974" s="0"/>
      <x:c r="K1974" s="6">
        <x:v>46223</x:v>
      </x:c>
      <x:c r="L1974" t="str" s="2">
        <x:v>Lost</x:v>
      </x:c>
    </x:row>
    <x:row r="1975">
      <x:c r="A1975" t="str" s="2">
        <x:f>="Cynthia Morquecho"</x:f>
      </x:c>
      <x:c r="B1975" t="str" s="2">
        <x:v>Heritage Housing of Asheboro</x:v>
      </x:c>
      <x:c r="C1975" t="str" s="2">
        <x:v/>
      </x:c>
      <x:c r="D1975" t="str" s="2">
        <x:v>4695622574</x:v>
      </x:c>
      <x:c r="E1975" t="str" s="2">
        <x:v>cicimorquecho@icloud.com</x:v>
      </x:c>
      <x:c r="F1975" t="str" s="2">
        <x:v>Financing Form</x:v>
      </x:c>
      <x:c r="G1975" t="str" s="2">
        <x:v>Maria Lopez</x:v>
      </x:c>
      <x:c r="H1975" s="6">
        <x:v>46205.00778179398</x:v>
      </x:c>
      <x:c r="I1975" s="0"/>
      <x:c r="J1975" s="0"/>
      <x:c r="K1975" s="6">
        <x:v>46230.895061689815</x:v>
      </x:c>
      <x:c r="L1975" t="str" s="2">
        <x:v>Lost</x:v>
      </x:c>
    </x:row>
    <x:row r="1976">
      <x:c r="A1976" t="str" s="2">
        <x:f>="Loneria Wheeler"</x:f>
      </x:c>
      <x:c r="B1976" t="str" s="2">
        <x:v>Heritage Housing of Albany</x:v>
      </x:c>
      <x:c r="C1976" t="str" s="2">
        <x:v>0/2</x:v>
      </x:c>
      <x:c r="D1976" t="str" s="2">
        <x:v>2293193084</x:v>
      </x:c>
      <x:c r="E1976" t="str" s="2">
        <x:v>neriewheeler@gmail.com</x:v>
      </x:c>
      <x:c r="F1976" t="str" s="2">
        <x:v>Financing Form</x:v>
      </x:c>
      <x:c r="G1976" t="str" s="2">
        <x:v>Yanet Alvarez</x:v>
      </x:c>
      <x:c r="H1976" s="6">
        <x:v>46205.024139699075</x:v>
      </x:c>
      <x:c r="I1976" s="0"/>
      <x:c r="J1976" s="0"/>
      <x:c r="K1976" s="6">
        <x:v>46217.778205092596</x:v>
      </x:c>
      <x:c r="L1976" t="str" s="2">
        <x:v>Lost</x:v>
      </x:c>
    </x:row>
    <x:row r="1977">
      <x:c r="A1977" t="str" s="2">
        <x:f>="LaTisha Jackson"</x:f>
      </x:c>
      <x:c r="B1977" t="str" s="2">
        <x:v>Heritage Housing of Canton</x:v>
      </x:c>
      <x:c r="C1977" t="str" s="2">
        <x:v/>
      </x:c>
      <x:c r="D1977" t="str" s="2">
        <x:v>9724776845</x:v>
      </x:c>
      <x:c r="E1977" t="str" s="2">
        <x:v>jlatisha344@gmail.com</x:v>
      </x:c>
      <x:c r="F1977" t="str" s="2">
        <x:v>Meta Ads - Forms</x:v>
      </x:c>
      <x:c r="G1977" t="str" s="2">
        <x:v>Maira Garcia</x:v>
      </x:c>
      <x:c r="H1977" s="6">
        <x:v>46205.05400123842</x:v>
      </x:c>
      <x:c r="I1977" s="0"/>
      <x:c r="J1977" s="0"/>
      <x:c r="K1977" s="6">
        <x:v>46209.689342094905</x:v>
      </x:c>
      <x:c r="L1977" t="str" s="2">
        <x:v>Lost</x:v>
      </x:c>
    </x:row>
    <x:row r="1978">
      <x:c r="A1978" t="str" s="2">
        <x:f>="Denise Taylor"</x:f>
      </x:c>
      <x:c r="B1978" t="str" s="2">
        <x:v>Heritage Housing of Albany</x:v>
      </x:c>
      <x:c r="C1978" t="str" s="2">
        <x:v/>
      </x:c>
      <x:c r="D1978" t="str" s="2">
        <x:v>4782080322</x:v>
      </x:c>
      <x:c r="E1978" t="str" s="2">
        <x:v>denisetaylor08@yahoo.com</x:v>
      </x:c>
      <x:c r="F1978" t="str" s="2">
        <x:v>Website</x:v>
      </x:c>
      <x:c r="G1978" t="str" s="2">
        <x:v>Yanet Alvarez</x:v>
      </x:c>
      <x:c r="H1978" s="6">
        <x:v>46205.19513383102</x:v>
      </x:c>
      <x:c r="I1978" s="0"/>
      <x:c r="J1978" s="0"/>
      <x:c r="K1978" s="6">
        <x:v>46206.89135601852</x:v>
      </x:c>
      <x:c r="L1978" t="str" s="2">
        <x:v>Lost</x:v>
      </x:c>
    </x:row>
    <x:row r="1979">
      <x:c r="A1979" t="str" s="2">
        <x:f>="Laquinas Hill"</x:f>
      </x:c>
      <x:c r="B1979" t="str" s="2">
        <x:v>Heritage Housing of Augusta</x:v>
      </x:c>
      <x:c r="C1979" t="str" s="2">
        <x:v/>
      </x:c>
      <x:c r="D1979" t="str" s="2">
        <x:v>8439261860</x:v>
      </x:c>
      <x:c r="E1979" t="str" s="2">
        <x:v>laquinashill19@gmail.com</x:v>
      </x:c>
      <x:c r="F1979" t="str" s="2">
        <x:v>Meta Ads - Forms</x:v>
      </x:c>
      <x:c r="G1979" t="str" s="2">
        <x:v>Alex Jones</x:v>
      </x:c>
      <x:c r="H1979" s="6">
        <x:v>46205.254435219904</x:v>
      </x:c>
      <x:c r="I1979" s="0"/>
      <x:c r="J1979" s="0"/>
      <x:c r="K1979" s="6">
        <x:v>46230.878676388886</x:v>
      </x:c>
      <x:c r="L1979" t="str" s="2">
        <x:v>Lost</x:v>
      </x:c>
    </x:row>
    <x:row r="1980">
      <x:c r="A1980" t="str" s="2">
        <x:f>="Al-Jimonson Cummings"</x:f>
      </x:c>
      <x:c r="B1980" t="str" s="2">
        <x:v>Heritage Housing of Albany</x:v>
      </x:c>
      <x:c r="C1980" t="str" s="2">
        <x:v>0/1</x:v>
      </x:c>
      <x:c r="D1980" t="str" s="2">
        <x:v>6785923145</x:v>
      </x:c>
      <x:c r="E1980" t="str" s="2">
        <x:v>acummings83@hotmail.com</x:v>
      </x:c>
      <x:c r="F1980" t="str" s="2">
        <x:v>Financing Form</x:v>
      </x:c>
      <x:c r="G1980" t="str" s="2">
        <x:v>Yanet Alvarez</x:v>
      </x:c>
      <x:c r="H1980" s="6">
        <x:v>46205.46975899306</x:v>
      </x:c>
      <x:c r="I1980" s="0"/>
      <x:c r="J1980" s="0"/>
      <x:c r="K1980" s="6">
        <x:v>46229.85360883102</x:v>
      </x:c>
      <x:c r="L1980" t="str" s="2">
        <x:v>Lost</x:v>
      </x:c>
    </x:row>
    <x:row r="1981">
      <x:c r="A1981" t="str" s="2">
        <x:f>="Carolyn Lipscomb"</x:f>
      </x:c>
      <x:c r="B1981" t="str" s="2">
        <x:v>Heritage Housing of Jennings</x:v>
      </x:c>
      <x:c r="C1981" t="str" s="2">
        <x:v>0/2</x:v>
      </x:c>
      <x:c r="D1981" t="str" s="2">
        <x:v>2253358491</x:v>
      </x:c>
      <x:c r="E1981" t="str" s="2">
        <x:v>carolynlipscomb16@yahoo.com</x:v>
      </x:c>
      <x:c r="F1981" t="str" s="2">
        <x:v>Financing Form</x:v>
      </x:c>
      <x:c r="G1981" t="str" s="2">
        <x:v>Mervin Leslie Smith</x:v>
      </x:c>
      <x:c r="H1981" s="6">
        <x:v>46205.5191434375</x:v>
      </x:c>
      <x:c r="I1981" s="0"/>
      <x:c r="J1981" s="0"/>
      <x:c r="K1981" s="6">
        <x:v>46209.88670836805</x:v>
      </x:c>
      <x:c r="L1981" t="str" s="2">
        <x:v>Lost</x:v>
      </x:c>
    </x:row>
    <x:row r="1982">
      <x:c r="A1982" t="str" s="2">
        <x:f>="Donna Suver"</x:f>
      </x:c>
      <x:c r="B1982" t="str" s="2">
        <x:v>Heritage Housing of Canton</x:v>
      </x:c>
      <x:c r="C1982" t="str" s="2">
        <x:v/>
      </x:c>
      <x:c r="D1982" t="str" s="2">
        <x:v>+3618150405</x:v>
      </x:c>
      <x:c r="E1982" t="str" s="2">
        <x:v>joybell335@gmail.com</x:v>
      </x:c>
      <x:c r="F1982" t="str" s="2">
        <x:v>Meta Ads - Forms</x:v>
      </x:c>
      <x:c r="G1982" t="str" s="2">
        <x:v>Jacob Hatten</x:v>
      </x:c>
      <x:c r="H1982" s="6">
        <x:v>46205.59231003472</x:v>
      </x:c>
      <x:c r="I1982" s="0"/>
      <x:c r="J1982" s="0"/>
      <x:c r="K1982" s="6">
        <x:v>46209.86412820602</x:v>
      </x:c>
      <x:c r="L1982" t="str" s="2">
        <x:v>Lost</x:v>
      </x:c>
    </x:row>
    <x:row r="1983">
      <x:c r="A1983" t="str" s="2">
        <x:f>="Nesha Jenkins"</x:f>
      </x:c>
      <x:c r="B1983" t="str" s="2">
        <x:v>Heritage Housing of Jennings</x:v>
      </x:c>
      <x:c r="C1983" t="str" s="2">
        <x:v/>
      </x:c>
      <x:c r="D1983" t="str" s="2">
        <x:v>5043802502</x:v>
      </x:c>
      <x:c r="E1983" t="str" s="2">
        <x:v>jenkinsjoshnesha27@yahoo.com</x:v>
      </x:c>
      <x:c r="F1983" t="str" s="2">
        <x:v>Meta Ads - Forms</x:v>
      </x:c>
      <x:c r="G1983" t="str" s="2">
        <x:v>Marty Fontenot</x:v>
      </x:c>
      <x:c r="H1983" s="6">
        <x:v>46205.71589487269</x:v>
      </x:c>
      <x:c r="I1983" s="0"/>
      <x:c r="J1983" s="0"/>
      <x:c r="K1983" s="6">
        <x:v>46227.70344262732</x:v>
      </x:c>
      <x:c r="L1983" t="str" s="2">
        <x:v>Lost</x:v>
      </x:c>
    </x:row>
    <x:row r="1984">
      <x:c r="A1984" t="str" s="2">
        <x:f>=HYPERLINK("https://rsms.futurehomex.com/lead/38239", "Tanya Turner")</x:f>
      </x:c>
      <x:c r="B1984" t="str" s="2">
        <x:v>Heritage Housing of Tulsa</x:v>
      </x:c>
      <x:c r="C1984" t="str" s="2">
        <x:v/>
      </x:c>
      <x:c r="D1984" t="str" s="2">
        <x:v>9189519390</x:v>
      </x:c>
      <x:c r="E1984" t="str" s="2">
        <x:v>9189519390</x:v>
      </x:c>
      <x:c r="F1984" t="str" s="2">
        <x:v>HH - Tulsa</x:v>
      </x:c>
      <x:c r="G1984" t="str" s="2">
        <x:v>Brittany Cobb</x:v>
      </x:c>
      <x:c r="H1984" s="6">
        <x:v>46205.80063773148</x:v>
      </x:c>
      <x:c r="I1984" t="str" s="2">
        <x:v>Brittany Cobb</x:v>
      </x:c>
      <x:c r="J1984" s="0"/>
      <x:c r="K1984" s="6">
        <x:v>46226.663982094906</x:v>
      </x:c>
      <x:c r="L1984" t="str" s="2">
        <x:v>Lost</x:v>
      </x:c>
    </x:row>
    <x:row r="1985">
      <x:c r="A1985" t="str" s="2">
        <x:f>="Lasonia Samuel-Powell"</x:f>
      </x:c>
      <x:c r="B1985" t="str" s="2">
        <x:v>Heritage Housing of Albany</x:v>
      </x:c>
      <x:c r="C1985" t="str" s="2">
        <x:v>0/1</x:v>
      </x:c>
      <x:c r="D1985" t="str" s="2">
        <x:v>2294159531</x:v>
      </x:c>
      <x:c r="E1985" t="str" s="2">
        <x:v>lasoniapowell40@gmail.com</x:v>
      </x:c>
      <x:c r="F1985" t="str" s="2">
        <x:v>Meta Ads - Forms</x:v>
      </x:c>
      <x:c r="G1985" t="str" s="2">
        <x:v>Yanet Alvarez</x:v>
      </x:c>
      <x:c r="H1985" s="6">
        <x:v>46205.83056570602</x:v>
      </x:c>
      <x:c r="I1985" s="0"/>
      <x:c r="J1985" s="0"/>
      <x:c r="K1985" s="6">
        <x:v>46247.84709212963</x:v>
      </x:c>
      <x:c r="L1985" t="str" s="2">
        <x:v>Lost</x:v>
      </x:c>
    </x:row>
    <x:row r="1986">
      <x:c r="A1986" t="str" s="2">
        <x:f>="Sarina Robertson"</x:f>
      </x:c>
      <x:c r="B1986" t="str" s="2">
        <x:v>Heritage Housing of Oklahoma City</x:v>
      </x:c>
      <x:c r="C1986" t="str" s="2">
        <x:v>0/5</x:v>
      </x:c>
      <x:c r="D1986" t="str" s="2">
        <x:v>5804450604</x:v>
      </x:c>
      <x:c r="E1986" t="str" s="2">
        <x:v>poolsarina@gmail.com</x:v>
      </x:c>
      <x:c r="F1986" t="str" s="2">
        <x:v>Meta Ads - Forms</x:v>
      </x:c>
      <x:c r="G1986" t="str" s="2">
        <x:v>Steve Castell</x:v>
      </x:c>
      <x:c r="H1986" s="6">
        <x:v>46205.84281851852</x:v>
      </x:c>
      <x:c r="I1986" s="0"/>
      <x:c r="J1986" s="0"/>
      <x:c r="K1986" s="6">
        <x:v>46238.0165974537</x:v>
      </x:c>
      <x:c r="L1986" t="str" s="2">
        <x:v>Lost</x:v>
      </x:c>
    </x:row>
    <x:row r="1987">
      <x:c r="A1987" t="str" s="2">
        <x:f>="Alicia Garza"</x:f>
      </x:c>
      <x:c r="B1987" t="str" s="2">
        <x:v>Heritage Housing of Greenville</x:v>
      </x:c>
      <x:c r="C1987" t="str" s="2">
        <x:v/>
      </x:c>
      <x:c r="D1987" t="str" s="2">
        <x:v>2144597099</x:v>
      </x:c>
      <x:c r="E1987" t="str" s="2">
        <x:v>aliciapgarza@icloud.com</x:v>
      </x:c>
      <x:c r="F1987" t="str" s="2">
        <x:v>Meta Ads - Forms</x:v>
      </x:c>
      <x:c r="G1987" t="str" s="2">
        <x:v>Greg Christman</x:v>
      </x:c>
      <x:c r="H1987" s="6">
        <x:v>46205.90052083333</x:v>
      </x:c>
      <x:c r="I1987" s="0"/>
      <x:c r="J1987" s="0"/>
      <x:c r="K1987" s="0"/>
      <x:c r="L1987" t="str" s="2">
        <x:v>Lost</x:v>
      </x:c>
    </x:row>
    <x:row r="1988">
      <x:c r="A1988" t="str" s="2">
        <x:f>="Jamie Johnson"</x:f>
      </x:c>
      <x:c r="B1988" t="str" s="2">
        <x:v>Heritage Housing of Augusta</x:v>
      </x:c>
      <x:c r="C1988" t="str" s="2">
        <x:v/>
      </x:c>
      <x:c r="D1988" t="str" s="2">
        <x:v>7063992969</x:v>
      </x:c>
      <x:c r="E1988" t="str" s="2">
        <x:v>jamiejohnson@cares19.com</x:v>
      </x:c>
      <x:c r="F1988" t="str" s="2">
        <x:v>Website</x:v>
      </x:c>
      <x:c r="G1988" t="str" s="2">
        <x:v>Jose Chavez</x:v>
      </x:c>
      <x:c r="H1988" s="6">
        <x:v>46205.93858545139</x:v>
      </x:c>
      <x:c r="I1988" s="0"/>
      <x:c r="J1988" s="0"/>
      <x:c r="K1988" s="6">
        <x:v>46213</x:v>
      </x:c>
      <x:c r="L1988" t="str" s="2">
        <x:v>Lost</x:v>
      </x:c>
    </x:row>
    <x:row r="1989">
      <x:c r="A1989" t="str" s="2">
        <x:f>="Haley Chataignier"</x:f>
      </x:c>
      <x:c r="B1989" t="str" s="2">
        <x:v>Heritage Housing of Jennings</x:v>
      </x:c>
      <x:c r="C1989" t="str" s="2">
        <x:v>1/3</x:v>
      </x:c>
      <x:c r="D1989" t="str" s="2">
        <x:v>3375525181</x:v>
      </x:c>
      <x:c r="E1989" t="str" s="2">
        <x:v>haleychat89@icloud.com</x:v>
      </x:c>
      <x:c r="F1989" t="str" s="2">
        <x:v>Financing Form</x:v>
      </x:c>
      <x:c r="G1989" t="str" s="2">
        <x:v>Clint O'Neal</x:v>
      </x:c>
      <x:c r="H1989" s="6">
        <x:v>46206.01388665509</x:v>
      </x:c>
      <x:c r="I1989" s="0"/>
      <x:c r="J1989" s="0"/>
      <x:c r="K1989" s="6">
        <x:v>46214</x:v>
      </x:c>
      <x:c r="L1989" t="str" s="2">
        <x:v>Lost</x:v>
      </x:c>
    </x:row>
    <x:row r="1990">
      <x:c r="A1990" t="str" s="2">
        <x:f>="Mike carter"</x:f>
      </x:c>
      <x:c r="B1990" t="str" s="2">
        <x:v>Heritage Housing of Albany</x:v>
      </x:c>
      <x:c r="C1990" t="str" s="2">
        <x:v/>
      </x:c>
      <x:c r="D1990" t="str" s="2">
        <x:v>2294173611</x:v>
      </x:c>
      <x:c r="E1990" t="str" s="2">
        <x:v>lilrezzy1000@gmail.com</x:v>
      </x:c>
      <x:c r="F1990" t="str" s="2">
        <x:v>Meta Ads - Forms</x:v>
      </x:c>
      <x:c r="G1990" t="str" s="2">
        <x:v>Yanet Alvarez</x:v>
      </x:c>
      <x:c r="H1990" s="6">
        <x:v>46206.07580003472</x:v>
      </x:c>
      <x:c r="I1990" s="0"/>
      <x:c r="J1990" s="0"/>
      <x:c r="K1990" s="6">
        <x:v>46246.72710775463</x:v>
      </x:c>
      <x:c r="L1990" t="str" s="2">
        <x:v>Lost</x:v>
      </x:c>
    </x:row>
    <x:row r="1991">
      <x:c r="A1991" t="str" s="2">
        <x:f>="Chuck Messimore"</x:f>
      </x:c>
      <x:c r="B1991" t="str" s="2">
        <x:v>Heritage Housing of Albany</x:v>
      </x:c>
      <x:c r="C1991" t="str" s="2">
        <x:v>0/2</x:v>
      </x:c>
      <x:c r="D1991" t="str" s="2">
        <x:v>2292620139</x:v>
      </x:c>
      <x:c r="E1991" t="str" s="2">
        <x:v>cmessimore1963@gmail.com</x:v>
      </x:c>
      <x:c r="F1991" t="str" s="2">
        <x:v>Meta Ads - Forms</x:v>
      </x:c>
      <x:c r="G1991" t="str" s="2">
        <x:v>Yanet Alvarez</x:v>
      </x:c>
      <x:c r="H1991" s="6">
        <x:v>46206.11132858796</x:v>
      </x:c>
      <x:c r="I1991" s="0"/>
      <x:c r="J1991" s="0"/>
      <x:c r="K1991" s="6">
        <x:v>46245.890438229166</x:v>
      </x:c>
      <x:c r="L1991" t="str" s="2">
        <x:v>Lost</x:v>
      </x:c>
    </x:row>
    <x:row r="1992">
      <x:c r="A1992" t="str" s="2">
        <x:f>="Nene Dunmore"</x:f>
      </x:c>
      <x:c r="B1992" t="str" s="2">
        <x:v>Heritage Housing of Greenville</x:v>
      </x:c>
      <x:c r="C1992" t="str" s="2">
        <x:v/>
      </x:c>
      <x:c r="D1992" t="str" s="2">
        <x:v>9453588981</x:v>
      </x:c>
      <x:c r="E1992" t="str" s="2">
        <x:v>vero_dunmore@yahoo.com</x:v>
      </x:c>
      <x:c r="F1992" t="str" s="2">
        <x:v>Meta Ads - Forms</x:v>
      </x:c>
      <x:c r="G1992" t="str" s="2">
        <x:v>Greg Christman</x:v>
      </x:c>
      <x:c r="H1992" s="6">
        <x:v>46206.11175416667</x:v>
      </x:c>
      <x:c r="I1992" s="0"/>
      <x:c r="J1992" s="0"/>
      <x:c r="K1992" s="0"/>
      <x:c r="L1992" t="str" s="2">
        <x:v>Lost</x:v>
      </x:c>
    </x:row>
    <x:row r="1993">
      <x:c r="A1993" t="str" s="2">
        <x:f>="Mraiyah Hammock"</x:f>
      </x:c>
      <x:c r="B1993" t="str" s="2">
        <x:v>Heritage Housing of Albany</x:v>
      </x:c>
      <x:c r="C1993" t="str" s="2">
        <x:v>1/2</x:v>
      </x:c>
      <x:c r="D1993" t="str" s="2">
        <x:v>2294023132</x:v>
      </x:c>
      <x:c r="E1993" t="str" s="2">
        <x:v>mariyahhammock20@gmail.com</x:v>
      </x:c>
      <x:c r="F1993" t="str" s="2">
        <x:v>Meta Ads - Forms</x:v>
      </x:c>
      <x:c r="G1993" t="str" s="2">
        <x:v>Yanet Alvarez</x:v>
      </x:c>
      <x:c r="H1993" s="6">
        <x:v>46206.123391203706</x:v>
      </x:c>
      <x:c r="I1993" s="0"/>
      <x:c r="J1993" s="0"/>
      <x:c r="K1993" s="6">
        <x:v>46241.75425775463</x:v>
      </x:c>
      <x:c r="L1993" t="str" s="2">
        <x:v>Lost</x:v>
      </x:c>
    </x:row>
    <x:row r="1994">
      <x:c r="A1994" t="str" s="2">
        <x:f>="Malvette Christopher"</x:f>
      </x:c>
      <x:c r="B1994" t="str" s="2">
        <x:v>Heritage Housing of Minden</x:v>
      </x:c>
      <x:c r="C1994" t="str" s="2">
        <x:v>0/3</x:v>
      </x:c>
      <x:c r="D1994" t="str" s="2">
        <x:v>8708001097</x:v>
      </x:c>
      <x:c r="E1994" t="str" s="2">
        <x:v>vettec870@gmail.com</x:v>
      </x:c>
      <x:c r="F1994" t="str" s="2">
        <x:v>Website</x:v>
      </x:c>
      <x:c r="G1994" t="str" s="2">
        <x:v>Alescia Ridgdell</x:v>
      </x:c>
      <x:c r="H1994" s="6">
        <x:v>46206.12420332176</x:v>
      </x:c>
      <x:c r="I1994" s="0"/>
      <x:c r="J1994" s="0"/>
      <x:c r="K1994" s="6">
        <x:v>46220.724937418985</x:v>
      </x:c>
      <x:c r="L1994" t="str" s="2">
        <x:v>Lost</x:v>
      </x:c>
    </x:row>
    <x:row r="1995">
      <x:c r="A1995" t="str" s="2">
        <x:f>="Taniah Davis"</x:f>
      </x:c>
      <x:c r="B1995" t="str" s="2">
        <x:v>Heritage Housing of Jennings</x:v>
      </x:c>
      <x:c r="C1995" t="str" s="2">
        <x:v>0/3</x:v>
      </x:c>
      <x:c r="D1995" t="str" s="2">
        <x:v>6015717359</x:v>
      </x:c>
      <x:c r="E1995" t="str" s="2">
        <x:v>ttaniahdavis411@gmail.com</x:v>
      </x:c>
      <x:c r="F1995" t="str" s="2">
        <x:v>Meta Ads - Forms</x:v>
      </x:c>
      <x:c r="G1995" t="str" s="2">
        <x:v>Mervin Leslie Smith</x:v>
      </x:c>
      <x:c r="H1995" s="6">
        <x:v>46206.17820405093</x:v>
      </x:c>
      <x:c r="I1995" s="0"/>
      <x:c r="J1995" s="0"/>
      <x:c r="K1995" s="6">
        <x:v>46220.547161574075</x:v>
      </x:c>
      <x:c r="L1995" t="str" s="2">
        <x:v>Lost</x:v>
      </x:c>
    </x:row>
    <x:row r="1996">
      <x:c r="A1996" t="str" s="2">
        <x:f>="Eduardo Barcenas"</x:f>
      </x:c>
      <x:c r="B1996" t="str" s="2">
        <x:v>Heritage Housing of Canton</x:v>
      </x:c>
      <x:c r="C1996" t="str" s="2">
        <x:v/>
      </x:c>
      <x:c r="D1996" t="str" s="2">
        <x:v>+437759188</x:v>
      </x:c>
      <x:c r="E1996" t="str" s="2">
        <x:v>eduradobarcenas10@gmail.com</x:v>
      </x:c>
      <x:c r="F1996" t="str" s="2">
        <x:v>Meta Ads - Forms</x:v>
      </x:c>
      <x:c r="G1996" t="str" s="2">
        <x:v>Jacob Hatten</x:v>
      </x:c>
      <x:c r="H1996" s="6">
        <x:v>46206.19911369213</x:v>
      </x:c>
      <x:c r="I1996" s="0"/>
      <x:c r="J1996" s="0"/>
      <x:c r="K1996" s="6">
        <x:v>46209.864946030095</x:v>
      </x:c>
      <x:c r="L1996" t="str" s="2">
        <x:v>Lost</x:v>
      </x:c>
    </x:row>
    <x:row r="1997">
      <x:c r="A1997" t="str" s="2">
        <x:f>="Randy Wurmlinger"</x:f>
      </x:c>
      <x:c r="B1997" t="str" s="2">
        <x:v>Heritage Housing of Augusta</x:v>
      </x:c>
      <x:c r="C1997" t="str" s="2">
        <x:v/>
      </x:c>
      <x:c r="D1997" t="str" s="2">
        <x:v>248-673-7321</x:v>
      </x:c>
      <x:c r="E1997" t="str" s="2">
        <x:v>hrr.resources@netconeinterprises.com</x:v>
      </x:c>
      <x:c r="F1997" t="str" s="2">
        <x:v>Financing Form</x:v>
      </x:c>
      <x:c r="G1997" t="str" s="2">
        <x:v>Alex Jones</x:v>
      </x:c>
      <x:c r="H1997" s="6">
        <x:v>46206.42093144676</x:v>
      </x:c>
      <x:c r="I1997" s="0"/>
      <x:c r="J1997" s="0"/>
      <x:c r="K1997" s="6">
        <x:v>46223.63263695602</x:v>
      </x:c>
      <x:c r="L1997" t="str" s="2">
        <x:v>Lost</x:v>
      </x:c>
    </x:row>
    <x:row r="1998">
      <x:c r="A1998" t="str" s="2">
        <x:f>="Timothy Price"</x:f>
      </x:c>
      <x:c r="B1998" t="str" s="2">
        <x:v>Heritage Housing of Canton</x:v>
      </x:c>
      <x:c r="C1998" t="str" s="2">
        <x:v/>
      </x:c>
      <x:c r="D1998" t="str" s="2">
        <x:v>2813306974</x:v>
      </x:c>
      <x:c r="E1998" t="str" s="2">
        <x:v>tpsp2000@gmail.com</x:v>
      </x:c>
      <x:c r="F1998" t="str" s="2">
        <x:v>Meta Ads - Forms</x:v>
      </x:c>
      <x:c r="G1998" t="str" s="2">
        <x:v>Maira Garcia</x:v>
      </x:c>
      <x:c r="H1998" s="6">
        <x:v>46206.497306944446</x:v>
      </x:c>
      <x:c r="I1998" s="0"/>
      <x:c r="J1998" s="0"/>
      <x:c r="K1998" s="6">
        <x:v>46209.69420211806</x:v>
      </x:c>
      <x:c r="L1998" t="str" s="2">
        <x:v>Lost</x:v>
      </x:c>
    </x:row>
    <x:row r="1999">
      <x:c r="A1999" t="str" s="2">
        <x:f>="Kaye Harriel"</x:f>
      </x:c>
      <x:c r="B1999" t="str" s="2">
        <x:v>Heritage Housing of Jennings</x:v>
      </x:c>
      <x:c r="C1999" t="str" s="2">
        <x:v>0/3</x:v>
      </x:c>
      <x:c r="D1999" t="str" s="2">
        <x:v>6016694766</x:v>
      </x:c>
      <x:c r="E1999" t="str" s="2">
        <x:v>ronnieharriel@gmail.com</x:v>
      </x:c>
      <x:c r="F1999" t="str" s="2">
        <x:v>Meta Ads - Forms</x:v>
      </x:c>
      <x:c r="G1999" t="str" s="2">
        <x:v>Marty Fontenot</x:v>
      </x:c>
      <x:c r="H1999" s="6">
        <x:v>46206.75997086806</x:v>
      </x:c>
      <x:c r="I1999" s="0"/>
      <x:c r="J1999" s="0"/>
      <x:c r="K1999" s="6">
        <x:v>46227.70273336805</x:v>
      </x:c>
      <x:c r="L1999" t="str" s="2">
        <x:v>Lost</x:v>
      </x:c>
    </x:row>
    <x:row r="2000">
      <x:c r="A2000" t="str" s="2">
        <x:f>="Angel Coleman"</x:f>
      </x:c>
      <x:c r="B2000" t="str" s="2">
        <x:v>Heritage Housing of Jennings</x:v>
      </x:c>
      <x:c r="C2000" t="str" s="2">
        <x:v>0/5</x:v>
      </x:c>
      <x:c r="D2000" t="str" s="2">
        <x:v>2255365469</x:v>
      </x:c>
      <x:c r="E2000" t="str" s="2">
        <x:v>Seansanders42@gmail.com</x:v>
      </x:c>
      <x:c r="F2000" t="str" s="2">
        <x:v>Meta Ads - Forms</x:v>
      </x:c>
      <x:c r="G2000" t="str" s="2">
        <x:v>Mervin Leslie Smith</x:v>
      </x:c>
      <x:c r="H2000" s="6">
        <x:v>46207.172878206016</x:v>
      </x:c>
      <x:c r="I2000" s="0"/>
      <x:c r="J2000" s="0"/>
      <x:c r="K2000" s="6">
        <x:v>46235.85457549769</x:v>
      </x:c>
      <x:c r="L2000" t="str" s="2">
        <x:v>Lost</x:v>
      </x:c>
    </x:row>
    <x:row r="2001">
      <x:c r="A2001" t="str" s="2">
        <x:f>="Davonni Harmon"</x:f>
      </x:c>
      <x:c r="B2001" t="str" s="2">
        <x:v>Heritage Housing of Jennings</x:v>
      </x:c>
      <x:c r="C2001" t="str" s="2">
        <x:v>0/1</x:v>
      </x:c>
      <x:c r="D2001" t="str" s="2">
        <x:v>3372721257</x:v>
      </x:c>
      <x:c r="E2001" t="str" s="2">
        <x:v>Davonniharmon20@gmail.com</x:v>
      </x:c>
      <x:c r="F2001" t="str" s="2">
        <x:v>Meta Ads - Forms</x:v>
      </x:c>
      <x:c r="G2001" t="str" s="2">
        <x:v>Marty Fontenot</x:v>
      </x:c>
      <x:c r="H2001" s="6">
        <x:v>46207.17360717592</x:v>
      </x:c>
      <x:c r="I2001" s="0"/>
      <x:c r="J2001" s="0"/>
      <x:c r="K2001" s="6">
        <x:v>46251.8324903125</x:v>
      </x:c>
      <x:c r="L2001" t="str" s="2">
        <x:v>Lost</x:v>
      </x:c>
    </x:row>
    <x:row r="2002">
      <x:c r="A2002" t="str" s="2">
        <x:f>="Frederick King"</x:f>
      </x:c>
      <x:c r="B2002" t="str" s="2">
        <x:v>Heritage Housing of Athens</x:v>
      </x:c>
      <x:c r="C2002" t="str" s="2">
        <x:v/>
      </x:c>
      <x:c r="D2002" t="str" s="2">
        <x:v>7063191218</x:v>
      </x:c>
      <x:c r="E2002" t="str" s="2">
        <x:v>frederick.king1166@gmail.com</x:v>
      </x:c>
      <x:c r="F2002" t="str" s="2">
        <x:v>Meta Ads - Forms</x:v>
      </x:c>
      <x:c r="G2002" t="str" s="2">
        <x:v>Nathan Bishop</x:v>
      </x:c>
      <x:c r="H2002" s="6">
        <x:v>46207.629705555555</x:v>
      </x:c>
      <x:c r="I2002" s="0"/>
      <x:c r="J2002" s="0"/>
      <x:c r="K2002" s="6">
        <x:v>46252.684333715275</x:v>
      </x:c>
      <x:c r="L2002" t="str" s="2">
        <x:v>Lost</x:v>
      </x:c>
    </x:row>
    <x:row r="2003">
      <x:c r="A2003" t="str" s="2">
        <x:f>="Kevin Smith"</x:f>
      </x:c>
      <x:c r="B2003" t="str" s="2">
        <x:v>Heritage Housing of Albany</x:v>
      </x:c>
      <x:c r="C2003" t="str" s="2">
        <x:v/>
      </x:c>
      <x:c r="D2003" t="str" s="2">
        <x:v>5615674100</x:v>
      </x:c>
      <x:c r="E2003" t="str" s="2">
        <x:v>kevinasmith610@gmail.com</x:v>
      </x:c>
      <x:c r="F2003" t="str" s="2">
        <x:v>Financing Form</x:v>
      </x:c>
      <x:c r="G2003" t="str" s="2">
        <x:v>Yanet Alvarez</x:v>
      </x:c>
      <x:c r="H2003" s="6">
        <x:v>46207.90860829861</x:v>
      </x:c>
      <x:c r="I2003" s="0"/>
      <x:c r="J2003" s="0"/>
      <x:c r="K2003" s="6">
        <x:v>46209</x:v>
      </x:c>
      <x:c r="L2003" t="str" s="2">
        <x:v>Lost</x:v>
      </x:c>
    </x:row>
    <x:row r="2004">
      <x:c r="A2004" t="str" s="2">
        <x:f>="Yasheika Jones"</x:f>
      </x:c>
      <x:c r="B2004" t="str" s="2">
        <x:v>Heritage Housing of Augusta</x:v>
      </x:c>
      <x:c r="C2004" t="str" s="2">
        <x:v/>
      </x:c>
      <x:c r="D2004" t="str" s="2">
        <x:v>7622716004</x:v>
      </x:c>
      <x:c r="E2004" t="str" s="2">
        <x:v>keishajones3353@gmail.com</x:v>
      </x:c>
      <x:c r="F2004" t="str" s="2">
        <x:v>Meta Ads - Forms</x:v>
      </x:c>
      <x:c r="G2004" t="str" s="2">
        <x:v>Alex Jones</x:v>
      </x:c>
      <x:c r="H2004" s="6">
        <x:v>46207.929834490744</x:v>
      </x:c>
      <x:c r="I2004" s="0"/>
      <x:c r="J2004" s="0"/>
      <x:c r="K2004" s="6">
        <x:v>46225.82269221065</x:v>
      </x:c>
      <x:c r="L2004" t="str" s="2">
        <x:v>Lost</x:v>
      </x:c>
    </x:row>
    <x:row r="2005">
      <x:c r="A2005" t="str" s="2">
        <x:f>="Marcia Cousin"</x:f>
      </x:c>
      <x:c r="B2005" t="str" s="2">
        <x:v>Heritage Housing of Albany</x:v>
      </x:c>
      <x:c r="C2005" t="str" s="2">
        <x:v>0/2</x:v>
      </x:c>
      <x:c r="D2005" t="str" s="2">
        <x:v>7062280994</x:v>
      </x:c>
      <x:c r="E2005" t="str" s="2">
        <x:v>marciacousin250@gmail.com</x:v>
      </x:c>
      <x:c r="F2005" t="str" s="2">
        <x:v>LandingPage</x:v>
      </x:c>
      <x:c r="G2005" t="str" s="2">
        <x:v>Yanet Alvarez</x:v>
      </x:c>
      <x:c r="H2005" s="6">
        <x:v>46207.946034953704</x:v>
      </x:c>
      <x:c r="I2005" s="0"/>
      <x:c r="J2005" s="0"/>
      <x:c r="K2005" s="6">
        <x:v>46229.850223726855</x:v>
      </x:c>
      <x:c r="L2005" t="str" s="2">
        <x:v>Lost</x:v>
      </x:c>
    </x:row>
    <x:row r="2006">
      <x:c r="A2006" t="str" s="2">
        <x:f>="Bessie Augness"</x:f>
      </x:c>
      <x:c r="B2006" t="str" s="2">
        <x:v>Heritage Housing of Minden</x:v>
      </x:c>
      <x:c r="C2006" t="str" s="2">
        <x:v>0/2</x:v>
      </x:c>
      <x:c r="D2006" t="str" s="2">
        <x:v>3184404070</x:v>
      </x:c>
      <x:c r="E2006" t="str" s="2">
        <x:v>bessieaugness5@gmail.com</x:v>
      </x:c>
      <x:c r="F2006" t="str" s="2">
        <x:v>Meta Ads - Forms</x:v>
      </x:c>
      <x:c r="G2006" t="str" s="2">
        <x:v>Alescia Ridgdell</x:v>
      </x:c>
      <x:c r="H2006" s="6">
        <x:v>46208.22766582176</x:v>
      </x:c>
      <x:c r="I2006" s="0"/>
      <x:c r="J2006" s="0"/>
      <x:c r="K2006" s="6">
        <x:v>46217.70527160879</x:v>
      </x:c>
      <x:c r="L2006" t="str" s="2">
        <x:v>Lost</x:v>
      </x:c>
    </x:row>
    <x:row r="2007">
      <x:c r="A2007" t="str" s="2">
        <x:f>="Susan Lindsey"</x:f>
      </x:c>
      <x:c r="B2007" t="str" s="2">
        <x:v>Heritage Housing of Asheboro</x:v>
      </x:c>
      <x:c r="C2007" t="str" s="2">
        <x:v/>
      </x:c>
      <x:c r="D2007" t="str" s="2">
        <x:v>3365831850</x:v>
      </x:c>
      <x:c r="E2007" t="str" s="2">
        <x:v>slindsey641@gmail.com</x:v>
      </x:c>
      <x:c r="F2007" t="str" s="2">
        <x:v>Google Ads</x:v>
      </x:c>
      <x:c r="G2007" t="str" s="2">
        <x:v>Maria Lopez</x:v>
      </x:c>
      <x:c r="H2007" s="6">
        <x:v>46208.33468475694</x:v>
      </x:c>
      <x:c r="I2007" s="0"/>
      <x:c r="J2007" s="0"/>
      <x:c r="K2007" s="6">
        <x:v>46209</x:v>
      </x:c>
      <x:c r="L2007" t="str" s="2">
        <x:v>Lost</x:v>
      </x:c>
    </x:row>
    <x:row r="2008">
      <x:c r="A2008" t="str" s="2">
        <x:f>="Smith Mike"</x:f>
      </x:c>
      <x:c r="B2008" t="str" s="2">
        <x:v>Heritage Housing of Augusta</x:v>
      </x:c>
      <x:c r="C2008" t="str" s="2">
        <x:v/>
      </x:c>
      <x:c r="D2008" t="str" s="2">
        <x:v>8432580260</x:v>
      </x:c>
      <x:c r="E2008" t="str" s="2">
        <x:v>ms9472026@gmail.com</x:v>
      </x:c>
      <x:c r="F2008" t="str" s="2">
        <x:v>Meta Ads - Forms</x:v>
      </x:c>
      <x:c r="G2008" t="str" s="2">
        <x:v>Alex Jones</x:v>
      </x:c>
      <x:c r="H2008" s="6">
        <x:v>46208.494351967594</x:v>
      </x:c>
      <x:c r="I2008" s="0"/>
      <x:c r="J2008" s="0"/>
      <x:c r="K2008" s="6">
        <x:v>46266.71842994213</x:v>
      </x:c>
      <x:c r="L2008" t="str" s="2">
        <x:v>Lost</x:v>
      </x:c>
    </x:row>
    <x:row r="2009">
      <x:c r="A2009" t="str" s="2">
        <x:f>="Steve Mossman"</x:f>
      </x:c>
      <x:c r="B2009" t="str" s="2">
        <x:v>Heritage Housing Gainesville</x:v>
      </x:c>
      <x:c r="C2009" t="str" s="2">
        <x:v/>
      </x:c>
      <x:c r="D2009" t="str" s="2" xml:space="preserve">
        <x:v> 9406002326    </x:v>
      </x:c>
      <x:c r="E2009" t="str" s="2">
        <x:v>steve.mossman@yahoo.com</x:v>
      </x:c>
      <x:c r="F2009" t="str" s="2">
        <x:v>Meta Ads - Forms</x:v>
      </x:c>
      <x:c r="G2009" t="str" s="2">
        <x:v>Chris Michniacki</x:v>
      </x:c>
      <x:c r="H2009" s="6">
        <x:v>46208.56449621528</x:v>
      </x:c>
      <x:c r="I2009" s="0"/>
      <x:c r="J2009" s="0"/>
      <x:c r="K2009" s="6">
        <x:v>46218.686984803244</x:v>
      </x:c>
      <x:c r="L2009" t="str" s="2">
        <x:v>Lost</x:v>
      </x:c>
    </x:row>
    <x:row r="2010">
      <x:c r="A2010" t="str" s="2">
        <x:f>="Renee Tucker"</x:f>
      </x:c>
      <x:c r="B2010" t="str" s="2">
        <x:v>Heritage Housing of Asheboro</x:v>
      </x:c>
      <x:c r="C2010" t="str" s="2">
        <x:v/>
      </x:c>
      <x:c r="D2010" t="str" s="2">
        <x:v>9104435015</x:v>
      </x:c>
      <x:c r="E2010" t="str" s="2">
        <x:v>alexandriat806@gmail.com</x:v>
      </x:c>
      <x:c r="F2010" t="str" s="2">
        <x:v>Meta Ads - Forms</x:v>
      </x:c>
      <x:c r="G2010" t="str" s="2">
        <x:v>Maria Lopez</x:v>
      </x:c>
      <x:c r="H2010" s="6">
        <x:v>46208.60335899305</x:v>
      </x:c>
      <x:c r="I2010" s="0"/>
      <x:c r="J2010" s="0"/>
      <x:c r="K2010" s="6">
        <x:v>46210</x:v>
      </x:c>
      <x:c r="L2010" t="str" s="2">
        <x:v>Lost</x:v>
      </x:c>
    </x:row>
    <x:row r="2011">
      <x:c r="A2011" t="str" s="2">
        <x:f>="Ruby Ruth"</x:f>
      </x:c>
      <x:c r="B2011" t="str" s="2">
        <x:v>Heritage Housing of Albany</x:v>
      </x:c>
      <x:c r="C2011" t="str" s="2">
        <x:v/>
      </x:c>
      <x:c r="D2011" t="str" s="2">
        <x:v>2292918404</x:v>
      </x:c>
      <x:c r="E2011" t="str" s="2">
        <x:v>rubyruth882@gmail.com</x:v>
      </x:c>
      <x:c r="F2011" t="str" s="2">
        <x:v>Meta Ads - Forms</x:v>
      </x:c>
      <x:c r="G2011" t="str" s="2">
        <x:v>Yanet Alvarez</x:v>
      </x:c>
      <x:c r="H2011" s="6">
        <x:v>46208.75061400463</x:v>
      </x:c>
      <x:c r="I2011" s="0"/>
      <x:c r="J2011" s="0"/>
      <x:c r="K2011" s="6">
        <x:v>46226</x:v>
      </x:c>
      <x:c r="L2011" t="str" s="2">
        <x:v>Lost</x:v>
      </x:c>
    </x:row>
    <x:row r="2012">
      <x:c r="A2012" t="str" s="2">
        <x:f>="Penny Simmons"</x:f>
      </x:c>
      <x:c r="B2012" t="str" s="2">
        <x:v>Heritage Housing of Asheboro</x:v>
      </x:c>
      <x:c r="C2012" t="str" s="2">
        <x:v/>
      </x:c>
      <x:c r="D2012" t="str" s="2">
        <x:v>7049259991</x:v>
      </x:c>
      <x:c r="E2012" t="str" s="2">
        <x:v>pennylynn999@gmail.com</x:v>
      </x:c>
      <x:c r="F2012" t="str" s="2">
        <x:v>Meta Ads - Forms</x:v>
      </x:c>
      <x:c r="G2012" t="str" s="2">
        <x:v>Maria Lopez</x:v>
      </x:c>
      <x:c r="H2012" s="6">
        <x:v>46208.85191215278</x:v>
      </x:c>
      <x:c r="I2012" s="0"/>
      <x:c r="J2012" s="0"/>
      <x:c r="K2012" s="6">
        <x:v>46232</x:v>
      </x:c>
      <x:c r="L2012" t="str" s="2">
        <x:v>Lost</x:v>
      </x:c>
    </x:row>
    <x:row r="2013">
      <x:c r="A2013" t="str" s="2">
        <x:f>="Katrina Daniels"</x:f>
      </x:c>
      <x:c r="B2013" t="str" s="2">
        <x:v>Heritage Housing of Jennings</x:v>
      </x:c>
      <x:c r="C2013" t="str" s="2">
        <x:v>0/2</x:v>
      </x:c>
      <x:c r="D2013" t="str" s="2">
        <x:v>5049470327</x:v>
      </x:c>
      <x:c r="E2013" t="str" s="2">
        <x:v>katrinadaniels241@gmail.com</x:v>
      </x:c>
      <x:c r="F2013" t="str" s="2">
        <x:v>Meta Ads - Forms</x:v>
      </x:c>
      <x:c r="G2013" t="str" s="2">
        <x:v>Marty Fontenot</x:v>
      </x:c>
      <x:c r="H2013" s="6">
        <x:v>46208.91757704861</x:v>
      </x:c>
      <x:c r="I2013" s="0"/>
      <x:c r="J2013" s="0"/>
      <x:c r="K2013" s="6">
        <x:v>46233.68755011574</x:v>
      </x:c>
      <x:c r="L2013" t="str" s="2">
        <x:v>Lost</x:v>
      </x:c>
    </x:row>
    <x:row r="2014">
      <x:c r="A2014" t="str" s="2">
        <x:f>="Terry Mickens"</x:f>
      </x:c>
      <x:c r="B2014" t="str" s="2">
        <x:v>Heritage Housing of Minden</x:v>
      </x:c>
      <x:c r="C2014" t="str" s="2">
        <x:v>0/1</x:v>
      </x:c>
      <x:c r="D2014" t="str" s="2">
        <x:v>3185322526</x:v>
      </x:c>
      <x:c r="E2014" t="str" s="2">
        <x:v>princessterrytm@gmail.com</x:v>
      </x:c>
      <x:c r="F2014" t="str" s="2">
        <x:v>Meta Ads - Forms</x:v>
      </x:c>
      <x:c r="G2014" t="str" s="2">
        <x:v>Alescia Ridgdell</x:v>
      </x:c>
      <x:c r="H2014" s="6">
        <x:v>46208.988858599536</x:v>
      </x:c>
      <x:c r="I2014" s="0"/>
      <x:c r="J2014" s="0"/>
      <x:c r="K2014" s="6">
        <x:v>46209.585180092596</x:v>
      </x:c>
      <x:c r="L2014" t="str" s="2">
        <x:v>Lost</x:v>
      </x:c>
    </x:row>
    <x:row r="2015">
      <x:c r="A2015" t="str" s="2">
        <x:f>="Wanda Craig"</x:f>
      </x:c>
      <x:c r="B2015" t="str" s="2">
        <x:v>Heritage Housing of Minden</x:v>
      </x:c>
      <x:c r="C2015" t="str" s="2">
        <x:v>0/1</x:v>
      </x:c>
      <x:c r="D2015" t="str" s="2">
        <x:v>8328944604</x:v>
      </x:c>
      <x:c r="E2015" t="str" s="2">
        <x:v>wandacraig03@gmail.com</x:v>
      </x:c>
      <x:c r="F2015" t="str" s="2">
        <x:v>Meta Ads - Forms</x:v>
      </x:c>
      <x:c r="G2015" t="str" s="2">
        <x:v>Alescia Ridgdell</x:v>
      </x:c>
      <x:c r="H2015" s="6">
        <x:v>46208.996303472224</x:v>
      </x:c>
      <x:c r="I2015" s="0"/>
      <x:c r="J2015" s="0"/>
      <x:c r="K2015" s="6">
        <x:v>46213.91681820602</x:v>
      </x:c>
      <x:c r="L2015" t="str" s="2">
        <x:v>Lost</x:v>
      </x:c>
    </x:row>
    <x:row r="2016">
      <x:c r="A2016" t="str" s="2">
        <x:f>="Misty Johnson"</x:f>
      </x:c>
      <x:c r="B2016" t="str" s="2">
        <x:v>Heritage Housing Gainesville</x:v>
      </x:c>
      <x:c r="C2016" t="str" s="2">
        <x:v/>
      </x:c>
      <x:c r="D2016" t="str" s="2">
        <x:v>4792808171</x:v>
      </x:c>
      <x:c r="E2016" t="str" s="2">
        <x:v>mljohnson29013@gmail.com</x:v>
      </x:c>
      <x:c r="F2016" t="str" s="2">
        <x:v>LandingPage</x:v>
      </x:c>
      <x:c r="G2016" t="str" s="2">
        <x:v>Chris Michniacki</x:v>
      </x:c>
      <x:c r="H2016" s="6">
        <x:v>46209.25584244213</x:v>
      </x:c>
      <x:c r="I2016" s="0"/>
      <x:c r="J2016" s="0"/>
      <x:c r="K2016" s="6">
        <x:v>46209.64390170139</x:v>
      </x:c>
      <x:c r="L2016" t="str" s="2">
        <x:v>Lost</x:v>
      </x:c>
    </x:row>
    <x:row r="2017">
      <x:c r="A2017" t="str" s="2">
        <x:f>="Krystle Davis"</x:f>
      </x:c>
      <x:c r="B2017" t="str" s="2">
        <x:v>Heritage Housing of Asheboro</x:v>
      </x:c>
      <x:c r="C2017" t="str" s="2">
        <x:v/>
      </x:c>
      <x:c r="D2017" t="str" s="2">
        <x:v>3364609983</x:v>
      </x:c>
      <x:c r="E2017" t="str" s="2">
        <x:v>rutledgekrystle@yahoo.com</x:v>
      </x:c>
      <x:c r="F2017" t="str" s="2">
        <x:v>Website</x:v>
      </x:c>
      <x:c r="G2017" t="str" s="2">
        <x:v>Maria Lopez</x:v>
      </x:c>
      <x:c r="H2017" s="6">
        <x:v>46209.28557612268</x:v>
      </x:c>
      <x:c r="I2017" s="0"/>
      <x:c r="J2017" s="0"/>
      <x:c r="K2017" s="6">
        <x:v>46223</x:v>
      </x:c>
      <x:c r="L2017" t="str" s="2">
        <x:v>Lost</x:v>
      </x:c>
    </x:row>
    <x:row r="2018">
      <x:c r="A2018" t="str" s="2">
        <x:f>="T Morris"</x:f>
      </x:c>
      <x:c r="B2018" t="str" s="2">
        <x:v>Heritage Housing of Albany</x:v>
      </x:c>
      <x:c r="C2018" t="str" s="2">
        <x:v>0/2</x:v>
      </x:c>
      <x:c r="D2018" t="str" s="2">
        <x:v>9123814911</x:v>
      </x:c>
      <x:c r="E2018" t="str" s="2">
        <x:v>tdmorris31@gmail.com</x:v>
      </x:c>
      <x:c r="F2018" t="str" s="2">
        <x:v>Meta Ads - Forms</x:v>
      </x:c>
      <x:c r="G2018" t="str" s="2">
        <x:v>Yanet Alvarez</x:v>
      </x:c>
      <x:c r="H2018" s="6">
        <x:v>46209.30616886574</x:v>
      </x:c>
      <x:c r="I2018" s="0"/>
      <x:c r="J2018" s="0"/>
      <x:c r="K2018" s="6">
        <x:v>46229.84908903935</x:v>
      </x:c>
      <x:c r="L2018" t="str" s="2">
        <x:v>Lost</x:v>
      </x:c>
    </x:row>
    <x:row r="2019">
      <x:c r="A2019" t="str" s="2">
        <x:f>="Terrence Williams Jr."</x:f>
      </x:c>
      <x:c r="B2019" t="str" s="2">
        <x:v>Heritage Housing of Jennings</x:v>
      </x:c>
      <x:c r="C2019" t="str" s="2">
        <x:v>1/2</x:v>
      </x:c>
      <x:c r="D2019" t="str" s="2">
        <x:v>2254593749</x:v>
      </x:c>
      <x:c r="E2019" t="str" s="2">
        <x:v>terrence.williams4546@yahoo.com</x:v>
      </x:c>
      <x:c r="F2019" t="str" s="2">
        <x:v>Meta Ads - Forms</x:v>
      </x:c>
      <x:c r="G2019" t="str" s="2">
        <x:v>Marty Fontenot</x:v>
      </x:c>
      <x:c r="H2019" s="6">
        <x:v>46209.37585960648</x:v>
      </x:c>
      <x:c r="I2019" s="0"/>
      <x:c r="J2019" s="0"/>
      <x:c r="K2019" s="6">
        <x:v>46226.84157380787</x:v>
      </x:c>
      <x:c r="L2019" t="str" s="2">
        <x:v>Lost</x:v>
      </x:c>
    </x:row>
    <x:row r="2020">
      <x:c r="A2020" t="str" s="2">
        <x:f>="Yaqueline Roberts"</x:f>
      </x:c>
      <x:c r="B2020" t="str" s="2">
        <x:v>Heritage Housing of Athens</x:v>
      </x:c>
      <x:c r="C2020" t="str" s="2">
        <x:v/>
      </x:c>
      <x:c r="D2020" t="str" s="2">
        <x:v>2399553872</x:v>
      </x:c>
      <x:c r="E2020" t="str" s="2">
        <x:v>Yaquiarts3@yahoo.com</x:v>
      </x:c>
      <x:c r="F2020" t="str" s="2">
        <x:v>Meta Ads - Forms</x:v>
      </x:c>
      <x:c r="G2020" t="str" s="2">
        <x:v>Ethan Fossett</x:v>
      </x:c>
      <x:c r="H2020" s="6">
        <x:v>46209.429057326386</x:v>
      </x:c>
      <x:c r="I2020" s="0"/>
      <x:c r="J2020" s="0"/>
      <x:c r="K2020" s="6">
        <x:v>46252.66778788195</x:v>
      </x:c>
      <x:c r="L2020" t="str" s="2">
        <x:v>Lost</x:v>
      </x:c>
    </x:row>
    <x:row r="2021">
      <x:c r="A2021" t="str" s="2">
        <x:f>="Earl Armour"</x:f>
      </x:c>
      <x:c r="B2021" t="str" s="2">
        <x:v>Heritage Housing of Athens</x:v>
      </x:c>
      <x:c r="C2021" t="str" s="2">
        <x:v/>
      </x:c>
      <x:c r="D2021" t="str" s="2">
        <x:v>7068172930</x:v>
      </x:c>
      <x:c r="E2021" t="str" s="2">
        <x:v>7068172930</x:v>
      </x:c>
      <x:c r="F2021" t="str" s="2">
        <x:v>Meta Ads - Messenger</x:v>
      </x:c>
      <x:c r="G2021" t="str" s="2">
        <x:v>Ethan Fossett</x:v>
      </x:c>
      <x:c r="H2021" s="6">
        <x:v>46209.574383252315</x:v>
      </x:c>
      <x:c r="I2021" s="0"/>
      <x:c r="J2021" s="6">
        <x:v>46214.583333333336</x:v>
      </x:c>
      <x:c r="K2021" s="6">
        <x:v>46252.56858769676</x:v>
      </x:c>
      <x:c r="L2021" t="str" s="2">
        <x:v>Lost</x:v>
      </x:c>
    </x:row>
    <x:row r="2022">
      <x:c r="A2022" t="str" s="2">
        <x:f>="Kyera Trice"</x:f>
      </x:c>
      <x:c r="B2022" t="str" s="2">
        <x:v>Heritage Housing of Athens</x:v>
      </x:c>
      <x:c r="C2022" t="str" s="2">
        <x:v/>
      </x:c>
      <x:c r="D2022" t="str" s="2">
        <x:v>4046379803</x:v>
      </x:c>
      <x:c r="E2022" t="str" s="2">
        <x:v>trice_kyera@yahoo.com</x:v>
      </x:c>
      <x:c r="F2022" t="str" s="2">
        <x:v>Financing Form</x:v>
      </x:c>
      <x:c r="G2022" t="str" s="2">
        <x:v>Nathan Bishop</x:v>
      </x:c>
      <x:c r="H2022" s="6">
        <x:v>46209.67804042824</x:v>
      </x:c>
      <x:c r="I2022" s="0"/>
      <x:c r="J2022" s="0"/>
      <x:c r="K2022" s="6">
        <x:v>46265.82837688657</x:v>
      </x:c>
      <x:c r="L2022" t="str" s="2">
        <x:v>Lost</x:v>
      </x:c>
    </x:row>
    <x:row r="2023">
      <x:c r="A2023" t="str" s="2">
        <x:f>="Dawn Wilson"</x:f>
      </x:c>
      <x:c r="B2023" t="str" s="2">
        <x:v>Heritage Housing of Asheboro</x:v>
      </x:c>
      <x:c r="C2023" t="str" s="2">
        <x:v/>
      </x:c>
      <x:c r="D2023" t="str" s="2">
        <x:v>3369630446</x:v>
      </x:c>
      <x:c r="E2023" t="str" s="2">
        <x:v>all4kaliber@yahoo.com</x:v>
      </x:c>
      <x:c r="F2023" t="str" s="2">
        <x:v>Meta Ads - Forms</x:v>
      </x:c>
      <x:c r="G2023" t="str" s="2">
        <x:v>Maria Lopez</x:v>
      </x:c>
      <x:c r="H2023" s="6">
        <x:v>46209.699909525465</x:v>
      </x:c>
      <x:c r="I2023" s="0"/>
      <x:c r="J2023" s="0"/>
      <x:c r="K2023" s="6">
        <x:v>46234</x:v>
      </x:c>
      <x:c r="L2023" t="str" s="2">
        <x:v>Lost</x:v>
      </x:c>
    </x:row>
    <x:row r="2024">
      <x:c r="A2024" t="str" s="2">
        <x:f>="Shanna Bush"</x:f>
      </x:c>
      <x:c r="B2024" t="str" s="2">
        <x:v>Heritage Housing Gainesville</x:v>
      </x:c>
      <x:c r="C2024" t="str" s="2">
        <x:v/>
      </x:c>
      <x:c r="D2024" t="str" s="2">
        <x:v>6824465593</x:v>
      </x:c>
      <x:c r="E2024" t="str" s="2">
        <x:v>shannaharris1031@gmail.com</x:v>
      </x:c>
      <x:c r="F2024" t="str" s="2">
        <x:v>Meta Ads - Forms</x:v>
      </x:c>
      <x:c r="G2024" t="str" s="2">
        <x:v>Chris Michniacki</x:v>
      </x:c>
      <x:c r="H2024" s="6">
        <x:v>46209.75370054398</x:v>
      </x:c>
      <x:c r="I2024" s="0"/>
      <x:c r="J2024" s="0"/>
      <x:c r="K2024" s="6">
        <x:v>46209.79587306713</x:v>
      </x:c>
      <x:c r="L2024" t="str" s="2">
        <x:v>Lost</x:v>
      </x:c>
    </x:row>
    <x:row r="2025">
      <x:c r="A2025" t="str" s="2">
        <x:f>=HYPERLINK("https://rsms.futurehomex.com/lead/38295", "Wesley Wise")</x:f>
      </x:c>
      <x:c r="B2025" t="str" s="2">
        <x:v>Heritage Housing of Athens</x:v>
      </x:c>
      <x:c r="C2025" t="str" s="2">
        <x:v/>
      </x:c>
      <x:c r="D2025" t="str" s="2">
        <x:v>7707152809</x:v>
      </x:c>
      <x:c r="E2025" t="str" s="2">
        <x:v>7707152809</x:v>
      </x:c>
      <x:c r="F2025" t="str" s="2">
        <x:v>Google Ads</x:v>
      </x:c>
      <x:c r="G2025" t="str" s="2">
        <x:v>Ethan Fossett</x:v>
      </x:c>
      <x:c r="H2025" s="6">
        <x:v>46209.95856947917</x:v>
      </x:c>
      <x:c r="I2025" t="str" s="2">
        <x:v>Nathan Bishop</x:v>
      </x:c>
      <x:c r="J2025" s="0"/>
      <x:c r="K2025" s="6">
        <x:v>46259.62817866898</x:v>
      </x:c>
      <x:c r="L2025" t="str" s="2">
        <x:v>Lost</x:v>
      </x:c>
    </x:row>
    <x:row r="2026">
      <x:c r="A2026" t="str" s="2">
        <x:f>="Marthablalf +141653133692"</x:f>
      </x:c>
      <x:c r="B2026" t="str" s="2">
        <x:v>Heritage Housing of Albany</x:v>
      </x:c>
      <x:c r="C2026" t="str" s="2">
        <x:v>0/1</x:v>
      </x:c>
      <x:c r="D2026" t="str" s="2">
        <x:v>84634495345</x:v>
      </x:c>
      <x:c r="E2026" t="str" s="2">
        <x:v>jfvjthc@daubsno.neb</x:v>
      </x:c>
      <x:c r="F2026" t="str" s="2">
        <x:v>Website</x:v>
      </x:c>
      <x:c r="G2026" t="str" s="2">
        <x:v>Yanet Alvarez</x:v>
      </x:c>
      <x:c r="H2026" s="6">
        <x:v>46209.98904957176</x:v>
      </x:c>
      <x:c r="I2026" s="0"/>
      <x:c r="J2026" s="0"/>
      <x:c r="K2026" s="6">
        <x:v>46229.84735778935</x:v>
      </x:c>
      <x:c r="L2026" t="str" s="2">
        <x:v>Lost</x:v>
      </x:c>
    </x:row>
    <x:row r="2027">
      <x:c r="A2027" t="str" s="2">
        <x:f>="Frances Mann"</x:f>
      </x:c>
      <x:c r="B2027" t="str" s="2">
        <x:v>Heritage Housing of Asheboro</x:v>
      </x:c>
      <x:c r="C2027" t="str" s="2">
        <x:v/>
      </x:c>
      <x:c r="D2027" t="str" s="2">
        <x:v>5108306920</x:v>
      </x:c>
      <x:c r="E2027" t="str" s="2">
        <x:v>lovesweetlove58@yahoo.com</x:v>
      </x:c>
      <x:c r="F2027" t="str" s="2">
        <x:v>Website</x:v>
      </x:c>
      <x:c r="G2027" t="str" s="2">
        <x:v>Maria Lopez</x:v>
      </x:c>
      <x:c r="H2027" s="6">
        <x:v>46210.06088232639</x:v>
      </x:c>
      <x:c r="I2027" s="0"/>
      <x:c r="J2027" s="0"/>
      <x:c r="K2027" s="6">
        <x:v>46258</x:v>
      </x:c>
      <x:c r="L2027" t="str" s="2">
        <x:v>Lost</x:v>
      </x:c>
    </x:row>
    <x:row r="2028">
      <x:c r="A2028" t="str" s="2">
        <x:f>="Madalyn Edwards"</x:f>
      </x:c>
      <x:c r="B2028" t="str" s="2">
        <x:v>Heritage Housing of Minden</x:v>
      </x:c>
      <x:c r="C2028" t="str" s="2">
        <x:v/>
      </x:c>
      <x:c r="D2028" t="str" s="2">
        <x:v>3182099614</x:v>
      </x:c>
      <x:c r="E2028" t="str" s="2">
        <x:v>bn.edwards30@gmail.com</x:v>
      </x:c>
      <x:c r="F2028" t="str" s="2">
        <x:v>Meta Ads - Forms</x:v>
      </x:c>
      <x:c r="G2028" t="str" s="2">
        <x:v>Alescia Ridgdell</x:v>
      </x:c>
      <x:c r="H2028" s="6">
        <x:v>46210.20016701389</x:v>
      </x:c>
      <x:c r="I2028" s="0"/>
      <x:c r="J2028" s="0"/>
      <x:c r="K2028" s="6">
        <x:v>46210.597936261576</x:v>
      </x:c>
      <x:c r="L2028" t="str" s="2">
        <x:v>Lost</x:v>
      </x:c>
    </x:row>
    <x:row r="2029">
      <x:c r="A2029" t="str" s="2">
        <x:f>="Jodie Travis"</x:f>
      </x:c>
      <x:c r="B2029" t="str" s="2">
        <x:v>Heritage Housing of Asheboro</x:v>
      </x:c>
      <x:c r="C2029" t="str" s="2">
        <x:v/>
      </x:c>
      <x:c r="D2029" t="str" s="2">
        <x:v>3367451393</x:v>
      </x:c>
      <x:c r="E2029" t="str" s="2">
        <x:v>hercandkarma.3@gmail.com</x:v>
      </x:c>
      <x:c r="F2029" t="str" s="2">
        <x:v>Website</x:v>
      </x:c>
      <x:c r="G2029" t="str" s="2">
        <x:v>Maria Lopez</x:v>
      </x:c>
      <x:c r="H2029" s="6">
        <x:v>46210.259465243056</x:v>
      </x:c>
      <x:c r="I2029" s="0"/>
      <x:c r="J2029" s="0"/>
      <x:c r="K2029" s="6">
        <x:v>46256</x:v>
      </x:c>
      <x:c r="L2029" t="str" s="2">
        <x:v>Lost</x:v>
      </x:c>
    </x:row>
    <x:row r="2030">
      <x:c r="A2030" t="str" s="2">
        <x:f>="LaDarian Carter"</x:f>
      </x:c>
      <x:c r="B2030" t="str" s="2">
        <x:v>Heritage Housing of Oklahoma City</x:v>
      </x:c>
      <x:c r="C2030" t="str" s="2">
        <x:v>0/1</x:v>
      </x:c>
      <x:c r="D2030" t="str" s="2">
        <x:v>9182895969</x:v>
      </x:c>
      <x:c r="E2030" t="str" s="2">
        <x:v>ladariancarter72@gmail.com</x:v>
      </x:c>
      <x:c r="F2030" t="str" s="2">
        <x:v>Meta Ads - Forms</x:v>
      </x:c>
      <x:c r="G2030" t="str" s="2">
        <x:v>Steve Castell</x:v>
      </x:c>
      <x:c r="H2030" s="6">
        <x:v>46210.55119262732</x:v>
      </x:c>
      <x:c r="I2030" s="0"/>
      <x:c r="J2030" s="0"/>
      <x:c r="K2030" s="6">
        <x:v>46212.81741736111</x:v>
      </x:c>
      <x:c r="L2030" t="str" s="2">
        <x:v>Lost</x:v>
      </x:c>
    </x:row>
    <x:row r="2031">
      <x:c r="A2031" t="str" s="2">
        <x:f>="Rita Shackelford"</x:f>
      </x:c>
      <x:c r="B2031" t="str" s="2">
        <x:v>Heritage Housing Marble Falls</x:v>
      </x:c>
      <x:c r="C2031" t="str" s="2">
        <x:v/>
      </x:c>
      <x:c r="D2031" t="str" s="2">
        <x:v>3256420271</x:v>
      </x:c>
      <x:c r="E2031" t="str" s="2">
        <x:v>ritagail325@gmail.com</x:v>
      </x:c>
      <x:c r="F2031" t="str" s="2">
        <x:v>Meta Ads - Forms</x:v>
      </x:c>
      <x:c r="G2031" t="str" s="2">
        <x:v>Franchesca Parker</x:v>
      </x:c>
      <x:c r="H2031" s="6">
        <x:v>46210.608750231484</x:v>
      </x:c>
      <x:c r="I2031" s="0"/>
      <x:c r="J2031" s="0"/>
      <x:c r="K2031" s="6">
        <x:v>46219</x:v>
      </x:c>
      <x:c r="L2031" t="str" s="2">
        <x:v>Lost</x:v>
      </x:c>
    </x:row>
    <x:row r="2032">
      <x:c r="A2032" t="str" s="2">
        <x:f>="Brandon Hoskins"</x:f>
      </x:c>
      <x:c r="B2032" t="str" s="2">
        <x:v>Heritage Housing Gainesville</x:v>
      </x:c>
      <x:c r="C2032" t="str" s="2">
        <x:v/>
      </x:c>
      <x:c r="D2032" t="str" s="2">
        <x:v>9726796353</x:v>
      </x:c>
      <x:c r="E2032" t="str" s="2">
        <x:v>Hoskins355@verizon.net</x:v>
      </x:c>
      <x:c r="F2032" t="str" s="2">
        <x:v>Website</x:v>
      </x:c>
      <x:c r="G2032" t="str" s="2">
        <x:v>Chris Michniacki</x:v>
      </x:c>
      <x:c r="H2032" s="6">
        <x:v>46210.616071875</x:v>
      </x:c>
      <x:c r="I2032" s="0"/>
      <x:c r="J2032" s="0"/>
      <x:c r="K2032" s="6">
        <x:v>46211.54080038195</x:v>
      </x:c>
      <x:c r="L2032" t="str" s="2">
        <x:v>Lost</x:v>
      </x:c>
    </x:row>
    <x:row r="2033">
      <x:c r="A2033" t="str" s="2">
        <x:f>="Alyssa Mills"</x:f>
      </x:c>
      <x:c r="B2033" t="str" s="2">
        <x:v>Heritage Housing of Jennings</x:v>
      </x:c>
      <x:c r="C2033" t="str" s="2">
        <x:v>0/3</x:v>
      </x:c>
      <x:c r="D2033" t="str" s="2">
        <x:v>3373775438</x:v>
      </x:c>
      <x:c r="E2033" t="str" s="2">
        <x:v>alyssamills434@gmail.com</x:v>
      </x:c>
      <x:c r="F2033" t="str" s="2">
        <x:v>Financing Form</x:v>
      </x:c>
      <x:c r="G2033" t="str" s="2">
        <x:v>Clint O'Neal</x:v>
      </x:c>
      <x:c r="H2033" s="6">
        <x:v>46210.68870706019</x:v>
      </x:c>
      <x:c r="I2033" s="0"/>
      <x:c r="J2033" s="0"/>
      <x:c r="K2033" s="6">
        <x:v>46225.793124386575</x:v>
      </x:c>
      <x:c r="L2033" t="str" s="2">
        <x:v>Lost</x:v>
      </x:c>
    </x:row>
    <x:row r="2034">
      <x:c r="A2034" t="str" s="2">
        <x:f>="Megan Richardson"</x:f>
      </x:c>
      <x:c r="B2034" t="str" s="2">
        <x:v>Heritage Housing of Jennings</x:v>
      </x:c>
      <x:c r="C2034" t="str" s="2">
        <x:v/>
      </x:c>
      <x:c r="D2034" t="str" s="2">
        <x:v>3375100846</x:v>
      </x:c>
      <x:c r="E2034" t="str" s="2">
        <x:v>megan.rsofla@gmail.com</x:v>
      </x:c>
      <x:c r="F2034" t="str" s="2">
        <x:v>Financing Form</x:v>
      </x:c>
      <x:c r="G2034" t="str" s="2">
        <x:v>Mervin Leslie Smith</x:v>
      </x:c>
      <x:c r="H2034" s="6">
        <x:v>46210.89159293981</x:v>
      </x:c>
      <x:c r="I2034" s="0"/>
      <x:c r="J2034" s="0"/>
      <x:c r="K2034" s="6">
        <x:v>46262.80400752315</x:v>
      </x:c>
      <x:c r="L2034" t="str" s="2">
        <x:v>Lost</x:v>
      </x:c>
    </x:row>
    <x:row r="2035">
      <x:c r="A2035" t="str" s="2">
        <x:f>="carolina prueba"</x:f>
      </x:c>
      <x:c r="B2035" t="str" s="2">
        <x:v>Heritage Housing of Tulsa</x:v>
      </x:c>
      <x:c r="C2035" t="str" s="2">
        <x:v/>
      </x:c>
      <x:c r="D2035" t="str" s="2">
        <x:v>357156986</x:v>
      </x:c>
      <x:c r="E2035" t="str" s="2">
        <x:v>carolina123@gmail.com</x:v>
      </x:c>
      <x:c r="F2035" t="str" s="2">
        <x:v>Meta Ads - Traffic</x:v>
      </x:c>
      <x:c r="G2035" t="str" s="2">
        <x:v>Brittany Cobb</x:v>
      </x:c>
      <x:c r="H2035" s="6">
        <x:v>46210.904912384256</x:v>
      </x:c>
      <x:c r="I2035" s="0"/>
      <x:c r="J2035" s="0"/>
      <x:c r="K2035" s="6">
        <x:v>46237</x:v>
      </x:c>
      <x:c r="L2035" t="str" s="2">
        <x:v>Lost</x:v>
      </x:c>
    </x:row>
    <x:row r="2036">
      <x:c r="A2036" t="str" s="2">
        <x:f>="Martha Montague"</x:f>
      </x:c>
      <x:c r="B2036" t="str" s="2">
        <x:v>Heritage Housing of Asheboro</x:v>
      </x:c>
      <x:c r="C2036" t="str" s="2">
        <x:v/>
      </x:c>
      <x:c r="D2036" t="str" s="2">
        <x:v>7432429532</x:v>
      </x:c>
      <x:c r="E2036" t="str" s="2">
        <x:v>cookesamuel55@gmail.com</x:v>
      </x:c>
      <x:c r="F2036" t="str" s="2">
        <x:v>Meta Ads - Traffic</x:v>
      </x:c>
      <x:c r="G2036" t="str" s="2">
        <x:v>Maria Lopez</x:v>
      </x:c>
      <x:c r="H2036" s="6">
        <x:v>46210.90728903935</x:v>
      </x:c>
      <x:c r="I2036" s="0"/>
      <x:c r="J2036" s="0"/>
      <x:c r="K2036" s="6">
        <x:v>46213.62772653935</x:v>
      </x:c>
      <x:c r="L2036" t="str" s="2">
        <x:v>Lost</x:v>
      </x:c>
    </x:row>
    <x:row r="2037">
      <x:c r="A2037" t="str" s="2">
        <x:f>="Theresa Holman"</x:f>
      </x:c>
      <x:c r="B2037" t="str" s="2">
        <x:v>Heritage Housing of Minden</x:v>
      </x:c>
      <x:c r="C2037" t="str" s="2">
        <x:v>0/1</x:v>
      </x:c>
      <x:c r="D2037" t="str" s="2">
        <x:v>2723792916</x:v>
      </x:c>
      <x:c r="E2037" t="str" s="2">
        <x:v>tjholman1959@gmail.com</x:v>
      </x:c>
      <x:c r="F2037" t="str" s="2">
        <x:v>Meta Ads - Forms</x:v>
      </x:c>
      <x:c r="G2037" t="str" s="2">
        <x:v>Patrick Schuchart</x:v>
      </x:c>
      <x:c r="H2037" s="6">
        <x:v>46210.922740775466</x:v>
      </x:c>
      <x:c r="I2037" s="0"/>
      <x:c r="J2037" s="0"/>
      <x:c r="K2037" s="6">
        <x:v>46238.94220818287</x:v>
      </x:c>
      <x:c r="L2037" t="str" s="2">
        <x:v>Lost</x:v>
      </x:c>
    </x:row>
    <x:row r="2038">
      <x:c r="A2038" t="str" s="2">
        <x:f>="Kevin Essary"</x:f>
      </x:c>
      <x:c r="B2038" t="str" s="2">
        <x:v>Heritage Housing of Oklahoma City</x:v>
      </x:c>
      <x:c r="C2038" t="str" s="2">
        <x:v/>
      </x:c>
      <x:c r="D2038" t="str" s="2">
        <x:v>4056139991</x:v>
      </x:c>
      <x:c r="E2038" t="str" s="2">
        <x:v>4056139991</x:v>
      </x:c>
      <x:c r="F2038" t="str" s="2">
        <x:v>Facebook Messenger</x:v>
      </x:c>
      <x:c r="G2038" t="str" s="2">
        <x:v>Karla Brizuela</x:v>
      </x:c>
      <x:c r="H2038" s="6">
        <x:v>46210.93395644676</x:v>
      </x:c>
      <x:c r="I2038" s="0"/>
      <x:c r="J2038" s="6">
        <x:v>46211.583333333336</x:v>
      </x:c>
      <x:c r="K2038" s="6">
        <x:v>46217.92584707176</x:v>
      </x:c>
      <x:c r="L2038" t="str" s="2">
        <x:v>Lost</x:v>
      </x:c>
    </x:row>
    <x:row r="2039">
      <x:c r="A2039" t="str" s="2">
        <x:f>="engeng2 engeng2"</x:f>
      </x:c>
      <x:c r="B2039" t="str" s="2">
        <x:v>Heritage Housing of Asheboro</x:v>
      </x:c>
      <x:c r="C2039" t="str" s="2">
        <x:v/>
      </x:c>
      <x:c r="D2039" t="str" s="2">
        <x:v>fdqwkhefefiw@kdjdjjffo.com</x:v>
      </x:c>
      <x:c r="E2039" t="str" s="2">
        <x:v>fdqwkhefefiw@kdjdjjffo.com</x:v>
      </x:c>
      <x:c r="F2039" t="str" s="2">
        <x:v>Landing_BPM</x:v>
      </x:c>
      <x:c r="G2039" t="str" s="2">
        <x:v>Cory Martin</x:v>
      </x:c>
      <x:c r="H2039" s="6">
        <x:v>46210.934432870374</x:v>
      </x:c>
      <x:c r="I2039" s="0"/>
      <x:c r="J2039" s="0"/>
      <x:c r="K2039" s="0"/>
      <x:c r="L2039" t="str" s="2">
        <x:v>Lost</x:v>
      </x:c>
    </x:row>
    <x:row r="2040">
      <x:c r="A2040" t="str" s="2">
        <x:f>="espesp espesp"</x:f>
      </x:c>
      <x:c r="B2040" t="str" s="2">
        <x:v>Heritage Housing of Athens</x:v>
      </x:c>
      <x:c r="C2040" t="str" s="2">
        <x:v/>
      </x:c>
      <x:c r="D2040" t="str" s="2">
        <x:v>dershjud@jsgdtey7e.com</x:v>
      </x:c>
      <x:c r="E2040" t="str" s="2">
        <x:v>dershjud@jsgdtey7e.com</x:v>
      </x:c>
      <x:c r="F2040" t="str" s="2">
        <x:v>Landing_BPM</x:v>
      </x:c>
      <x:c r="G2040" t="str" s="2">
        <x:v>Nathan Bishop</x:v>
      </x:c>
      <x:c r="H2040" s="6">
        <x:v>46210.94769494213</x:v>
      </x:c>
      <x:c r="I2040" s="0"/>
      <x:c r="J2040" s="0"/>
      <x:c r="K2040" s="0"/>
      <x:c r="L2040" t="str" s="2">
        <x:v>Lost</x:v>
      </x:c>
    </x:row>
    <x:row r="2041">
      <x:c r="A2041" t="str" s="2">
        <x:f>="espesp2 espesp2"</x:f>
      </x:c>
      <x:c r="B2041" t="str" s="2">
        <x:v>Heritage Housing of Augusta</x:v>
      </x:c>
      <x:c r="C2041" t="str" s="2">
        <x:v/>
      </x:c>
      <x:c r="D2041" t="str" s="2">
        <x:v>dqwjeffw@jdjdjd.com</x:v>
      </x:c>
      <x:c r="E2041" t="str" s="2">
        <x:v>dqwjeffw@jdjdjd.com</x:v>
      </x:c>
      <x:c r="F2041" t="str" s="2">
        <x:v>Landing_BPM</x:v>
      </x:c>
      <x:c r="G2041" t="str" s="2">
        <x:v>Kyara Casanova</x:v>
      </x:c>
      <x:c r="H2041" s="6">
        <x:v>46210.94842005787</x:v>
      </x:c>
      <x:c r="I2041" s="0"/>
      <x:c r="J2041" s="0"/>
      <x:c r="K2041" s="0"/>
      <x:c r="L2041" t="str" s="2">
        <x:v>Lost</x:v>
      </x:c>
    </x:row>
    <x:row r="2042">
      <x:c r="A2042" t="str" s="2">
        <x:f>="Henrietta Ryan"</x:f>
      </x:c>
      <x:c r="B2042" t="str" s="2">
        <x:v>Heritage Housing of Jennings</x:v>
      </x:c>
      <x:c r="C2042" t="str" s="2">
        <x:v/>
      </x:c>
      <x:c r="D2042" t="str" s="2">
        <x:v>3184219343</x:v>
      </x:c>
      <x:c r="E2042" t="str" s="2">
        <x:v>scotthenrietta59@gmail.com</x:v>
      </x:c>
      <x:c r="F2042" t="str" s="2">
        <x:v>Meta Ads - Forms</x:v>
      </x:c>
      <x:c r="G2042" t="str" s="2">
        <x:v>Clint O'Neal</x:v>
      </x:c>
      <x:c r="H2042" s="6">
        <x:v>46210.9818459838</x:v>
      </x:c>
      <x:c r="I2042" s="0"/>
      <x:c r="J2042" s="0"/>
      <x:c r="K2042" s="6">
        <x:v>46225.79190674768</x:v>
      </x:c>
      <x:c r="L2042" t="str" s="2">
        <x:v>Lost</x:v>
      </x:c>
    </x:row>
    <x:row r="2043">
      <x:c r="A2043" t="str" s="2">
        <x:f>="James Williams"</x:f>
      </x:c>
      <x:c r="B2043" t="str" s="2">
        <x:v>Heritage Housing of Minden</x:v>
      </x:c>
      <x:c r="C2043" t="str" s="2">
        <x:v>0/1</x:v>
      </x:c>
      <x:c r="D2043" t="str" s="2">
        <x:v>3188274880</x:v>
      </x:c>
      <x:c r="E2043" t="str" s="2">
        <x:v>jw196711@gmail.com</x:v>
      </x:c>
      <x:c r="F2043" t="str" s="2">
        <x:v>Meta Ads - Forms</x:v>
      </x:c>
      <x:c r="G2043" t="str" s="2">
        <x:v>Alescia Ridgdell</x:v>
      </x:c>
      <x:c r="H2043" s="6">
        <x:v>46211.073733136574</x:v>
      </x:c>
      <x:c r="I2043" s="0"/>
      <x:c r="J2043" s="0"/>
      <x:c r="K2043" s="6">
        <x:v>46211.635577280096</x:v>
      </x:c>
      <x:c r="L2043" t="str" s="2">
        <x:v>Lost</x:v>
      </x:c>
    </x:row>
    <x:row r="2044">
      <x:c r="A2044" t="str" s="2">
        <x:f>="Cathy Parrish"</x:f>
      </x:c>
      <x:c r="B2044" t="str" s="2">
        <x:v>Heritage Housing of Asheboro</x:v>
      </x:c>
      <x:c r="C2044" t="str" s="2">
        <x:v/>
      </x:c>
      <x:c r="D2044" t="str" s="2">
        <x:v>9843836414</x:v>
      </x:c>
      <x:c r="E2044" t="str" s="2">
        <x:v>ccapps4653@gmail.com</x:v>
      </x:c>
      <x:c r="F2044" t="str" s="2">
        <x:v>Website</x:v>
      </x:c>
      <x:c r="G2044" t="str" s="2">
        <x:v>Maria Lopez</x:v>
      </x:c>
      <x:c r="H2044" s="6">
        <x:v>46211.11419024305</x:v>
      </x:c>
      <x:c r="I2044" s="0"/>
      <x:c r="J2044" s="0"/>
      <x:c r="K2044" s="6">
        <x:v>46232</x:v>
      </x:c>
      <x:c r="L2044" t="str" s="2">
        <x:v>Lost</x:v>
      </x:c>
    </x:row>
    <x:row r="2045">
      <x:c r="A2045" t="str" s="2">
        <x:f>="Tina Stone"</x:f>
      </x:c>
      <x:c r="B2045" t="str" s="2">
        <x:v>Heritage Housing of Athens</x:v>
      </x:c>
      <x:c r="C2045" t="str" s="2">
        <x:v/>
      </x:c>
      <x:c r="D2045" t="str" s="2">
        <x:v>4708207730</x:v>
      </x:c>
      <x:c r="E2045" t="str" s="2">
        <x:v>marie30143@gmail.com</x:v>
      </x:c>
      <x:c r="F2045" t="str" s="2">
        <x:v>Meta Ads - Forms</x:v>
      </x:c>
      <x:c r="G2045" t="str" s="2">
        <x:v>Nathan Bishop</x:v>
      </x:c>
      <x:c r="H2045" s="6">
        <x:v>46211.37883318287</x:v>
      </x:c>
      <x:c r="I2045" s="0"/>
      <x:c r="J2045" s="0"/>
      <x:c r="K2045" s="6">
        <x:v>46265.82702237269</x:v>
      </x:c>
      <x:c r="L2045" t="str" s="2">
        <x:v>Lost</x:v>
      </x:c>
    </x:row>
    <x:row r="2046">
      <x:c r="A2046" t="str" s="2">
        <x:f>="daniel Pellegrin"</x:f>
      </x:c>
      <x:c r="B2046" t="str" s="2">
        <x:v>Heritage Housing of Albany</x:v>
      </x:c>
      <x:c r="C2046" t="str" s="2">
        <x:v/>
      </x:c>
      <x:c r="D2046" t="str" s="2">
        <x:v>8055282443</x:v>
      </x:c>
      <x:c r="E2046" t="str" s="2">
        <x:v>attorneydanielpellegrin@gmail.com</x:v>
      </x:c>
      <x:c r="F2046" t="str" s="2">
        <x:v>Website</x:v>
      </x:c>
      <x:c r="G2046" t="str" s="2">
        <x:v>Yanet Alvarez</x:v>
      </x:c>
      <x:c r="H2046" s="6">
        <x:v>46211.52657318287</x:v>
      </x:c>
      <x:c r="I2046" s="0"/>
      <x:c r="J2046" s="0"/>
      <x:c r="K2046" s="6">
        <x:v>46214.85954278935</x:v>
      </x:c>
      <x:c r="L2046" t="str" s="2">
        <x:v>Lost</x:v>
      </x:c>
    </x:row>
    <x:row r="2047">
      <x:c r="A2047" t="str" s="2">
        <x:f>="Emma kim"</x:f>
      </x:c>
      <x:c r="B2047" t="str" s="2">
        <x:v>Heritage Housing of Canton</x:v>
      </x:c>
      <x:c r="C2047" t="str" s="2">
        <x:v/>
      </x:c>
      <x:c r="D2047" t="str" s="2">
        <x:v>4339908323</x:v>
      </x:c>
      <x:c r="E2047" t="str" s="2">
        <x:v>emma@alfareviews.com</x:v>
      </x:c>
      <x:c r="F2047" t="str" s="2">
        <x:v>Financing Form</x:v>
      </x:c>
      <x:c r="G2047" t="str" s="2">
        <x:v>Jacob Hatten</x:v>
      </x:c>
      <x:c r="H2047" s="6">
        <x:v>46211.650454016206</x:v>
      </x:c>
      <x:c r="I2047" s="0"/>
      <x:c r="J2047" s="0"/>
      <x:c r="K2047" s="0"/>
      <x:c r="L2047" t="str" s="2">
        <x:v>Lost</x:v>
      </x:c>
    </x:row>
    <x:row r="2048">
      <x:c r="A2048" t="str" s="2">
        <x:f>="Sandra Messinger"</x:f>
      </x:c>
      <x:c r="B2048" t="str" s="2">
        <x:v>Heritage Housing of Greenville</x:v>
      </x:c>
      <x:c r="C2048" t="str" s="2">
        <x:v/>
      </x:c>
      <x:c r="D2048" t="str" s="2">
        <x:v>2149729439</x:v>
      </x:c>
      <x:c r="E2048" t="str" s="2">
        <x:v>Sandramessinger214@gmail.com</x:v>
      </x:c>
      <x:c r="F2048" t="str" s="2">
        <x:v>Website</x:v>
      </x:c>
      <x:c r="G2048" t="str" s="2">
        <x:v>Ana Garcia</x:v>
      </x:c>
      <x:c r="H2048" s="6">
        <x:v>46211.860190775464</x:v>
      </x:c>
      <x:c r="I2048" s="0"/>
      <x:c r="J2048" s="0"/>
      <x:c r="K2048" s="6">
        <x:v>46212.62829826389</x:v>
      </x:c>
      <x:c r="L2048" t="str" s="2">
        <x:v>Lost</x:v>
      </x:c>
    </x:row>
    <x:row r="2049">
      <x:c r="A2049" t="str" s="2">
        <x:f>="Armand Tweddle"</x:f>
      </x:c>
      <x:c r="B2049" t="str" s="2">
        <x:v>Heritage Housing of Greenville</x:v>
      </x:c>
      <x:c r="C2049" t="str" s="2">
        <x:v/>
      </x:c>
      <x:c r="D2049" t="str" s="2">
        <x:v>4319788051</x:v>
      </x:c>
      <x:c r="E2049" t="str" s="2">
        <x:v>sandra.alisch@gmx.de</x:v>
      </x:c>
      <x:c r="F2049" t="str" s="2">
        <x:v>Financing Form</x:v>
      </x:c>
      <x:c r="G2049" t="str" s="2">
        <x:v>Ana Garcia</x:v>
      </x:c>
      <x:c r="H2049" s="6">
        <x:v>46211.930894756944</x:v>
      </x:c>
      <x:c r="I2049" s="0"/>
      <x:c r="J2049" s="0"/>
      <x:c r="K2049" s="6">
        <x:v>46212.62795297454</x:v>
      </x:c>
      <x:c r="L2049" t="str" s="2">
        <x:v>Lost</x:v>
      </x:c>
    </x:row>
    <x:row r="2050">
      <x:c r="A2050" t="str" s="2">
        <x:f>="Deborah Kerr"</x:f>
      </x:c>
      <x:c r="B2050" t="str" s="2">
        <x:v>Heritage Housing of Asheboro</x:v>
      </x:c>
      <x:c r="C2050" t="str" s="2">
        <x:v/>
      </x:c>
      <x:c r="D2050" t="str" s="2">
        <x:v>7048813443</x:v>
      </x:c>
      <x:c r="E2050" t="str" s="2">
        <x:v>deborahtkerr0@gmail.com</x:v>
      </x:c>
      <x:c r="F2050" t="str" s="2">
        <x:v>Meta Ads - Forms</x:v>
      </x:c>
      <x:c r="G2050" t="str" s="2">
        <x:v>Maria Lopez</x:v>
      </x:c>
      <x:c r="H2050" s="6">
        <x:v>46212.00990092593</x:v>
      </x:c>
      <x:c r="I2050" s="0"/>
      <x:c r="J2050" s="0"/>
      <x:c r="K2050" s="6">
        <x:v>46212.63424359954</x:v>
      </x:c>
      <x:c r="L2050" t="str" s="2">
        <x:v>Lost</x:v>
      </x:c>
    </x:row>
    <x:row r="2051">
      <x:c r="A2051" t="str" s="2">
        <x:f>="Robert Gore"</x:f>
      </x:c>
      <x:c r="B2051" t="str" s="2">
        <x:v>Heritage Housing of Jennings</x:v>
      </x:c>
      <x:c r="C2051" t="str" s="2">
        <x:v>0/5</x:v>
      </x:c>
      <x:c r="D2051" t="str" s="2">
        <x:v>3189772677</x:v>
      </x:c>
      <x:c r="E2051" t="str" s="2">
        <x:v>La77rob@aol.com</x:v>
      </x:c>
      <x:c r="F2051" t="str" s="2">
        <x:v>Meta Ads - Forms</x:v>
      </x:c>
      <x:c r="G2051" t="str" s="2">
        <x:v>Mervin Leslie Smith</x:v>
      </x:c>
      <x:c r="H2051" s="6">
        <x:v>46212.123524965275</x:v>
      </x:c>
      <x:c r="I2051" s="0"/>
      <x:c r="J2051" s="0"/>
      <x:c r="K2051" s="6">
        <x:v>46218.69550778935</x:v>
      </x:c>
      <x:c r="L2051" t="str" s="2">
        <x:v>Lost</x:v>
      </x:c>
    </x:row>
    <x:row r="2052">
      <x:c r="A2052" t="str" s="2">
        <x:f>="Barbara Washington"</x:f>
      </x:c>
      <x:c r="B2052" t="str" s="2">
        <x:v>Heritage Housing of Asheboro</x:v>
      </x:c>
      <x:c r="C2052" t="str" s="2">
        <x:v/>
      </x:c>
      <x:c r="D2052" t="str" s="2">
        <x:v>8434520696</x:v>
      </x:c>
      <x:c r="E2052" t="str" s="2">
        <x:v>elease1966@gmail.com</x:v>
      </x:c>
      <x:c r="F2052" t="str" s="2">
        <x:v>Meta Ads - Forms</x:v>
      </x:c>
      <x:c r="G2052" t="str" s="2">
        <x:v>Maria Lopez</x:v>
      </x:c>
      <x:c r="H2052" s="6">
        <x:v>46212.47470706019</x:v>
      </x:c>
      <x:c r="I2052" s="0"/>
      <x:c r="J2052" s="0"/>
      <x:c r="K2052" s="6">
        <x:v>46232</x:v>
      </x:c>
      <x:c r="L2052" t="str" s="2">
        <x:v>Lost</x:v>
      </x:c>
    </x:row>
    <x:row r="2053">
      <x:c r="A2053" t="str" s="2">
        <x:f>="Jennifer Derkson"</x:f>
      </x:c>
      <x:c r="B2053" t="str" s="2">
        <x:v>Heritage Housing of Asheboro</x:v>
      </x:c>
      <x:c r="C2053" t="str" s="2">
        <x:v/>
      </x:c>
      <x:c r="D2053" t="str" s="2">
        <x:v>8597778035</x:v>
      </x:c>
      <x:c r="E2053" t="str" s="2">
        <x:v>Jennybop05@gmail.com</x:v>
      </x:c>
      <x:c r="F2053" t="str" s="2">
        <x:v>Meta Ads - Forms</x:v>
      </x:c>
      <x:c r="G2053" t="str" s="2">
        <x:v>Cory Martin</x:v>
      </x:c>
      <x:c r="H2053" s="6">
        <x:v>46212.60451519676</x:v>
      </x:c>
      <x:c r="I2053" s="0"/>
      <x:c r="J2053" s="0"/>
      <x:c r="K2053" s="6">
        <x:v>46212</x:v>
      </x:c>
      <x:c r="L2053" t="str" s="2">
        <x:v>Lost</x:v>
      </x:c>
    </x:row>
    <x:row r="2054">
      <x:c r="A2054" t="str" s="2">
        <x:f>="Crystal Chandler"</x:f>
      </x:c>
      <x:c r="B2054" t="str" s="2">
        <x:v>Heritage Housing of Oklahoma City</x:v>
      </x:c>
      <x:c r="C2054" t="str" s="2">
        <x:v/>
      </x:c>
      <x:c r="D2054" t="str" s="2">
        <x:v>5397667753</x:v>
      </x:c>
      <x:c r="E2054" t="str" s="2">
        <x:v>5397667753</x:v>
      </x:c>
      <x:c r="F2054" t="str" s="2">
        <x:v>Facebook Messenger</x:v>
      </x:c>
      <x:c r="G2054" t="str" s="2">
        <x:v>Steve Castell</x:v>
      </x:c>
      <x:c r="H2054" s="6">
        <x:v>46212.61384197917</x:v>
      </x:c>
      <x:c r="I2054" s="0"/>
      <x:c r="J2054" s="6">
        <x:v>46212.791666666664</x:v>
      </x:c>
      <x:c r="K2054" s="6">
        <x:v>46212.62612079861</x:v>
      </x:c>
      <x:c r="L2054" t="str" s="2">
        <x:v>Lost</x:v>
      </x:c>
    </x:row>
    <x:row r="2055">
      <x:c r="A2055" t="str" s="2">
        <x:f>="Koena Jones"</x:f>
      </x:c>
      <x:c r="B2055" t="str" s="2">
        <x:v>Heritage Housing of Oklahoma City</x:v>
      </x:c>
      <x:c r="C2055" t="str" s="2">
        <x:v>0/2</x:v>
      </x:c>
      <x:c r="D2055" t="str" s="2">
        <x:v>4058811327</x:v>
      </x:c>
      <x:c r="E2055" t="str" s="2">
        <x:v>Koena.jones4@gmail.com</x:v>
      </x:c>
      <x:c r="F2055" t="str" s="2">
        <x:v>Financing Form</x:v>
      </x:c>
      <x:c r="G2055" t="str" s="2">
        <x:v>Steve Castell</x:v>
      </x:c>
      <x:c r="H2055" s="6">
        <x:v>46212.628591782406</x:v>
      </x:c>
      <x:c r="I2055" s="0"/>
      <x:c r="J2055" s="0"/>
      <x:c r="K2055" s="6">
        <x:v>46221.872530092594</x:v>
      </x:c>
      <x:c r="L2055" t="str" s="2">
        <x:v>Lost</x:v>
      </x:c>
    </x:row>
    <x:row r="2056">
      <x:c r="A2056" t="str" s="2">
        <x:f>="Michelle Smith"</x:f>
      </x:c>
      <x:c r="B2056" t="str" s="2">
        <x:v>Heritage Housing of Oklahoma City</x:v>
      </x:c>
      <x:c r="C2056" t="str" s="2">
        <x:v/>
      </x:c>
      <x:c r="D2056" t="str" s="2">
        <x:v>4054217050</x:v>
      </x:c>
      <x:c r="E2056" t="str" s="2">
        <x:v>sunflowersmitt58@gmail.com</x:v>
      </x:c>
      <x:c r="F2056" t="str" s="2">
        <x:v>Meta Ads - Forms</x:v>
      </x:c>
      <x:c r="G2056" t="str" s="2">
        <x:v>Steve Castell</x:v>
      </x:c>
      <x:c r="H2056" s="6">
        <x:v>46212.84846971065</x:v>
      </x:c>
      <x:c r="I2056" s="0"/>
      <x:c r="J2056" s="0"/>
      <x:c r="K2056" s="6">
        <x:v>46213.888097337964</x:v>
      </x:c>
      <x:c r="L2056" t="str" s="2">
        <x:v>Lost</x:v>
      </x:c>
    </x:row>
    <x:row r="2057">
      <x:c r="A2057" t="str" s="2">
        <x:f>=HYPERLINK("https://rsms.futurehomex.com/lead/38415", "Onea Nos")</x:f>
      </x:c>
      <x:c r="B2057" t="str" s="2">
        <x:v>Heritage Housing Mt Pleasant</x:v>
      </x:c>
      <x:c r="C2057" t="str" s="2">
        <x:v/>
      </x:c>
      <x:c r="D2057" t="str" s="2" xml:space="preserve">
        <x:v> 111111111    </x:v>
      </x:c>
      <x:c r="E2057" t="str" s="2">
        <x:v>appleoneaenos@gmail.com</x:v>
      </x:c>
      <x:c r="F2057" t="str" s="2">
        <x:v>Financing Form</x:v>
      </x:c>
      <x:c r="G2057" t="str" s="2">
        <x:v>Yarelis Torres</x:v>
      </x:c>
      <x:c r="H2057" s="6">
        <x:v>46212.93779050926</x:v>
      </x:c>
      <x:c r="I2057" t="str" s="2">
        <x:v>Elias Gallardo</x:v>
      </x:c>
      <x:c r="J2057" s="0"/>
      <x:c r="K2057" s="6">
        <x:v>46216.99634244213</x:v>
      </x:c>
      <x:c r="L2057" t="str" s="2">
        <x:v>Lost</x:v>
      </x:c>
    </x:row>
    <x:row r="2058">
      <x:c r="A2058" t="str" s="2">
        <x:f>="Herman Francisco"</x:f>
      </x:c>
      <x:c r="B2058" t="str" s="2">
        <x:v>Heritage Housing of Greenville</x:v>
      </x:c>
      <x:c r="C2058" t="str" s="2">
        <x:v/>
      </x:c>
      <x:c r="D2058" t="str" s="2">
        <x:v>9097466861</x:v>
      </x:c>
      <x:c r="E2058" t="str" s="2">
        <x:v>hfrancisco249@hotmail.com</x:v>
      </x:c>
      <x:c r="F2058" t="str" s="2">
        <x:v>Meta Ads - Forms</x:v>
      </x:c>
      <x:c r="G2058" t="str" s="2">
        <x:v>Greg Christman</x:v>
      </x:c>
      <x:c r="H2058" s="6">
        <x:v>46212.94274976852</x:v>
      </x:c>
      <x:c r="I2058" s="0"/>
      <x:c r="J2058" s="0"/>
      <x:c r="K2058" s="0"/>
      <x:c r="L2058" t="str" s="2">
        <x:v>Lost</x:v>
      </x:c>
    </x:row>
    <x:row r="2059">
      <x:c r="A2059" t="str" s="2">
        <x:f>="Larry Williams"</x:f>
      </x:c>
      <x:c r="B2059" t="str" s="2">
        <x:v>Heritage Housing of Athens</x:v>
      </x:c>
      <x:c r="C2059" t="str" s="2">
        <x:v/>
      </x:c>
      <x:c r="D2059" t="str" s="2">
        <x:v>4785082810</x:v>
      </x:c>
      <x:c r="E2059" t="str" s="2">
        <x:v>Larrywilliams31058@gmail.com</x:v>
      </x:c>
      <x:c r="F2059" t="str" s="2">
        <x:v>Meta Ads - Forms</x:v>
      </x:c>
      <x:c r="G2059" t="str" s="2">
        <x:v>Nathan Bishop</x:v>
      </x:c>
      <x:c r="H2059" s="6">
        <x:v>46213.0762693287</x:v>
      </x:c>
      <x:c r="I2059" s="0"/>
      <x:c r="J2059" s="0"/>
      <x:c r="K2059" s="6">
        <x:v>46213.57380358796</x:v>
      </x:c>
      <x:c r="L2059" t="str" s="2">
        <x:v>Lost</x:v>
      </x:c>
    </x:row>
    <x:row r="2060">
      <x:c r="A2060" t="str" s="2">
        <x:f>="Laura Espinoza"</x:f>
      </x:c>
      <x:c r="B2060" t="str" s="2">
        <x:v>Heritage Housing of Tulsa</x:v>
      </x:c>
      <x:c r="C2060" t="str" s="2">
        <x:v/>
      </x:c>
      <x:c r="D2060" t="str" s="2">
        <x:v>9185761267</x:v>
      </x:c>
      <x:c r="E2060" t="str" s="2">
        <x:v>leeespinoza05@gmail.com</x:v>
      </x:c>
      <x:c r="F2060" t="str" s="2">
        <x:v>Meta Ads - Forms</x:v>
      </x:c>
      <x:c r="G2060" t="str" s="2">
        <x:v>Madison Chapman</x:v>
      </x:c>
      <x:c r="H2060" s="6">
        <x:v>46213.37237005787</x:v>
      </x:c>
      <x:c r="I2060" s="0"/>
      <x:c r="J2060" s="0"/>
      <x:c r="K2060" s="6">
        <x:v>46213.63306674769</x:v>
      </x:c>
      <x:c r="L2060" t="str" s="2">
        <x:v>Lost</x:v>
      </x:c>
    </x:row>
    <x:row r="2061">
      <x:c r="A2061" t="str" s="2">
        <x:f>="terra day"</x:f>
      </x:c>
      <x:c r="B2061" t="str" s="2">
        <x:v>Heritage Housing of Augusta</x:v>
      </x:c>
      <x:c r="C2061" t="str" s="2">
        <x:v/>
      </x:c>
      <x:c r="D2061" t="str" s="2">
        <x:v>7064153735</x:v>
      </x:c>
      <x:c r="E2061" t="str" s="2">
        <x:v>tdwllms99@yahoo.com</x:v>
      </x:c>
      <x:c r="F2061" t="str" s="2">
        <x:v>Website</x:v>
      </x:c>
      <x:c r="G2061" t="str" s="2">
        <x:v>Kyara Casanova</x:v>
      </x:c>
      <x:c r="H2061" s="6">
        <x:v>46213.72234475694</x:v>
      </x:c>
      <x:c r="I2061" s="0"/>
      <x:c r="J2061" s="0"/>
      <x:c r="K2061" s="6">
        <x:v>46221</x:v>
      </x:c>
      <x:c r="L2061" t="str" s="2">
        <x:v>Lost</x:v>
      </x:c>
    </x:row>
    <x:row r="2062">
      <x:c r="A2062" t="str" s="2">
        <x:f>="Ronald Martin"</x:f>
      </x:c>
      <x:c r="B2062" t="str" s="2">
        <x:v>Heritage Housing of Albany</x:v>
      </x:c>
      <x:c r="C2062" t="str" s="2">
        <x:v/>
      </x:c>
      <x:c r="D2062" t="str" s="2">
        <x:v>9128351037</x:v>
      </x:c>
      <x:c r="E2062" t="str" s="2">
        <x:v>rm0883919@gmail.com</x:v>
      </x:c>
      <x:c r="F2062" t="str" s="2">
        <x:v>Meta Ads - Forms</x:v>
      </x:c>
      <x:c r="G2062" t="str" s="2">
        <x:v>Yanet Alvarez</x:v>
      </x:c>
      <x:c r="H2062" s="6">
        <x:v>46213.72454513889</x:v>
      </x:c>
      <x:c r="I2062" s="0"/>
      <x:c r="J2062" s="0"/>
      <x:c r="K2062" s="6">
        <x:v>46229.83358275463</x:v>
      </x:c>
      <x:c r="L2062" t="str" s="2">
        <x:v>Lost</x:v>
      </x:c>
    </x:row>
    <x:row r="2063">
      <x:c r="A2063" t="str" s="2">
        <x:f>="Donna Cox"</x:f>
      </x:c>
      <x:c r="B2063" t="str" s="2">
        <x:v>Heritage Housing of Albany</x:v>
      </x:c>
      <x:c r="C2063" t="str" s="2">
        <x:v/>
      </x:c>
      <x:c r="D2063" t="str" s="2">
        <x:v>9194984112</x:v>
      </x:c>
      <x:c r="E2063" t="str" s="2">
        <x:v>donnawcox88@gmail.com</x:v>
      </x:c>
      <x:c r="F2063" t="str" s="2">
        <x:v>Financing Form</x:v>
      </x:c>
      <x:c r="G2063" t="str" s="2">
        <x:v>Yanet Alvarez</x:v>
      </x:c>
      <x:c r="H2063" s="6">
        <x:v>46213.768177858794</x:v>
      </x:c>
      <x:c r="I2063" s="0"/>
      <x:c r="J2063" s="0"/>
      <x:c r="K2063" s="6">
        <x:v>46226</x:v>
      </x:c>
      <x:c r="L2063" t="str" s="2">
        <x:v>Lost</x:v>
      </x:c>
    </x:row>
    <x:row r="2064">
      <x:c r="A2064" t="str" s="2">
        <x:f>="Laurette Iguess"</x:f>
      </x:c>
      <x:c r="B2064" t="str" s="2">
        <x:v>Heritage Housing of Jennings</x:v>
      </x:c>
      <x:c r="C2064" t="str" s="2">
        <x:v>0/4</x:v>
      </x:c>
      <x:c r="D2064" t="str" s="2">
        <x:v>3372781206</x:v>
      </x:c>
      <x:c r="E2064" t="str" s="2">
        <x:v>Lauretteiguess7@gmail.com</x:v>
      </x:c>
      <x:c r="F2064" t="str" s="2">
        <x:v>Meta Ads - Forms</x:v>
      </x:c>
      <x:c r="G2064" t="str" s="2">
        <x:v>Mervin Leslie Smith</x:v>
      </x:c>
      <x:c r="H2064" s="6">
        <x:v>46213.77315887732</x:v>
      </x:c>
      <x:c r="I2064" s="0"/>
      <x:c r="J2064" s="0"/>
      <x:c r="K2064" s="6">
        <x:v>46259.57135864584</x:v>
      </x:c>
      <x:c r="L2064" t="str" s="2">
        <x:v>Lost</x:v>
      </x:c>
    </x:row>
    <x:row r="2065">
      <x:c r="A2065" t="str" s="2">
        <x:f>=HYPERLINK("https://rsms.futurehomex.com/lead/38401", "Brittany")</x:f>
      </x:c>
      <x:c r="B2065" t="str" s="2">
        <x:v>Heritage Housing of Athens</x:v>
      </x:c>
      <x:c r="C2065" t="str" s="2">
        <x:v>0/1</x:v>
      </x:c>
      <x:c r="D2065" t="str" s="2">
        <x:v>7064240451</x:v>
      </x:c>
      <x:c r="E2065" t="str" s="2">
        <x:v>7064240451</x:v>
      </x:c>
      <x:c r="F2065" t="str" s="2">
        <x:v>Meta Ads - Messenger</x:v>
      </x:c>
      <x:c r="G2065" t="str" s="2">
        <x:v>Nathan Bishop</x:v>
      </x:c>
      <x:c r="H2065" s="6">
        <x:v>46213.799232488425</x:v>
      </x:c>
      <x:c r="I2065" t="str" s="2">
        <x:v>Nathan Bishop</x:v>
      </x:c>
      <x:c r="J2065" s="0"/>
      <x:c r="K2065" s="6">
        <x:v>46259.60386142361</x:v>
      </x:c>
      <x:c r="L2065" t="str" s="2">
        <x:v>Lost</x:v>
      </x:c>
    </x:row>
    <x:row r="2066">
      <x:c r="A2066" t="str" s="2">
        <x:f>="Skye Honeycatt"</x:f>
      </x:c>
      <x:c r="B2066" t="str" s="2">
        <x:v>Heritage Housing of Oklahoma City</x:v>
      </x:c>
      <x:c r="C2066" t="str" s="2">
        <x:v/>
      </x:c>
      <x:c r="D2066" t="str" s="2">
        <x:v>5392933393</x:v>
      </x:c>
      <x:c r="E2066" t="str" s="2">
        <x:v>skyehoneycatt@gmail.com</x:v>
      </x:c>
      <x:c r="F2066" t="str" s="2">
        <x:v>Facebook_repo</x:v>
      </x:c>
      <x:c r="G2066" t="str" s="2">
        <x:v>Karla Brizuela</x:v>
      </x:c>
      <x:c r="H2066" s="6">
        <x:v>46213.880517743055</x:v>
      </x:c>
      <x:c r="I2066" s="0"/>
      <x:c r="J2066" s="6">
        <x:v>46217.645833333336</x:v>
      </x:c>
      <x:c r="K2066" s="6">
        <x:v>46218.623846608796</x:v>
      </x:c>
      <x:c r="L2066" t="str" s="2">
        <x:v>Lost</x:v>
      </x:c>
    </x:row>
    <x:row r="2067">
      <x:c r="A2067" t="str" s="2">
        <x:f>="DaShundriya Russ"</x:f>
      </x:c>
      <x:c r="B2067" t="str" s="2">
        <x:v>Heritage Housing of Albany</x:v>
      </x:c>
      <x:c r="C2067" t="str" s="2">
        <x:v>0/1</x:v>
      </x:c>
      <x:c r="D2067" t="str" s="2">
        <x:v>2253079821</x:v>
      </x:c>
      <x:c r="E2067" t="str" s="2">
        <x:v>tdashundriyaa@icloud.com</x:v>
      </x:c>
      <x:c r="F2067" t="str" s="2">
        <x:v>Financing Form</x:v>
      </x:c>
      <x:c r="G2067" t="str" s="2">
        <x:v>Yanet Alvarez</x:v>
      </x:c>
      <x:c r="H2067" s="6">
        <x:v>46213.88933075232</x:v>
      </x:c>
      <x:c r="I2067" s="0"/>
      <x:c r="J2067" s="0"/>
      <x:c r="K2067" s="6">
        <x:v>46229.82773549768</x:v>
      </x:c>
      <x:c r="L2067" t="str" s="2">
        <x:v>Lost</x:v>
      </x:c>
    </x:row>
    <x:row r="2068">
      <x:c r="A2068" t="str" s="2">
        <x:f>="Curtis Cummings"</x:f>
      </x:c>
      <x:c r="B2068" t="str" s="2">
        <x:v>Heritage Housing of Greenville</x:v>
      </x:c>
      <x:c r="C2068" t="str" s="2">
        <x:v/>
      </x:c>
      <x:c r="D2068" t="str" s="2">
        <x:v>2149346983</x:v>
      </x:c>
      <x:c r="E2068" t="str" s="2">
        <x:v>ccummings12556@yahoo.com</x:v>
      </x:c>
      <x:c r="F2068" t="str" s="2">
        <x:v>Website</x:v>
      </x:c>
      <x:c r="G2068" t="str" s="2">
        <x:v>Brooklynn Allen</x:v>
      </x:c>
      <x:c r="H2068" s="6">
        <x:v>46214.6540971875</x:v>
      </x:c>
      <x:c r="I2068" s="0"/>
      <x:c r="J2068" s="0"/>
      <x:c r="K2068" s="6">
        <x:v>46223</x:v>
      </x:c>
      <x:c r="L2068" t="str" s="2">
        <x:v>Lost</x:v>
      </x:c>
    </x:row>
    <x:row r="2069">
      <x:c r="A2069" t="str" s="2">
        <x:f>="Brionna Michelle"</x:f>
      </x:c>
      <x:c r="B2069" t="str" s="2">
        <x:v>Heritage Housing of Minden</x:v>
      </x:c>
      <x:c r="C2069" t="str" s="2">
        <x:v>0/3</x:v>
      </x:c>
      <x:c r="D2069" t="str" s="2">
        <x:v>3185708361</x:v>
      </x:c>
      <x:c r="E2069" t="str" s="2">
        <x:v>chaoticdisaster1998@gmail.com</x:v>
      </x:c>
      <x:c r="F2069" t="str" s="2">
        <x:v>Meta Ads - Forms</x:v>
      </x:c>
      <x:c r="G2069" t="str" s="2">
        <x:v>Alescia Ridgdell</x:v>
      </x:c>
      <x:c r="H2069" s="6">
        <x:v>46214.692044641204</x:v>
      </x:c>
      <x:c r="I2069" s="0"/>
      <x:c r="J2069" s="0"/>
      <x:c r="K2069" s="6">
        <x:v>46231.906243784724</x:v>
      </x:c>
      <x:c r="L2069" t="str" s="2">
        <x:v>Lost</x:v>
      </x:c>
    </x:row>
    <x:row r="2070">
      <x:c r="A2070" t="str" s="2">
        <x:f>="Kiarah Bushell"</x:f>
      </x:c>
      <x:c r="B2070" t="str" s="2">
        <x:v>Heritage Housing of Albany</x:v>
      </x:c>
      <x:c r="C2070" t="str" s="2">
        <x:v/>
      </x:c>
      <x:c r="D2070" t="str" s="2">
        <x:v>3026092447</x:v>
      </x:c>
      <x:c r="E2070" t="str" s="2">
        <x:v>kiarah_bushell1@aol.com</x:v>
      </x:c>
      <x:c r="F2070" t="str" s="2">
        <x:v>Website</x:v>
      </x:c>
      <x:c r="G2070" t="str" s="2">
        <x:v>Yanet Alvarez</x:v>
      </x:c>
      <x:c r="H2070" s="6">
        <x:v>46214.909418055555</x:v>
      </x:c>
      <x:c r="I2070" s="0"/>
      <x:c r="J2070" s="0"/>
      <x:c r="K2070" s="6">
        <x:v>46253.73440262731</x:v>
      </x:c>
      <x:c r="L2070" t="str" s="2">
        <x:v>Lost</x:v>
      </x:c>
    </x:row>
    <x:row r="2071">
      <x:c r="A2071" t="str" s="2">
        <x:f>="John Daniels"</x:f>
      </x:c>
      <x:c r="B2071" t="str" s="2">
        <x:v>Heritage Housing of Augusta</x:v>
      </x:c>
      <x:c r="C2071" t="str" s="2">
        <x:v/>
      </x:c>
      <x:c r="D2071" t="str" s="2">
        <x:v>7064214759</x:v>
      </x:c>
      <x:c r="E2071" t="str" s="2">
        <x:v>Johndaniels085@gmail.com</x:v>
      </x:c>
      <x:c r="F2071" t="str" s="2">
        <x:v>Meta Ads - Forms</x:v>
      </x:c>
      <x:c r="G2071" t="str" s="2">
        <x:v>Kyara Casanova</x:v>
      </x:c>
      <x:c r="H2071" s="6">
        <x:v>46214.91587538194</x:v>
      </x:c>
      <x:c r="I2071" s="0"/>
      <x:c r="J2071" s="0"/>
      <x:c r="K2071" s="6">
        <x:v>46221</x:v>
      </x:c>
      <x:c r="L2071" t="str" s="2">
        <x:v>Lost</x:v>
      </x:c>
    </x:row>
    <x:row r="2072">
      <x:c r="A2072" t="str" s="2">
        <x:f>="Harold Davis"</x:f>
      </x:c>
      <x:c r="B2072" t="str" s="2">
        <x:v>Heritage Housing of Asheboro</x:v>
      </x:c>
      <x:c r="C2072" t="str" s="2">
        <x:v/>
      </x:c>
      <x:c r="D2072" t="str" s="2">
        <x:v>3369636276</x:v>
      </x:c>
      <x:c r="E2072" t="str" s="2">
        <x:v>hldavis1965@gmail.com</x:v>
      </x:c>
      <x:c r="F2072" t="str" s="2">
        <x:v>Financing Form</x:v>
      </x:c>
      <x:c r="G2072" t="str" s="2">
        <x:v>Maria Lopez</x:v>
      </x:c>
      <x:c r="H2072" s="6">
        <x:v>46214.99181006944</x:v>
      </x:c>
      <x:c r="I2072" s="0"/>
      <x:c r="J2072" s="0"/>
      <x:c r="K2072" s="6">
        <x:v>46258</x:v>
      </x:c>
      <x:c r="L2072" t="str" s="2">
        <x:v>Lost</x:v>
      </x:c>
    </x:row>
    <x:row r="2073">
      <x:c r="A2073" t="str" s="2">
        <x:f>="Joseismael Ibarra"</x:f>
      </x:c>
      <x:c r="B2073" t="str" s="2">
        <x:v>Heritage Housing of Canton</x:v>
      </x:c>
      <x:c r="C2073" t="str" s="2">
        <x:v/>
      </x:c>
      <x:c r="D2073" t="str" s="2">
        <x:v>2149142088</x:v>
      </x:c>
      <x:c r="E2073" t="str" s="2">
        <x:v>Joseibarra1947@gmail.com</x:v>
      </x:c>
      <x:c r="F2073" t="str" s="2">
        <x:v>Meta Ads - Forms</x:v>
      </x:c>
      <x:c r="G2073" t="str" s="2">
        <x:v>Maira Garcia</x:v>
      </x:c>
      <x:c r="H2073" s="6">
        <x:v>46215.10516666667</x:v>
      </x:c>
      <x:c r="I2073" s="0"/>
      <x:c r="J2073" s="0"/>
      <x:c r="K2073" s="6">
        <x:v>46245</x:v>
      </x:c>
      <x:c r="L2073" t="str" s="2">
        <x:v>Lost</x:v>
      </x:c>
    </x:row>
    <x:row r="2074">
      <x:c r="A2074" t="str" s="2">
        <x:f>="Christina Hutchinson"</x:f>
      </x:c>
      <x:c r="B2074" t="str" s="2">
        <x:v>Heritage Housing of Jennings</x:v>
      </x:c>
      <x:c r="C2074" t="str" s="2">
        <x:v/>
      </x:c>
      <x:c r="D2074" t="str" s="2">
        <x:v>2253294909</x:v>
      </x:c>
      <x:c r="E2074" t="str" s="2">
        <x:v>tina32779@gmail.com</x:v>
      </x:c>
      <x:c r="F2074" t="str" s="2">
        <x:v>Meta Ads - Forms</x:v>
      </x:c>
      <x:c r="G2074" t="str" s="2">
        <x:v>Clint O'Neal</x:v>
      </x:c>
      <x:c r="H2074" s="6">
        <x:v>46215.22126990741</x:v>
      </x:c>
      <x:c r="I2074" s="0"/>
      <x:c r="J2074" s="0"/>
      <x:c r="K2074" s="6">
        <x:v>46216</x:v>
      </x:c>
      <x:c r="L2074" t="str" s="2">
        <x:v>Lost</x:v>
      </x:c>
    </x:row>
    <x:row r="2075">
      <x:c r="A2075" t="str" s="2">
        <x:f>="Deborah Fontenot"</x:f>
      </x:c>
      <x:c r="B2075" t="str" s="2">
        <x:v>Heritage Housing of Jennings</x:v>
      </x:c>
      <x:c r="C2075" t="str" s="2">
        <x:v>0/8</x:v>
      </x:c>
      <x:c r="D2075" t="str" s="2">
        <x:v>9856451371</x:v>
      </x:c>
      <x:c r="E2075" t="str" s="2">
        <x:v>mydeputy1943@gmail.com</x:v>
      </x:c>
      <x:c r="F2075" t="str" s="2">
        <x:v>Meta Ads - Traffic</x:v>
      </x:c>
      <x:c r="G2075" t="str" s="2">
        <x:v>Mervin Leslie Smith</x:v>
      </x:c>
      <x:c r="H2075" s="6">
        <x:v>46215.2794871875</x:v>
      </x:c>
      <x:c r="I2075" s="0"/>
      <x:c r="J2075" s="0"/>
      <x:c r="K2075" s="6">
        <x:v>46244.870261145836</x:v>
      </x:c>
      <x:c r="L2075" t="str" s="2">
        <x:v>Lost</x:v>
      </x:c>
    </x:row>
    <x:row r="2076">
      <x:c r="A2076" t="str" s="2">
        <x:f>="Tracy Butler"</x:f>
      </x:c>
      <x:c r="B2076" t="str" s="2">
        <x:v>Heritage Housing of Tulsa</x:v>
      </x:c>
      <x:c r="C2076" t="str" s="2">
        <x:v/>
      </x:c>
      <x:c r="D2076" t="str" s="2">
        <x:v>9189558406</x:v>
      </x:c>
      <x:c r="E2076" t="str" s="2">
        <x:v>butlertracy329@gmail.com</x:v>
      </x:c>
      <x:c r="F2076" t="str" s="2">
        <x:v>Meta Ads - Forms</x:v>
      </x:c>
      <x:c r="G2076" t="str" s="2">
        <x:v>Brittany Cobb</x:v>
      </x:c>
      <x:c r="H2076" s="6">
        <x:v>46215.328668090275</x:v>
      </x:c>
      <x:c r="I2076" s="0"/>
      <x:c r="J2076" s="0"/>
      <x:c r="K2076" s="6">
        <x:v>46228</x:v>
      </x:c>
      <x:c r="L2076" t="str" s="2">
        <x:v>Lost</x:v>
      </x:c>
    </x:row>
    <x:row r="2077">
      <x:c r="A2077" t="str" s="2">
        <x:f>="Michael Prevatte Sr."</x:f>
      </x:c>
      <x:c r="B2077" t="str" s="2">
        <x:v>Heritage Housing of Athens</x:v>
      </x:c>
      <x:c r="C2077" t="str" s="2">
        <x:v/>
      </x:c>
      <x:c r="D2077" t="str" s="2">
        <x:v>3219462784</x:v>
      </x:c>
      <x:c r="E2077" t="str" s="2">
        <x:v>hotrides4u2@yahoo.com</x:v>
      </x:c>
      <x:c r="F2077" t="str" s="2">
        <x:v>Meta Ads - Forms</x:v>
      </x:c>
      <x:c r="G2077" t="str" s="2">
        <x:v>Nathan Bishop</x:v>
      </x:c>
      <x:c r="H2077" s="6">
        <x:v>46215.571885798614</x:v>
      </x:c>
      <x:c r="I2077" s="0"/>
      <x:c r="J2077" s="0"/>
      <x:c r="K2077" s="6">
        <x:v>46216.59730324074</x:v>
      </x:c>
      <x:c r="L2077" t="str" s="2">
        <x:v>Lost</x:v>
      </x:c>
    </x:row>
    <x:row r="2078">
      <x:c r="A2078" t="str" s="2">
        <x:f>="Johnson theresa"</x:f>
      </x:c>
      <x:c r="B2078" t="str" s="2">
        <x:v>Heritage Housing Marble Falls</x:v>
      </x:c>
      <x:c r="C2078" t="str" s="2">
        <x:v/>
      </x:c>
      <x:c r="D2078" t="str" s="2">
        <x:v>7062154685</x:v>
      </x:c>
      <x:c r="E2078" t="str" s="2">
        <x:v>myrasandoval844@gmail.com</x:v>
      </x:c>
      <x:c r="F2078" t="str" s="2">
        <x:v>LandingPage</x:v>
      </x:c>
      <x:c r="G2078" t="str" s="2">
        <x:v>Stephen Sanders</x:v>
      </x:c>
      <x:c r="H2078" s="6">
        <x:v>46215.637219097225</x:v>
      </x:c>
      <x:c r="I2078" s="0"/>
      <x:c r="J2078" s="0"/>
      <x:c r="K2078" s="6">
        <x:v>46267.84373726852</x:v>
      </x:c>
      <x:c r="L2078" t="str" s="2">
        <x:v>Lost</x:v>
      </x:c>
    </x:row>
    <x:row r="2079">
      <x:c r="A2079" t="str" s="2">
        <x:f>="Breanna Joseph"</x:f>
      </x:c>
      <x:c r="B2079" t="str" s="2">
        <x:v>Heritage Housing of Jennings</x:v>
      </x:c>
      <x:c r="C2079" t="str" s="2">
        <x:v/>
      </x:c>
      <x:c r="D2079" t="str" s="2">
        <x:v>2252491445</x:v>
      </x:c>
      <x:c r="E2079" t="str" s="2">
        <x:v>breannaa.2004@myyahoo.com</x:v>
      </x:c>
      <x:c r="F2079" t="str" s="2">
        <x:v>Meta Ads - Traffic</x:v>
      </x:c>
      <x:c r="G2079" t="str" s="2">
        <x:v>Marty Fontenot</x:v>
      </x:c>
      <x:c r="H2079" s="6">
        <x:v>46215.68813229167</x:v>
      </x:c>
      <x:c r="I2079" s="0"/>
      <x:c r="J2079" s="0"/>
      <x:c r="K2079" s="6">
        <x:v>46226.80793209491</x:v>
      </x:c>
      <x:c r="L2079" t="str" s="2">
        <x:v>Lost</x:v>
      </x:c>
    </x:row>
    <x:row r="2080">
      <x:c r="A2080" t="str" s="2">
        <x:f>="jamyah johnson"</x:f>
      </x:c>
      <x:c r="B2080" t="str" s="2">
        <x:v>Heritage Housing of Oklahoma City</x:v>
      </x:c>
      <x:c r="C2080" t="str" s="2">
        <x:v>0/4</x:v>
      </x:c>
      <x:c r="D2080" t="str" s="2">
        <x:v>4059674883</x:v>
      </x:c>
      <x:c r="E2080" t="str" s="2">
        <x:v>liljam.jam121@gmail.com</x:v>
      </x:c>
      <x:c r="F2080" t="str" s="2">
        <x:v>Website</x:v>
      </x:c>
      <x:c r="G2080" t="str" s="2">
        <x:v>Steve Castell</x:v>
      </x:c>
      <x:c r="H2080" s="6">
        <x:v>46215.751397719905</x:v>
      </x:c>
      <x:c r="I2080" s="0"/>
      <x:c r="J2080" s="0"/>
      <x:c r="K2080" s="6">
        <x:v>46241.038661377315</x:v>
      </x:c>
      <x:c r="L2080" t="str" s="2">
        <x:v>Lost</x:v>
      </x:c>
    </x:row>
    <x:row r="2081">
      <x:c r="A2081" t="str" s="2">
        <x:f>="Destini Denson"</x:f>
      </x:c>
      <x:c r="B2081" t="str" s="2">
        <x:v>Heritage Housing of Albany</x:v>
      </x:c>
      <x:c r="C2081" t="str" s="2">
        <x:v/>
      </x:c>
      <x:c r="D2081" t="str" s="2">
        <x:v>3375095017</x:v>
      </x:c>
      <x:c r="E2081" t="str" s="2">
        <x:v>destiijohnson1994@gmail.com</x:v>
      </x:c>
      <x:c r="F2081" t="str" s="2">
        <x:v>Google Ads</x:v>
      </x:c>
      <x:c r="G2081" t="str" s="2">
        <x:v>Yanet Alvarez</x:v>
      </x:c>
      <x:c r="H2081" s="6">
        <x:v>46215.77724070602</x:v>
      </x:c>
      <x:c r="I2081" s="0"/>
      <x:c r="J2081" s="0"/>
      <x:c r="K2081" s="6">
        <x:v>46260.739433449075</x:v>
      </x:c>
      <x:c r="L2081" t="str" s="2">
        <x:v>Lost</x:v>
      </x:c>
    </x:row>
    <x:row r="2082">
      <x:c r="A2082" t="str" s="2">
        <x:f>="Bennie Price-Robbins"</x:f>
      </x:c>
      <x:c r="B2082" t="str" s="2">
        <x:v>Heritage Housing Gainesville</x:v>
      </x:c>
      <x:c r="C2082" t="str" s="2">
        <x:v/>
      </x:c>
      <x:c r="D2082" t="str" s="2">
        <x:v>2145778849</x:v>
      </x:c>
      <x:c r="E2082" t="str" s="2">
        <x:v>benniepricerobbins@att.net</x:v>
      </x:c>
      <x:c r="F2082" t="str" s="2">
        <x:v>Meta Ads - Traffic</x:v>
      </x:c>
      <x:c r="G2082" t="str" s="2">
        <x:v>Chris Michniacki</x:v>
      </x:c>
      <x:c r="H2082" s="6">
        <x:v>46215.85756975695</x:v>
      </x:c>
      <x:c r="I2082" s="0"/>
      <x:c r="J2082" s="0"/>
      <x:c r="K2082" s="6">
        <x:v>46231.67871072917</x:v>
      </x:c>
      <x:c r="L2082" t="str" s="2">
        <x:v>Lost</x:v>
      </x:c>
    </x:row>
    <x:row r="2083">
      <x:c r="A2083" t="str" s="2">
        <x:f>="Kim Smith"</x:f>
      </x:c>
      <x:c r="B2083" t="str" s="2">
        <x:v>Heritage Housing of Asheboro</x:v>
      </x:c>
      <x:c r="C2083" t="str" s="2">
        <x:v/>
      </x:c>
      <x:c r="D2083" t="str" s="2">
        <x:v>3366282686</x:v>
      </x:c>
      <x:c r="E2083" t="str" s="2">
        <x:v>ksmith71684@gmail.com</x:v>
      </x:c>
      <x:c r="F2083" t="str" s="2">
        <x:v>Meta Ads - Forms</x:v>
      </x:c>
      <x:c r="G2083" t="str" s="2">
        <x:v>Maria Lopez</x:v>
      </x:c>
      <x:c r="H2083" s="6">
        <x:v>46215.87573637732</x:v>
      </x:c>
      <x:c r="I2083" s="0"/>
      <x:c r="J2083" s="0"/>
      <x:c r="K2083" s="6">
        <x:v>46258</x:v>
      </x:c>
      <x:c r="L2083" t="str" s="2">
        <x:v>Lost</x:v>
      </x:c>
    </x:row>
    <x:row r="2084">
      <x:c r="A2084" t="str" s="2">
        <x:f>="Crystal Enlow"</x:f>
      </x:c>
      <x:c r="B2084" t="str" s="2">
        <x:v>Heritage Housing of Albany</x:v>
      </x:c>
      <x:c r="C2084" t="str" s="2">
        <x:v/>
      </x:c>
      <x:c r="D2084" t="str" s="2">
        <x:v>7064156652</x:v>
      </x:c>
      <x:c r="E2084" t="str" s="2">
        <x:v>nelsonce60@gmail.com</x:v>
      </x:c>
      <x:c r="F2084" t="str" s="2">
        <x:v>Financing Form</x:v>
      </x:c>
      <x:c r="G2084" t="str" s="2">
        <x:v>Yanet Alvarez</x:v>
      </x:c>
      <x:c r="H2084" s="6">
        <x:v>46215.924204131945</x:v>
      </x:c>
      <x:c r="I2084" s="0"/>
      <x:c r="J2084" s="0"/>
      <x:c r="K2084" s="6">
        <x:v>46259.58451311343</x:v>
      </x:c>
      <x:c r="L2084" t="str" s="2">
        <x:v>Lost</x:v>
      </x:c>
    </x:row>
    <x:row r="2085">
      <x:c r="A2085" t="str" s="2">
        <x:f>="De Addy"</x:f>
      </x:c>
      <x:c r="B2085" t="str" s="2">
        <x:v>Heritage Housing of Augusta</x:v>
      </x:c>
      <x:c r="C2085" t="str" s="2">
        <x:v/>
      </x:c>
      <x:c r="D2085" t="str" s="2">
        <x:v>8036222840</x:v>
      </x:c>
      <x:c r="E2085" t="str" s="2">
        <x:v>ybcsway5@gmail.com</x:v>
      </x:c>
      <x:c r="F2085" t="str" s="2">
        <x:v>Meta Ads - Forms</x:v>
      </x:c>
      <x:c r="G2085" t="str" s="2">
        <x:v>Kyara Casanova</x:v>
      </x:c>
      <x:c r="H2085" s="6">
        <x:v>46215.98120899306</x:v>
      </x:c>
      <x:c r="I2085" s="0"/>
      <x:c r="J2085" s="0"/>
      <x:c r="K2085" s="6">
        <x:v>46223</x:v>
      </x:c>
      <x:c r="L2085" t="str" s="2">
        <x:v>Lost</x:v>
      </x:c>
    </x:row>
    <x:row r="2086">
      <x:c r="A2086" t="str" s="2">
        <x:f>="Donna jones"</x:f>
      </x:c>
      <x:c r="B2086" t="str" s="2">
        <x:v>Heritage Housing of Albany</x:v>
      </x:c>
      <x:c r="C2086" t="str" s="2">
        <x:v/>
      </x:c>
      <x:c r="D2086" t="str" s="2">
        <x:v>3347349382</x:v>
      </x:c>
      <x:c r="E2086" t="str" s="2">
        <x:v>54queenjones@gmail.com</x:v>
      </x:c>
      <x:c r="F2086" t="str" s="2">
        <x:v>Meta Ads - Forms</x:v>
      </x:c>
      <x:c r="G2086" t="str" s="2">
        <x:v>Yanet Alvarez</x:v>
      </x:c>
      <x:c r="H2086" s="6">
        <x:v>46215.99732037037</x:v>
      </x:c>
      <x:c r="I2086" s="0"/>
      <x:c r="J2086" s="0"/>
      <x:c r="K2086" s="6">
        <x:v>46229.82378746528</x:v>
      </x:c>
      <x:c r="L2086" t="str" s="2">
        <x:v>Lost</x:v>
      </x:c>
    </x:row>
    <x:row r="2087">
      <x:c r="A2087" t="str" s="2">
        <x:f>="Florence Dennis"</x:f>
      </x:c>
      <x:c r="B2087" t="str" s="2">
        <x:v>Heritage Housing of Jennings</x:v>
      </x:c>
      <x:c r="C2087" t="str" s="2">
        <x:v/>
      </x:c>
      <x:c r="D2087" t="str" s="2">
        <x:v>3187610408</x:v>
      </x:c>
      <x:c r="E2087" t="str" s="2">
        <x:v>florencedennis1128@gmail.com</x:v>
      </x:c>
      <x:c r="F2087" t="str" s="2">
        <x:v>Meta Ads - Forms</x:v>
      </x:c>
      <x:c r="G2087" t="str" s="2">
        <x:v>Marty Fontenot</x:v>
      </x:c>
      <x:c r="H2087" s="6">
        <x:v>46216.051296446756</x:v>
      </x:c>
      <x:c r="I2087" s="0"/>
      <x:c r="J2087" s="0"/>
      <x:c r="K2087" s="6">
        <x:v>46248.79729818287</x:v>
      </x:c>
      <x:c r="L2087" t="str" s="2">
        <x:v>Lost</x:v>
      </x:c>
    </x:row>
    <x:row r="2088">
      <x:c r="A2088" t="str" s="2">
        <x:f>="Kenyatta Ford"</x:f>
      </x:c>
      <x:c r="B2088" t="str" s="2">
        <x:v>Heritage Housing of Asheboro</x:v>
      </x:c>
      <x:c r="C2088" t="str" s="2">
        <x:v/>
      </x:c>
      <x:c r="D2088" t="str" s="2">
        <x:v>7577681324</x:v>
      </x:c>
      <x:c r="E2088" t="str" s="2">
        <x:v>kl123ford@yahoo.com</x:v>
      </x:c>
      <x:c r="F2088" t="str" s="2">
        <x:v>Meta Ads - Traffic</x:v>
      </x:c>
      <x:c r="G2088" t="str" s="2">
        <x:v>Maria Lopez</x:v>
      </x:c>
      <x:c r="H2088" s="6">
        <x:v>46216.19201663195</x:v>
      </x:c>
      <x:c r="I2088" s="0"/>
      <x:c r="J2088" s="0"/>
      <x:c r="K2088" s="6">
        <x:v>46261</x:v>
      </x:c>
      <x:c r="L2088" t="str" s="2">
        <x:v>Lost</x:v>
      </x:c>
    </x:row>
    <x:row r="2089">
      <x:c r="A2089" t="str" s="2">
        <x:f>="Ashleigh Walker"</x:f>
      </x:c>
      <x:c r="B2089" t="str" s="2">
        <x:v>Heritage Housing of Albany</x:v>
      </x:c>
      <x:c r="C2089" t="str" s="2">
        <x:v/>
      </x:c>
      <x:c r="D2089" t="str" s="2">
        <x:v>2296076926</x:v>
      </x:c>
      <x:c r="E2089" t="str" s="2">
        <x:v>ladiiwalker33@gmail.com</x:v>
      </x:c>
      <x:c r="F2089" t="str" s="2">
        <x:v>Meta Ads - Forms</x:v>
      </x:c>
      <x:c r="G2089" t="str" s="2">
        <x:v>Yanet Alvarez</x:v>
      </x:c>
      <x:c r="H2089" s="6">
        <x:v>46216.3800974537</x:v>
      </x:c>
      <x:c r="I2089" s="0"/>
      <x:c r="J2089" s="0"/>
      <x:c r="K2089" s="6">
        <x:v>46238.92453271991</x:v>
      </x:c>
      <x:c r="L2089" t="str" s="2">
        <x:v>Lost</x:v>
      </x:c>
    </x:row>
    <x:row r="2090">
      <x:c r="A2090" t="str" s="2">
        <x:f>="Ernesto Gonzalez"</x:f>
      </x:c>
      <x:c r="B2090" t="str" s="2">
        <x:v>Heritage Housing of Albany</x:v>
      </x:c>
      <x:c r="C2090" t="str" s="2">
        <x:v/>
      </x:c>
      <x:c r="D2090" t="str" s="2">
        <x:v>2293310783</x:v>
      </x:c>
      <x:c r="E2090" t="str" s="2">
        <x:v>eg5874892@gmail.com</x:v>
      </x:c>
      <x:c r="F2090" t="str" s="2">
        <x:v>Meta Ads - Forms</x:v>
      </x:c>
      <x:c r="G2090" t="str" s="2">
        <x:v>Yanet Alvarez</x:v>
      </x:c>
      <x:c r="H2090" s="6">
        <x:v>46216.470938506944</x:v>
      </x:c>
      <x:c r="I2090" s="0"/>
      <x:c r="J2090" s="0"/>
      <x:c r="K2090" s="6">
        <x:v>46229.822242395836</x:v>
      </x:c>
      <x:c r="L2090" t="str" s="2">
        <x:v>Lost</x:v>
      </x:c>
    </x:row>
    <x:row r="2091">
      <x:c r="A2091" t="str" s="2">
        <x:f>="Harold C Grant II"</x:f>
      </x:c>
      <x:c r="B2091" t="str" s="2">
        <x:v>Heritage Housing of Asheboro</x:v>
      </x:c>
      <x:c r="C2091" t="str" s="2">
        <x:v/>
      </x:c>
      <x:c r="D2091" t="str" s="2">
        <x:v>8432701069</x:v>
      </x:c>
      <x:c r="E2091" t="str" s="2">
        <x:v>grantiiharoldc@gmail.com</x:v>
      </x:c>
      <x:c r="F2091" t="str" s="2">
        <x:v>Meta Ads - Forms</x:v>
      </x:c>
      <x:c r="G2091" t="str" s="2">
        <x:v>Maria Lopez</x:v>
      </x:c>
      <x:c r="H2091" s="6">
        <x:v>46216.60406096065</x:v>
      </x:c>
      <x:c r="I2091" s="0"/>
      <x:c r="J2091" s="0"/>
      <x:c r="K2091" s="6">
        <x:v>46218.63930991898</x:v>
      </x:c>
      <x:c r="L2091" t="str" s="2">
        <x:v>Lost</x:v>
      </x:c>
    </x:row>
    <x:row r="2092">
      <x:c r="A2092" t="str" s="2">
        <x:f>="April Bache"</x:f>
      </x:c>
      <x:c r="B2092" t="str" s="2">
        <x:v>Heritage Housing of Jennings</x:v>
      </x:c>
      <x:c r="C2092" t="str" s="2">
        <x:v/>
      </x:c>
      <x:c r="D2092" t="str" s="2">
        <x:v>2252887414</x:v>
      </x:c>
      <x:c r="E2092" t="str" s="2">
        <x:v>aprilbergeron35@yahoo.com</x:v>
      </x:c>
      <x:c r="F2092" t="str" s="2">
        <x:v>Meta Ads - Forms</x:v>
      </x:c>
      <x:c r="G2092" t="str" s="2">
        <x:v>Mervin Leslie Smith</x:v>
      </x:c>
      <x:c r="H2092" s="6">
        <x:v>46216.60920034722</x:v>
      </x:c>
      <x:c r="I2092" s="0"/>
      <x:c r="J2092" s="0"/>
      <x:c r="K2092" s="6">
        <x:v>46256.813999039354</x:v>
      </x:c>
      <x:c r="L2092" t="str" s="2">
        <x:v>Lost</x:v>
      </x:c>
    </x:row>
    <x:row r="2093">
      <x:c r="A2093" t="str" s="2">
        <x:f>="Zachary Markowitz"</x:f>
      </x:c>
      <x:c r="B2093" t="str" s="2">
        <x:v>Heritage Housing of Oklahoma City</x:v>
      </x:c>
      <x:c r="C2093" t="str" s="2">
        <x:v/>
      </x:c>
      <x:c r="D2093" t="str" s="2">
        <x:v>9189005627</x:v>
      </x:c>
      <x:c r="E2093" t="str" s="2">
        <x:v>9189005627</x:v>
      </x:c>
      <x:c r="F2093" t="str" s="2">
        <x:v>Facebook Messenger</x:v>
      </x:c>
      <x:c r="G2093" t="str" s="2">
        <x:v>Karla Brizuela</x:v>
      </x:c>
      <x:c r="H2093" s="6">
        <x:v>46216.69807681713</x:v>
      </x:c>
      <x:c r="I2093" s="0"/>
      <x:c r="J2093" s="6">
        <x:v>46218.708333333336</x:v>
      </x:c>
      <x:c r="K2093" s="6">
        <x:v>46224.898798842594</x:v>
      </x:c>
      <x:c r="L2093" t="str" s="2">
        <x:v>Lost</x:v>
      </x:c>
    </x:row>
    <x:row r="2094">
      <x:c r="A2094" t="str" s="2">
        <x:f>="TyNeisha Washington"</x:f>
      </x:c>
      <x:c r="B2094" t="str" s="2">
        <x:v>Heritage Housing Gainesville</x:v>
      </x:c>
      <x:c r="C2094" t="str" s="2">
        <x:v/>
      </x:c>
      <x:c r="D2094" t="str" s="2">
        <x:v>9792049262</x:v>
      </x:c>
      <x:c r="E2094" t="str" s="2">
        <x:v>thai427@gmail.com</x:v>
      </x:c>
      <x:c r="F2094" t="str" s="2">
        <x:v>Financing Form</x:v>
      </x:c>
      <x:c r="G2094" t="str" s="2">
        <x:v>John Schwichtenberg</x:v>
      </x:c>
      <x:c r="H2094" s="6">
        <x:v>46216.79279980324</x:v>
      </x:c>
      <x:c r="I2094" s="0"/>
      <x:c r="J2094" s="0"/>
      <x:c r="K2094" s="6">
        <x:v>46261</x:v>
      </x:c>
      <x:c r="L2094" t="str" s="2">
        <x:v>Lost</x:v>
      </x:c>
    </x:row>
    <x:row r="2095">
      <x:c r="A2095" t="str" s="2">
        <x:f>="Jaclyn Villarreal"</x:f>
      </x:c>
      <x:c r="B2095" t="str" s="2">
        <x:v>Heritage Housing of Oklahoma City</x:v>
      </x:c>
      <x:c r="C2095" t="str" s="2">
        <x:v>0/2</x:v>
      </x:c>
      <x:c r="D2095" t="str" s="2">
        <x:v>4056385254</x:v>
      </x:c>
      <x:c r="E2095" t="str" s="2">
        <x:v>jackivillarreal5486@gmail.com</x:v>
      </x:c>
      <x:c r="F2095" t="str" s="2">
        <x:v>Meta Ads - Forms</x:v>
      </x:c>
      <x:c r="G2095" t="str" s="2">
        <x:v>Steve Castell</x:v>
      </x:c>
      <x:c r="H2095" s="6">
        <x:v>46216.94094637731</x:v>
      </x:c>
      <x:c r="I2095" s="0"/>
      <x:c r="J2095" s="0"/>
      <x:c r="K2095" s="6">
        <x:v>46220.97695902778</x:v>
      </x:c>
      <x:c r="L2095" t="str" s="2">
        <x:v>Lost</x:v>
      </x:c>
    </x:row>
    <x:row r="2096">
      <x:c r="A2096" t="str" s="2">
        <x:f>="Kylee Daniel"</x:f>
      </x:c>
      <x:c r="B2096" t="str" s="2">
        <x:v>Heritage Housing of Oklahoma City</x:v>
      </x:c>
      <x:c r="C2096" t="str" s="2">
        <x:v>0/4</x:v>
      </x:c>
      <x:c r="D2096" t="str" s="2">
        <x:v>5722760728</x:v>
      </x:c>
      <x:c r="E2096" t="str" s="2">
        <x:v>Kyleemaeee.27@gmail.com</x:v>
      </x:c>
      <x:c r="F2096" t="str" s="2">
        <x:v>Website</x:v>
      </x:c>
      <x:c r="G2096" t="str" s="2">
        <x:v>Steve Castell</x:v>
      </x:c>
      <x:c r="H2096" s="6">
        <x:v>46217.03068888889</x:v>
      </x:c>
      <x:c r="I2096" s="0"/>
      <x:c r="J2096" s="0"/>
      <x:c r="K2096" s="6">
        <x:v>46248</x:v>
      </x:c>
      <x:c r="L2096" t="str" s="2">
        <x:v>Lost</x:v>
      </x:c>
    </x:row>
    <x:row r="2097">
      <x:c r="A2097" t="str" s="2">
        <x:f>="Shawn Linton"</x:f>
      </x:c>
      <x:c r="B2097" t="str" s="2">
        <x:v>Heritage Housing of Oklahoma City</x:v>
      </x:c>
      <x:c r="C2097" t="str" s="2">
        <x:v>0/3</x:v>
      </x:c>
      <x:c r="D2097" t="str" s="2">
        <x:v>5809270137</x:v>
      </x:c>
      <x:c r="E2097" t="str" s="2">
        <x:v>shawnlinton1988@gmail.com</x:v>
      </x:c>
      <x:c r="F2097" t="str" s="2">
        <x:v>Financing Form</x:v>
      </x:c>
      <x:c r="G2097" t="str" s="2">
        <x:v>Steve Castell</x:v>
      </x:c>
      <x:c r="H2097" s="6">
        <x:v>46217.14072164352</x:v>
      </x:c>
      <x:c r="I2097" s="0"/>
      <x:c r="J2097" s="0"/>
      <x:c r="K2097" s="6">
        <x:v>46231</x:v>
      </x:c>
      <x:c r="L2097" t="str" s="2">
        <x:v>Lost</x:v>
      </x:c>
    </x:row>
    <x:row r="2098">
      <x:c r="A2098" t="str" s="2">
        <x:f>="Tina Grant"</x:f>
      </x:c>
      <x:c r="B2098" t="str" s="2">
        <x:v>Heritage Housing of Albany</x:v>
      </x:c>
      <x:c r="C2098" t="str" s="2">
        <x:v/>
      </x:c>
      <x:c r="D2098" t="str" s="2">
        <x:v>7065643181</x:v>
      </x:c>
      <x:c r="E2098" t="str" s="2">
        <x:v>wolfgirl42tg@yahoo.com</x:v>
      </x:c>
      <x:c r="F2098" t="str" s="2">
        <x:v>Financing Form</x:v>
      </x:c>
      <x:c r="G2098" t="str" s="2">
        <x:v>Yanet Alvarez</x:v>
      </x:c>
      <x:c r="H2098" s="6">
        <x:v>46217.143458252314</x:v>
      </x:c>
      <x:c r="I2098" s="0"/>
      <x:c r="J2098" s="0"/>
      <x:c r="K2098" s="6">
        <x:v>46219</x:v>
      </x:c>
      <x:c r="L2098" t="str" s="2">
        <x:v>Lost</x:v>
      </x:c>
    </x:row>
    <x:row r="2099">
      <x:c r="A2099" t="str" s="2">
        <x:f>="Barbara Collins"</x:f>
      </x:c>
      <x:c r="B2099" t="str" s="2">
        <x:v>Heritage Housing Marble Falls</x:v>
      </x:c>
      <x:c r="C2099" t="str" s="2">
        <x:v/>
      </x:c>
      <x:c r="D2099" t="str" s="2">
        <x:v>8706888038</x:v>
      </x:c>
      <x:c r="E2099" t="str" s="2">
        <x:v>barbcollins150@gmail.com</x:v>
      </x:c>
      <x:c r="F2099" t="str" s="2">
        <x:v>Meta Ads - Forms</x:v>
      </x:c>
      <x:c r="G2099" t="str" s="2">
        <x:v>Stephen Sanders</x:v>
      </x:c>
      <x:c r="H2099" s="6">
        <x:v>46217.152149340276</x:v>
      </x:c>
      <x:c r="I2099" s="0"/>
      <x:c r="J2099" s="0"/>
      <x:c r="K2099" s="6">
        <x:v>46220.90352623843</x:v>
      </x:c>
      <x:c r="L2099" t="str" s="2">
        <x:v>Lost</x:v>
      </x:c>
    </x:row>
    <x:row r="2100">
      <x:c r="A2100" t="str" s="2">
        <x:f>="Deatria Missey"</x:f>
      </x:c>
      <x:c r="B2100" t="str" s="2">
        <x:v>Heritage Housing of Albany</x:v>
      </x:c>
      <x:c r="C2100" t="str" s="2">
        <x:v/>
      </x:c>
      <x:c r="D2100" t="str" s="2">
        <x:v>6017173636</x:v>
      </x:c>
      <x:c r="E2100" t="str" s="2">
        <x:v>dvsnxtc70@gmail.com</x:v>
      </x:c>
      <x:c r="F2100" t="str" s="2">
        <x:v>Financing Form</x:v>
      </x:c>
      <x:c r="G2100" t="str" s="2">
        <x:v>Yanet Alvarez</x:v>
      </x:c>
      <x:c r="H2100" s="6">
        <x:v>46217.288239814814</x:v>
      </x:c>
      <x:c r="I2100" s="0"/>
      <x:c r="J2100" s="0"/>
      <x:c r="K2100" s="6">
        <x:v>46260.737858912034</x:v>
      </x:c>
      <x:c r="L2100" t="str" s="2">
        <x:v>Lost</x:v>
      </x:c>
    </x:row>
    <x:row r="2101">
      <x:c r="A2101" t="str" s="2">
        <x:f>="Eli Davis"</x:f>
      </x:c>
      <x:c r="B2101" t="str" s="2">
        <x:v>Heritage Housing of Minden</x:v>
      </x:c>
      <x:c r="C2101" t="str" s="2">
        <x:v/>
      </x:c>
      <x:c r="D2101" t="str" s="2">
        <x:v>3184533946</x:v>
      </x:c>
      <x:c r="E2101" t="str" s="2">
        <x:v>elijahjdavis06@gmail.com</x:v>
      </x:c>
      <x:c r="F2101" t="str" s="2">
        <x:v>LandingPage</x:v>
      </x:c>
      <x:c r="G2101" t="str" s="2">
        <x:v>Caulia Washington</x:v>
      </x:c>
      <x:c r="H2101" s="6">
        <x:v>46217.51918491898</x:v>
      </x:c>
      <x:c r="I2101" s="0"/>
      <x:c r="J2101" s="0"/>
      <x:c r="K2101" s="6">
        <x:v>46220</x:v>
      </x:c>
      <x:c r="L2101" t="str" s="2">
        <x:v>Lost</x:v>
      </x:c>
    </x:row>
    <x:row r="2102">
      <x:c r="A2102" t="str" s="2">
        <x:f>="Allison Deason"</x:f>
      </x:c>
      <x:c r="B2102" t="str" s="2">
        <x:v>Heritage Housing of Albany</x:v>
      </x:c>
      <x:c r="C2102" t="str" s="2">
        <x:v/>
      </x:c>
      <x:c r="D2102" t="str" s="2">
        <x:v>7062860960</x:v>
      </x:c>
      <x:c r="E2102" t="str" s="2">
        <x:v>hpleslyme@gmail.com</x:v>
      </x:c>
      <x:c r="F2102" t="str" s="2">
        <x:v>Financing Form</x:v>
      </x:c>
      <x:c r="G2102" t="str" s="2">
        <x:v>Yanet Alvarez</x:v>
      </x:c>
      <x:c r="H2102" s="6">
        <x:v>46217.67087199074</x:v>
      </x:c>
      <x:c r="I2102" s="0"/>
      <x:c r="J2102" s="0"/>
      <x:c r="K2102" s="6">
        <x:v>46217</x:v>
      </x:c>
      <x:c r="L2102" t="str" s="2">
        <x:v>Lost</x:v>
      </x:c>
    </x:row>
    <x:row r="2103">
      <x:c r="A2103" t="str" s="2">
        <x:f>="Marla Noble"</x:f>
      </x:c>
      <x:c r="B2103" t="str" s="2">
        <x:v>Heritage Housing Mt Pleasant</x:v>
      </x:c>
      <x:c r="C2103" t="str" s="2">
        <x:v/>
      </x:c>
      <x:c r="D2103" t="str" s="2">
        <x:v>9039460498</x:v>
      </x:c>
      <x:c r="E2103" t="str" s="2">
        <x:v>nobann488@gmail.com</x:v>
      </x:c>
      <x:c r="F2103" t="str" s="2">
        <x:v>Website</x:v>
      </x:c>
      <x:c r="G2103" t="str" s="2">
        <x:v>Sandra Saldana</x:v>
      </x:c>
      <x:c r="H2103" s="6">
        <x:v>46217.71323591435</x:v>
      </x:c>
      <x:c r="I2103" s="0"/>
      <x:c r="J2103" s="0"/>
      <x:c r="K2103" s="6">
        <x:v>46253.78499806713</x:v>
      </x:c>
      <x:c r="L2103" t="str" s="2">
        <x:v>Lost</x:v>
      </x:c>
    </x:row>
    <x:row r="2104">
      <x:c r="A2104" t="str" s="2">
        <x:f>="Donna Wilde"</x:f>
      </x:c>
      <x:c r="B2104" t="str" s="2">
        <x:v>Heritage Housing of Minden</x:v>
      </x:c>
      <x:c r="C2104" t="str" s="2">
        <x:v>0/1</x:v>
      </x:c>
      <x:c r="D2104" t="str" s="2">
        <x:v>3372742781</x:v>
      </x:c>
      <x:c r="E2104" t="str" s="2">
        <x:v>dwilde19591959@gmail.com</x:v>
      </x:c>
      <x:c r="F2104" t="str" s="2">
        <x:v>Meta Ads - Forms</x:v>
      </x:c>
      <x:c r="G2104" t="str" s="2">
        <x:v>Patrick Schuchart</x:v>
      </x:c>
      <x:c r="H2104" s="6">
        <x:v>46217.778563541666</x:v>
      </x:c>
      <x:c r="I2104" s="0"/>
      <x:c r="J2104" s="0"/>
      <x:c r="K2104" s="6">
        <x:v>46262.75161033565</x:v>
      </x:c>
      <x:c r="L2104" t="str" s="2">
        <x:v>Lost</x:v>
      </x:c>
    </x:row>
    <x:row r="2105">
      <x:c r="A2105" t="str" s="2">
        <x:f>="Cindy Collom"</x:f>
      </x:c>
      <x:c r="B2105" t="str" s="2">
        <x:v>Heritage Housing of Canton</x:v>
      </x:c>
      <x:c r="C2105" t="str" s="2">
        <x:v/>
      </x:c>
      <x:c r="D2105" t="str" s="2">
        <x:v>4327410002</x:v>
      </x:c>
      <x:c r="E2105" t="str" s="2">
        <x:v>tc1cc1@yahoo.com</x:v>
      </x:c>
      <x:c r="F2105" t="str" s="2">
        <x:v>Meta Ads - Forms</x:v>
      </x:c>
      <x:c r="G2105" t="str" s="2">
        <x:v>Jacob Hatten</x:v>
      </x:c>
      <x:c r="H2105" s="6">
        <x:v>46217.78092596065</x:v>
      </x:c>
      <x:c r="I2105" s="0"/>
      <x:c r="J2105" s="0"/>
      <x:c r="K2105" s="6">
        <x:v>46244</x:v>
      </x:c>
      <x:c r="L2105" t="str" s="2">
        <x:v>Lost</x:v>
      </x:c>
    </x:row>
    <x:row r="2106">
      <x:c r="A2106" t="str" s="2">
        <x:f>="Jonathan sheffield"</x:f>
      </x:c>
      <x:c r="B2106" t="str" s="2">
        <x:v>Heritage Housing of Albany</x:v>
      </x:c>
      <x:c r="C2106" t="str" s="2">
        <x:v/>
      </x:c>
      <x:c r="D2106" t="str" s="2">
        <x:v>2293226105</x:v>
      </x:c>
      <x:c r="E2106" t="str" s="2">
        <x:v>jaheff715@gmail.com</x:v>
      </x:c>
      <x:c r="F2106" t="str" s="2">
        <x:v>LandingPage</x:v>
      </x:c>
      <x:c r="G2106" t="str" s="2">
        <x:v>Yanet Alvarez</x:v>
      </x:c>
      <x:c r="H2106" s="6">
        <x:v>46217.84533240741</x:v>
      </x:c>
      <x:c r="I2106" s="0"/>
      <x:c r="J2106" s="0"/>
      <x:c r="K2106" s="6">
        <x:v>46233.77092040509</x:v>
      </x:c>
      <x:c r="L2106" t="str" s="2">
        <x:v>Lost</x:v>
      </x:c>
    </x:row>
    <x:row r="2107">
      <x:c r="A2107" t="str" s="2">
        <x:f>="Haley Perron"</x:f>
      </x:c>
      <x:c r="B2107" t="str" s="2">
        <x:v>Heritage Housing of Jennings</x:v>
      </x:c>
      <x:c r="C2107" t="str" s="2">
        <x:v>0/1</x:v>
      </x:c>
      <x:c r="D2107" t="str" s="2">
        <x:v>3373683922</x:v>
      </x:c>
      <x:c r="E2107" t="str" s="2">
        <x:v>guidry574@gmail.com</x:v>
      </x:c>
      <x:c r="F2107" t="str" s="2">
        <x:v>Website</x:v>
      </x:c>
      <x:c r="G2107" t="str" s="2">
        <x:v>Mervin Leslie Smith</x:v>
      </x:c>
      <x:c r="H2107" s="6">
        <x:v>46217.90437017361</x:v>
      </x:c>
      <x:c r="I2107" s="0"/>
      <x:c r="J2107" s="0"/>
      <x:c r="K2107" s="6">
        <x:v>46220</x:v>
      </x:c>
      <x:c r="L2107" t="str" s="2">
        <x:v>Lost</x:v>
      </x:c>
    </x:row>
    <x:row r="2108">
      <x:c r="A2108" t="str" s="2">
        <x:f>="Houspru Houspru"</x:f>
      </x:c>
      <x:c r="B2108" t="str" s="2">
        <x:v>Legacy Housing Corp. DBA Americasa</x:v>
      </x:c>
      <x:c r="C2108" t="str" s="2">
        <x:v/>
      </x:c>
      <x:c r="D2108" t="str" s="2">
        <x:v>5874587412</x:v>
      </x:c>
      <x:c r="E2108" t="str" s="2">
        <x:v>prieueudhd@kkfkfkvjghutisdl.com</x:v>
      </x:c>
      <x:c r="F2108" t="str" s="2">
        <x:v>Website</x:v>
      </x:c>
      <x:c r="G2108" t="str" s="2">
        <x:v>Victoria Sanchez</x:v>
      </x:c>
      <x:c r="H2108" s="6">
        <x:v>46217.91474606482</x:v>
      </x:c>
      <x:c r="I2108" s="0"/>
      <x:c r="J2108" s="0"/>
      <x:c r="K2108" s="0"/>
      <x:c r="L2108" t="str" s="2">
        <x:v>Lost</x:v>
      </x:c>
    </x:row>
    <x:row r="2109">
      <x:c r="A2109" t="str" s="2">
        <x:f>="Shannon Beavers"</x:f>
      </x:c>
      <x:c r="B2109" t="str" s="2">
        <x:v>Heritage Housing of Asheboro</x:v>
      </x:c>
      <x:c r="C2109" t="str" s="2">
        <x:v/>
      </x:c>
      <x:c r="D2109" t="str" s="2">
        <x:v>3363099155</x:v>
      </x:c>
      <x:c r="E2109" t="str" s="2">
        <x:v>shannonbeavers34@gmail.com</x:v>
      </x:c>
      <x:c r="F2109" t="str" s="2">
        <x:v>Meta Ads - Traffic</x:v>
      </x:c>
      <x:c r="G2109" t="str" s="2">
        <x:v>Cory Martin</x:v>
      </x:c>
      <x:c r="H2109" s="6">
        <x:v>46217.97762936343</x:v>
      </x:c>
      <x:c r="I2109" s="0"/>
      <x:c r="J2109" s="0"/>
      <x:c r="K2109" s="6">
        <x:v>46223.829075497684</x:v>
      </x:c>
      <x:c r="L2109" t="str" s="2">
        <x:v>Lost</x:v>
      </x:c>
    </x:row>
    <x:row r="2110">
      <x:c r="A2110" t="str" s="2">
        <x:f>="Carrie Pruett"</x:f>
      </x:c>
      <x:c r="B2110" t="str" s="2">
        <x:v>Heritage Housing of Albany</x:v>
      </x:c>
      <x:c r="C2110" t="str" s="2">
        <x:v/>
      </x:c>
      <x:c r="D2110" t="str" s="2">
        <x:v>7063304720</x:v>
      </x:c>
      <x:c r="E2110" t="str" s="2">
        <x:v>Carriepruett1@gmail.com</x:v>
      </x:c>
      <x:c r="F2110" t="str" s="2">
        <x:v>Meta Ads - Forms</x:v>
      </x:c>
      <x:c r="G2110" t="str" s="2">
        <x:v>Yanet Alvarez</x:v>
      </x:c>
      <x:c r="H2110" s="6">
        <x:v>46217.99124915509</x:v>
      </x:c>
      <x:c r="I2110" s="0"/>
      <x:c r="J2110" s="0"/>
      <x:c r="K2110" s="6">
        <x:v>46253.73740524305</x:v>
      </x:c>
      <x:c r="L2110" t="str" s="2">
        <x:v>Lost</x:v>
      </x:c>
    </x:row>
    <x:row r="2111">
      <x:c r="A2111" t="str" s="2">
        <x:f>="Brexy Brexy"</x:f>
      </x:c>
      <x:c r="B2111" t="str" s="2">
        <x:v>Heritage Housing of Augusta</x:v>
      </x:c>
      <x:c r="C2111" t="str" s="2">
        <x:v/>
      </x:c>
      <x:c r="D2111" t="str" s="2">
        <x:v>7063731082</x:v>
      </x:c>
      <x:c r="E2111" t="str" s="2">
        <x:v>Brexy4Hard@gmail.com</x:v>
      </x:c>
      <x:c r="F2111" t="str" s="2">
        <x:v>Meta Ads - Forms</x:v>
      </x:c>
      <x:c r="G2111" t="str" s="2">
        <x:v>Alex Jones</x:v>
      </x:c>
      <x:c r="H2111" s="6">
        <x:v>46217.99498630787</x:v>
      </x:c>
      <x:c r="I2111" s="0"/>
      <x:c r="J2111" s="0"/>
      <x:c r="K2111" s="6">
        <x:v>46219</x:v>
      </x:c>
      <x:c r="L2111" t="str" s="2">
        <x:v>Lost</x:v>
      </x:c>
    </x:row>
    <x:row r="2112">
      <x:c r="A2112" t="str" s="2">
        <x:f>="Brenda Hammond"</x:f>
      </x:c>
      <x:c r="B2112" t="str" s="2">
        <x:v>Heritage Housing of Athens</x:v>
      </x:c>
      <x:c r="C2112" t="str" s="2">
        <x:v/>
      </x:c>
      <x:c r="D2112" t="str" s="2">
        <x:v>7069903676</x:v>
      </x:c>
      <x:c r="E2112" t="str" s="2">
        <x:v>brendahammond@986gmail.com</x:v>
      </x:c>
      <x:c r="F2112" t="str" s="2">
        <x:v>Meta Ads - Forms</x:v>
      </x:c>
      <x:c r="G2112" t="str" s="2">
        <x:v>Nathan Bishop</x:v>
      </x:c>
      <x:c r="H2112" s="6">
        <x:v>46218.16091547454</x:v>
      </x:c>
      <x:c r="I2112" s="0"/>
      <x:c r="J2112" s="0"/>
      <x:c r="K2112" s="6">
        <x:v>46270</x:v>
      </x:c>
      <x:c r="L2112" t="str" s="2">
        <x:v>Lost</x:v>
      </x:c>
    </x:row>
    <x:row r="2113">
      <x:c r="A2113" t="str" s="2">
        <x:f>="Josephmeada JosephmeadaZG"</x:f>
      </x:c>
      <x:c r="B2113" t="str" s="2">
        <x:v>Heritage Housing of Greenville</x:v>
      </x:c>
      <x:c r="C2113" t="str" s="2">
        <x:v/>
      </x:c>
      <x:c r="D2113" t="str" s="2">
        <x:v>87234963231</x:v>
      </x:c>
      <x:c r="E2113" t="str" s="2">
        <x:v>cmlajqt@dmudkrc.bwe</x:v>
      </x:c>
      <x:c r="F2113" t="str" s="2">
        <x:v>Website</x:v>
      </x:c>
      <x:c r="G2113" t="str" s="2">
        <x:v>Greg Christman</x:v>
      </x:c>
      <x:c r="H2113" s="6">
        <x:v>46218.72507222222</x:v>
      </x:c>
      <x:c r="I2113" s="0"/>
      <x:c r="J2113" s="0"/>
      <x:c r="K2113" s="0"/>
      <x:c r="L2113" t="str" s="2">
        <x:v>Lost</x:v>
      </x:c>
    </x:row>
    <x:row r="2114">
      <x:c r="A2114" t="str" s="2">
        <x:f>="Lori Mashburn"</x:f>
      </x:c>
      <x:c r="B2114" t="str" s="2">
        <x:v>Heritage Housing of Albany</x:v>
      </x:c>
      <x:c r="C2114" t="str" s="2">
        <x:v/>
      </x:c>
      <x:c r="D2114" t="str" s="2">
        <x:v>7064832035</x:v>
      </x:c>
      <x:c r="E2114" t="str" s="2">
        <x:v>lorihobbs2001@yahoo.com</x:v>
      </x:c>
      <x:c r="F2114" t="str" s="2">
        <x:v>Website</x:v>
      </x:c>
      <x:c r="G2114" t="str" s="2">
        <x:v>Yanet Alvarez</x:v>
      </x:c>
      <x:c r="H2114" s="6">
        <x:v>46218.74987422454</x:v>
      </x:c>
      <x:c r="I2114" s="0"/>
      <x:c r="J2114" s="0"/>
      <x:c r="K2114" s="6">
        <x:v>46240.91614178241</x:v>
      </x:c>
      <x:c r="L2114" t="str" s="2">
        <x:v>Lost</x:v>
      </x:c>
    </x:row>
    <x:row r="2115">
      <x:c r="A2115" t="str" s="2">
        <x:f>="Christine Marie Pruitt"</x:f>
      </x:c>
      <x:c r="B2115" t="str" s="2">
        <x:v>Heritage Housing of Athens</x:v>
      </x:c>
      <x:c r="C2115" t="str" s="2">
        <x:v/>
      </x:c>
      <x:c r="D2115" t="str" s="2">
        <x:v>7069736533</x:v>
      </x:c>
      <x:c r="E2115" t="str" s="2">
        <x:v>mariepruitt102674@gmail.com</x:v>
      </x:c>
      <x:c r="F2115" t="str" s="2">
        <x:v>Meta Ads - Forms</x:v>
      </x:c>
      <x:c r="G2115" t="str" s="2">
        <x:v>Nathan Bishop</x:v>
      </x:c>
      <x:c r="H2115" s="6">
        <x:v>46218.81550471065</x:v>
      </x:c>
      <x:c r="I2115" s="0"/>
      <x:c r="J2115" s="0"/>
      <x:c r="K2115" s="6">
        <x:v>46270</x:v>
      </x:c>
      <x:c r="L2115" t="str" s="2">
        <x:v>Lost</x:v>
      </x:c>
    </x:row>
    <x:row r="2116">
      <x:c r="A2116" t="str" s="2">
        <x:f>="Jamie Stewart"</x:f>
      </x:c>
      <x:c r="B2116" t="str" s="2">
        <x:v>Heritage Housing of Jennings</x:v>
      </x:c>
      <x:c r="C2116" t="str" s="2">
        <x:v/>
      </x:c>
      <x:c r="D2116" t="str" s="2">
        <x:v>2255199379</x:v>
      </x:c>
      <x:c r="E2116" t="str" s="2">
        <x:v>akalenda3@yahoo.com</x:v>
      </x:c>
      <x:c r="F2116" t="str" s="2">
        <x:v>Financing Form</x:v>
      </x:c>
      <x:c r="G2116" t="str" s="2">
        <x:v>Mervin Leslie Smith</x:v>
      </x:c>
      <x:c r="H2116" s="6">
        <x:v>46218.82688318287</x:v>
      </x:c>
      <x:c r="I2116" s="0"/>
      <x:c r="J2116" s="0"/>
      <x:c r="K2116" s="6">
        <x:v>46218.903176354164</x:v>
      </x:c>
      <x:c r="L2116" t="str" s="2">
        <x:v>Lost</x:v>
      </x:c>
    </x:row>
    <x:row r="2117">
      <x:c r="A2117" t="str" s="2">
        <x:f>="Tami Sanchez"</x:f>
      </x:c>
      <x:c r="B2117" t="str" s="2">
        <x:v>Heritage Housing of Greenville</x:v>
      </x:c>
      <x:c r="C2117" t="str" s="2">
        <x:v/>
      </x:c>
      <x:c r="D2117" t="str" s="2">
        <x:v>9033663814</x:v>
      </x:c>
      <x:c r="E2117" t="str" s="2">
        <x:v>tamisanchez946@gmail.com</x:v>
      </x:c>
      <x:c r="F2117" t="str" s="2">
        <x:v>Financing Form</x:v>
      </x:c>
      <x:c r="G2117" t="str" s="2">
        <x:v>Brooklynn Allen</x:v>
      </x:c>
      <x:c r="H2117" s="6">
        <x:v>46218.887269872685</x:v>
      </x:c>
      <x:c r="I2117" s="0"/>
      <x:c r="J2117" s="0"/>
      <x:c r="K2117" s="6">
        <x:v>46223</x:v>
      </x:c>
      <x:c r="L2117" t="str" s="2">
        <x:v>Lost</x:v>
      </x:c>
    </x:row>
    <x:row r="2118">
      <x:c r="A2118" t="str" s="2">
        <x:f>="Damond Johnson"</x:f>
      </x:c>
      <x:c r="B2118" t="str" s="2">
        <x:v>Heritage Housing of Greenville</x:v>
      </x:c>
      <x:c r="C2118" t="str" s="2">
        <x:v/>
      </x:c>
      <x:c r="D2118" t="str" s="2">
        <x:v>6824125791</x:v>
      </x:c>
      <x:c r="E2118" t="str" s="2">
        <x:v>Djaybkbbtg521@gmail.com</x:v>
      </x:c>
      <x:c r="F2118" t="str" s="2">
        <x:v>Meta Ads - Forms</x:v>
      </x:c>
      <x:c r="G2118" t="str" s="2">
        <x:v>Brooklynn Allen</x:v>
      </x:c>
      <x:c r="H2118" s="6">
        <x:v>46218.899757060186</x:v>
      </x:c>
      <x:c r="I2118" s="0"/>
      <x:c r="J2118" s="0"/>
      <x:c r="K2118" s="6">
        <x:v>46253.65059247685</x:v>
      </x:c>
      <x:c r="L2118" t="str" s="2">
        <x:v>Lost</x:v>
      </x:c>
    </x:row>
    <x:row r="2119">
      <x:c r="A2119" t="str" s="2">
        <x:f>="Raquel Alvarado Chavez"</x:f>
      </x:c>
      <x:c r="B2119" t="str" s="2">
        <x:v>Heritage Housing of Jennings</x:v>
      </x:c>
      <x:c r="C2119" t="str" s="2">
        <x:v/>
      </x:c>
      <x:c r="D2119" t="str" s="2">
        <x:v>9152559497</x:v>
      </x:c>
      <x:c r="E2119" t="str" s="2">
        <x:v>alva196988@gmail.com</x:v>
      </x:c>
      <x:c r="F2119" t="str" s="2">
        <x:v>Meta Ads - Forms</x:v>
      </x:c>
      <x:c r="G2119" t="str" s="2">
        <x:v>Mervin Leslie Smith</x:v>
      </x:c>
      <x:c r="H2119" s="6">
        <x:v>46218.90768136574</x:v>
      </x:c>
      <x:c r="I2119" s="0"/>
      <x:c r="J2119" s="0"/>
      <x:c r="K2119" s="6">
        <x:v>46219.787525266205</x:v>
      </x:c>
      <x:c r="L2119" t="str" s="2">
        <x:v>Lost</x:v>
      </x:c>
    </x:row>
    <x:row r="2120">
      <x:c r="A2120" t="str" s="2">
        <x:f>="EvelynJEK +16741777011"</x:f>
      </x:c>
      <x:c r="B2120" t="str" s="2">
        <x:v>Heritage Housing of Albany</x:v>
      </x:c>
      <x:c r="C2120" t="str" s="2">
        <x:v/>
      </x:c>
      <x:c r="D2120" t="str" s="2">
        <x:v>83912248731</x:v>
      </x:c>
      <x:c r="E2120" t="str" s="2">
        <x:v>niokdil@seegpjj.qrb</x:v>
      </x:c>
      <x:c r="F2120" t="str" s="2">
        <x:v>Website</x:v>
      </x:c>
      <x:c r="G2120" t="str" s="2">
        <x:v>Yanet Alvarez</x:v>
      </x:c>
      <x:c r="H2120" s="6">
        <x:v>46218.923707291666</x:v>
      </x:c>
      <x:c r="I2120" s="0"/>
      <x:c r="J2120" s="0"/>
      <x:c r="K2120" s="6">
        <x:v>46229.81714837963</x:v>
      </x:c>
      <x:c r="L2120" t="str" s="2">
        <x:v>Lost</x:v>
      </x:c>
    </x:row>
    <x:row r="2121">
      <x:c r="A2121" t="str" s="2">
        <x:f>="Treise Green"</x:f>
      </x:c>
      <x:c r="B2121" t="str" s="2">
        <x:v>Heritage Housing of Minden</x:v>
      </x:c>
      <x:c r="C2121" t="str" s="2">
        <x:v>0/1</x:v>
      </x:c>
      <x:c r="D2121" t="str" s="2">
        <x:v>3135985360</x:v>
      </x:c>
      <x:c r="E2121" t="str" s="2">
        <x:v>treisegreen@gmail.com</x:v>
      </x:c>
      <x:c r="F2121" t="str" s="2">
        <x:v>Meta Ads - Forms</x:v>
      </x:c>
      <x:c r="G2121" t="str" s="2">
        <x:v>Alescia Ridgdell</x:v>
      </x:c>
      <x:c r="H2121" s="6">
        <x:v>46218.9315371875</x:v>
      </x:c>
      <x:c r="I2121" s="0"/>
      <x:c r="J2121" s="0"/>
      <x:c r="K2121" s="6">
        <x:v>46220.73938248843</x:v>
      </x:c>
      <x:c r="L2121" t="str" s="2">
        <x:v>Lost</x:v>
      </x:c>
    </x:row>
    <x:row r="2122">
      <x:c r="A2122" t="str" s="2">
        <x:f>="Rhonda Flener"</x:f>
      </x:c>
      <x:c r="B2122" t="str" s="2">
        <x:v>Heritage Housing Mt Pleasant</x:v>
      </x:c>
      <x:c r="C2122" t="str" s="2">
        <x:v/>
      </x:c>
      <x:c r="D2122" t="str" s="2">
        <x:v>9032579044</x:v>
      </x:c>
      <x:c r="E2122" t="str" s="2">
        <x:v>rhondaflener77@gmail.com</x:v>
      </x:c>
      <x:c r="F2122" t="str" s="2">
        <x:v>Meta Ads - Forms</x:v>
      </x:c>
      <x:c r="G2122" t="str" s="2">
        <x:v>Sandra Saldana</x:v>
      </x:c>
      <x:c r="H2122" s="6">
        <x:v>46218.93553414352</x:v>
      </x:c>
      <x:c r="I2122" s="0"/>
      <x:c r="J2122" s="0"/>
      <x:c r="K2122" s="6">
        <x:v>46258</x:v>
      </x:c>
      <x:c r="L2122" t="str" s="2">
        <x:v>Lost</x:v>
      </x:c>
    </x:row>
    <x:row r="2123">
      <x:c r="A2123" t="str" s="2">
        <x:f>="Richard Williams"</x:f>
      </x:c>
      <x:c r="B2123" t="str" s="2">
        <x:v>Heritage Housing of Asheboro</x:v>
      </x:c>
      <x:c r="C2123" t="str" s="2">
        <x:v/>
      </x:c>
      <x:c r="D2123" t="str" s="2">
        <x:v>9109868805</x:v>
      </x:c>
      <x:c r="E2123" t="str" s="2">
        <x:v>kinslercheryl@gmail.com</x:v>
      </x:c>
      <x:c r="F2123" t="str" s="2">
        <x:v>Meta Ads - Traffic</x:v>
      </x:c>
      <x:c r="G2123" t="str" s="2">
        <x:v>Maria Lopez</x:v>
      </x:c>
      <x:c r="H2123" s="6">
        <x:v>46218.96034155093</x:v>
      </x:c>
      <x:c r="I2123" s="0"/>
      <x:c r="J2123" s="0"/>
      <x:c r="K2123" s="6">
        <x:v>46220.54873603009</x:v>
      </x:c>
      <x:c r="L2123" t="str" s="2">
        <x:v>Lost</x:v>
      </x:c>
    </x:row>
    <x:row r="2124">
      <x:c r="A2124" t="str" s="2">
        <x:f>="Jennifer Wilson"</x:f>
      </x:c>
      <x:c r="B2124" t="str" s="2">
        <x:v>Heritage Housing of Athens</x:v>
      </x:c>
      <x:c r="C2124" t="str" s="2">
        <x:v>0/1</x:v>
      </x:c>
      <x:c r="D2124" t="str" s="2">
        <x:v>4783218932</x:v>
      </x:c>
      <x:c r="E2124" t="str" s="2">
        <x:v>jenngrenvil2001@gmail.com</x:v>
      </x:c>
      <x:c r="F2124" t="str" s="2">
        <x:v>Website</x:v>
      </x:c>
      <x:c r="G2124" t="str" s="2">
        <x:v>Nathan Bishop</x:v>
      </x:c>
      <x:c r="H2124" s="6">
        <x:v>46218.96391091435</x:v>
      </x:c>
      <x:c r="I2124" s="0"/>
      <x:c r="J2124" s="0"/>
      <x:c r="K2124" s="6">
        <x:v>46288</x:v>
      </x:c>
      <x:c r="L2124" t="str" s="2">
        <x:v>Lost</x:v>
      </x:c>
    </x:row>
    <x:row r="2125">
      <x:c r="A2125" t="str" s="2">
        <x:f>="Mario Balderas"</x:f>
      </x:c>
      <x:c r="B2125" t="str" s="2">
        <x:v>Heritage Housing Marble Falls</x:v>
      </x:c>
      <x:c r="C2125" t="str" s="2">
        <x:v/>
      </x:c>
      <x:c r="D2125" t="str" s="2">
        <x:v>5126210600</x:v>
      </x:c>
      <x:c r="E2125" t="str" s="2">
        <x:v>2131gonzales198@gmail.com</x:v>
      </x:c>
      <x:c r="F2125" t="str" s="2">
        <x:v>Meta Ads - Forms</x:v>
      </x:c>
      <x:c r="G2125" t="str" s="2">
        <x:v>Stephen Sanders</x:v>
      </x:c>
      <x:c r="H2125" s="6">
        <x:v>46219.04399730324</x:v>
      </x:c>
      <x:c r="I2125" s="0"/>
      <x:c r="J2125" s="0"/>
      <x:c r="K2125" s="6">
        <x:v>46266.892836342595</x:v>
      </x:c>
      <x:c r="L2125" t="str" s="2">
        <x:v>Lost</x:v>
      </x:c>
    </x:row>
    <x:row r="2126">
      <x:c r="A2126" t="str" s="2">
        <x:f>="Sonia McIntire"</x:f>
      </x:c>
      <x:c r="B2126" t="str" s="2">
        <x:v>Heritage Housing of Jennings</x:v>
      </x:c>
      <x:c r="C2126" t="str" s="2">
        <x:v>0/3</x:v>
      </x:c>
      <x:c r="D2126" t="str" s="2">
        <x:v>7173776240</x:v>
      </x:c>
      <x:c r="E2126" t="str" s="2">
        <x:v>mcintire581.sm@gmail.com</x:v>
      </x:c>
      <x:c r="F2126" t="str" s="2">
        <x:v>Meta Ads - Forms</x:v>
      </x:c>
      <x:c r="G2126" t="str" s="2">
        <x:v>Mervin Leslie Smith</x:v>
      </x:c>
      <x:c r="H2126" s="6">
        <x:v>46219.12658758102</x:v>
      </x:c>
      <x:c r="I2126" s="0"/>
      <x:c r="J2126" s="0"/>
      <x:c r="K2126" s="6">
        <x:v>46224.86358121528</x:v>
      </x:c>
      <x:c r="L2126" t="str" s="2">
        <x:v>Lost</x:v>
      </x:c>
    </x:row>
    <x:row r="2127">
      <x:c r="A2127" t="str" s="2">
        <x:f>="Bertha Jones"</x:f>
      </x:c>
      <x:c r="B2127" t="str" s="2">
        <x:v>Heritage Housing of Jennings</x:v>
      </x:c>
      <x:c r="C2127" t="str" s="2">
        <x:v>0/1</x:v>
      </x:c>
      <x:c r="D2127" t="str" s="2">
        <x:v>7692479350</x:v>
      </x:c>
      <x:c r="E2127" t="str" s="2">
        <x:v>jonesbertha690@gmail.com</x:v>
      </x:c>
      <x:c r="F2127" t="str" s="2">
        <x:v>Meta Ads - Forms</x:v>
      </x:c>
      <x:c r="G2127" t="str" s="2">
        <x:v>Mervin Leslie Smith</x:v>
      </x:c>
      <x:c r="H2127" s="6">
        <x:v>46219.16956137731</x:v>
      </x:c>
      <x:c r="I2127" s="0"/>
      <x:c r="J2127" s="0"/>
      <x:c r="K2127" s="6">
        <x:v>46227.52441068287</x:v>
      </x:c>
      <x:c r="L2127" t="str" s="2">
        <x:v>Lost</x:v>
      </x:c>
    </x:row>
    <x:row r="2128">
      <x:c r="A2128" t="str" s="2">
        <x:f>="Lydia Mutungire"</x:f>
      </x:c>
      <x:c r="B2128" t="str" s="2">
        <x:v>Heritage Housing of Greenville</x:v>
      </x:c>
      <x:c r="C2128" t="str" s="2">
        <x:v/>
      </x:c>
      <x:c r="D2128" t="str" s="2">
        <x:v>7207318568</x:v>
      </x:c>
      <x:c r="E2128" t="str" s="2">
        <x:v>nabatyangalydia58@gmail.com</x:v>
      </x:c>
      <x:c r="F2128" t="str" s="2">
        <x:v>Meta Ads - Forms</x:v>
      </x:c>
      <x:c r="G2128" t="str" s="2">
        <x:v>Brooklynn Allen</x:v>
      </x:c>
      <x:c r="H2128" s="6">
        <x:v>46219.18421130787</x:v>
      </x:c>
      <x:c r="I2128" s="0"/>
      <x:c r="J2128" s="0"/>
      <x:c r="K2128" s="6">
        <x:v>46227</x:v>
      </x:c>
      <x:c r="L2128" t="str" s="2">
        <x:v>Lost</x:v>
      </x:c>
    </x:row>
    <x:row r="2129">
      <x:c r="A2129" t="str" s="2">
        <x:f>="Wendy Hazlett Sloss"</x:f>
      </x:c>
      <x:c r="B2129" t="str" s="2">
        <x:v>Heritage Housing of Asheboro</x:v>
      </x:c>
      <x:c r="C2129" t="str" s="2">
        <x:v/>
      </x:c>
      <x:c r="D2129" t="str" s="2">
        <x:v>8145164406</x:v>
      </x:c>
      <x:c r="E2129" t="str" s="2">
        <x:v>wendyrenee74@yahoo.com</x:v>
      </x:c>
      <x:c r="F2129" t="str" s="2">
        <x:v>Meta Ads - Forms</x:v>
      </x:c>
      <x:c r="G2129" t="str" s="2">
        <x:v>Cory Martin</x:v>
      </x:c>
      <x:c r="H2129" s="6">
        <x:v>46219.22257021991</x:v>
      </x:c>
      <x:c r="I2129" s="0"/>
      <x:c r="J2129" s="0"/>
      <x:c r="K2129" s="6">
        <x:v>46226.54941061343</x:v>
      </x:c>
      <x:c r="L2129" t="str" s="2">
        <x:v>Lost</x:v>
      </x:c>
    </x:row>
    <x:row r="2130">
      <x:c r="A2130" t="str" s="2">
        <x:f>="Carol Brock"</x:f>
      </x:c>
      <x:c r="B2130" t="str" s="2">
        <x:v>Heritage Housing of Asheboro</x:v>
      </x:c>
      <x:c r="C2130" t="str" s="2">
        <x:v/>
      </x:c>
      <x:c r="D2130" t="str" s="2">
        <x:v>3363010155</x:v>
      </x:c>
      <x:c r="E2130" t="str" s="2">
        <x:v>carolwessner2@gmail.com</x:v>
      </x:c>
      <x:c r="F2130" t="str" s="2">
        <x:v>Meta Ads - Forms</x:v>
      </x:c>
      <x:c r="G2130" t="str" s="2">
        <x:v>Maria Lopez</x:v>
      </x:c>
      <x:c r="H2130" s="6">
        <x:v>46219.69191396991</x:v>
      </x:c>
      <x:c r="I2130" s="0"/>
      <x:c r="J2130" s="0"/>
      <x:c r="K2130" s="6">
        <x:v>46232</x:v>
      </x:c>
      <x:c r="L2130" t="str" s="2">
        <x:v>Lost</x:v>
      </x:c>
    </x:row>
    <x:row r="2131">
      <x:c r="A2131" t="str" s="2">
        <x:f>="Heather Gary"</x:f>
      </x:c>
      <x:c r="B2131" t="str" s="2">
        <x:v>Heritage Housing of Jennings</x:v>
      </x:c>
      <x:c r="C2131" t="str" s="2">
        <x:v>0/4</x:v>
      </x:c>
      <x:c r="D2131" t="str" s="2">
        <x:v>3373519942</x:v>
      </x:c>
      <x:c r="E2131" t="str" s="2">
        <x:v>garyheather902@gmail.com</x:v>
      </x:c>
      <x:c r="F2131" t="str" s="2">
        <x:v>Meta Ads - Forms</x:v>
      </x:c>
      <x:c r="G2131" t="str" s="2">
        <x:v>Mervin Leslie Smith</x:v>
      </x:c>
      <x:c r="H2131" s="6">
        <x:v>46219.730386111114</x:v>
      </x:c>
      <x:c r="I2131" s="0"/>
      <x:c r="J2131" s="0"/>
      <x:c r="K2131" s="6">
        <x:v>46224.74758422454</x:v>
      </x:c>
      <x:c r="L2131" t="str" s="2">
        <x:v>Lost</x:v>
      </x:c>
    </x:row>
    <x:row r="2132">
      <x:c r="A2132" t="str" s="2">
        <x:f>="Tiffany Williams"</x:f>
      </x:c>
      <x:c r="B2132" t="str" s="2">
        <x:v>Heritage Housing of Augusta</x:v>
      </x:c>
      <x:c r="C2132" t="str" s="2">
        <x:v/>
      </x:c>
      <x:c r="D2132" t="str" s="2">
        <x:v>8032209588</x:v>
      </x:c>
      <x:c r="E2132" t="str" s="2">
        <x:v>Tippytip33@gmail.com</x:v>
      </x:c>
      <x:c r="F2132" t="str" s="2">
        <x:v>Financing Form</x:v>
      </x:c>
      <x:c r="G2132" t="str" s="2">
        <x:v>Jose Chavez</x:v>
      </x:c>
      <x:c r="H2132" s="6">
        <x:v>46219.90821736111</x:v>
      </x:c>
      <x:c r="I2132" s="0"/>
      <x:c r="J2132" s="0"/>
      <x:c r="K2132" s="6">
        <x:v>46228.61191010417</x:v>
      </x:c>
      <x:c r="L2132" t="str" s="2">
        <x:v>Lost</x:v>
      </x:c>
    </x:row>
    <x:row r="2133">
      <x:c r="A2133" t="str" s="2">
        <x:f>="Nicole Wheaton"</x:f>
      </x:c>
      <x:c r="B2133" t="str" s="2">
        <x:v>Heritage Housing Marble Falls</x:v>
      </x:c>
      <x:c r="C2133" t="str" s="2">
        <x:v/>
      </x:c>
      <x:c r="D2133" t="str" s="2">
        <x:v>4792522264</x:v>
      </x:c>
      <x:c r="E2133" t="str" s="2">
        <x:v>sarahwheaton1981@gmail.com</x:v>
      </x:c>
      <x:c r="F2133" t="str" s="2">
        <x:v>Meta Ads - Forms</x:v>
      </x:c>
      <x:c r="G2133" t="str" s="2">
        <x:v>Stephen Sanders</x:v>
      </x:c>
      <x:c r="H2133" s="6">
        <x:v>46220.04318287037</x:v>
      </x:c>
      <x:c r="I2133" s="0"/>
      <x:c r="J2133" s="0"/>
      <x:c r="K2133" s="6">
        <x:v>46266.90188568287</x:v>
      </x:c>
      <x:c r="L2133" t="str" s="2">
        <x:v>Lost</x:v>
      </x:c>
    </x:row>
    <x:row r="2134">
      <x:c r="A2134" t="str" s="2">
        <x:f>="Dutches Mcduffie"</x:f>
      </x:c>
      <x:c r="B2134" t="str" s="2">
        <x:v>Heritage Housing of Albany</x:v>
      </x:c>
      <x:c r="C2134" t="str" s="2">
        <x:v/>
      </x:c>
      <x:c r="D2134" t="str" s="2">
        <x:v>2296210480</x:v>
      </x:c>
      <x:c r="E2134" t="str" s="2">
        <x:v>dutchesmcduffie70@gmail.com</x:v>
      </x:c>
      <x:c r="F2134" t="str" s="2">
        <x:v>Financing Form</x:v>
      </x:c>
      <x:c r="G2134" t="str" s="2">
        <x:v>Yanet Alvarez</x:v>
      </x:c>
      <x:c r="H2134" s="6">
        <x:v>46220.08454251158</x:v>
      </x:c>
      <x:c r="I2134" s="0"/>
      <x:c r="J2134" s="0"/>
      <x:c r="K2134" s="6">
        <x:v>46233.7674221412</x:v>
      </x:c>
      <x:c r="L2134" t="str" s="2">
        <x:v>Lost</x:v>
      </x:c>
    </x:row>
    <x:row r="2135">
      <x:c r="A2135" t="str" s="2">
        <x:f>="Prettygurll Arii"</x:f>
      </x:c>
      <x:c r="B2135" t="str" s="2">
        <x:v>Heritage Housing of Minden</x:v>
      </x:c>
      <x:c r="C2135" t="str" s="2">
        <x:v>0/1</x:v>
      </x:c>
      <x:c r="D2135" t="str" s="2">
        <x:v>8706359388</x:v>
      </x:c>
      <x:c r="E2135" t="str" s="2">
        <x:v>pickle.ariana@msd3.org</x:v>
      </x:c>
      <x:c r="F2135" t="str" s="2">
        <x:v>Meta Ads - Forms</x:v>
      </x:c>
      <x:c r="G2135" t="str" s="2">
        <x:v>Alescia Ridgdell</x:v>
      </x:c>
      <x:c r="H2135" s="6">
        <x:v>46220.511949189815</x:v>
      </x:c>
      <x:c r="I2135" s="0"/>
      <x:c r="J2135" s="0"/>
      <x:c r="K2135" s="6">
        <x:v>46223.82564737269</x:v>
      </x:c>
      <x:c r="L2135" t="str" s="2">
        <x:v>Lost</x:v>
      </x:c>
    </x:row>
    <x:row r="2136">
      <x:c r="A2136" t="str" s="2">
        <x:f>="Jason Gullett"</x:f>
      </x:c>
      <x:c r="B2136" t="str" s="2">
        <x:v>Heritage Housing of Albany</x:v>
      </x:c>
      <x:c r="C2136" t="str" s="2">
        <x:v/>
      </x:c>
      <x:c r="D2136" t="str" s="2">
        <x:v>2254004189</x:v>
      </x:c>
      <x:c r="E2136" t="str" s="2">
        <x:v>jasongullett395@gmail.com</x:v>
      </x:c>
      <x:c r="F2136" t="str" s="2">
        <x:v>Meta Ads - Forms</x:v>
      </x:c>
      <x:c r="G2136" t="str" s="2">
        <x:v>Yanet Alvarez</x:v>
      </x:c>
      <x:c r="H2136" s="6">
        <x:v>46220.561783530095</x:v>
      </x:c>
      <x:c r="I2136" s="0"/>
      <x:c r="J2136" s="0"/>
      <x:c r="K2136" s="6">
        <x:v>46220</x:v>
      </x:c>
      <x:c r="L2136" t="str" s="2">
        <x:v>Lost</x:v>
      </x:c>
    </x:row>
    <x:row r="2137">
      <x:c r="A2137" t="str" s="2">
        <x:f>="*•.¸? ???g?l ?¸.•*"</x:f>
      </x:c>
      <x:c r="B2137" t="str" s="2">
        <x:v>Heritage Housing of Oklahoma City</x:v>
      </x:c>
      <x:c r="C2137" t="str" s="2">
        <x:v/>
      </x:c>
      <x:c r="D2137" t="str" s="2">
        <x:v>4792280668</x:v>
      </x:c>
      <x:c r="E2137" t="str" s="2">
        <x:v>angelsweeten@gmail.com</x:v>
      </x:c>
      <x:c r="F2137" t="str" s="2">
        <x:v>Meta Ads - Forms</x:v>
      </x:c>
      <x:c r="G2137" t="str" s="2">
        <x:v>Trey Rixleben</x:v>
      </x:c>
      <x:c r="H2137" s="6">
        <x:v>46220.57044887731</x:v>
      </x:c>
      <x:c r="I2137" s="0"/>
      <x:c r="J2137" s="0"/>
      <x:c r="K2137" s="0"/>
      <x:c r="L2137" t="str" s="2">
        <x:v>Lost</x:v>
      </x:c>
    </x:row>
    <x:row r="2138">
      <x:c r="A2138" t="str" s="2">
        <x:f>="Susan Dyson McTighe"</x:f>
      </x:c>
      <x:c r="B2138" t="str" s="2">
        <x:v>Heritage Housing of Asheboro</x:v>
      </x:c>
      <x:c r="C2138" t="str" s="2">
        <x:v/>
      </x:c>
      <x:c r="D2138" t="str" s="2">
        <x:v>9193485887</x:v>
      </x:c>
      <x:c r="E2138" t="str" s="2">
        <x:v>susan.dyson.mctighe@gmail.com</x:v>
      </x:c>
      <x:c r="F2138" t="str" s="2">
        <x:v>Website</x:v>
      </x:c>
      <x:c r="G2138" t="str" s="2">
        <x:v>Maria Lopez</x:v>
      </x:c>
      <x:c r="H2138" s="6">
        <x:v>46220.59460366898</x:v>
      </x:c>
      <x:c r="I2138" s="0"/>
      <x:c r="J2138" s="0"/>
      <x:c r="K2138" s="6">
        <x:v>46258</x:v>
      </x:c>
      <x:c r="L2138" t="str" s="2">
        <x:v>Lost</x:v>
      </x:c>
    </x:row>
    <x:row r="2139">
      <x:c r="A2139" t="str" s="2">
        <x:f>="Jennifer Clark"</x:f>
      </x:c>
      <x:c r="B2139" t="str" s="2">
        <x:v>Heritage Housing of Oklahoma City</x:v>
      </x:c>
      <x:c r="C2139" t="str" s="2">
        <x:v>0/1</x:v>
      </x:c>
      <x:c r="D2139" t="str" s="2">
        <x:v>5803023032</x:v>
      </x:c>
      <x:c r="E2139" t="str" s="2">
        <x:v>jen.clark68@gmail.com</x:v>
      </x:c>
      <x:c r="F2139" t="str" s="2">
        <x:v>Financing Form</x:v>
      </x:c>
      <x:c r="G2139" t="str" s="2">
        <x:v>Karla Brizuela</x:v>
      </x:c>
      <x:c r="H2139" s="6">
        <x:v>46220.7081397338</x:v>
      </x:c>
      <x:c r="I2139" s="0"/>
      <x:c r="J2139" s="0"/>
      <x:c r="K2139" s="6">
        <x:v>46220.78558726852</x:v>
      </x:c>
      <x:c r="L2139" t="str" s="2">
        <x:v>Lost</x:v>
      </x:c>
    </x:row>
    <x:row r="2140">
      <x:c r="A2140" t="str" s="2">
        <x:f>="Joann Perez"</x:f>
      </x:c>
      <x:c r="B2140" t="str" s="2">
        <x:v>Heritage Housing of Greenville</x:v>
      </x:c>
      <x:c r="C2140" t="str" s="2">
        <x:v/>
      </x:c>
      <x:c r="D2140" t="str" s="2">
        <x:v>8125529365</x:v>
      </x:c>
      <x:c r="E2140" t="str" s="2">
        <x:v>joannperez1966@gmail.com</x:v>
      </x:c>
      <x:c r="F2140" t="str" s="2">
        <x:v>Meta Ads - Forms</x:v>
      </x:c>
      <x:c r="G2140" t="str" s="2">
        <x:v>Brooklynn Allen</x:v>
      </x:c>
      <x:c r="H2140" s="6">
        <x:v>46220.73427457176</x:v>
      </x:c>
      <x:c r="I2140" s="0"/>
      <x:c r="J2140" s="0"/>
      <x:c r="K2140" s="6">
        <x:v>46227</x:v>
      </x:c>
      <x:c r="L2140" t="str" s="2">
        <x:v>Lost</x:v>
      </x:c>
    </x:row>
    <x:row r="2141">
      <x:c r="A2141" t="str" s="2">
        <x:f>="lololo lololololo"</x:f>
      </x:c>
      <x:c r="B2141" t="str" s="2">
        <x:v>Heritage Housing of Minden</x:v>
      </x:c>
      <x:c r="C2141" t="str" s="2">
        <x:v/>
      </x:c>
      <x:c r="D2141" t="str" s="2">
        <x:v>5222222214</x:v>
      </x:c>
      <x:c r="E2141" t="str" s="2">
        <x:v>efwefkfjsfr@xn--kljdfshefje-gg8f.com</x:v>
      </x:c>
      <x:c r="F2141" t="str" s="2">
        <x:v>Google Ads</x:v>
      </x:c>
      <x:c r="G2141" t="str" s="2">
        <x:v>Caulia Washington</x:v>
      </x:c>
      <x:c r="H2141" s="6">
        <x:v>46220.76886697917</x:v>
      </x:c>
      <x:c r="I2141" s="0"/>
      <x:c r="J2141" s="0"/>
      <x:c r="K2141" s="0"/>
      <x:c r="L2141" t="str" s="2">
        <x:v>Lost</x:v>
      </x:c>
    </x:row>
    <x:row r="2142">
      <x:c r="A2142" t="str" s="2">
        <x:f>="‘ kay. l"</x:f>
      </x:c>
      <x:c r="B2142" t="str" s="2">
        <x:v>Heritage Housing of Jennings</x:v>
      </x:c>
      <x:c r="C2142" t="str" s="2">
        <x:v>0/6</x:v>
      </x:c>
      <x:c r="D2142" t="str" s="2">
        <x:v>3185070056</x:v>
      </x:c>
      <x:c r="E2142" t="str" s="2">
        <x:v>kay2fineonb@gmail.com</x:v>
      </x:c>
      <x:c r="F2142" t="str" s="2">
        <x:v>Meta Ads - Forms</x:v>
      </x:c>
      <x:c r="G2142" t="str" s="2">
        <x:v>Mervin Leslie Smith</x:v>
      </x:c>
      <x:c r="H2142" s="6">
        <x:v>46220.86233923611</x:v>
      </x:c>
      <x:c r="I2142" s="0"/>
      <x:c r="J2142" s="0"/>
      <x:c r="K2142" s="6">
        <x:v>46227.78096686343</x:v>
      </x:c>
      <x:c r="L2142" t="str" s="2">
        <x:v>Lost</x:v>
      </x:c>
    </x:row>
    <x:row r="2143">
      <x:c r="A2143" t="str" s="2">
        <x:f>="Melissa Alexander"</x:f>
      </x:c>
      <x:c r="B2143" t="str" s="2">
        <x:v>Heritage Housing of Augusta</x:v>
      </x:c>
      <x:c r="C2143" t="str" s="2">
        <x:v>0/1</x:v>
      </x:c>
      <x:c r="D2143" t="str" s="2">
        <x:v>7623200375</x:v>
      </x:c>
      <x:c r="E2143" t="str" s="2">
        <x:v>truesuperwoman100@gmail.com</x:v>
      </x:c>
      <x:c r="F2143" t="str" s="2">
        <x:v>Financing Form</x:v>
      </x:c>
      <x:c r="G2143" t="str" s="2">
        <x:v>Kyara Casanova</x:v>
      </x:c>
      <x:c r="H2143" s="6">
        <x:v>46220.86759366898</x:v>
      </x:c>
      <x:c r="I2143" s="0"/>
      <x:c r="J2143" s="0"/>
      <x:c r="K2143" s="6">
        <x:v>46223</x:v>
      </x:c>
      <x:c r="L2143" t="str" s="2">
        <x:v>Lost</x:v>
      </x:c>
    </x:row>
    <x:row r="2144">
      <x:c r="A2144" t="str" s="2">
        <x:f>="Colleen Haley"</x:f>
      </x:c>
      <x:c r="B2144" t="str" s="2">
        <x:v>Heritage Housing of Albany</x:v>
      </x:c>
      <x:c r="C2144" t="str" s="2">
        <x:v/>
      </x:c>
      <x:c r="D2144" t="str" s="2">
        <x:v>9039087586</x:v>
      </x:c>
      <x:c r="E2144" t="str" s="2">
        <x:v>fastanna286@yahoo.com</x:v>
      </x:c>
      <x:c r="F2144" t="str" s="2">
        <x:v>Google Ads</x:v>
      </x:c>
      <x:c r="G2144" t="str" s="2">
        <x:v>Yanet Alvarez</x:v>
      </x:c>
      <x:c r="H2144" s="6">
        <x:v>46221.09705806713</x:v>
      </x:c>
      <x:c r="I2144" s="0"/>
      <x:c r="J2144" s="0"/>
      <x:c r="K2144" s="6">
        <x:v>46221.8198284375</x:v>
      </x:c>
      <x:c r="L2144" t="str" s="2">
        <x:v>Lost</x:v>
      </x:c>
    </x:row>
    <x:row r="2145">
      <x:c r="A2145" t="str" s="2">
        <x:f>="Jema Valadez Allen"</x:f>
      </x:c>
      <x:c r="B2145" t="str" s="2">
        <x:v>Heritage Housing of Greenville</x:v>
      </x:c>
      <x:c r="C2145" t="str" s="2">
        <x:v/>
      </x:c>
      <x:c r="D2145" t="str" s="2">
        <x:v>8172109981</x:v>
      </x:c>
      <x:c r="E2145" t="str" s="2">
        <x:v>eastsidenegra@gmail.com</x:v>
      </x:c>
      <x:c r="F2145" t="str" s="2">
        <x:v>Meta Ads - Forms</x:v>
      </x:c>
      <x:c r="G2145" t="str" s="2">
        <x:v>Brooklynn Allen</x:v>
      </x:c>
      <x:c r="H2145" s="6">
        <x:v>46221.27983078704</x:v>
      </x:c>
      <x:c r="I2145" s="0"/>
      <x:c r="J2145" s="0"/>
      <x:c r="K2145" s="6">
        <x:v>46227</x:v>
      </x:c>
      <x:c r="L2145" t="str" s="2">
        <x:v>Lost</x:v>
      </x:c>
    </x:row>
    <x:row r="2146">
      <x:c r="A2146" t="str" s="2">
        <x:f>="DARENDA WOLFE"</x:f>
      </x:c>
      <x:c r="B2146" t="str" s="2">
        <x:v>Heritage Housing of Asheboro</x:v>
      </x:c>
      <x:c r="C2146" t="str" s="2">
        <x:v/>
      </x:c>
      <x:c r="D2146" t="str" s="2">
        <x:v>7604971048</x:v>
      </x:c>
      <x:c r="E2146" t="str" s="2">
        <x:v>grams2lexi@gmail.com</x:v>
      </x:c>
      <x:c r="F2146" t="str" s="2">
        <x:v>Website</x:v>
      </x:c>
      <x:c r="G2146" t="str" s="2">
        <x:v>Maria Lopez</x:v>
      </x:c>
      <x:c r="H2146" s="6">
        <x:v>46221.481022534725</x:v>
      </x:c>
      <x:c r="I2146" s="0"/>
      <x:c r="J2146" s="0"/>
      <x:c r="K2146" s="6">
        <x:v>46256</x:v>
      </x:c>
      <x:c r="L2146" t="str" s="2">
        <x:v>Lost</x:v>
      </x:c>
    </x:row>
    <x:row r="2147">
      <x:c r="A2147" t="str" s="2">
        <x:f>="rachael hazlett"</x:f>
      </x:c>
      <x:c r="B2147" t="str" s="2">
        <x:v>Heritage Housing Marble Falls</x:v>
      </x:c>
      <x:c r="C2147" t="str" s="2">
        <x:v/>
      </x:c>
      <x:c r="D2147" t="str" s="2">
        <x:v>9548420035</x:v>
      </x:c>
      <x:c r="E2147" t="str" s="2">
        <x:v>rachaelhazlett0628@gmail.com</x:v>
      </x:c>
      <x:c r="F2147" t="str" s="2">
        <x:v>Financing Form</x:v>
      </x:c>
      <x:c r="G2147" t="str" s="2">
        <x:v>Stephen Sanders</x:v>
      </x:c>
      <x:c r="H2147" s="6">
        <x:v>46221.56208271991</x:v>
      </x:c>
      <x:c r="I2147" s="0"/>
      <x:c r="J2147" s="0"/>
      <x:c r="K2147" s="6">
        <x:v>46227.88058804398</x:v>
      </x:c>
      <x:c r="L2147" t="str" s="2">
        <x:v>Lost</x:v>
      </x:c>
    </x:row>
    <x:row r="2148">
      <x:c r="A2148" t="str" s="2">
        <x:f>="Sakinah Bozeman Bozeman"</x:f>
      </x:c>
      <x:c r="B2148" t="str" s="2">
        <x:v>Heritage Housing of Asheboro</x:v>
      </x:c>
      <x:c r="C2148" t="str" s="2">
        <x:v/>
      </x:c>
      <x:c r="D2148" t="str" s="2">
        <x:v>2152403028</x:v>
      </x:c>
      <x:c r="E2148" t="str" s="2">
        <x:v>sakinahbozemsn@gmail.com</x:v>
      </x:c>
      <x:c r="F2148" t="str" s="2">
        <x:v>Website</x:v>
      </x:c>
      <x:c r="G2148" t="str" s="2">
        <x:v>Cory Martin</x:v>
      </x:c>
      <x:c r="H2148" s="6">
        <x:v>46221.845828854166</x:v>
      </x:c>
      <x:c r="I2148" s="0"/>
      <x:c r="J2148" s="0"/>
      <x:c r="K2148" s="6">
        <x:v>46223.8242721412</x:v>
      </x:c>
      <x:c r="L2148" t="str" s="2">
        <x:v>Lost</x:v>
      </x:c>
    </x:row>
    <x:row r="2149">
      <x:c r="A2149" t="str" s="2">
        <x:f>="Brittany Spurrier"</x:f>
      </x:c>
      <x:c r="B2149" t="str" s="2">
        <x:v>Heritage Housing of Jennings</x:v>
      </x:c>
      <x:c r="C2149" t="str" s="2">
        <x:v/>
      </x:c>
      <x:c r="D2149" t="str" s="2">
        <x:v>3373359248</x:v>
      </x:c>
      <x:c r="E2149" t="str" s="2">
        <x:v>brittanyspurrier31@icloud.com</x:v>
      </x:c>
      <x:c r="F2149" t="str" s="2">
        <x:v>Meta Ads - Forms</x:v>
      </x:c>
      <x:c r="G2149" t="str" s="2">
        <x:v>Mervin Leslie Smith</x:v>
      </x:c>
      <x:c r="H2149" s="6">
        <x:v>46222.010729201385</x:v>
      </x:c>
      <x:c r="I2149" s="0"/>
      <x:c r="J2149" s="0"/>
      <x:c r="K2149" s="6">
        <x:v>46269.87616010417</x:v>
      </x:c>
      <x:c r="L2149" t="str" s="2">
        <x:v>Lost</x:v>
      </x:c>
    </x:row>
    <x:row r="2150">
      <x:c r="A2150" t="str" s="2">
        <x:f>="Randall Yaughn"</x:f>
      </x:c>
      <x:c r="B2150" t="str" s="2">
        <x:v>Heritage Housing of Albany</x:v>
      </x:c>
      <x:c r="C2150" t="str" s="2">
        <x:v/>
      </x:c>
      <x:c r="D2150" t="str" s="2">
        <x:v>4782342105</x:v>
      </x:c>
      <x:c r="E2150" t="str" s="2">
        <x:v>randallyaughn@gmail.com</x:v>
      </x:c>
      <x:c r="F2150" t="str" s="2">
        <x:v>Meta Ads - Forms</x:v>
      </x:c>
      <x:c r="G2150" t="str" s="2">
        <x:v>Yanet Alvarez</x:v>
      </x:c>
      <x:c r="H2150" s="6">
        <x:v>46222.09203741898</x:v>
      </x:c>
      <x:c r="I2150" s="0"/>
      <x:c r="J2150" s="0"/>
      <x:c r="K2150" s="6">
        <x:v>46229.814273842596</x:v>
      </x:c>
      <x:c r="L2150" t="str" s="2">
        <x:v>Lost</x:v>
      </x:c>
    </x:row>
    <x:row r="2151">
      <x:c r="A2151" t="str" s="2">
        <x:f>="Deborah Cazenave"</x:f>
      </x:c>
      <x:c r="B2151" t="str" s="2">
        <x:v>Heritage Housing of Jennings</x:v>
      </x:c>
      <x:c r="C2151" t="str" s="2">
        <x:v>0/3</x:v>
      </x:c>
      <x:c r="D2151" t="str" s="2">
        <x:v>5045101879</x:v>
      </x:c>
      <x:c r="E2151" t="str" s="2">
        <x:v>deborahcazenave3@gmail.com</x:v>
      </x:c>
      <x:c r="F2151" t="str" s="2">
        <x:v>Meta Ads - Forms</x:v>
      </x:c>
      <x:c r="G2151" t="str" s="2">
        <x:v>Mervin Leslie Smith</x:v>
      </x:c>
      <x:c r="H2151" s="6">
        <x:v>46222.124157060185</x:v>
      </x:c>
      <x:c r="I2151" s="0"/>
      <x:c r="J2151" s="0"/>
      <x:c r="K2151" s="6">
        <x:v>46223.575550347225</x:v>
      </x:c>
      <x:c r="L2151" t="str" s="2">
        <x:v>Lost</x:v>
      </x:c>
    </x:row>
    <x:row r="2152">
      <x:c r="A2152" t="str" s="2">
        <x:f>="deborah Bruce"</x:f>
      </x:c>
      <x:c r="B2152" t="str" s="2">
        <x:v>Heritage Housing of Albany</x:v>
      </x:c>
      <x:c r="C2152" t="str" s="2">
        <x:v/>
      </x:c>
      <x:c r="D2152" t="str" s="2">
        <x:v>4783204819</x:v>
      </x:c>
      <x:c r="E2152" t="str" s="2">
        <x:v>debscutnup60@gmail.com</x:v>
      </x:c>
      <x:c r="F2152" t="str" s="2">
        <x:v>Meta Ads - Forms</x:v>
      </x:c>
      <x:c r="G2152" t="str" s="2">
        <x:v>Yanet Alvarez</x:v>
      </x:c>
      <x:c r="H2152" s="6">
        <x:v>46222.28055150463</x:v>
      </x:c>
      <x:c r="I2152" s="0"/>
      <x:c r="J2152" s="0"/>
      <x:c r="K2152" s="6">
        <x:v>46253.74194976852</x:v>
      </x:c>
      <x:c r="L2152" t="str" s="2">
        <x:v>Lost</x:v>
      </x:c>
    </x:row>
    <x:row r="2153">
      <x:c r="A2153" t="str" s="2">
        <x:f>="Dorothy Suggs"</x:f>
      </x:c>
      <x:c r="B2153" t="str" s="2">
        <x:v>Heritage Housing of Albany</x:v>
      </x:c>
      <x:c r="C2153" t="str" s="2">
        <x:v/>
      </x:c>
      <x:c r="D2153" t="str" s="2">
        <x:v>2293929186</x:v>
      </x:c>
      <x:c r="E2153" t="str" s="2">
        <x:v>dorothy_suggs50@icloud.com</x:v>
      </x:c>
      <x:c r="F2153" t="str" s="2">
        <x:v>Meta Ads - Forms</x:v>
      </x:c>
      <x:c r="G2153" t="str" s="2">
        <x:v>Yanet Alvarez</x:v>
      </x:c>
      <x:c r="H2153" s="6">
        <x:v>46222.647387847224</x:v>
      </x:c>
      <x:c r="I2153" s="0"/>
      <x:c r="J2153" s="0"/>
      <x:c r="K2153" s="6">
        <x:v>46238.93743186343</x:v>
      </x:c>
      <x:c r="L2153" t="str" s="2">
        <x:v>Lost</x:v>
      </x:c>
    </x:row>
    <x:row r="2154">
      <x:c r="A2154" t="str" s="2">
        <x:f>="Shurea Coard"</x:f>
      </x:c>
      <x:c r="B2154" t="str" s="2">
        <x:v>Heritage Housing of Albany</x:v>
      </x:c>
      <x:c r="C2154" t="str" s="2">
        <x:v/>
      </x:c>
      <x:c r="D2154" t="str" s="2">
        <x:v>8034648837</x:v>
      </x:c>
      <x:c r="E2154" t="str" s="2">
        <x:v>coardshurea@yahoo.com</x:v>
      </x:c>
      <x:c r="F2154" t="str" s="2">
        <x:v>Financing Form</x:v>
      </x:c>
      <x:c r="G2154" t="str" s="2">
        <x:v>Yanet Alvarez</x:v>
      </x:c>
      <x:c r="H2154" s="6">
        <x:v>46222.77165628472</x:v>
      </x:c>
      <x:c r="I2154" s="0"/>
      <x:c r="J2154" s="0"/>
      <x:c r="K2154" s="6">
        <x:v>46223.66668765046</x:v>
      </x:c>
      <x:c r="L2154" t="str" s="2">
        <x:v>Lost</x:v>
      </x:c>
    </x:row>
    <x:row r="2155">
      <x:c r="A2155" t="str" s="2">
        <x:f>="Melisa Werselogel"</x:f>
      </x:c>
      <x:c r="B2155" t="str" s="2">
        <x:v>Heritage Housing Mt Pleasant</x:v>
      </x:c>
      <x:c r="C2155" t="str" s="2">
        <x:v/>
      </x:c>
      <x:c r="D2155" t="str" s="2">
        <x:v>9032192023</x:v>
      </x:c>
      <x:c r="E2155" t="str" s="2">
        <x:v>9032192023</x:v>
      </x:c>
      <x:c r="F2155" t="str" s="2">
        <x:v>Walk-in</x:v>
      </x:c>
      <x:c r="G2155" t="str" s="2">
        <x:v>Sandra Saldana</x:v>
      </x:c>
      <x:c r="H2155" s="6">
        <x:v>46222.88033799768</x:v>
      </x:c>
      <x:c r="I2155" s="0"/>
      <x:c r="J2155" s="6">
        <x:v>46235.583333333336</x:v>
      </x:c>
      <x:c r="K2155" s="6">
        <x:v>46235.76874864583</x:v>
      </x:c>
      <x:c r="L2155" t="str" s="2">
        <x:v>Lost</x:v>
      </x:c>
    </x:row>
    <x:row r="2156">
      <x:c r="A2156" t="str" s="2">
        <x:f>="dariyonna Hoskins"</x:f>
      </x:c>
      <x:c r="B2156" t="str" s="2">
        <x:v>Heritage Housing of Jennings</x:v>
      </x:c>
      <x:c r="C2156" t="str" s="2">
        <x:v/>
      </x:c>
      <x:c r="D2156" t="str" s="2">
        <x:v>3375787791</x:v>
      </x:c>
      <x:c r="E2156" t="str" s="2">
        <x:v>daaariiieeej@gmail.com</x:v>
      </x:c>
      <x:c r="F2156" t="str" s="2">
        <x:v>Financing Form</x:v>
      </x:c>
      <x:c r="G2156" t="str" s="2">
        <x:v>Marty Fontenot</x:v>
      </x:c>
      <x:c r="H2156" s="6">
        <x:v>46222.89773341435</x:v>
      </x:c>
      <x:c r="I2156" s="0"/>
      <x:c r="J2156" s="0"/>
      <x:c r="K2156" s="6">
        <x:v>46227.896253900464</x:v>
      </x:c>
      <x:c r="L2156" t="str" s="2">
        <x:v>Lost</x:v>
      </x:c>
    </x:row>
    <x:row r="2157">
      <x:c r="A2157" t="str" s="2">
        <x:f>="Rhonda Trammel"</x:f>
      </x:c>
      <x:c r="B2157" t="str" s="2">
        <x:v>Heritage Housing of Minden</x:v>
      </x:c>
      <x:c r="C2157" t="str" s="2">
        <x:v>0/1</x:v>
      </x:c>
      <x:c r="D2157" t="str" s="2">
        <x:v>3185336387</x:v>
      </x:c>
      <x:c r="E2157" t="str" s="2">
        <x:v>rhondatrammel09@gmail.com</x:v>
      </x:c>
      <x:c r="F2157" t="str" s="2">
        <x:v>Meta Ads - Forms</x:v>
      </x:c>
      <x:c r="G2157" t="str" s="2">
        <x:v>Alescia Ridgdell</x:v>
      </x:c>
      <x:c r="H2157" s="6">
        <x:v>46223.07131373842</x:v>
      </x:c>
      <x:c r="I2157" s="0"/>
      <x:c r="J2157" s="0"/>
      <x:c r="K2157" s="6">
        <x:v>46223.5921409375</x:v>
      </x:c>
      <x:c r="L2157" t="str" s="2">
        <x:v>Lost</x:v>
      </x:c>
    </x:row>
    <x:row r="2158">
      <x:c r="A2158" t="str" s="2">
        <x:f>="Laneta Gayoso"</x:f>
      </x:c>
      <x:c r="B2158" t="str" s="2">
        <x:v>Heritage Housing Gainesville</x:v>
      </x:c>
      <x:c r="C2158" t="str" s="2">
        <x:v/>
      </x:c>
      <x:c r="D2158" t="str" s="2" xml:space="preserve">
        <x:v> 8172303208    </x:v>
      </x:c>
      <x:c r="E2158" t="str" s="2">
        <x:v>netagayoso61@gmail.com</x:v>
      </x:c>
      <x:c r="F2158" t="str" s="2">
        <x:v>Website</x:v>
      </x:c>
      <x:c r="G2158" t="str" s="2">
        <x:v>John Schwichtenberg</x:v>
      </x:c>
      <x:c r="H2158" s="6">
        <x:v>46223.22088159722</x:v>
      </x:c>
      <x:c r="I2158" s="0"/>
      <x:c r="J2158" s="0"/>
      <x:c r="K2158" s="6">
        <x:v>46260</x:v>
      </x:c>
      <x:c r="L2158" t="str" s="2">
        <x:v>Lost</x:v>
      </x:c>
    </x:row>
    <x:row r="2159">
      <x:c r="A2159" t="str" s="2">
        <x:f>="Trisha Holloway"</x:f>
      </x:c>
      <x:c r="B2159" t="str" s="2">
        <x:v>Heritage Housing of Greenville</x:v>
      </x:c>
      <x:c r="C2159" t="str" s="2">
        <x:v/>
      </x:c>
      <x:c r="D2159" t="str" s="2">
        <x:v>4692615871</x:v>
      </x:c>
      <x:c r="E2159" t="str" s="2">
        <x:v>TrishaViolet48@GMail.com</x:v>
      </x:c>
      <x:c r="F2159" t="str" s="2">
        <x:v>Meta Ads - Forms</x:v>
      </x:c>
      <x:c r="G2159" t="str" s="2">
        <x:v>Greg Christman</x:v>
      </x:c>
      <x:c r="H2159" s="6">
        <x:v>46223.34724452547</x:v>
      </x:c>
      <x:c r="I2159" s="0"/>
      <x:c r="J2159" s="0"/>
      <x:c r="K2159" s="0"/>
      <x:c r="L2159" t="str" s="2">
        <x:v>Lost</x:v>
      </x:c>
    </x:row>
    <x:row r="2160">
      <x:c r="A2160" t="str" s="2">
        <x:f>="Bennie Grimess"</x:f>
      </x:c>
      <x:c r="B2160" t="str" s="2">
        <x:v>Heritage Housing of Augusta</x:v>
      </x:c>
      <x:c r="C2160" t="str" s="2">
        <x:v/>
      </x:c>
      <x:c r="D2160" t="str" s="2">
        <x:v>8036598019</x:v>
      </x:c>
      <x:c r="E2160" t="str" s="2">
        <x:v>bennieg52@gmail.com</x:v>
      </x:c>
      <x:c r="F2160" t="str" s="2">
        <x:v>Meta Ads - Forms</x:v>
      </x:c>
      <x:c r="G2160" t="str" s="2">
        <x:v>Kyara Casanova</x:v>
      </x:c>
      <x:c r="H2160" s="6">
        <x:v>46223.34902248842</x:v>
      </x:c>
      <x:c r="I2160" s="0"/>
      <x:c r="J2160" s="0"/>
      <x:c r="K2160" s="6">
        <x:v>46227</x:v>
      </x:c>
      <x:c r="L2160" t="str" s="2">
        <x:v>Lost</x:v>
      </x:c>
    </x:row>
    <x:row r="2161">
      <x:c r="A2161" t="str" s="2">
        <x:f>="Carla Bryant"</x:f>
      </x:c>
      <x:c r="B2161" t="str" s="2">
        <x:v>Heritage Housing of Oklahoma City</x:v>
      </x:c>
      <x:c r="C2161" t="str" s="2">
        <x:v>0/1</x:v>
      </x:c>
      <x:c r="D2161" t="str" s="2">
        <x:v>4057540080</x:v>
      </x:c>
      <x:c r="E2161" t="str" s="2">
        <x:v>carla.bryant49@yahoo.com</x:v>
      </x:c>
      <x:c r="F2161" t="str" s="2">
        <x:v>Meta Ads - Forms</x:v>
      </x:c>
      <x:c r="G2161" t="str" s="2">
        <x:v>Steve Castell</x:v>
      </x:c>
      <x:c r="H2161" s="6">
        <x:v>46223.66669421296</x:v>
      </x:c>
      <x:c r="I2161" s="0"/>
      <x:c r="J2161" s="0"/>
      <x:c r="K2161" s="6">
        <x:v>46227.994359027776</x:v>
      </x:c>
      <x:c r="L2161" t="str" s="2">
        <x:v>Lost</x:v>
      </x:c>
    </x:row>
    <x:row r="2162">
      <x:c r="A2162" t="str" s="2">
        <x:f>="Heather Heather White"</x:f>
      </x:c>
      <x:c r="B2162" t="str" s="2">
        <x:v>Heritage Housing Gainesville</x:v>
      </x:c>
      <x:c r="C2162" t="str" s="2">
        <x:v/>
      </x:c>
      <x:c r="D2162" t="str" s="2">
        <x:v>8175645397</x:v>
      </x:c>
      <x:c r="E2162" t="str" s="2">
        <x:v>SilkySmoothlady2@aol.com</x:v>
      </x:c>
      <x:c r="F2162" t="str" s="2">
        <x:v>Meta Ads - Forms</x:v>
      </x:c>
      <x:c r="G2162" t="str" s="2">
        <x:v>John Schwichtenberg</x:v>
      </x:c>
      <x:c r="H2162" s="6">
        <x:v>46223.68991006944</x:v>
      </x:c>
      <x:c r="I2162" s="0"/>
      <x:c r="J2162" s="0"/>
      <x:c r="K2162" s="6">
        <x:v>46276</x:v>
      </x:c>
      <x:c r="L2162" t="str" s="2">
        <x:v>Lost</x:v>
      </x:c>
    </x:row>
    <x:row r="2163">
      <x:c r="A2163" t="str" s="2">
        <x:f>="Terry Buss"</x:f>
      </x:c>
      <x:c r="B2163" t="str" s="2">
        <x:v>Heritage Housing of Tulsa</x:v>
      </x:c>
      <x:c r="C2163" t="str" s="2">
        <x:v/>
      </x:c>
      <x:c r="D2163" t="str" s="2">
        <x:v>9187980066</x:v>
      </x:c>
      <x:c r="E2163" t="str" s="2">
        <x:v>terryjbuss@gmail.com</x:v>
      </x:c>
      <x:c r="F2163" t="str" s="2">
        <x:v>Meta Ads - Forms</x:v>
      </x:c>
      <x:c r="G2163" t="str" s="2">
        <x:v>Brittany Cobb</x:v>
      </x:c>
      <x:c r="H2163" s="6">
        <x:v>46223.69772596065</x:v>
      </x:c>
      <x:c r="I2163" s="0"/>
      <x:c r="J2163" s="0"/>
      <x:c r="K2163" s="6">
        <x:v>46226</x:v>
      </x:c>
      <x:c r="L2163" t="str" s="2">
        <x:v>Lost</x:v>
      </x:c>
    </x:row>
    <x:row r="2164">
      <x:c r="A2164" t="str" s="2">
        <x:f>="Kathiemabry Mabry"</x:f>
      </x:c>
      <x:c r="B2164" t="str" s="2">
        <x:v>Heritage Housing of Minden</x:v>
      </x:c>
      <x:c r="C2164" t="str" s="2">
        <x:v/>
      </x:c>
      <x:c r="D2164" t="str" s="2">
        <x:v>3182674061</x:v>
      </x:c>
      <x:c r="E2164" t="str" s="2">
        <x:v>kathiemabry55@gmail.com</x:v>
      </x:c>
      <x:c r="F2164" t="str" s="2">
        <x:v>Meta Ads - Forms</x:v>
      </x:c>
      <x:c r="G2164" t="str" s="2">
        <x:v>Patrick Schuchart</x:v>
      </x:c>
      <x:c r="H2164" s="6">
        <x:v>46223.708413229164</x:v>
      </x:c>
      <x:c r="I2164" s="0"/>
      <x:c r="J2164" s="0"/>
      <x:c r="K2164" s="6">
        <x:v>46239.89412322917</x:v>
      </x:c>
      <x:c r="L2164" t="str" s="2">
        <x:v>Lost</x:v>
      </x:c>
    </x:row>
    <x:row r="2165">
      <x:c r="A2165" t="str" s="2">
        <x:f>="Angela Lewis"</x:f>
      </x:c>
      <x:c r="B2165" t="str" s="2">
        <x:v>Heritage Housing of Albany</x:v>
      </x:c>
      <x:c r="C2165" t="str" s="2">
        <x:v/>
      </x:c>
      <x:c r="D2165" t="str" s="2">
        <x:v>4699646910</x:v>
      </x:c>
      <x:c r="E2165" t="str" s="2">
        <x:v>angelalewis15@yahoo.com</x:v>
      </x:c>
      <x:c r="F2165" t="str" s="2">
        <x:v>Financing Form</x:v>
      </x:c>
      <x:c r="G2165" t="str" s="2">
        <x:v>Yanet Alvarez</x:v>
      </x:c>
      <x:c r="H2165" s="6">
        <x:v>46223.71282207176</x:v>
      </x:c>
      <x:c r="I2165" s="0"/>
      <x:c r="J2165" s="0"/>
      <x:c r="K2165" s="6">
        <x:v>46229.83026068287</x:v>
      </x:c>
      <x:c r="L2165" t="str" s="2">
        <x:v>Lost</x:v>
      </x:c>
    </x:row>
    <x:row r="2166">
      <x:c r="A2166" t="str" s="2">
        <x:f>="Jackie Gaudet"</x:f>
      </x:c>
      <x:c r="B2166" t="str" s="2">
        <x:v>Heritage Housing of Jennings</x:v>
      </x:c>
      <x:c r="C2166" t="str" s="2">
        <x:v/>
      </x:c>
      <x:c r="D2166" t="str" s="2">
        <x:v>2258461296</x:v>
      </x:c>
      <x:c r="E2166" t="str" s="2">
        <x:v>jackiegaudet008@gmail.com</x:v>
      </x:c>
      <x:c r="F2166" t="str" s="2">
        <x:v>Meta Ads - Forms</x:v>
      </x:c>
      <x:c r="G2166" t="str" s="2">
        <x:v>Mervin Leslie Smith</x:v>
      </x:c>
      <x:c r="H2166" s="6">
        <x:v>46223.731975613424</x:v>
      </x:c>
      <x:c r="I2166" s="0"/>
      <x:c r="J2166" s="0"/>
      <x:c r="K2166" s="6">
        <x:v>46270.732303275465</x:v>
      </x:c>
      <x:c r="L2166" t="str" s="2">
        <x:v>Lost</x:v>
      </x:c>
    </x:row>
    <x:row r="2167">
      <x:c r="A2167" t="str" s="2">
        <x:f>="Mike Chapman"</x:f>
      </x:c>
      <x:c r="B2167" t="str" s="2">
        <x:v>Heritage Housing of Athens</x:v>
      </x:c>
      <x:c r="C2167" t="str" s="2">
        <x:v>0/1</x:v>
      </x:c>
      <x:c r="D2167" t="str" s="2">
        <x:v>6783575524</x:v>
      </x:c>
      <x:c r="E2167" t="str" s="2">
        <x:v>mustang60520@gmail.com</x:v>
      </x:c>
      <x:c r="F2167" t="str" s="2">
        <x:v>Financing Form</x:v>
      </x:c>
      <x:c r="G2167" t="str" s="2">
        <x:v>Nathan Bishop</x:v>
      </x:c>
      <x:c r="H2167" s="6">
        <x:v>46223.73431168981</x:v>
      </x:c>
      <x:c r="I2167" s="0"/>
      <x:c r="J2167" s="0"/>
      <x:c r="K2167" s="6">
        <x:v>46279</x:v>
      </x:c>
      <x:c r="L2167" t="str" s="2">
        <x:v>Lost</x:v>
      </x:c>
    </x:row>
    <x:row r="2168">
      <x:c r="A2168" t="str" s="2">
        <x:f>="Erica Harris"</x:f>
      </x:c>
      <x:c r="B2168" t="str" s="2">
        <x:v>Heritage Housing of Augusta</x:v>
      </x:c>
      <x:c r="C2168" t="str" s="2">
        <x:v/>
      </x:c>
      <x:c r="D2168" t="str" s="2">
        <x:v>4705076288</x:v>
      </x:c>
      <x:c r="E2168" t="str" s="2">
        <x:v>nocircle001@gmail.com</x:v>
      </x:c>
      <x:c r="F2168" t="str" s="2">
        <x:v>LandingPage</x:v>
      </x:c>
      <x:c r="G2168" t="str" s="2">
        <x:v>Alex Jones</x:v>
      </x:c>
      <x:c r="H2168" s="6">
        <x:v>46223.75272280093</x:v>
      </x:c>
      <x:c r="I2168" s="0"/>
      <x:c r="J2168" s="0"/>
      <x:c r="K2168" s="6">
        <x:v>46266.72366107639</x:v>
      </x:c>
      <x:c r="L2168" t="str" s="2">
        <x:v>Lost</x:v>
      </x:c>
    </x:row>
    <x:row r="2169">
      <x:c r="A2169" t="str" s="2">
        <x:f>="Frederick Ray Ferguson"</x:f>
      </x:c>
      <x:c r="B2169" t="str" s="2">
        <x:v>Heritage Housing of Asheboro</x:v>
      </x:c>
      <x:c r="C2169" t="str" s="2">
        <x:v/>
      </x:c>
      <x:c r="D2169" t="str" s="2">
        <x:v>3365666564</x:v>
      </x:c>
      <x:c r="E2169" t="str" s="2">
        <x:v>fergusonf8203@gmail.com</x:v>
      </x:c>
      <x:c r="F2169" t="str" s="2">
        <x:v>Meta Ads - Forms</x:v>
      </x:c>
      <x:c r="G2169" t="str" s="2">
        <x:v>Cory Martin</x:v>
      </x:c>
      <x:c r="H2169" s="6">
        <x:v>46223.758525694444</x:v>
      </x:c>
      <x:c r="I2169" s="0"/>
      <x:c r="J2169" s="0"/>
      <x:c r="K2169" s="6">
        <x:v>46226.547434872686</x:v>
      </x:c>
      <x:c r="L2169" t="str" s="2">
        <x:v>Lost</x:v>
      </x:c>
    </x:row>
    <x:row r="2170">
      <x:c r="A2170" t="str" s="2">
        <x:f>="Leslie Locklear"</x:f>
      </x:c>
      <x:c r="B2170" t="str" s="2">
        <x:v>Heritage Housing of Albany</x:v>
      </x:c>
      <x:c r="C2170" t="str" s="2">
        <x:v/>
      </x:c>
      <x:c r="D2170" t="str" s="2">
        <x:v>9106331553</x:v>
      </x:c>
      <x:c r="E2170" t="str" s="2">
        <x:v>lesliem020395@gmail.com</x:v>
      </x:c>
      <x:c r="F2170" t="str" s="2">
        <x:v>Financing Form</x:v>
      </x:c>
      <x:c r="G2170" t="str" s="2">
        <x:v>Yanet Alvarez</x:v>
      </x:c>
      <x:c r="H2170" s="6">
        <x:v>46223.791219479164</x:v>
      </x:c>
      <x:c r="I2170" s="0"/>
      <x:c r="J2170" s="0"/>
      <x:c r="K2170" s="6">
        <x:v>46254.82757126157</x:v>
      </x:c>
      <x:c r="L2170" t="str" s="2">
        <x:v>Lost</x:v>
      </x:c>
    </x:row>
    <x:row r="2171">
      <x:c r="A2171" t="str" s="2">
        <x:f>="Devon Meise"</x:f>
      </x:c>
      <x:c r="B2171" t="str" s="2">
        <x:v>Heritage Housing of Oklahoma City</x:v>
      </x:c>
      <x:c r="C2171" t="str" s="2">
        <x:v/>
      </x:c>
      <x:c r="D2171" t="str" s="2">
        <x:v>5722423831</x:v>
      </x:c>
      <x:c r="E2171" t="str" s="2">
        <x:v>5722423831</x:v>
      </x:c>
      <x:c r="F2171" t="str" s="2">
        <x:v>Facebook Messenger</x:v>
      </x:c>
      <x:c r="G2171" t="str" s="2">
        <x:v>Steve Castell</x:v>
      </x:c>
      <x:c r="H2171" s="6">
        <x:v>46223.817368668984</x:v>
      </x:c>
      <x:c r="I2171" s="0"/>
      <x:c r="J2171" s="6">
        <x:v>46238.625</x:v>
      </x:c>
      <x:c r="K2171" s="6">
        <x:v>46239.59925474537</x:v>
      </x:c>
      <x:c r="L2171" t="str" s="2">
        <x:v>Lost</x:v>
      </x:c>
    </x:row>
    <x:row r="2172">
      <x:c r="A2172" t="str" s="2">
        <x:f>="Billie Christian"</x:f>
      </x:c>
      <x:c r="B2172" t="str" s="2">
        <x:v>Heritage Housing of Albany</x:v>
      </x:c>
      <x:c r="C2172" t="str" s="2">
        <x:v/>
      </x:c>
      <x:c r="D2172" t="str" s="2">
        <x:v>8325744469</x:v>
      </x:c>
      <x:c r="E2172" t="str" s="2">
        <x:v>Billiechristian6@gmail.com</x:v>
      </x:c>
      <x:c r="F2172" t="str" s="2">
        <x:v>Financing Form</x:v>
      </x:c>
      <x:c r="G2172" t="str" s="2">
        <x:v>Yanet Alvarez</x:v>
      </x:c>
      <x:c r="H2172" s="6">
        <x:v>46223.837422766206</x:v>
      </x:c>
      <x:c r="I2172" s="0"/>
      <x:c r="J2172" s="0"/>
      <x:c r="K2172" s="6">
        <x:v>46224</x:v>
      </x:c>
      <x:c r="L2172" t="str" s="2">
        <x:v>Lost</x:v>
      </x:c>
    </x:row>
    <x:row r="2173">
      <x:c r="A2173" t="str" s="2">
        <x:f>="Bertha Sanders"</x:f>
      </x:c>
      <x:c r="B2173" t="str" s="2">
        <x:v>Heritage Housing of Minden</x:v>
      </x:c>
      <x:c r="C2173" t="str" s="2">
        <x:v>0/6</x:v>
      </x:c>
      <x:c r="D2173" t="str" s="2">
        <x:v>2254891103</x:v>
      </x:c>
      <x:c r="E2173" t="str" s="2">
        <x:v>cnugent44@yahoo.com</x:v>
      </x:c>
      <x:c r="F2173" t="str" s="2">
        <x:v>Meta Ads - Forms</x:v>
      </x:c>
      <x:c r="G2173" t="str" s="2">
        <x:v>Patrick Schuchart</x:v>
      </x:c>
      <x:c r="H2173" s="6">
        <x:v>46224.075849270834</x:v>
      </x:c>
      <x:c r="I2173" s="0"/>
      <x:c r="J2173" s="0"/>
      <x:c r="K2173" s="6">
        <x:v>46282.911827662036</x:v>
      </x:c>
      <x:c r="L2173" t="str" s="2">
        <x:v>Lost</x:v>
      </x:c>
    </x:row>
    <x:row r="2174">
      <x:c r="A2174" t="str" s="2">
        <x:f>="Tamoria Lowe"</x:f>
      </x:c>
      <x:c r="B2174" t="str" s="2">
        <x:v>Heritage Housing of Jennings</x:v>
      </x:c>
      <x:c r="C2174" t="str" s="2">
        <x:v/>
      </x:c>
      <x:c r="D2174" t="str" s="2">
        <x:v>9856451940</x:v>
      </x:c>
      <x:c r="E2174" t="str" s="2">
        <x:v>tamorialowe@yahoo.com</x:v>
      </x:c>
      <x:c r="F2174" t="str" s="2">
        <x:v>Financing Form</x:v>
      </x:c>
      <x:c r="G2174" t="str" s="2">
        <x:v>Mervin Leslie Smith</x:v>
      </x:c>
      <x:c r="H2174" s="6">
        <x:v>46224.084842048615</x:v>
      </x:c>
      <x:c r="I2174" s="0"/>
      <x:c r="J2174" s="0"/>
      <x:c r="K2174" s="6">
        <x:v>46288.582208182874</x:v>
      </x:c>
      <x:c r="L2174" t="str" s="2">
        <x:v>Lost</x:v>
      </x:c>
    </x:row>
    <x:row r="2175">
      <x:c r="A2175" t="str" s="2">
        <x:f>="Shannon Cox"</x:f>
      </x:c>
      <x:c r="B2175" t="str" s="2">
        <x:v>Heritage Housing of Oklahoma City</x:v>
      </x:c>
      <x:c r="C2175" t="str" s="2">
        <x:v/>
      </x:c>
      <x:c r="D2175" t="str" s="2">
        <x:v>4058335905</x:v>
      </x:c>
      <x:c r="E2175" t="str" s="2">
        <x:v>4058335905</x:v>
      </x:c>
      <x:c r="F2175" t="str" s="2">
        <x:v>Facebook Messenger</x:v>
      </x:c>
      <x:c r="G2175" t="str" s="2">
        <x:v>Steve Castell</x:v>
      </x:c>
      <x:c r="H2175" s="6">
        <x:v>46224.726264895835</x:v>
      </x:c>
      <x:c r="I2175" s="0"/>
      <x:c r="J2175" s="6">
        <x:v>46227.84375</x:v>
      </x:c>
      <x:c r="K2175" s="6">
        <x:v>46227.68280844908</x:v>
      </x:c>
      <x:c r="L2175" t="str" s="2">
        <x:v>Lost</x:v>
      </x:c>
    </x:row>
    <x:row r="2176">
      <x:c r="A2176" t="str" s="2">
        <x:f>="Sharon Osborn"</x:f>
      </x:c>
      <x:c r="B2176" t="str" s="2">
        <x:v>Heritage Housing of Oklahoma City</x:v>
      </x:c>
      <x:c r="C2176" t="str" s="2">
        <x:v>0/3</x:v>
      </x:c>
      <x:c r="D2176" t="str" s="2">
        <x:v>4057802023</x:v>
      </x:c>
      <x:c r="E2176" t="str" s="2">
        <x:v>slosborn63@yahoo.com</x:v>
      </x:c>
      <x:c r="F2176" t="str" s="2">
        <x:v>Meta Ads - Forms</x:v>
      </x:c>
      <x:c r="G2176" t="str" s="2">
        <x:v>Steve Castell</x:v>
      </x:c>
      <x:c r="H2176" s="6">
        <x:v>46224.746452465275</x:v>
      </x:c>
      <x:c r="I2176" s="0"/>
      <x:c r="J2176" s="0"/>
      <x:c r="K2176" s="6">
        <x:v>46233</x:v>
      </x:c>
      <x:c r="L2176" t="str" s="2">
        <x:v>Lost</x:v>
      </x:c>
    </x:row>
    <x:row r="2177">
      <x:c r="A2177" t="str" s="2">
        <x:f>="Jesenia Rivera"</x:f>
      </x:c>
      <x:c r="B2177" t="str" s="2">
        <x:v>Heritage Housing of Asheboro</x:v>
      </x:c>
      <x:c r="C2177" t="str" s="2">
        <x:v/>
      </x:c>
      <x:c r="D2177" t="str" s="2">
        <x:v>2524682160</x:v>
      </x:c>
      <x:c r="E2177" t="str" s="2">
        <x:v>jeseniar1981@gmail.com</x:v>
      </x:c>
      <x:c r="F2177" t="str" s="2">
        <x:v>Google Ads</x:v>
      </x:c>
      <x:c r="G2177" t="str" s="2">
        <x:v>Cory Martin</x:v>
      </x:c>
      <x:c r="H2177" s="6">
        <x:v>46224.89056076389</x:v>
      </x:c>
      <x:c r="I2177" s="0"/>
      <x:c r="J2177" s="0"/>
      <x:c r="K2177" s="6">
        <x:v>46234</x:v>
      </x:c>
      <x:c r="L2177" t="str" s="2">
        <x:v>Lost</x:v>
      </x:c>
    </x:row>
    <x:row r="2178">
      <x:c r="A2178" t="str" s="2">
        <x:f>="Michelle Bailey"</x:f>
      </x:c>
      <x:c r="B2178" t="str" s="2">
        <x:v>Heritage Housing of Asheboro</x:v>
      </x:c>
      <x:c r="C2178" t="str" s="2">
        <x:v/>
      </x:c>
      <x:c r="D2178" t="str" s="2">
        <x:v>3362669147</x:v>
      </x:c>
      <x:c r="E2178" t="str" s="2">
        <x:v>m_douds@yahoo.com</x:v>
      </x:c>
      <x:c r="F2178" t="str" s="2">
        <x:v>Website</x:v>
      </x:c>
      <x:c r="G2178" t="str" s="2">
        <x:v>Maria Lopez</x:v>
      </x:c>
      <x:c r="H2178" s="6">
        <x:v>46224.96958715278</x:v>
      </x:c>
      <x:c r="I2178" s="0"/>
      <x:c r="J2178" s="0"/>
      <x:c r="K2178" s="6">
        <x:v>46225.58215767361</x:v>
      </x:c>
      <x:c r="L2178" t="str" s="2">
        <x:v>Lost</x:v>
      </x:c>
    </x:row>
    <x:row r="2179">
      <x:c r="A2179" t="str" s="2">
        <x:f>="Armanda Rodriguez"</x:f>
      </x:c>
      <x:c r="B2179" t="str" s="2">
        <x:v>Heritage Housing of Albany</x:v>
      </x:c>
      <x:c r="C2179" t="str" s="2">
        <x:v/>
      </x:c>
      <x:c r="D2179" t="str" s="2">
        <x:v>4784429714</x:v>
      </x:c>
      <x:c r="E2179" t="str" s="2">
        <x:v>akinsarmanda@gmail.com</x:v>
      </x:c>
      <x:c r="F2179" t="str" s="2">
        <x:v>LandingPage</x:v>
      </x:c>
      <x:c r="G2179" t="str" s="2">
        <x:v>Yanet Alvarez</x:v>
      </x:c>
      <x:c r="H2179" s="6">
        <x:v>46225.35076547453</x:v>
      </x:c>
      <x:c r="I2179" s="0"/>
      <x:c r="J2179" s="0"/>
      <x:c r="K2179" s="6">
        <x:v>46229.80328310185</x:v>
      </x:c>
      <x:c r="L2179" t="str" s="2">
        <x:v>Lost</x:v>
      </x:c>
    </x:row>
    <x:row r="2180">
      <x:c r="A2180" t="str" s="2">
        <x:f>="Jiamesia Young"</x:f>
      </x:c>
      <x:c r="B2180" t="str" s="2">
        <x:v>Heritage Housing of Albany</x:v>
      </x:c>
      <x:c r="C2180" t="str" s="2">
        <x:v/>
      </x:c>
      <x:c r="D2180" t="str" s="2">
        <x:v>9035659290</x:v>
      </x:c>
      <x:c r="E2180" t="str" s="2">
        <x:v>jiamesia@yahoo.com</x:v>
      </x:c>
      <x:c r="F2180" t="str" s="2">
        <x:v>Financing Form</x:v>
      </x:c>
      <x:c r="G2180" t="str" s="2">
        <x:v>Yanet Alvarez</x:v>
      </x:c>
      <x:c r="H2180" s="6">
        <x:v>46225.57646585648</x:v>
      </x:c>
      <x:c r="I2180" s="0"/>
      <x:c r="J2180" s="0"/>
      <x:c r="K2180" s="6">
        <x:v>46238</x:v>
      </x:c>
      <x:c r="L2180" t="str" s="2">
        <x:v>Lost</x:v>
      </x:c>
    </x:row>
    <x:row r="2181">
      <x:c r="A2181" t="str" s="2">
        <x:f>="D. Johnson"</x:f>
      </x:c>
      <x:c r="B2181" t="str" s="2">
        <x:v>Heritage Housing of Minden</x:v>
      </x:c>
      <x:c r="C2181" t="str" s="2">
        <x:v>0/2</x:v>
      </x:c>
      <x:c r="D2181" t="str" s="2">
        <x:v>8706320294</x:v>
      </x:c>
      <x:c r="E2181" t="str" s="2">
        <x:v>deshaundrajohnson235@gmail.com</x:v>
      </x:c>
      <x:c r="F2181" t="str" s="2">
        <x:v>Meta Ads - Forms</x:v>
      </x:c>
      <x:c r="G2181" t="str" s="2">
        <x:v>Patrick Schuchart</x:v>
      </x:c>
      <x:c r="H2181" s="6">
        <x:v>46225.69628116898</x:v>
      </x:c>
      <x:c r="I2181" s="0"/>
      <x:c r="J2181" s="0"/>
      <x:c r="K2181" s="6">
        <x:v>46238.92404082176</x:v>
      </x:c>
      <x:c r="L2181" t="str" s="2">
        <x:v>Lost</x:v>
      </x:c>
    </x:row>
    <x:row r="2182">
      <x:c r="A2182" t="str" s="2">
        <x:f>="Johnell &amp; Georgia Ware"</x:f>
      </x:c>
      <x:c r="B2182" t="str" s="2">
        <x:v>Heritage Housing of Minden</x:v>
      </x:c>
      <x:c r="C2182" t="str" s="2">
        <x:v>0/4</x:v>
      </x:c>
      <x:c r="D2182" t="str" s="2">
        <x:v>6016601279</x:v>
      </x:c>
      <x:c r="E2182" t="str" s="2">
        <x:v>gmaeware1207@gmail.com</x:v>
      </x:c>
      <x:c r="F2182" t="str" s="2">
        <x:v>Meta Ads - Forms</x:v>
      </x:c>
      <x:c r="G2182" t="str" s="2">
        <x:v>Patrick Schuchart</x:v>
      </x:c>
      <x:c r="H2182" s="6">
        <x:v>46225.69895478009</x:v>
      </x:c>
      <x:c r="I2182" s="0"/>
      <x:c r="J2182" s="0"/>
      <x:c r="K2182" s="6">
        <x:v>46238.92246006944</x:v>
      </x:c>
      <x:c r="L2182" t="str" s="2">
        <x:v>Lost</x:v>
      </x:c>
    </x:row>
    <x:row r="2183">
      <x:c r="A2183" t="str" s="2">
        <x:f>="Jeannie Barnes"</x:f>
      </x:c>
      <x:c r="B2183" t="str" s="2">
        <x:v>Heritage Housing of Oklahoma City</x:v>
      </x:c>
      <x:c r="C2183" t="str" s="2">
        <x:v>0/1</x:v>
      </x:c>
      <x:c r="D2183" t="str" s="2">
        <x:v>4244507609</x:v>
      </x:c>
      <x:c r="E2183" t="str" s="2">
        <x:v>jeanniebarnes1969@gmail.com</x:v>
      </x:c>
      <x:c r="F2183" t="str" s="2">
        <x:v>Financing Form</x:v>
      </x:c>
      <x:c r="G2183" t="str" s="2">
        <x:v>Karla Brizuela</x:v>
      </x:c>
      <x:c r="H2183" s="6">
        <x:v>46225.79613244213</x:v>
      </x:c>
      <x:c r="I2183" s="0"/>
      <x:c r="J2183" s="0"/>
      <x:c r="K2183" s="6">
        <x:v>46245.689140393515</x:v>
      </x:c>
      <x:c r="L2183" t="str" s="2">
        <x:v>Lost</x:v>
      </x:c>
    </x:row>
    <x:row r="2184">
      <x:c r="A2184" t="str" s="2">
        <x:f>="Alyssa Slater"</x:f>
      </x:c>
      <x:c r="B2184" t="str" s="2">
        <x:v>Heritage Housing of Athens</x:v>
      </x:c>
      <x:c r="C2184" t="str" s="2">
        <x:v/>
      </x:c>
      <x:c r="D2184" t="str" s="2">
        <x:v>7067137556</x:v>
      </x:c>
      <x:c r="E2184" t="str" s="2">
        <x:v>Greeneyedmama92@outlook.com</x:v>
      </x:c>
      <x:c r="F2184" t="str" s="2">
        <x:v>Financing Form</x:v>
      </x:c>
      <x:c r="G2184" t="str" s="2">
        <x:v>Nathan Bishop</x:v>
      </x:c>
      <x:c r="H2184" s="6">
        <x:v>46225.83219482639</x:v>
      </x:c>
      <x:c r="I2184" s="0"/>
      <x:c r="J2184" s="0"/>
      <x:c r="K2184" s="6">
        <x:v>46267.86257696759</x:v>
      </x:c>
      <x:c r="L2184" t="str" s="2">
        <x:v>Lost</x:v>
      </x:c>
    </x:row>
    <x:row r="2185">
      <x:c r="A2185" t="str" s="2">
        <x:f>="Janniece Carpenter"</x:f>
      </x:c>
      <x:c r="B2185" t="str" s="2">
        <x:v>Heritage Housing Marble Falls</x:v>
      </x:c>
      <x:c r="C2185" t="str" s="2">
        <x:v>0/1</x:v>
      </x:c>
      <x:c r="D2185" t="str" s="2">
        <x:v>8303773760</x:v>
      </x:c>
      <x:c r="E2185" t="str" s="2">
        <x:v>janniececarpenter@gmail.com</x:v>
      </x:c>
      <x:c r="F2185" t="str" s="2">
        <x:v>Website</x:v>
      </x:c>
      <x:c r="G2185" t="str" s="2">
        <x:v>Franchesca Parker</x:v>
      </x:c>
      <x:c r="H2185" s="6">
        <x:v>46225.94652561343</x:v>
      </x:c>
      <x:c r="I2185" s="0"/>
      <x:c r="J2185" s="0"/>
      <x:c r="K2185" s="6">
        <x:v>46227</x:v>
      </x:c>
      <x:c r="L2185" t="str" s="2">
        <x:v>Lost</x:v>
      </x:c>
    </x:row>
    <x:row r="2186">
      <x:c r="A2186" t="str" s="2">
        <x:f>="Sabrina Rivera"</x:f>
      </x:c>
      <x:c r="B2186" t="str" s="2">
        <x:v>Heritage Housing of Albany</x:v>
      </x:c>
      <x:c r="C2186" t="str" s="2">
        <x:v/>
      </x:c>
      <x:c r="D2186" t="str" s="2">
        <x:v>8434964851</x:v>
      </x:c>
      <x:c r="E2186" t="str" s="2">
        <x:v>brenajean2002@yahoo.com</x:v>
      </x:c>
      <x:c r="F2186" t="str" s="2">
        <x:v>Meta Ads - Forms</x:v>
      </x:c>
      <x:c r="G2186" t="str" s="2">
        <x:v>Yanet Alvarez</x:v>
      </x:c>
      <x:c r="H2186" s="6">
        <x:v>46226.04111038194</x:v>
      </x:c>
      <x:c r="I2186" s="0"/>
      <x:c r="J2186" s="0"/>
      <x:c r="K2186" s="6">
        <x:v>46238.93192986111</x:v>
      </x:c>
      <x:c r="L2186" t="str" s="2">
        <x:v>Lost</x:v>
      </x:c>
    </x:row>
    <x:row r="2187">
      <x:c r="A2187" t="str" s="2">
        <x:f>="Jorge Segura"</x:f>
      </x:c>
      <x:c r="B2187" t="str" s="2">
        <x:v>Heritage Housing Mt Pleasant</x:v>
      </x:c>
      <x:c r="C2187" t="str" s="2">
        <x:v/>
      </x:c>
      <x:c r="D2187" t="str" s="2">
        <x:v>9032415897</x:v>
      </x:c>
      <x:c r="E2187" t="str" s="2">
        <x:v>9032415897</x:v>
      </x:c>
      <x:c r="F2187" t="str" s="2">
        <x:v>META Marketplace</x:v>
      </x:c>
      <x:c r="G2187" t="str" s="2">
        <x:v>Yarelis Torres</x:v>
      </x:c>
      <x:c r="H2187" s="6">
        <x:v>46226.041423877316</x:v>
      </x:c>
      <x:c r="I2187" s="0"/>
      <x:c r="J2187" s="6">
        <x:v>46227.916666666664</x:v>
      </x:c>
      <x:c r="K2187" s="6">
        <x:v>46248</x:v>
      </x:c>
      <x:c r="L2187" t="str" s="2">
        <x:v>Lost</x:v>
      </x:c>
    </x:row>
    <x:row r="2188">
      <x:c r="A2188" t="str" s="2">
        <x:f>="Cindy Evans"</x:f>
      </x:c>
      <x:c r="B2188" t="str" s="2">
        <x:v>Heritage Housing of Albany</x:v>
      </x:c>
      <x:c r="C2188" t="str" s="2">
        <x:v/>
      </x:c>
      <x:c r="D2188" t="str" s="2">
        <x:v>9125014600</x:v>
      </x:c>
      <x:c r="E2188" t="str" s="2">
        <x:v>ecindy312@Gmail.com</x:v>
      </x:c>
      <x:c r="F2188" t="str" s="2">
        <x:v>Meta Ads - Forms</x:v>
      </x:c>
      <x:c r="G2188" t="str" s="2">
        <x:v>Yanet Alvarez</x:v>
      </x:c>
      <x:c r="H2188" s="6">
        <x:v>46226.1695466088</x:v>
      </x:c>
      <x:c r="I2188" s="0"/>
      <x:c r="J2188" s="0"/>
      <x:c r="K2188" s="6">
        <x:v>46281.84114575232</x:v>
      </x:c>
      <x:c r="L2188" t="str" s="2">
        <x:v>Lost</x:v>
      </x:c>
    </x:row>
    <x:row r="2189">
      <x:c r="A2189" t="str" s="2">
        <x:f>="CW Williams"</x:f>
      </x:c>
      <x:c r="B2189" t="str" s="2">
        <x:v>Heritage Housing of Asheboro</x:v>
      </x:c>
      <x:c r="C2189" t="str" s="2">
        <x:v/>
      </x:c>
      <x:c r="D2189" t="str" s="2">
        <x:v>8039087257</x:v>
      </x:c>
      <x:c r="E2189" t="str" s="2">
        <x:v>c.williams25@gmail.com</x:v>
      </x:c>
      <x:c r="F2189" t="str" s="2">
        <x:v>Meta Ads - Forms</x:v>
      </x:c>
      <x:c r="G2189" t="str" s="2">
        <x:v>Cory Martin</x:v>
      </x:c>
      <x:c r="H2189" s="6">
        <x:v>46226.324980324076</x:v>
      </x:c>
      <x:c r="I2189" s="0"/>
      <x:c r="J2189" s="0"/>
      <x:c r="K2189" s="6">
        <x:v>46227.83027172454</x:v>
      </x:c>
      <x:c r="L2189" t="str" s="2">
        <x:v>Lost</x:v>
      </x:c>
    </x:row>
    <x:row r="2190">
      <x:c r="A2190" t="str" s="2">
        <x:f>="Tabitha Suarez"</x:f>
      </x:c>
      <x:c r="B2190" t="str" s="2">
        <x:v>Heritage Housing of Jennings</x:v>
      </x:c>
      <x:c r="C2190" t="str" s="2">
        <x:v/>
      </x:c>
      <x:c r="D2190" t="str" s="2">
        <x:v>3379438926</x:v>
      </x:c>
      <x:c r="E2190" t="str" s="2">
        <x:v>tabbiann2008@icloud.com</x:v>
      </x:c>
      <x:c r="F2190" t="str" s="2">
        <x:v>Financing Form</x:v>
      </x:c>
      <x:c r="G2190" t="str" s="2">
        <x:v>Mervin Leslie Smith</x:v>
      </x:c>
      <x:c r="H2190" s="6">
        <x:v>46226.41943174769</x:v>
      </x:c>
      <x:c r="I2190" s="0"/>
      <x:c r="J2190" s="0"/>
      <x:c r="K2190" s="6">
        <x:v>46268.85152596065</x:v>
      </x:c>
      <x:c r="L2190" t="str" s="2">
        <x:v>Lost</x:v>
      </x:c>
    </x:row>
    <x:row r="2191">
      <x:c r="A2191" t="str" s="2">
        <x:f>="Jose Salazar"</x:f>
      </x:c>
      <x:c r="B2191" t="str" s="2">
        <x:v>Heritage Housing of Albany</x:v>
      </x:c>
      <x:c r="C2191" t="str" s="2">
        <x:v/>
      </x:c>
      <x:c r="D2191" t="str" s="2">
        <x:v>2299382061</x:v>
      </x:c>
      <x:c r="E2191" t="str" s="2">
        <x:v>elgato51425@outlook.com</x:v>
      </x:c>
      <x:c r="F2191" t="str" s="2">
        <x:v>LandingPage</x:v>
      </x:c>
      <x:c r="G2191" t="str" s="2">
        <x:v>Yanet Alvarez</x:v>
      </x:c>
      <x:c r="H2191" s="6">
        <x:v>46226.54744193287</x:v>
      </x:c>
      <x:c r="I2191" s="0"/>
      <x:c r="J2191" s="0"/>
      <x:c r="K2191" s="6">
        <x:v>46228</x:v>
      </x:c>
      <x:c r="L2191" t="str" s="2">
        <x:v>Lost</x:v>
      </x:c>
    </x:row>
    <x:row r="2192">
      <x:c r="A2192" t="str" s="2">
        <x:f>="#tatiana robinson"</x:f>
      </x:c>
      <x:c r="B2192" t="str" s="2">
        <x:v>Heritage Housing of Albany</x:v>
      </x:c>
      <x:c r="C2192" t="str" s="2">
        <x:v/>
      </x:c>
      <x:c r="D2192" t="str" s="2">
        <x:v>8432527149</x:v>
      </x:c>
      <x:c r="E2192" t="str" s="2">
        <x:v>tatianarobinson051309@gmail.com</x:v>
      </x:c>
      <x:c r="F2192" t="str" s="2">
        <x:v>Meta Ads - Forms</x:v>
      </x:c>
      <x:c r="G2192" t="str" s="2">
        <x:v>Yanet Alvarez</x:v>
      </x:c>
      <x:c r="H2192" s="6">
        <x:v>46226.63736508102</x:v>
      </x:c>
      <x:c r="I2192" s="0"/>
      <x:c r="J2192" s="0"/>
      <x:c r="K2192" s="6">
        <x:v>46253.688687581016</x:v>
      </x:c>
      <x:c r="L2192" t="str" s="2">
        <x:v>Lost</x:v>
      </x:c>
    </x:row>
    <x:row r="2193">
      <x:c r="A2193" t="str" s="2">
        <x:f>="Brooklyn Vann"</x:f>
      </x:c>
      <x:c r="B2193" t="str" s="2">
        <x:v>Heritage Housing of Oklahoma City</x:v>
      </x:c>
      <x:c r="C2193" t="str" s="2">
        <x:v>0/2</x:v>
      </x:c>
      <x:c r="D2193" t="str" s="2">
        <x:v>9185758371</x:v>
      </x:c>
      <x:c r="E2193" t="str" s="2">
        <x:v>9185758371</x:v>
      </x:c>
      <x:c r="F2193" t="str" s="2">
        <x:v>Facebook Messenger</x:v>
      </x:c>
      <x:c r="G2193" t="str" s="2">
        <x:v>Steve Castell</x:v>
      </x:c>
      <x:c r="H2193" s="6">
        <x:v>46226.91768229166</x:v>
      </x:c>
      <x:c r="I2193" s="0"/>
      <x:c r="J2193" s="6">
        <x:v>46228.760416666664</x:v>
      </x:c>
      <x:c r="K2193" s="6">
        <x:v>46230</x:v>
      </x:c>
      <x:c r="L2193" t="str" s="2">
        <x:v>Lost</x:v>
      </x:c>
    </x:row>
    <x:row r="2194">
      <x:c r="A2194" t="str" s="2">
        <x:f>="Naz Feldschneider"</x:f>
      </x:c>
      <x:c r="B2194" t="str" s="2">
        <x:v>Heritage Housing Gainesville</x:v>
      </x:c>
      <x:c r="C2194" t="str" s="2">
        <x:v/>
      </x:c>
      <x:c r="D2194" t="str" s="2">
        <x:v>9404975222</x:v>
      </x:c>
      <x:c r="E2194" t="str" s="2">
        <x:v>naz.karimi@cavco.com</x:v>
      </x:c>
      <x:c r="F2194" t="str" s="2">
        <x:v>Website</x:v>
      </x:c>
      <x:c r="G2194" t="str" s="2">
        <x:v>Chris Michniacki</x:v>
      </x:c>
      <x:c r="H2194" s="6">
        <x:v>46227.60645451389</x:v>
      </x:c>
      <x:c r="I2194" s="0"/>
      <x:c r="J2194" s="0"/>
      <x:c r="K2194" s="6">
        <x:v>46246.87561246528</x:v>
      </x:c>
      <x:c r="L2194" t="str" s="2">
        <x:v>Lost</x:v>
      </x:c>
    </x:row>
    <x:row r="2195">
      <x:c r="A2195" t="str" s="2">
        <x:f>="Randy Black"</x:f>
      </x:c>
      <x:c r="B2195" t="str" s="2">
        <x:v>Heritage Housing of Augusta</x:v>
      </x:c>
      <x:c r="C2195" t="str" s="2">
        <x:v/>
      </x:c>
      <x:c r="D2195" t="str" s="2">
        <x:v>7065521685</x:v>
      </x:c>
      <x:c r="E2195" t="str" s="2">
        <x:v>randyblack2002@gmail.com</x:v>
      </x:c>
      <x:c r="F2195" t="str" s="2">
        <x:v>Website</x:v>
      </x:c>
      <x:c r="G2195" t="str" s="2">
        <x:v>Alex Jones</x:v>
      </x:c>
      <x:c r="H2195" s="6">
        <x:v>46227.75713244213</x:v>
      </x:c>
      <x:c r="I2195" s="0"/>
      <x:c r="J2195" s="0"/>
      <x:c r="K2195" s="6">
        <x:v>46227.82340917824</x:v>
      </x:c>
      <x:c r="L2195" t="str" s="2">
        <x:v>Lost</x:v>
      </x:c>
    </x:row>
    <x:row r="2196">
      <x:c r="A2196" t="str" s="2">
        <x:f>="Brittany Howard"</x:f>
      </x:c>
      <x:c r="B2196" t="str" s="2">
        <x:v>Heritage Housing of Oklahoma City</x:v>
      </x:c>
      <x:c r="C2196" t="str" s="2">
        <x:v/>
      </x:c>
      <x:c r="D2196" t="str" s="2">
        <x:v>9185752945</x:v>
      </x:c>
      <x:c r="E2196" t="str" s="2">
        <x:v>9185752945</x:v>
      </x:c>
      <x:c r="F2196" t="str" s="2">
        <x:v>Facebook Messenger</x:v>
      </x:c>
      <x:c r="G2196" t="str" s="2">
        <x:v>Steve Castell</x:v>
      </x:c>
      <x:c r="H2196" s="6">
        <x:v>46227.96127017361</x:v>
      </x:c>
      <x:c r="I2196" s="0"/>
      <x:c r="J2196" s="6">
        <x:v>46228.760416666664</x:v>
      </x:c>
      <x:c r="K2196" s="6">
        <x:v>46227.985941666666</x:v>
      </x:c>
      <x:c r="L2196" t="str" s="2">
        <x:v>Lost</x:v>
      </x:c>
    </x:row>
    <x:row r="2197">
      <x:c r="A2197" t="str" s="2">
        <x:f>="Scott Wainscott"</x:f>
      </x:c>
      <x:c r="B2197" t="str" s="2">
        <x:v>Heritage Housing of Oklahoma City</x:v>
      </x:c>
      <x:c r="C2197" t="str" s="2">
        <x:v/>
      </x:c>
      <x:c r="D2197" t="str" s="2">
        <x:v>4055122191</x:v>
      </x:c>
      <x:c r="E2197" t="str" s="2">
        <x:v>wainscottscottg@gmail.com</x:v>
      </x:c>
      <x:c r="F2197" t="str" s="2">
        <x:v>Meta Ads - Forms</x:v>
      </x:c>
      <x:c r="G2197" t="str" s="2">
        <x:v>Steve Castell</x:v>
      </x:c>
      <x:c r="H2197" s="6">
        <x:v>46228.011103784724</x:v>
      </x:c>
      <x:c r="I2197" s="0"/>
      <x:c r="J2197" s="0"/>
      <x:c r="K2197" s="6">
        <x:v>46228.60393927083</x:v>
      </x:c>
      <x:c r="L2197" t="str" s="2">
        <x:v>Lost</x:v>
      </x:c>
    </x:row>
    <x:row r="2198">
      <x:c r="A2198" t="str" s="2">
        <x:f>="April Davis"</x:f>
      </x:c>
      <x:c r="B2198" t="str" s="2">
        <x:v>Heritage Housing Gainesville</x:v>
      </x:c>
      <x:c r="C2198" t="str" s="2">
        <x:v/>
      </x:c>
      <x:c r="D2198" t="str" s="2">
        <x:v>9405959681</x:v>
      </x:c>
      <x:c r="E2198" t="str" s="2">
        <x:v>1davisgirl70@gmail.com</x:v>
      </x:c>
      <x:c r="F2198" t="str" s="2">
        <x:v>Financing Form</x:v>
      </x:c>
      <x:c r="G2198" t="str" s="2">
        <x:v>John Schwichtenberg</x:v>
      </x:c>
      <x:c r="H2198" s="6">
        <x:v>46228.63268584491</x:v>
      </x:c>
      <x:c r="I2198" s="0"/>
      <x:c r="J2198" s="0"/>
      <x:c r="K2198" s="6">
        <x:v>46276</x:v>
      </x:c>
      <x:c r="L2198" t="str" s="2">
        <x:v>Lost</x:v>
      </x:c>
    </x:row>
    <x:row r="2199">
      <x:c r="A2199" t="str" s="2">
        <x:f>="Joannthind +15742770130"</x:f>
      </x:c>
      <x:c r="B2199" t="str" s="2">
        <x:v>Heritage Housing of Albany</x:v>
      </x:c>
      <x:c r="C2199" t="str" s="2">
        <x:v/>
      </x:c>
      <x:c r="D2199" t="str" s="2">
        <x:v>88913678542</x:v>
      </x:c>
      <x:c r="E2199" t="str" s="2">
        <x:v>xkxtlpl@krvskum.tnm</x:v>
      </x:c>
      <x:c r="F2199" t="str" s="2">
        <x:v>Website</x:v>
      </x:c>
      <x:c r="G2199" t="str" s="2">
        <x:v>Yanet Alvarez</x:v>
      </x:c>
      <x:c r="H2199" s="6">
        <x:v>46229.39201998842</x:v>
      </x:c>
      <x:c r="I2199" s="0"/>
      <x:c r="J2199" s="0"/>
      <x:c r="K2199" s="6">
        <x:v>46232.56788287037</x:v>
      </x:c>
      <x:c r="L2199" t="str" s="2">
        <x:v>Lost</x:v>
      </x:c>
    </x:row>
    <x:row r="2200">
      <x:c r="A2200" t="str" s="2">
        <x:f>="Michael Meredith"</x:f>
      </x:c>
      <x:c r="B2200" t="str" s="2">
        <x:v>Heritage Housing of Oklahoma City</x:v>
      </x:c>
      <x:c r="C2200" t="str" s="2">
        <x:v/>
      </x:c>
      <x:c r="D2200" t="str" s="2">
        <x:v>2702027616</x:v>
      </x:c>
      <x:c r="E2200" t="str" s="2">
        <x:v>mickeymeredith26@gmail.com</x:v>
      </x:c>
      <x:c r="F2200" t="str" s="2">
        <x:v>Meta Ads - Forms</x:v>
      </x:c>
      <x:c r="G2200" t="str" s="2">
        <x:v>Karla Brizuela</x:v>
      </x:c>
      <x:c r="H2200" s="6">
        <x:v>46229.855117743056</x:v>
      </x:c>
      <x:c r="I2200" s="0"/>
      <x:c r="J2200" s="0"/>
      <x:c r="K2200" s="6">
        <x:v>46230.602565277775</x:v>
      </x:c>
      <x:c r="L2200" t="str" s="2">
        <x:v>Lost</x:v>
      </x:c>
    </x:row>
    <x:row r="2201">
      <x:c r="A2201" t="str" s="2">
        <x:f>="Crystal Byers"</x:f>
      </x:c>
      <x:c r="B2201" t="str" s="2">
        <x:v>Heritage Housing of Oklahoma City</x:v>
      </x:c>
      <x:c r="C2201" t="str" s="2">
        <x:v>0/3</x:v>
      </x:c>
      <x:c r="D2201" t="str" s="2">
        <x:v>9406546281</x:v>
      </x:c>
      <x:c r="E2201" t="str" s="2">
        <x:v>crystaldbyers2@gmail.com</x:v>
      </x:c>
      <x:c r="F2201" t="str" s="2">
        <x:v>Meta Ads - Traffic</x:v>
      </x:c>
      <x:c r="G2201" t="str" s="2">
        <x:v>Steve Castell</x:v>
      </x:c>
      <x:c r="H2201" s="6">
        <x:v>46229.99019614583</x:v>
      </x:c>
      <x:c r="I2201" s="0"/>
      <x:c r="J2201" s="0"/>
      <x:c r="K2201" s="6">
        <x:v>46241</x:v>
      </x:c>
      <x:c r="L2201" t="str" s="2">
        <x:v>Lost</x:v>
      </x:c>
    </x:row>
    <x:row r="2202">
      <x:c r="A2202" t="str" s="2">
        <x:f>="Russell Harms"</x:f>
      </x:c>
      <x:c r="B2202" t="str" s="2">
        <x:v>Heritage Housing of Canton</x:v>
      </x:c>
      <x:c r="C2202" t="str" s="2">
        <x:v/>
      </x:c>
      <x:c r="D2202" t="str" s="2">
        <x:v>9453911259</x:v>
      </x:c>
      <x:c r="E2202" t="str" s="2">
        <x:v>leeruss117@gmail.com</x:v>
      </x:c>
      <x:c r="F2202" t="str" s="2">
        <x:v>Financing Form</x:v>
      </x:c>
      <x:c r="G2202" t="str" s="2">
        <x:v>Maira Garcia</x:v>
      </x:c>
      <x:c r="H2202" s="6">
        <x:v>46230.05799583333</x:v>
      </x:c>
      <x:c r="I2202" s="0"/>
      <x:c r="J2202" s="0"/>
      <x:c r="K2202" s="6">
        <x:v>46230</x:v>
      </x:c>
      <x:c r="L2202" t="str" s="2">
        <x:v>Lost</x:v>
      </x:c>
    </x:row>
    <x:row r="2203">
      <x:c r="A2203" t="str" s="2">
        <x:f>="Aliana Engler"</x:f>
      </x:c>
      <x:c r="B2203" t="str" s="2">
        <x:v>Heritage Housing of Jennings</x:v>
      </x:c>
      <x:c r="C2203" t="str" s="2">
        <x:v/>
      </x:c>
      <x:c r="D2203" t="str" s="2">
        <x:v>3375639089</x:v>
      </x:c>
      <x:c r="E2203" t="str" s="2">
        <x:v>alianaengler@gmail.com</x:v>
      </x:c>
      <x:c r="F2203" t="str" s="2">
        <x:v>Financing Form</x:v>
      </x:c>
      <x:c r="G2203" t="str" s="2">
        <x:v>Marty Fontenot</x:v>
      </x:c>
      <x:c r="H2203" s="6">
        <x:v>46230.704844594904</x:v>
      </x:c>
      <x:c r="I2203" s="0"/>
      <x:c r="J2203" s="0"/>
      <x:c r="K2203" s="6">
        <x:v>46232.630581631944</x:v>
      </x:c>
      <x:c r="L2203" t="str" s="2">
        <x:v>Lost</x:v>
      </x:c>
    </x:row>
    <x:row r="2204">
      <x:c r="A2204" t="str" s="2">
        <x:f>="Sandra Morowski"</x:f>
      </x:c>
      <x:c r="B2204" t="str" s="2">
        <x:v>Heritage Housing Marble Falls</x:v>
      </x:c>
      <x:c r="C2204" t="str" s="2">
        <x:v/>
      </x:c>
      <x:c r="D2204" t="str" s="2">
        <x:v>8302014641</x:v>
      </x:c>
      <x:c r="E2204" t="str" s="2">
        <x:v>petesandramorowski@gmail.com</x:v>
      </x:c>
      <x:c r="F2204" t="str" s="2">
        <x:v>Walk-in</x:v>
      </x:c>
      <x:c r="G2204" s="0"/>
      <x:c r="H2204" s="6">
        <x:v>46230.79738984954</x:v>
      </x:c>
      <x:c r="I2204" s="0"/>
      <x:c r="J2204" s="0"/>
      <x:c r="K2204" s="6">
        <x:v>46266.92892677083</x:v>
      </x:c>
      <x:c r="L2204" t="str" s="2">
        <x:v>Lost</x:v>
      </x:c>
    </x:row>
    <x:row r="2205">
      <x:c r="A2205" t="str" s="2">
        <x:f>="Justin Rogers"</x:f>
      </x:c>
      <x:c r="B2205" t="str" s="2">
        <x:v>Heritage Housing of Oklahoma City</x:v>
      </x:c>
      <x:c r="C2205" t="str" s="2">
        <x:v>0/1</x:v>
      </x:c>
      <x:c r="D2205" t="str" s="2">
        <x:v>4796446412</x:v>
      </x:c>
      <x:c r="E2205" t="str" s="2">
        <x:v>4796446412</x:v>
      </x:c>
      <x:c r="F2205" t="str" s="2">
        <x:v>Facebook Messenger</x:v>
      </x:c>
      <x:c r="G2205" t="str" s="2">
        <x:v>Steve Castell</x:v>
      </x:c>
      <x:c r="H2205" s="6">
        <x:v>46230.851932604164</x:v>
      </x:c>
      <x:c r="I2205" s="0"/>
      <x:c r="J2205" s="6">
        <x:v>46249.833333333336</x:v>
      </x:c>
      <x:c r="K2205" s="6">
        <x:v>46262.05371550926</x:v>
      </x:c>
      <x:c r="L2205" t="str" s="2">
        <x:v>Lost</x:v>
      </x:c>
    </x:row>
    <x:row r="2206">
      <x:c r="A2206" t="str" s="2">
        <x:f>="Dana steward Steward"</x:f>
      </x:c>
      <x:c r="B2206" t="str" s="2">
        <x:v>Heritage Housing of Oklahoma City</x:v>
      </x:c>
      <x:c r="C2206" t="str" s="2">
        <x:v>0/2</x:v>
      </x:c>
      <x:c r="D2206" t="str" s="2">
        <x:v>2147106329</x:v>
      </x:c>
      <x:c r="E2206" t="str" s="2">
        <x:v>danasteward51@gmail.com</x:v>
      </x:c>
      <x:c r="F2206" t="str" s="2">
        <x:v>Meta Ads - Forms</x:v>
      </x:c>
      <x:c r="G2206" t="str" s="2">
        <x:v>Steve Castell</x:v>
      </x:c>
      <x:c r="H2206" s="6">
        <x:v>46231.05360980324</x:v>
      </x:c>
      <x:c r="I2206" s="0"/>
      <x:c r="J2206" s="0"/>
      <x:c r="K2206" s="6">
        <x:v>46234</x:v>
      </x:c>
      <x:c r="L2206" t="str" s="2">
        <x:v>Lost</x:v>
      </x:c>
    </x:row>
    <x:row r="2207">
      <x:c r="A2207" t="str" s="2">
        <x:f>="Shakeeta Johnson"</x:f>
      </x:c>
      <x:c r="B2207" t="str" s="2">
        <x:v>Heritage Housing of Augusta</x:v>
      </x:c>
      <x:c r="C2207" t="str" s="2">
        <x:v/>
      </x:c>
      <x:c r="D2207" t="str" s="2">
        <x:v>7062943901</x:v>
      </x:c>
      <x:c r="E2207" t="str" s="2">
        <x:v>shakeeta29@gmail.com</x:v>
      </x:c>
      <x:c r="F2207" t="str" s="2">
        <x:v>Financing Form</x:v>
      </x:c>
      <x:c r="G2207" t="str" s="2">
        <x:v>Alex Jones</x:v>
      </x:c>
      <x:c r="H2207" s="6">
        <x:v>46231.640124074074</x:v>
      </x:c>
      <x:c r="I2207" s="0"/>
      <x:c r="J2207" s="0"/>
      <x:c r="K2207" s="6">
        <x:v>46276.71067677083</x:v>
      </x:c>
      <x:c r="L2207" t="str" s="2">
        <x:v>Lost</x:v>
      </x:c>
    </x:row>
    <x:row r="2208">
      <x:c r="A2208" t="str" s="2">
        <x:f>="gray barnett"</x:f>
      </x:c>
      <x:c r="B2208" t="str" s="2">
        <x:v>Heritage Housing of Tulsa</x:v>
      </x:c>
      <x:c r="C2208" t="str" s="2">
        <x:v/>
      </x:c>
      <x:c r="D2208" t="str" s="2">
        <x:v>5805596853</x:v>
      </x:c>
      <x:c r="E2208" t="str" s="2">
        <x:v>barnettg34@gmail.com</x:v>
      </x:c>
      <x:c r="F2208" t="str" s="2">
        <x:v>LandingPage</x:v>
      </x:c>
      <x:c r="G2208" t="str" s="2">
        <x:v>Brittany Cobb</x:v>
      </x:c>
      <x:c r="H2208" s="6">
        <x:v>46231.86238503472</x:v>
      </x:c>
      <x:c r="I2208" s="0"/>
      <x:c r="J2208" s="0"/>
      <x:c r="K2208" s="6">
        <x:v>46238</x:v>
      </x:c>
      <x:c r="L2208" t="str" s="2">
        <x:v>Lost</x:v>
      </x:c>
    </x:row>
    <x:row r="2209">
      <x:c r="A2209" t="str" s="2">
        <x:f>="Clifford Walker"</x:f>
      </x:c>
      <x:c r="B2209" t="str" s="2">
        <x:v>Heritage Housing of Oklahoma City</x:v>
      </x:c>
      <x:c r="C2209" t="str" s="2">
        <x:v/>
      </x:c>
      <x:c r="D2209" t="str" s="2">
        <x:v>5802351014</x:v>
      </x:c>
      <x:c r="E2209" t="str" s="2">
        <x:v>walkerclifford219@gmail.com</x:v>
      </x:c>
      <x:c r="F2209" t="str" s="2">
        <x:v>Meta Ads - Forms</x:v>
      </x:c>
      <x:c r="G2209" t="str" s="2">
        <x:v>Karla Brizuela</x:v>
      </x:c>
      <x:c r="H2209" s="6">
        <x:v>46232.671362002315</x:v>
      </x:c>
      <x:c r="I2209" s="0"/>
      <x:c r="J2209" s="0"/>
      <x:c r="K2209" s="0"/>
      <x:c r="L2209" t="str" s="2">
        <x:v>Lost</x:v>
      </x:c>
    </x:row>
    <x:row r="2210">
      <x:c r="A2210" t="str" s="2">
        <x:f>="Khadizha Thompson"</x:f>
      </x:c>
      <x:c r="B2210" t="str" s="2">
        <x:v>Heritage Housing of Albany</x:v>
      </x:c>
      <x:c r="C2210" t="str" s="2">
        <x:v/>
      </x:c>
      <x:c r="D2210" t="str" s="2">
        <x:v>229579116</x:v>
      </x:c>
      <x:c r="E2210" t="str" s="2">
        <x:v>khadizhabrinson@gmail.com</x:v>
      </x:c>
      <x:c r="F2210" t="str" s="2">
        <x:v>LandingPage</x:v>
      </x:c>
      <x:c r="G2210" t="str" s="2">
        <x:v>Yanet Alvarez</x:v>
      </x:c>
      <x:c r="H2210" s="6">
        <x:v>46232.991055590275</x:v>
      </x:c>
      <x:c r="I2210" s="0"/>
      <x:c r="J2210" s="0"/>
      <x:c r="K2210" s="6">
        <x:v>46240.921027777775</x:v>
      </x:c>
      <x:c r="L2210" t="str" s="2">
        <x:v>Lost</x:v>
      </x:c>
    </x:row>
    <x:row r="2211">
      <x:c r="A2211" t="str" s="2">
        <x:f>="Joannthind +15742770130"</x:f>
      </x:c>
      <x:c r="B2211" t="str" s="2">
        <x:v>Heritage Housing of Albany</x:v>
      </x:c>
      <x:c r="C2211" t="str" s="2">
        <x:v/>
      </x:c>
      <x:c r="D2211" t="str" s="2">
        <x:v>81644282235</x:v>
      </x:c>
      <x:c r="E2211" t="str" s="2">
        <x:v>fjbllqn@msdpexw.pig</x:v>
      </x:c>
      <x:c r="F2211" t="str" s="2">
        <x:v>Website</x:v>
      </x:c>
      <x:c r="G2211" t="str" s="2">
        <x:v>Yanet Alvarez</x:v>
      </x:c>
      <x:c r="H2211" s="6">
        <x:v>46233.043048148145</x:v>
      </x:c>
      <x:c r="I2211" s="0"/>
      <x:c r="J2211" s="0"/>
      <x:c r="K2211" s="6">
        <x:v>46233</x:v>
      </x:c>
      <x:c r="L2211" t="str" s="2">
        <x:v>Lost</x:v>
      </x:c>
    </x:row>
    <x:row r="2212">
      <x:c r="A2212" t="str" s="2">
        <x:f>="Daniela Elizabeth Contreras"</x:f>
      </x:c>
      <x:c r="B2212" t="str" s="2">
        <x:v>Heritage Housing of Oklahoma City</x:v>
      </x:c>
      <x:c r="C2212" t="str" s="2">
        <x:v>0/1</x:v>
      </x:c>
      <x:c r="D2212" t="str" s="2">
        <x:v>7148052256</x:v>
      </x:c>
      <x:c r="E2212" t="str" s="2">
        <x:v>danielaeliza306@icloud.com</x:v>
      </x:c>
      <x:c r="F2212" t="str" s="2">
        <x:v>Meta Ads - Forms</x:v>
      </x:c>
      <x:c r="G2212" t="str" s="2">
        <x:v>Steve Castell</x:v>
      </x:c>
      <x:c r="H2212" s="6">
        <x:v>46233.13715038195</x:v>
      </x:c>
      <x:c r="I2212" s="0"/>
      <x:c r="J2212" s="0"/>
      <x:c r="K2212" s="6">
        <x:v>46239.593696724536</x:v>
      </x:c>
      <x:c r="L2212" t="str" s="2">
        <x:v>Lost</x:v>
      </x:c>
    </x:row>
    <x:row r="2213">
      <x:c r="A2213" t="str" s="2">
        <x:f>="Sarah Cernocky"</x:f>
      </x:c>
      <x:c r="B2213" t="str" s="2">
        <x:v>Heritage Housing of Oklahoma City</x:v>
      </x:c>
      <x:c r="C2213" t="str" s="2">
        <x:v>0/7</x:v>
      </x:c>
      <x:c r="D2213" t="str" s="2">
        <x:v>4057656851</x:v>
      </x:c>
      <x:c r="E2213" t="str" s="2">
        <x:v>sarahcernocky4@gmail.com</x:v>
      </x:c>
      <x:c r="F2213" t="str" s="2">
        <x:v>Meta Ads - Forms</x:v>
      </x:c>
      <x:c r="G2213" t="str" s="2">
        <x:v>Steve Castell</x:v>
      </x:c>
      <x:c r="H2213" s="6">
        <x:v>46233.29406605324</x:v>
      </x:c>
      <x:c r="I2213" s="0"/>
      <x:c r="J2213" s="0"/>
      <x:c r="K2213" s="6">
        <x:v>46255</x:v>
      </x:c>
      <x:c r="L2213" t="str" s="2">
        <x:v>Lost</x:v>
      </x:c>
    </x:row>
    <x:row r="2214">
      <x:c r="A2214" t="str" s="2">
        <x:f>="Cassandra Murphy"</x:f>
      </x:c>
      <x:c r="B2214" t="str" s="2">
        <x:v>Heritage Housing of Augusta</x:v>
      </x:c>
      <x:c r="C2214" t="str" s="2">
        <x:v/>
      </x:c>
      <x:c r="D2214" t="str" s="2">
        <x:v>7066915372</x:v>
      </x:c>
      <x:c r="E2214" t="str" s="2">
        <x:v>cassandramurphy112@gmail.com</x:v>
      </x:c>
      <x:c r="F2214" t="str" s="2">
        <x:v>Website</x:v>
      </x:c>
      <x:c r="G2214" t="str" s="2">
        <x:v>Alex Jones</x:v>
      </x:c>
      <x:c r="H2214" s="6">
        <x:v>46233.87904756945</x:v>
      </x:c>
      <x:c r="I2214" s="0"/>
      <x:c r="J2214" s="0"/>
      <x:c r="K2214" s="6">
        <x:v>46267.60563834491</x:v>
      </x:c>
      <x:c r="L2214" t="str" s="2">
        <x:v>Lost</x:v>
      </x:c>
    </x:row>
    <x:row r="2215">
      <x:c r="A2215" t="str" s="2">
        <x:f>="Miranda Brown"</x:f>
      </x:c>
      <x:c r="B2215" t="str" s="2">
        <x:v>Heritage Housing of Oklahoma City</x:v>
      </x:c>
      <x:c r="C2215" t="str" s="2">
        <x:v>0/3</x:v>
      </x:c>
      <x:c r="D2215" t="str" s="2">
        <x:v>4059204816</x:v>
      </x:c>
      <x:c r="E2215" t="str" s="2">
        <x:v>brownmiranda282@gmail.com</x:v>
      </x:c>
      <x:c r="F2215" t="str" s="2">
        <x:v>LandingPage</x:v>
      </x:c>
      <x:c r="G2215" t="str" s="2">
        <x:v>Steve Castell</x:v>
      </x:c>
      <x:c r="H2215" s="6">
        <x:v>46233.89687982639</x:v>
      </x:c>
      <x:c r="I2215" s="0"/>
      <x:c r="J2215" s="0"/>
      <x:c r="K2215" s="6">
        <x:v>46247</x:v>
      </x:c>
      <x:c r="L2215" t="str" s="2">
        <x:v>Lost</x:v>
      </x:c>
    </x:row>
    <x:row r="2216">
      <x:c r="A2216" t="str" s="2">
        <x:f>="Cara Cameron"</x:f>
      </x:c>
      <x:c r="B2216" t="str" s="2">
        <x:v>Heritage Housing Gainesville</x:v>
      </x:c>
      <x:c r="C2216" t="str" s="2">
        <x:v/>
      </x:c>
      <x:c r="D2216" t="str" s="2">
        <x:v>9035630398</x:v>
      </x:c>
      <x:c r="E2216" t="str" s="2">
        <x:v>cara.cmrn1@gmail.com</x:v>
      </x:c>
      <x:c r="F2216" t="str" s="2">
        <x:v>Website</x:v>
      </x:c>
      <x:c r="G2216" t="str" s="2">
        <x:v>John Schwichtenberg</x:v>
      </x:c>
      <x:c r="H2216" s="6">
        <x:v>46234.09932642361</x:v>
      </x:c>
      <x:c r="I2216" s="0"/>
      <x:c r="J2216" s="0"/>
      <x:c r="K2216" s="6">
        <x:v>46260</x:v>
      </x:c>
      <x:c r="L2216" t="str" s="2">
        <x:v>Lost</x:v>
      </x:c>
    </x:row>
    <x:row r="2217">
      <x:c r="A2217" t="str" s="2">
        <x:f>="Ida Guillory"</x:f>
      </x:c>
      <x:c r="B2217" t="str" s="2">
        <x:v>Heritage Housing of Jennings</x:v>
      </x:c>
      <x:c r="C2217" t="str" s="2">
        <x:v>0/3</x:v>
      </x:c>
      <x:c r="D2217" t="str" s="2">
        <x:v>3374465714</x:v>
      </x:c>
      <x:c r="E2217" t="str" s="2">
        <x:v>idaguillory64@gmail.com</x:v>
      </x:c>
      <x:c r="F2217" t="str" s="2">
        <x:v>Landing_BPM</x:v>
      </x:c>
      <x:c r="G2217" t="str" s="2">
        <x:v>Mervin Leslie Smith</x:v>
      </x:c>
      <x:c r="H2217" s="6">
        <x:v>46234.6046378125</x:v>
      </x:c>
      <x:c r="I2217" s="0"/>
      <x:c r="J2217" s="0"/>
      <x:c r="K2217" s="6">
        <x:v>46251.77824568287</x:v>
      </x:c>
      <x:c r="L2217" t="str" s="2">
        <x:v>Lost</x:v>
      </x:c>
    </x:row>
    <x:row r="2218">
      <x:c r="A2218" t="str" s="2">
        <x:f>="Brooklynn Bloxham"</x:f>
      </x:c>
      <x:c r="B2218" t="str" s="2">
        <x:v>Heritage Housing of Tulsa</x:v>
      </x:c>
      <x:c r="C2218" t="str" s="2">
        <x:v/>
      </x:c>
      <x:c r="D2218" t="str" s="2">
        <x:v>9182537163</x:v>
      </x:c>
      <x:c r="E2218" t="str" s="2">
        <x:v>brokenmelody512@gmail.com</x:v>
      </x:c>
      <x:c r="F2218" t="str" s="2">
        <x:v>Landing_BPM</x:v>
      </x:c>
      <x:c r="G2218" t="str" s="2">
        <x:v>Madison Chapman</x:v>
      </x:c>
      <x:c r="H2218" s="6">
        <x:v>46234.80638758102</x:v>
      </x:c>
      <x:c r="I2218" s="0"/>
      <x:c r="J2218" s="0"/>
      <x:c r="K2218" s="6">
        <x:v>46234.827421724534</x:v>
      </x:c>
      <x:c r="L2218" t="str" s="2">
        <x:v>Lost</x:v>
      </x:c>
    </x:row>
    <x:row r="2219">
      <x:c r="A2219" t="str" s="2">
        <x:f>="Kelsey Singleton"</x:f>
      </x:c>
      <x:c r="B2219" t="str" s="2">
        <x:v>Heritage Housing of Athens</x:v>
      </x:c>
      <x:c r="C2219" t="str" s="2">
        <x:v>1/3</x:v>
      </x:c>
      <x:c r="D2219" t="str" s="2">
        <x:v>7062243708</x:v>
      </x:c>
      <x:c r="E2219" t="str" s="2">
        <x:v>kelseyemt92@gmail.com</x:v>
      </x:c>
      <x:c r="F2219" t="str" s="2">
        <x:v>Google Ads</x:v>
      </x:c>
      <x:c r="G2219" t="str" s="2">
        <x:v>Nathan Bishop</x:v>
      </x:c>
      <x:c r="H2219" s="6">
        <x:v>46234.95701211806</x:v>
      </x:c>
      <x:c r="I2219" s="0"/>
      <x:c r="J2219" s="0"/>
      <x:c r="K2219" s="6">
        <x:v>46307</x:v>
      </x:c>
      <x:c r="L2219" t="str" s="2">
        <x:v>Lost</x:v>
      </x:c>
    </x:row>
    <x:row r="2220">
      <x:c r="A2220" t="str" s="2">
        <x:f>="Magen Sayers"</x:f>
      </x:c>
      <x:c r="B2220" t="str" s="2">
        <x:v>Heritage Housing of Jennings</x:v>
      </x:c>
      <x:c r="C2220" t="str" s="2">
        <x:v/>
      </x:c>
      <x:c r="D2220" t="str" s="2">
        <x:v>3373532146</x:v>
      </x:c>
      <x:c r="E2220" t="str" s="2">
        <x:v>magensayers111@gmail.com</x:v>
      </x:c>
      <x:c r="F2220" t="str" s="2">
        <x:v>Landing_BPM</x:v>
      </x:c>
      <x:c r="G2220" t="str" s="2">
        <x:v>Mervin Leslie Smith</x:v>
      </x:c>
      <x:c r="H2220" s="6">
        <x:v>46235.2106503125</x:v>
      </x:c>
      <x:c r="I2220" s="0"/>
      <x:c r="J2220" s="0"/>
      <x:c r="K2220" s="6">
        <x:v>46260.75658923611</x:v>
      </x:c>
      <x:c r="L2220" t="str" s="2">
        <x:v>Lost</x:v>
      </x:c>
    </x:row>
    <x:row r="2221">
      <x:c r="A2221" t="str" s="2">
        <x:f>="Ellyce Justice"</x:f>
      </x:c>
      <x:c r="B2221" t="str" s="2">
        <x:v>Heritage Housing Gainesville</x:v>
      </x:c>
      <x:c r="C2221" t="str" s="2">
        <x:v/>
      </x:c>
      <x:c r="D2221" t="str" s="2">
        <x:v>8178796733</x:v>
      </x:c>
      <x:c r="E2221" t="str" s="2">
        <x:v>ellykayjustice@gmail.com</x:v>
      </x:c>
      <x:c r="F2221" t="str" s="2">
        <x:v>Landing_BPM</x:v>
      </x:c>
      <x:c r="G2221" t="str" s="2">
        <x:v>Diana ramirez</x:v>
      </x:c>
      <x:c r="H2221" s="6">
        <x:v>46235.626334953704</x:v>
      </x:c>
      <x:c r="I2221" s="0"/>
      <x:c r="J2221" s="0"/>
      <x:c r="K2221" s="6">
        <x:v>46276</x:v>
      </x:c>
      <x:c r="L2221" t="str" s="2">
        <x:v>Lost</x:v>
      </x:c>
    </x:row>
    <x:row r="2222">
      <x:c r="A2222" t="str" s="2">
        <x:f>="Steven Spence"</x:f>
      </x:c>
      <x:c r="B2222" t="str" s="2">
        <x:v>Heritage Housing of Athens</x:v>
      </x:c>
      <x:c r="C2222" t="str" s="2">
        <x:v/>
      </x:c>
      <x:c r="D2222" t="str" s="2">
        <x:v>7064764997</x:v>
      </x:c>
      <x:c r="E2222" t="str" s="2">
        <x:v>aria.nicole1995@gmail.com</x:v>
      </x:c>
      <x:c r="F2222" t="str" s="2">
        <x:v>Landing_BPM</x:v>
      </x:c>
      <x:c r="G2222" t="str" s="2">
        <x:v>Nathan Bishop</x:v>
      </x:c>
      <x:c r="H2222" s="6">
        <x:v>46235.63618869213</x:v>
      </x:c>
      <x:c r="I2222" s="0"/>
      <x:c r="J2222" s="0"/>
      <x:c r="K2222" s="6">
        <x:v>46282.75706469907</x:v>
      </x:c>
      <x:c r="L2222" t="str" s="2">
        <x:v>Lost</x:v>
      </x:c>
    </x:row>
    <x:row r="2223">
      <x:c r="A2223" t="str" s="2">
        <x:f>="Darcy Key"</x:f>
      </x:c>
      <x:c r="B2223" t="str" s="2">
        <x:v>Heritage Housing of Augusta</x:v>
      </x:c>
      <x:c r="C2223" t="str" s="2">
        <x:v/>
      </x:c>
      <x:c r="D2223" t="str" s="2">
        <x:v>7065042212</x:v>
      </x:c>
      <x:c r="E2223" t="str" s="2">
        <x:v>darcevader27@gmail.com</x:v>
      </x:c>
      <x:c r="F2223" t="str" s="2">
        <x:v>Walk-in</x:v>
      </x:c>
      <x:c r="G2223" t="str" s="2">
        <x:v>Alex Jones</x:v>
      </x:c>
      <x:c r="H2223" s="6">
        <x:v>46235.8280275463</x:v>
      </x:c>
      <x:c r="I2223" s="0"/>
      <x:c r="J2223" s="0"/>
      <x:c r="K2223" s="6">
        <x:v>46244</x:v>
      </x:c>
      <x:c r="L2223" t="str" s="2">
        <x:v>Lost</x:v>
      </x:c>
    </x:row>
    <x:row r="2224">
      <x:c r="A2224" t="str" s="2">
        <x:f>="Jimmy Tipton Tipton"</x:f>
      </x:c>
      <x:c r="B2224" t="str" s="2">
        <x:v>Heritage Housing of Jennings</x:v>
      </x:c>
      <x:c r="C2224" t="str" s="2">
        <x:v>0/1</x:v>
      </x:c>
      <x:c r="D2224" t="str" s="2">
        <x:v>91817511</x:v>
      </x:c>
      <x:c r="E2224" t="str" s="2">
        <x:v>jimmystipton@gmail.com</x:v>
      </x:c>
      <x:c r="F2224" t="str" s="2">
        <x:v>Landing_BPM</x:v>
      </x:c>
      <x:c r="G2224" t="str" s="2">
        <x:v>Clint O'Neal</x:v>
      </x:c>
      <x:c r="H2224" s="6">
        <x:v>46235.877131215275</x:v>
      </x:c>
      <x:c r="I2224" s="0"/>
      <x:c r="J2224" s="0"/>
      <x:c r="K2224" s="6">
        <x:v>46254.7488459838</x:v>
      </x:c>
      <x:c r="L2224" t="str" s="2">
        <x:v>Lost</x:v>
      </x:c>
    </x:row>
    <x:row r="2225">
      <x:c r="A2225" t="str" s="2">
        <x:f>="Justin Seegmiller"</x:f>
      </x:c>
      <x:c r="B2225" t="str" s="2">
        <x:v>Heritage Housing of Albany</x:v>
      </x:c>
      <x:c r="C2225" t="str" s="2">
        <x:v/>
      </x:c>
      <x:c r="D2225" t="str" s="2">
        <x:v>3192065117</x:v>
      </x:c>
      <x:c r="E2225" t="str" s="2">
        <x:v>jseegmiller1@icloud.com</x:v>
      </x:c>
      <x:c r="F2225" t="str" s="2">
        <x:v>Financing Form</x:v>
      </x:c>
      <x:c r="G2225" t="str" s="2">
        <x:v>Yanet Alvarez</x:v>
      </x:c>
      <x:c r="H2225" s="6">
        <x:v>46235.89202850695</x:v>
      </x:c>
      <x:c r="I2225" s="0"/>
      <x:c r="J2225" s="0"/>
      <x:c r="K2225" s="6">
        <x:v>46238</x:v>
      </x:c>
      <x:c r="L2225" t="str" s="2">
        <x:v>Lost</x:v>
      </x:c>
    </x:row>
    <x:row r="2226">
      <x:c r="A2226" t="str" s="2">
        <x:f>="Jean Nielsen"</x:f>
      </x:c>
      <x:c r="B2226" t="str" s="2">
        <x:v>Heritage Housing of Greenville</x:v>
      </x:c>
      <x:c r="C2226" t="str" s="2">
        <x:v>0/1</x:v>
      </x:c>
      <x:c r="D2226" t="str" s="2">
        <x:v>7798953378</x:v>
      </x:c>
      <x:c r="E2226" t="str" s="2">
        <x:v>hiosy3172@gmail.com</x:v>
      </x:c>
      <x:c r="F2226" t="str" s="2">
        <x:v>Website</x:v>
      </x:c>
      <x:c r="G2226" t="str" s="2">
        <x:v>Brooklynn Allen</x:v>
      </x:c>
      <x:c r="H2226" s="6">
        <x:v>46235.96772962963</x:v>
      </x:c>
      <x:c r="I2226" s="0"/>
      <x:c r="J2226" s="0"/>
      <x:c r="K2226" s="6">
        <x:v>46249</x:v>
      </x:c>
      <x:c r="L2226" t="str" s="2">
        <x:v>Lost</x:v>
      </x:c>
    </x:row>
    <x:row r="2227">
      <x:c r="A2227" t="str" s="2">
        <x:f>="Cordelia Blackstock"</x:f>
      </x:c>
      <x:c r="B2227" t="str" s="2">
        <x:v>Heritage Housing of Albany</x:v>
      </x:c>
      <x:c r="C2227" t="str" s="2">
        <x:v/>
      </x:c>
      <x:c r="D2227" t="str" s="2">
        <x:v>dosh65a@gmail.com</x:v>
      </x:c>
      <x:c r="E2227" t="str" s="2">
        <x:v>dosh65a@gmail.com</x:v>
      </x:c>
      <x:c r="F2227" t="str" s="2">
        <x:v>Landing_BPM</x:v>
      </x:c>
      <x:c r="G2227" t="str" s="2">
        <x:v>Justin Johnson</x:v>
      </x:c>
      <x:c r="H2227" s="6">
        <x:v>46236.22066721065</x:v>
      </x:c>
      <x:c r="I2227" s="0"/>
      <x:c r="J2227" s="0"/>
      <x:c r="K2227" s="6">
        <x:v>46275.62653533565</x:v>
      </x:c>
      <x:c r="L2227" t="str" s="2">
        <x:v>Lost</x:v>
      </x:c>
    </x:row>
    <x:row r="2228">
      <x:c r="A2228" t="str" s="2">
        <x:f>="Jennifer Ocomen"</x:f>
      </x:c>
      <x:c r="B2228" t="str" s="2">
        <x:v>Heritage Housing of Oklahoma City</x:v>
      </x:c>
      <x:c r="C2228" t="str" s="2">
        <x:v>0/1</x:v>
      </x:c>
      <x:c r="D2228" t="str" s="2">
        <x:v>7132591446</x:v>
      </x:c>
      <x:c r="E2228" t="str" s="2">
        <x:v>jenniferocomen29@gmail.com</x:v>
      </x:c>
      <x:c r="F2228" t="str" s="2">
        <x:v>Landing_BPM</x:v>
      </x:c>
      <x:c r="G2228" t="str" s="2">
        <x:v>Steve Castell</x:v>
      </x:c>
      <x:c r="H2228" s="6">
        <x:v>46236.34177604166</x:v>
      </x:c>
      <x:c r="I2228" s="0"/>
      <x:c r="J2228" s="0"/>
      <x:c r="K2228" s="6">
        <x:v>46241.92049545139</x:v>
      </x:c>
      <x:c r="L2228" t="str" s="2">
        <x:v>Lost</x:v>
      </x:c>
    </x:row>
    <x:row r="2229">
      <x:c r="A2229" t="str" s="2">
        <x:f>="Brandy Jackson"</x:f>
      </x:c>
      <x:c r="B2229" t="str" s="2">
        <x:v>Heritage Housing of Albany</x:v>
      </x:c>
      <x:c r="C2229" t="str" s="2">
        <x:v/>
      </x:c>
      <x:c r="D2229" t="str" s="2">
        <x:v>brandyj980@gmail.com</x:v>
      </x:c>
      <x:c r="E2229" t="str" s="2">
        <x:v>brandyj980@gmail.com</x:v>
      </x:c>
      <x:c r="F2229" t="str" s="2">
        <x:v>Landing_BPM</x:v>
      </x:c>
      <x:c r="G2229" t="str" s="2">
        <x:v>Yanet Alvarez</x:v>
      </x:c>
      <x:c r="H2229" s="6">
        <x:v>46237.00689953704</x:v>
      </x:c>
      <x:c r="I2229" s="0"/>
      <x:c r="J2229" s="0"/>
      <x:c r="K2229" s="6">
        <x:v>46245.79271851852</x:v>
      </x:c>
      <x:c r="L2229" t="str" s="2">
        <x:v>Lost</x:v>
      </x:c>
    </x:row>
    <x:row r="2230">
      <x:c r="A2230" t="str" s="2">
        <x:f>="effefefefefefe popopopopopo"</x:f>
      </x:c>
      <x:c r="B2230" t="str" s="2">
        <x:v>Heritage Housing of Albany</x:v>
      </x:c>
      <x:c r="C2230" t="str" s="2">
        <x:v/>
      </x:c>
      <x:c r="D2230" t="str" s="2">
        <x:v>1987897895</x:v>
      </x:c>
      <x:c r="E2230" t="str" s="2">
        <x:v>fefefefefllilili@kfkfkkfkf.com</x:v>
      </x:c>
      <x:c r="F2230" t="str" s="2">
        <x:v>Landing_BPM</x:v>
      </x:c>
      <x:c r="G2230" t="str" s="2">
        <x:v>Justin Johnson</x:v>
      </x:c>
      <x:c r="H2230" s="6">
        <x:v>46237.017122488425</x:v>
      </x:c>
      <x:c r="I2230" s="0"/>
      <x:c r="J2230" s="0"/>
      <x:c r="K2230" s="0"/>
      <x:c r="L2230" t="str" s="2">
        <x:v>Lost</x:v>
      </x:c>
    </x:row>
    <x:row r="2231">
      <x:c r="A2231" t="str" s="2">
        <x:f>="eieieieieie rurururur"</x:f>
      </x:c>
      <x:c r="B2231" t="str" s="2">
        <x:v>Heritage Housing of Athens</x:v>
      </x:c>
      <x:c r="C2231" t="str" s="2">
        <x:v/>
      </x:c>
      <x:c r="D2231" t="str" s="2">
        <x:v>+5434567654</x:v>
      </x:c>
      <x:c r="E2231" t="str" s="2">
        <x:v>woeiruty@fjdhd.com</x:v>
      </x:c>
      <x:c r="F2231" t="str" s="2">
        <x:v>Landing_BPM</x:v>
      </x:c>
      <x:c r="G2231" t="str" s="2">
        <x:v>Timothy Postlethwait</x:v>
      </x:c>
      <x:c r="H2231" s="6">
        <x:v>46237.07600883102</x:v>
      </x:c>
      <x:c r="I2231" s="0"/>
      <x:c r="J2231" s="0"/>
      <x:c r="K2231" s="0"/>
      <x:c r="L2231" t="str" s="2">
        <x:v>Lost</x:v>
      </x:c>
    </x:row>
    <x:row r="2232">
      <x:c r="A2232" t="str" s="2">
        <x:f>="Jared Hall"</x:f>
      </x:c>
      <x:c r="B2232" t="str" s="2">
        <x:v>Heritage Housing of Oklahoma City</x:v>
      </x:c>
      <x:c r="C2232" t="str" s="2">
        <x:v>0/2</x:v>
      </x:c>
      <x:c r="D2232" t="str" s="2">
        <x:v>4059012241</x:v>
      </x:c>
      <x:c r="E2232" t="str" s="2">
        <x:v>halljared346@gmail.com</x:v>
      </x:c>
      <x:c r="F2232" t="str" s="2">
        <x:v>Landing_BPM</x:v>
      </x:c>
      <x:c r="G2232" t="str" s="2">
        <x:v>Karla Brizuela</x:v>
      </x:c>
      <x:c r="H2232" s="6">
        <x:v>46237.31835929398</x:v>
      </x:c>
      <x:c r="I2232" s="0"/>
      <x:c r="J2232" s="0"/>
      <x:c r="K2232" s="6">
        <x:v>46237.663059722225</x:v>
      </x:c>
      <x:c r="L2232" t="str" s="2">
        <x:v>Lost</x:v>
      </x:c>
    </x:row>
    <x:row r="2233">
      <x:c r="A2233" t="str" s="2">
        <x:f>="ROSE SUMNER"</x:f>
      </x:c>
      <x:c r="B2233" t="str" s="2">
        <x:v>Heritage Housing of Tulsa</x:v>
      </x:c>
      <x:c r="C2233" t="str" s="2">
        <x:v/>
      </x:c>
      <x:c r="D2233" t="str" s="2">
        <x:v>9184405448</x:v>
      </x:c>
      <x:c r="E2233" t="str" s="2">
        <x:v>gramm321r@gmail.com</x:v>
      </x:c>
      <x:c r="F2233" t="str" s="2">
        <x:v>Landing_BPM</x:v>
      </x:c>
      <x:c r="G2233" t="str" s="2">
        <x:v>Brittany Cobb</x:v>
      </x:c>
      <x:c r="H2233" s="6">
        <x:v>46237.75730902778</x:v>
      </x:c>
      <x:c r="I2233" s="0"/>
      <x:c r="J2233" s="0"/>
      <x:c r="K2233" s="6">
        <x:v>46238</x:v>
      </x:c>
      <x:c r="L2233" t="str" s="2">
        <x:v>Lost</x:v>
      </x:c>
    </x:row>
    <x:row r="2234">
      <x:c r="A2234" t="str" s="2">
        <x:f>="Gary Coppels"</x:f>
      </x:c>
      <x:c r="B2234" t="str" s="2">
        <x:v>Heritage Housing of Jennings</x:v>
      </x:c>
      <x:c r="C2234" t="str" s="2">
        <x:v>0/1</x:v>
      </x:c>
      <x:c r="D2234" t="str" s="2">
        <x:v>3375406822</x:v>
      </x:c>
      <x:c r="E2234" t="str" s="2">
        <x:v>carliannec@icloud.com</x:v>
      </x:c>
      <x:c r="F2234" t="str" s="2">
        <x:v>Financing Form</x:v>
      </x:c>
      <x:c r="G2234" t="str" s="2">
        <x:v>Clint O'Neal</x:v>
      </x:c>
      <x:c r="H2234" s="6">
        <x:v>46237.840355092594</x:v>
      </x:c>
      <x:c r="I2234" s="0"/>
      <x:c r="J2234" s="0"/>
      <x:c r="K2234" s="6">
        <x:v>46294.83703391204</x:v>
      </x:c>
      <x:c r="L2234" t="str" s="2">
        <x:v>Lost</x:v>
      </x:c>
    </x:row>
    <x:row r="2235">
      <x:c r="A2235" t="str" s="2">
        <x:f>="Robert Montgomery Montgomery"</x:f>
      </x:c>
      <x:c r="B2235" t="str" s="2">
        <x:v>Heritage Housing Marble Falls</x:v>
      </x:c>
      <x:c r="C2235" t="str" s="2">
        <x:v/>
      </x:c>
      <x:c r="D2235" t="str" s="2">
        <x:v>9403129418</x:v>
      </x:c>
      <x:c r="E2235" t="str" s="2">
        <x:v>monty6869@gmail.com</x:v>
      </x:c>
      <x:c r="F2235" t="str" s="2">
        <x:v>Landing_BPM</x:v>
      </x:c>
      <x:c r="G2235" t="str" s="2">
        <x:v>Stephen Sanders</x:v>
      </x:c>
      <x:c r="H2235" s="6">
        <x:v>46237.91239366898</x:v>
      </x:c>
      <x:c r="I2235" s="0"/>
      <x:c r="J2235" s="0"/>
      <x:c r="K2235" s="6">
        <x:v>46241.741726886576</x:v>
      </x:c>
      <x:c r="L2235" t="str" s="2">
        <x:v>Lost</x:v>
      </x:c>
    </x:row>
    <x:row r="2236">
      <x:c r="A2236" t="str" s="2">
        <x:f>="John Martinez Martinez"</x:f>
      </x:c>
      <x:c r="B2236" t="str" s="2">
        <x:v>Heritage Housing of Jennings</x:v>
      </x:c>
      <x:c r="C2236" t="str" s="2">
        <x:v>0/1</x:v>
      </x:c>
      <x:c r="D2236" t="str" s="2">
        <x:v>3372962034</x:v>
      </x:c>
      <x:c r="E2236" t="str" s="2">
        <x:v>jamm0569@yahoo.com</x:v>
      </x:c>
      <x:c r="F2236" t="str" s="2">
        <x:v>Landing_BPM</x:v>
      </x:c>
      <x:c r="G2236" t="str" s="2">
        <x:v>Mervin Leslie Smith</x:v>
      </x:c>
      <x:c r="H2236" s="6">
        <x:v>46238.01311998843</x:v>
      </x:c>
      <x:c r="I2236" s="0"/>
      <x:c r="J2236" s="0"/>
      <x:c r="K2236" s="6">
        <x:v>46281.67685914352</x:v>
      </x:c>
      <x:c r="L2236" t="str" s="2">
        <x:v>Lost</x:v>
      </x:c>
    </x:row>
    <x:row r="2237">
      <x:c r="A2237" t="str" s="2">
        <x:f>="John Thomas"</x:f>
      </x:c>
      <x:c r="B2237" t="str" s="2">
        <x:v>Heritage Housing of Oklahoma City</x:v>
      </x:c>
      <x:c r="C2237" t="str" s="2">
        <x:v>0/1</x:v>
      </x:c>
      <x:c r="D2237" t="str" s="2">
        <x:v>4054823903</x:v>
      </x:c>
      <x:c r="E2237" t="str" s="2">
        <x:v>4054823903</x:v>
      </x:c>
      <x:c r="F2237" t="str" s="2">
        <x:v>Facebook Messenger</x:v>
      </x:c>
      <x:c r="G2237" t="str" s="2">
        <x:v>Steve Castell</x:v>
      </x:c>
      <x:c r="H2237" s="6">
        <x:v>46238.018298993054</x:v>
      </x:c>
      <x:c r="I2237" s="0"/>
      <x:c r="J2237" s="6">
        <x:v>46238.75</x:v>
      </x:c>
      <x:c r="K2237" s="6">
        <x:v>46240.62445420139</x:v>
      </x:c>
      <x:c r="L2237" t="str" s="2">
        <x:v>Lost</x:v>
      </x:c>
    </x:row>
    <x:row r="2238">
      <x:c r="A2238" t="str" s="2">
        <x:f>="Quintan Michel"</x:f>
      </x:c>
      <x:c r="B2238" t="str" s="2">
        <x:v>Heritage Housing of Oklahoma City</x:v>
      </x:c>
      <x:c r="C2238" t="str" s="2">
        <x:v>0/1</x:v>
      </x:c>
      <x:c r="D2238" t="str" s="2">
        <x:v>4058123038</x:v>
      </x:c>
      <x:c r="E2238" t="str" s="2">
        <x:v>4058123038</x:v>
      </x:c>
      <x:c r="F2238" t="str" s="2">
        <x:v>Facebook Messenger</x:v>
      </x:c>
      <x:c r="G2238" t="str" s="2">
        <x:v>Steve Castell</x:v>
      </x:c>
      <x:c r="H2238" s="6">
        <x:v>46238.02204841435</x:v>
      </x:c>
      <x:c r="I2238" s="0"/>
      <x:c r="J2238" s="6">
        <x:v>46242.791666666664</x:v>
      </x:c>
      <x:c r="K2238" s="6">
        <x:v>46255.03887033565</x:v>
      </x:c>
      <x:c r="L2238" t="str" s="2">
        <x:v>Lost</x:v>
      </x:c>
    </x:row>
    <x:row r="2239">
      <x:c r="A2239" t="str" s="2">
        <x:f>="Dandria allen"</x:f>
      </x:c>
      <x:c r="B2239" t="str" s="2">
        <x:v>Heritage Housing of Jennings</x:v>
      </x:c>
      <x:c r="C2239" t="str" s="2">
        <x:v/>
      </x:c>
      <x:c r="D2239" t="str" s="2">
        <x:v>2762067729</x:v>
      </x:c>
      <x:c r="E2239" t="str" s="2">
        <x:v>allendandria@yahoo.com</x:v>
      </x:c>
      <x:c r="F2239" t="str" s="2">
        <x:v>Financing Form</x:v>
      </x:c>
      <x:c r="G2239" t="str" s="2">
        <x:v>Mervin Leslie Smith</x:v>
      </x:c>
      <x:c r="H2239" s="6">
        <x:v>46238.118530555555</x:v>
      </x:c>
      <x:c r="I2239" s="0"/>
      <x:c r="J2239" s="0"/>
      <x:c r="K2239" s="6">
        <x:v>46247.81053313657</x:v>
      </x:c>
      <x:c r="L2239" t="str" s="2">
        <x:v>Lost</x:v>
      </x:c>
    </x:row>
    <x:row r="2240">
      <x:c r="A2240" t="str" s="2">
        <x:f>="Lily Cruz"</x:f>
      </x:c>
      <x:c r="B2240" t="str" s="2">
        <x:v>Heritage Housing of Oklahoma City</x:v>
      </x:c>
      <x:c r="C2240" t="str" s="2">
        <x:v>0/1</x:v>
      </x:c>
      <x:c r="D2240" t="str" s="2">
        <x:v>4794348720</x:v>
      </x:c>
      <x:c r="E2240" t="str" s="2">
        <x:v>Lilian.2cruz26@gmail.com</x:v>
      </x:c>
      <x:c r="F2240" t="str" s="2">
        <x:v>Landing_BPM</x:v>
      </x:c>
      <x:c r="G2240" t="str" s="2">
        <x:v>Steve Castell</x:v>
      </x:c>
      <x:c r="H2240" s="6">
        <x:v>46238.246421840275</x:v>
      </x:c>
      <x:c r="I2240" s="0"/>
      <x:c r="J2240" s="0"/>
      <x:c r="K2240" s="6">
        <x:v>46241.00895309028</x:v>
      </x:c>
      <x:c r="L2240" t="str" s="2">
        <x:v>Lost</x:v>
      </x:c>
    </x:row>
    <x:row r="2241">
      <x:c r="A2241" t="str" s="2">
        <x:f>="Jose martinez duarte"</x:f>
      </x:c>
      <x:c r="B2241" t="str" s="2">
        <x:v>Heritage Housing of Asheboro</x:v>
      </x:c>
      <x:c r="C2241" t="str" s="2">
        <x:v/>
      </x:c>
      <x:c r="D2241" t="str" s="2">
        <x:v>9192689757</x:v>
      </x:c>
      <x:c r="E2241" t="str" s="2">
        <x:v>josemartiemd@gmail.com</x:v>
      </x:c>
      <x:c r="F2241" t="str" s="2">
        <x:v>Landing_BPM</x:v>
      </x:c>
      <x:c r="G2241" t="str" s="2">
        <x:v>Maria Lopez</x:v>
      </x:c>
      <x:c r="H2241" s="6">
        <x:v>46238.55417283565</x:v>
      </x:c>
      <x:c r="I2241" s="0"/>
      <x:c r="J2241" s="0"/>
      <x:c r="K2241" s="6">
        <x:v>46238.710889236114</x:v>
      </x:c>
      <x:c r="L2241" t="str" s="2">
        <x:v>Lost</x:v>
      </x:c>
    </x:row>
    <x:row r="2242">
      <x:c r="A2242" t="str" s="2">
        <x:f>="George Pirkle"</x:f>
      </x:c>
      <x:c r="B2242" t="str" s="2">
        <x:v>Heritage Housing Gainesville</x:v>
      </x:c>
      <x:c r="C2242" t="str" s="2">
        <x:v/>
      </x:c>
      <x:c r="D2242" t="str" s="2">
        <x:v>9032865208</x:v>
      </x:c>
      <x:c r="E2242" t="str" s="2">
        <x:v>george_pirkle@tahoo.com</x:v>
      </x:c>
      <x:c r="F2242" t="str" s="2">
        <x:v>Landing_BPM</x:v>
      </x:c>
      <x:c r="G2242" t="str" s="2">
        <x:v>Diana ramirez</x:v>
      </x:c>
      <x:c r="H2242" s="6">
        <x:v>46238.70900806713</x:v>
      </x:c>
      <x:c r="I2242" s="0"/>
      <x:c r="J2242" s="0"/>
      <x:c r="K2242" s="0"/>
      <x:c r="L2242" t="str" s="2">
        <x:v>Lost</x:v>
      </x:c>
    </x:row>
    <x:row r="2243">
      <x:c r="A2243" t="str" s="2">
        <x:f>="Sharquandra Izzard"</x:f>
      </x:c>
      <x:c r="B2243" t="str" s="2">
        <x:v>Heritage Housing of Augusta</x:v>
      </x:c>
      <x:c r="C2243" t="str" s="2">
        <x:v/>
      </x:c>
      <x:c r="D2243" t="str" s="2">
        <x:v>8432441005</x:v>
      </x:c>
      <x:c r="E2243" t="str" s="2">
        <x:v>Sharquandrai@gmail.com</x:v>
      </x:c>
      <x:c r="F2243" t="str" s="2">
        <x:v>Landing_BPM</x:v>
      </x:c>
      <x:c r="G2243" t="str" s="2">
        <x:v>Alex Jones</x:v>
      </x:c>
      <x:c r="H2243" s="6">
        <x:v>46238.74189186343</x:v>
      </x:c>
      <x:c r="I2243" s="0"/>
      <x:c r="J2243" s="0"/>
      <x:c r="K2243" s="6">
        <x:v>46266.716696793985</x:v>
      </x:c>
      <x:c r="L2243" t="str" s="2">
        <x:v>Lost</x:v>
      </x:c>
    </x:row>
    <x:row r="2244">
      <x:c r="A2244" t="str" s="2">
        <x:f>="ROBONDA HUBBARD"</x:f>
      </x:c>
      <x:c r="B2244" t="str" s="2">
        <x:v>Heritage Housing of Tulsa</x:v>
      </x:c>
      <x:c r="C2244" t="str" s="2">
        <x:v/>
      </x:c>
      <x:c r="D2244" t="str" s="2">
        <x:v>5392101342</x:v>
      </x:c>
      <x:c r="E2244" t="str" s="2">
        <x:v>ROBONDAHUBBARD2@GMAIL.COM</x:v>
      </x:c>
      <x:c r="F2244" t="str" s="2">
        <x:v>Landing_BPM</x:v>
      </x:c>
      <x:c r="G2244" t="str" s="2">
        <x:v>Madison Chapman</x:v>
      </x:c>
      <x:c r="H2244" s="6">
        <x:v>46238.76526357639</x:v>
      </x:c>
      <x:c r="I2244" s="0"/>
      <x:c r="J2244" s="0"/>
      <x:c r="K2244" s="6">
        <x:v>46238.94942133102</x:v>
      </x:c>
      <x:c r="L2244" t="str" s="2">
        <x:v>Lost</x:v>
      </x:c>
    </x:row>
    <x:row r="2245">
      <x:c r="A2245" t="str" s="2">
        <x:f>="fhfhfhghghfhfhf mcjfhfydhfh"</x:f>
      </x:c>
      <x:c r="B2245" t="str" s="2">
        <x:v>Heritage Housing of Augusta</x:v>
      </x:c>
      <x:c r="C2245" t="str" s="2">
        <x:v/>
      </x:c>
      <x:c r="D2245" t="str" s="2">
        <x:v>2541254123</x:v>
      </x:c>
      <x:c r="E2245" t="str" s="2">
        <x:v>efeflsjd@jfhgyt.com</x:v>
      </x:c>
      <x:c r="F2245" t="str" s="2">
        <x:v>Website</x:v>
      </x:c>
      <x:c r="G2245" t="str" s="2">
        <x:v>Alex Jones</x:v>
      </x:c>
      <x:c r="H2245" s="6">
        <x:v>46238.87680251157</x:v>
      </x:c>
      <x:c r="I2245" s="0"/>
      <x:c r="J2245" s="0"/>
      <x:c r="K2245" s="0"/>
      <x:c r="L2245" t="str" s="2">
        <x:v>Lost</x:v>
      </x:c>
    </x:row>
    <x:row r="2246">
      <x:c r="A2246" t="str" s="2">
        <x:f>="Christina Breaux"</x:f>
      </x:c>
      <x:c r="B2246" t="str" s="2">
        <x:v>Heritage Housing of Jennings</x:v>
      </x:c>
      <x:c r="C2246" t="str" s="2">
        <x:v>0/1</x:v>
      </x:c>
      <x:c r="D2246" t="str" s="2">
        <x:v>3372875613</x:v>
      </x:c>
      <x:c r="E2246" t="str" s="2">
        <x:v>breauxmc1981@gmail.com</x:v>
      </x:c>
      <x:c r="F2246" t="str" s="2">
        <x:v>Landing_BPM</x:v>
      </x:c>
      <x:c r="G2246" t="str" s="2">
        <x:v>Mervin Leslie Smith</x:v>
      </x:c>
      <x:c r="H2246" s="6">
        <x:v>46238.88052048611</x:v>
      </x:c>
      <x:c r="I2246" s="0"/>
      <x:c r="J2246" s="0"/>
      <x:c r="K2246" s="6">
        <x:v>46281.672979780094</x:v>
      </x:c>
      <x:c r="L2246" t="str" s="2">
        <x:v>Lost</x:v>
      </x:c>
    </x:row>
    <x:row r="2247">
      <x:c r="A2247" t="str" s="2">
        <x:f>="Martricia Walker Walker"</x:f>
      </x:c>
      <x:c r="B2247" t="str" s="2">
        <x:v>Heritage Housing of Albany</x:v>
      </x:c>
      <x:c r="C2247" t="str" s="2">
        <x:v/>
      </x:c>
      <x:c r="D2247" t="str" s="2">
        <x:v>4703302578</x:v>
      </x:c>
      <x:c r="E2247" t="str" s="2">
        <x:v>martriciawalker@gmail.com</x:v>
      </x:c>
      <x:c r="F2247" t="str" s="2">
        <x:v>Landing_BPM</x:v>
      </x:c>
      <x:c r="G2247" t="str" s="2">
        <x:v>Yanet Alvarez</x:v>
      </x:c>
      <x:c r="H2247" s="6">
        <x:v>46239.22287774306</x:v>
      </x:c>
      <x:c r="I2247" s="0"/>
      <x:c r="J2247" s="0"/>
      <x:c r="K2247" s="6">
        <x:v>46276.777889502315</x:v>
      </x:c>
      <x:c r="L2247" t="str" s="2">
        <x:v>Lost</x:v>
      </x:c>
    </x:row>
    <x:row r="2248">
      <x:c r="A2248" t="str" s="2">
        <x:f>="Barbara lee"</x:f>
      </x:c>
      <x:c r="B2248" t="str" s="2">
        <x:v>Heritage Housing of Albany</x:v>
      </x:c>
      <x:c r="C2248" t="str" s="2">
        <x:v/>
      </x:c>
      <x:c r="D2248" t="str" s="2">
        <x:v>8135437798</x:v>
      </x:c>
      <x:c r="E2248" t="str" s="2">
        <x:v>leeb55477@gmail.com</x:v>
      </x:c>
      <x:c r="F2248" t="str" s="2">
        <x:v>Landing_BPM</x:v>
      </x:c>
      <x:c r="G2248" t="str" s="2">
        <x:v>Justin Johnson</x:v>
      </x:c>
      <x:c r="H2248" s="6">
        <x:v>46239.47650462963</x:v>
      </x:c>
      <x:c r="I2248" s="0"/>
      <x:c r="J2248" s="0"/>
      <x:c r="K2248" s="6">
        <x:v>46276.918943020835</x:v>
      </x:c>
      <x:c r="L2248" t="str" s="2">
        <x:v>Lost</x:v>
      </x:c>
    </x:row>
    <x:row r="2249">
      <x:c r="A2249" t="str" s="2">
        <x:f>="DAVID Williams"</x:f>
      </x:c>
      <x:c r="B2249" t="str" s="2">
        <x:v>Heritage Housing of Augusta</x:v>
      </x:c>
      <x:c r="C2249" t="str" s="2">
        <x:v/>
      </x:c>
      <x:c r="D2249" t="str" s="2">
        <x:v>7067263283</x:v>
      </x:c>
      <x:c r="E2249" t="str" s="2">
        <x:v>Cyberplumbing@gmail.com</x:v>
      </x:c>
      <x:c r="F2249" t="str" s="2">
        <x:v>LandingPage</x:v>
      </x:c>
      <x:c r="G2249" t="str" s="2">
        <x:v>Alex Jones</x:v>
      </x:c>
      <x:c r="H2249" s="6">
        <x:v>46239.48972777778</x:v>
      </x:c>
      <x:c r="I2249" s="0"/>
      <x:c r="J2249" s="0"/>
      <x:c r="K2249" s="6">
        <x:v>46241.90449702546</x:v>
      </x:c>
      <x:c r="L2249" t="str" s="2">
        <x:v>Lost</x:v>
      </x:c>
    </x:row>
    <x:row r="2250">
      <x:c r="A2250" t="str" s="2">
        <x:f>="Bryan Snell"</x:f>
      </x:c>
      <x:c r="B2250" t="str" s="2">
        <x:v>Heritage Housing of Albany</x:v>
      </x:c>
      <x:c r="C2250" t="str" s="2">
        <x:v/>
      </x:c>
      <x:c r="D2250" t="str" s="2">
        <x:v>2294251237</x:v>
      </x:c>
      <x:c r="E2250" t="str" s="2">
        <x:v>bryan.snell5@gmail.com</x:v>
      </x:c>
      <x:c r="F2250" t="str" s="2">
        <x:v>Landing_BPM</x:v>
      </x:c>
      <x:c r="G2250" t="str" s="2">
        <x:v>Yanet Alvarez</x:v>
      </x:c>
      <x:c r="H2250" s="6">
        <x:v>46239.71363329861</x:v>
      </x:c>
      <x:c r="I2250" s="0"/>
      <x:c r="J2250" s="0"/>
      <x:c r="K2250" s="6">
        <x:v>46239.808683483796</x:v>
      </x:c>
      <x:c r="L2250" t="str" s="2">
        <x:v>Lost</x:v>
      </x:c>
    </x:row>
    <x:row r="2251">
      <x:c r="A2251" t="str" s="2">
        <x:f>="Miranda Mccormack"</x:f>
      </x:c>
      <x:c r="B2251" t="str" s="2">
        <x:v>Heritage Housing of Tulsa</x:v>
      </x:c>
      <x:c r="C2251" t="str" s="2">
        <x:v/>
      </x:c>
      <x:c r="D2251" t="str" s="2">
        <x:v>918-526-8193</x:v>
      </x:c>
      <x:c r="E2251" t="str" s="2">
        <x:v>phoenixmybaby9625@gmail.com</x:v>
      </x:c>
      <x:c r="F2251" t="str" s="2">
        <x:v>Landing_BPM</x:v>
      </x:c>
      <x:c r="G2251" t="str" s="2">
        <x:v>Brittany Cobb</x:v>
      </x:c>
      <x:c r="H2251" s="6">
        <x:v>46239.7323184375</x:v>
      </x:c>
      <x:c r="I2251" s="0"/>
      <x:c r="J2251" s="0"/>
      <x:c r="K2251" s="6">
        <x:v>46251.932232141204</x:v>
      </x:c>
      <x:c r="L2251" t="str" s="2">
        <x:v>Lost</x:v>
      </x:c>
    </x:row>
    <x:row r="2252">
      <x:c r="A2252" t="str" s="2">
        <x:f>="Amber Greenlee"</x:f>
      </x:c>
      <x:c r="B2252" t="str" s="2">
        <x:v>Heritage Housing of Oklahoma City</x:v>
      </x:c>
      <x:c r="C2252" t="str" s="2">
        <x:v>0/2</x:v>
      </x:c>
      <x:c r="D2252" t="str" s="2">
        <x:v>4056643319</x:v>
      </x:c>
      <x:c r="E2252" t="str" s="2">
        <x:v>ambergreenlee2012@gmail.com</x:v>
      </x:c>
      <x:c r="F2252" t="str" s="2">
        <x:v>Landing_BPM</x:v>
      </x:c>
      <x:c r="G2252" t="str" s="2">
        <x:v>Steve Castell</x:v>
      </x:c>
      <x:c r="H2252" s="6">
        <x:v>46239.77735153935</x:v>
      </x:c>
      <x:c r="I2252" s="0"/>
      <x:c r="J2252" s="0"/>
      <x:c r="K2252" s="6">
        <x:v>46245</x:v>
      </x:c>
      <x:c r="L2252" t="str" s="2">
        <x:v>Lost</x:v>
      </x:c>
    </x:row>
    <x:row r="2253">
      <x:c r="A2253" t="str" s="2">
        <x:f>="Kanita Harrison"</x:f>
      </x:c>
      <x:c r="B2253" s="0"/>
      <x:c r="C2253" t="str" s="2">
        <x:v/>
      </x:c>
      <x:c r="D2253" t="str" s="2">
        <x:v>5595639712</x:v>
      </x:c>
      <x:c r="E2253" t="str" s="2">
        <x:v>juwan.kanita619@gmail.com</x:v>
      </x:c>
      <x:c r="F2253" t="str" s="2">
        <x:v>Walk-in</x:v>
      </x:c>
      <x:c r="G2253" t="str" s="2">
        <x:v>Alex Jones</x:v>
      </x:c>
      <x:c r="H2253" s="6">
        <x:v>46239.81009074074</x:v>
      </x:c>
      <x:c r="I2253" s="0"/>
      <x:c r="J2253" s="0"/>
      <x:c r="K2253" s="0"/>
      <x:c r="L2253" t="str" s="2">
        <x:v>Lost</x:v>
      </x:c>
    </x:row>
    <x:row r="2254">
      <x:c r="A2254" t="str" s="2">
        <x:f>="Christopher Turner"</x:f>
      </x:c>
      <x:c r="B2254" t="str" s="2">
        <x:v>Heritage Housing of Augusta</x:v>
      </x:c>
      <x:c r="C2254" t="str" s="2">
        <x:v/>
      </x:c>
      <x:c r="D2254" t="str" s="2">
        <x:v>9123147997</x:v>
      </x:c>
      <x:c r="E2254" t="str" s="2">
        <x:v>Cbturner8788@gmail.com</x:v>
      </x:c>
      <x:c r="F2254" t="str" s="2">
        <x:v>Landing_BPM</x:v>
      </x:c>
      <x:c r="G2254" t="str" s="2">
        <x:v>Jose Chavez</x:v>
      </x:c>
      <x:c r="H2254" s="6">
        <x:v>46239.879776041664</x:v>
      </x:c>
      <x:c r="I2254" s="0"/>
      <x:c r="J2254" s="0"/>
      <x:c r="K2254" s="6">
        <x:v>46288.659903472224</x:v>
      </x:c>
      <x:c r="L2254" t="str" s="2">
        <x:v>Lost</x:v>
      </x:c>
    </x:row>
    <x:row r="2255">
      <x:c r="A2255" t="str" s="2">
        <x:f>="Kim Fletcher"</x:f>
      </x:c>
      <x:c r="B2255" t="str" s="2">
        <x:v>Heritage Housing of Albany</x:v>
      </x:c>
      <x:c r="C2255" t="str" s="2">
        <x:v/>
      </x:c>
      <x:c r="D2255" t="str" s="2">
        <x:v>2297459845</x:v>
      </x:c>
      <x:c r="E2255" t="str" s="2">
        <x:v>hinesnotorius@gmail.com</x:v>
      </x:c>
      <x:c r="F2255" t="str" s="2">
        <x:v>LandingPage</x:v>
      </x:c>
      <x:c r="G2255" t="str" s="2">
        <x:v>Justin Johnson</x:v>
      </x:c>
      <x:c r="H2255" s="6">
        <x:v>46240.06560489583</x:v>
      </x:c>
      <x:c r="I2255" s="0"/>
      <x:c r="J2255" s="0"/>
      <x:c r="K2255" s="6">
        <x:v>46240.697888229166</x:v>
      </x:c>
      <x:c r="L2255" t="str" s="2">
        <x:v>Lost</x:v>
      </x:c>
    </x:row>
    <x:row r="2256">
      <x:c r="A2256" t="str" s="2">
        <x:f>="Zoie Walker Walker"</x:f>
      </x:c>
      <x:c r="B2256" t="str" s="2">
        <x:v>Heritage Housing of Tulsa</x:v>
      </x:c>
      <x:c r="C2256" t="str" s="2">
        <x:v/>
      </x:c>
      <x:c r="D2256" t="str" s="2">
        <x:v>6233870158</x:v>
      </x:c>
      <x:c r="E2256" t="str" s="2">
        <x:v>zoiewalker53@gmail.com</x:v>
      </x:c>
      <x:c r="F2256" t="str" s="2">
        <x:v>Landing_BPM</x:v>
      </x:c>
      <x:c r="G2256" t="str" s="2">
        <x:v>Brittany Cobb</x:v>
      </x:c>
      <x:c r="H2256" s="6">
        <x:v>46240.22987048611</x:v>
      </x:c>
      <x:c r="I2256" s="0"/>
      <x:c r="J2256" s="0"/>
      <x:c r="K2256" s="6">
        <x:v>46240.69544444444</x:v>
      </x:c>
      <x:c r="L2256" t="str" s="2">
        <x:v>Lost</x:v>
      </x:c>
    </x:row>
    <x:row r="2257">
      <x:c r="A2257" t="str" s="2">
        <x:f>="jackie dale"</x:f>
      </x:c>
      <x:c r="B2257" t="str" s="2">
        <x:v>Heritage Housing of Asheboro</x:v>
      </x:c>
      <x:c r="C2257" t="str" s="2">
        <x:v/>
      </x:c>
      <x:c r="D2257" t="str" s="2">
        <x:v>9109752404</x:v>
      </x:c>
      <x:c r="E2257" t="str" s="2">
        <x:v>jackiemom88@gmail.com</x:v>
      </x:c>
      <x:c r="F2257" t="str" s="2">
        <x:v>LandingPage</x:v>
      </x:c>
      <x:c r="G2257" t="str" s="2">
        <x:v>Maria Lopez</x:v>
      </x:c>
      <x:c r="H2257" s="6">
        <x:v>46240.59897947917</x:v>
      </x:c>
      <x:c r="I2257" s="0"/>
      <x:c r="J2257" s="0"/>
      <x:c r="K2257" s="6">
        <x:v>46253</x:v>
      </x:c>
      <x:c r="L2257" t="str" s="2">
        <x:v>Lost</x:v>
      </x:c>
    </x:row>
    <x:row r="2258">
      <x:c r="A2258" t="str" s="2">
        <x:f>="Victor Coreas"</x:f>
      </x:c>
      <x:c r="B2258" t="str" s="2">
        <x:v>Heritage Housing Gainesville</x:v>
      </x:c>
      <x:c r="C2258" t="str" s="2">
        <x:v/>
      </x:c>
      <x:c r="D2258" t="str" s="2">
        <x:v>4807915403</x:v>
      </x:c>
      <x:c r="E2258" t="str" s="2">
        <x:v>coreasvictor18@gmail.com</x:v>
      </x:c>
      <x:c r="F2258" t="str" s="2">
        <x:v>Landing_BPM</x:v>
      </x:c>
      <x:c r="G2258" t="str" s="2">
        <x:v>John Schwichtenberg</x:v>
      </x:c>
      <x:c r="H2258" s="6">
        <x:v>46240.860643402775</x:v>
      </x:c>
      <x:c r="I2258" s="0"/>
      <x:c r="J2258" s="0"/>
      <x:c r="K2258" s="6">
        <x:v>46269</x:v>
      </x:c>
      <x:c r="L2258" t="str" s="2">
        <x:v>Lost</x:v>
      </x:c>
    </x:row>
    <x:row r="2259">
      <x:c r="A2259" t="str" s="2">
        <x:f>="Rhonda Brooks"</x:f>
      </x:c>
      <x:c r="B2259" t="str" s="2">
        <x:v>Heritage Housing of Athens</x:v>
      </x:c>
      <x:c r="C2259" t="str" s="2">
        <x:v>0/1</x:v>
      </x:c>
      <x:c r="D2259" t="str" s="2">
        <x:v>7066210451</x:v>
      </x:c>
      <x:c r="E2259" t="str" s="2">
        <x:v>rhondabrooks086@gmail.com</x:v>
      </x:c>
      <x:c r="F2259" t="str" s="2">
        <x:v>Landing_BPM</x:v>
      </x:c>
      <x:c r="G2259" t="str" s="2">
        <x:v>Nathan Bishop</x:v>
      </x:c>
      <x:c r="H2259" s="6">
        <x:v>46240.973110150466</x:v>
      </x:c>
      <x:c r="I2259" s="0"/>
      <x:c r="J2259" s="0"/>
      <x:c r="K2259" s="6">
        <x:v>46279</x:v>
      </x:c>
      <x:c r="L2259" t="str" s="2">
        <x:v>Lost</x:v>
      </x:c>
    </x:row>
    <x:row r="2260">
      <x:c r="A2260" t="str" s="2">
        <x:f>="Angela Besherse"</x:f>
      </x:c>
      <x:c r="B2260" t="str" s="2">
        <x:v>Heritage Housing of Oklahoma City</x:v>
      </x:c>
      <x:c r="C2260" t="str" s="2">
        <x:v/>
      </x:c>
      <x:c r="D2260" t="str" s="2">
        <x:v>4058828205</x:v>
      </x:c>
      <x:c r="E2260" t="str" s="2">
        <x:v>a.besherse@yahoo.com</x:v>
      </x:c>
      <x:c r="F2260" t="str" s="2">
        <x:v>Landing_BPM</x:v>
      </x:c>
      <x:c r="G2260" t="str" s="2">
        <x:v>Steve Castell</x:v>
      </x:c>
      <x:c r="H2260" s="6">
        <x:v>46241.49341663194</x:v>
      </x:c>
      <x:c r="I2260" s="0"/>
      <x:c r="J2260" s="0"/>
      <x:c r="K2260" s="6">
        <x:v>46241.58725709491</x:v>
      </x:c>
      <x:c r="L2260" t="str" s="2">
        <x:v>Lost</x:v>
      </x:c>
    </x:row>
    <x:row r="2261">
      <x:c r="A2261" t="str" s="2">
        <x:f>="Juan Chavez Chavez"</x:f>
      </x:c>
      <x:c r="B2261" t="str" s="2">
        <x:v>Heritage Housing Gainesville</x:v>
      </x:c>
      <x:c r="C2261" t="str" s="2">
        <x:v/>
      </x:c>
      <x:c r="D2261" t="str" s="2">
        <x:v>5807406166</x:v>
      </x:c>
      <x:c r="E2261" t="str" s="2">
        <x:v>eightball874@gmail.com</x:v>
      </x:c>
      <x:c r="F2261" t="str" s="2">
        <x:v>Landing_BPM</x:v>
      </x:c>
      <x:c r="G2261" t="str" s="2">
        <x:v>John Schwichtenberg</x:v>
      </x:c>
      <x:c r="H2261" s="6">
        <x:v>46242.25255810185</x:v>
      </x:c>
      <x:c r="I2261" s="0"/>
      <x:c r="J2261" s="0"/>
      <x:c r="K2261" s="6">
        <x:v>46260</x:v>
      </x:c>
      <x:c r="L2261" t="str" s="2">
        <x:v>Lost</x:v>
      </x:c>
    </x:row>
    <x:row r="2262">
      <x:c r="A2262" t="str" s="2">
        <x:f>="Steve Spargo"</x:f>
      </x:c>
      <x:c r="B2262" t="str" s="2">
        <x:v>Heritage Housing of Albany</x:v>
      </x:c>
      <x:c r="C2262" t="str" s="2">
        <x:v/>
      </x:c>
      <x:c r="D2262" t="str" s="2">
        <x:v>2292811692</x:v>
      </x:c>
      <x:c r="E2262" t="str" s="2">
        <x:v>seabass.repairservices@gmail.com</x:v>
      </x:c>
      <x:c r="F2262" t="str" s="2">
        <x:v>Landing_BPM</x:v>
      </x:c>
      <x:c r="G2262" t="str" s="2">
        <x:v>Justin Johnson</x:v>
      </x:c>
      <x:c r="H2262" s="6">
        <x:v>46242.735320023145</x:v>
      </x:c>
      <x:c r="I2262" s="0"/>
      <x:c r="J2262" s="0"/>
      <x:c r="K2262" s="6">
        <x:v>46254.802160300926</x:v>
      </x:c>
      <x:c r="L2262" t="str" s="2">
        <x:v>Lost</x:v>
      </x:c>
    </x:row>
    <x:row r="2263">
      <x:c r="A2263" t="str" s="2">
        <x:f>="DavidCrype DavidCrypeTF"</x:f>
      </x:c>
      <x:c r="B2263" t="str" s="2">
        <x:v>Heritage Housing of Greenville</x:v>
      </x:c>
      <x:c r="C2263" t="str" s="2">
        <x:v/>
      </x:c>
      <x:c r="D2263" t="str" s="2">
        <x:v>82386727354</x:v>
      </x:c>
      <x:c r="E2263" t="str" s="2">
        <x:v>pmrlqmm@qecdtap.dss</x:v>
      </x:c>
      <x:c r="F2263" t="str" s="2">
        <x:v>Website</x:v>
      </x:c>
      <x:c r="G2263" t="str" s="2">
        <x:v>Greg Christman</x:v>
      </x:c>
      <x:c r="H2263" s="6">
        <x:v>46243.10321886574</x:v>
      </x:c>
      <x:c r="I2263" s="0"/>
      <x:c r="J2263" s="0"/>
      <x:c r="K2263" s="0"/>
      <x:c r="L2263" t="str" s="2">
        <x:v>Lost</x:v>
      </x:c>
    </x:row>
    <x:row r="2264">
      <x:c r="A2264" t="str" s="2">
        <x:f>="Dylan Sullivan Sullivan"</x:f>
      </x:c>
      <x:c r="B2264" t="str" s="2">
        <x:v>Heritage Housing of Oklahoma City</x:v>
      </x:c>
      <x:c r="C2264" t="str" s="2">
        <x:v>0/5</x:v>
      </x:c>
      <x:c r="D2264" t="str" s="2">
        <x:v>5803706078</x:v>
      </x:c>
      <x:c r="E2264" t="str" s="2">
        <x:v>sullivandylan65@gmail.com</x:v>
      </x:c>
      <x:c r="F2264" t="str" s="2">
        <x:v>Landing_BPM</x:v>
      </x:c>
      <x:c r="G2264" t="str" s="2">
        <x:v>Steve Castell</x:v>
      </x:c>
      <x:c r="H2264" s="6">
        <x:v>46243.109184375</x:v>
      </x:c>
      <x:c r="I2264" s="0"/>
      <x:c r="J2264" s="0"/>
      <x:c r="K2264" s="6">
        <x:v>46255.862225</x:v>
      </x:c>
      <x:c r="L2264" t="str" s="2">
        <x:v>Lost</x:v>
      </x:c>
    </x:row>
    <x:row r="2265">
      <x:c r="A2265" t="str" s="2">
        <x:f>="Jennifer James"</x:f>
      </x:c>
      <x:c r="B2265" t="str" s="2">
        <x:v>Heritage Housing Gainesville</x:v>
      </x:c>
      <x:c r="C2265" t="str" s="2">
        <x:v/>
      </x:c>
      <x:c r="D2265" t="str" s="2">
        <x:v>8175055281</x:v>
      </x:c>
      <x:c r="E2265" t="str" s="2">
        <x:v>jennadjames@outlook.com</x:v>
      </x:c>
      <x:c r="F2265" t="str" s="2">
        <x:v>Financing Form</x:v>
      </x:c>
      <x:c r="G2265" t="str" s="2">
        <x:v>John Schwichtenberg</x:v>
      </x:c>
      <x:c r="H2265" s="6">
        <x:v>46243.89372989583</x:v>
      </x:c>
      <x:c r="I2265" s="0"/>
      <x:c r="J2265" s="0"/>
      <x:c r="K2265" s="6">
        <x:v>46283</x:v>
      </x:c>
      <x:c r="L2265" t="str" s="2">
        <x:v>Lost</x:v>
      </x:c>
    </x:row>
    <x:row r="2266">
      <x:c r="A2266" t="str" s="2">
        <x:f>="DorisPex +121753233991"</x:f>
      </x:c>
      <x:c r="B2266" t="str" s="2">
        <x:v>Heritage Housing of Albany</x:v>
      </x:c>
      <x:c r="C2266" t="str" s="2">
        <x:v/>
      </x:c>
      <x:c r="D2266" t="str" s="2">
        <x:v>85974583798</x:v>
      </x:c>
      <x:c r="E2266" t="str" s="2">
        <x:v>xgatmns@srhguub.pma</x:v>
      </x:c>
      <x:c r="F2266" t="str" s="2">
        <x:v>Website</x:v>
      </x:c>
      <x:c r="G2266" t="str" s="2">
        <x:v>Justin Johnson</x:v>
      </x:c>
      <x:c r="H2266" s="6">
        <x:v>46244.02662068287</x:v>
      </x:c>
      <x:c r="I2266" s="0"/>
      <x:c r="J2266" s="0"/>
      <x:c r="K2266" s="6">
        <x:v>46244.70583931713</x:v>
      </x:c>
      <x:c r="L2266" t="str" s="2">
        <x:v>Lost</x:v>
      </x:c>
    </x:row>
    <x:row r="2267">
      <x:c r="A2267" t="str" s="2">
        <x:f>="MarvinMig MarvinMigWE"</x:f>
      </x:c>
      <x:c r="B2267" t="str" s="2">
        <x:v>Heritage Housing of Greenville</x:v>
      </x:c>
      <x:c r="C2267" t="str" s="2">
        <x:v/>
      </x:c>
      <x:c r="D2267" t="str" s="2">
        <x:v>81495911913</x:v>
      </x:c>
      <x:c r="E2267" t="str" s="2">
        <x:v>kmhagfx@mvwnnnf.vqo</x:v>
      </x:c>
      <x:c r="F2267" t="str" s="2">
        <x:v>Website</x:v>
      </x:c>
      <x:c r="G2267" t="str" s="2">
        <x:v>Greg Christman</x:v>
      </x:c>
      <x:c r="H2267" s="6">
        <x:v>46244.53985980324</x:v>
      </x:c>
      <x:c r="I2267" s="0"/>
      <x:c r="J2267" s="0"/>
      <x:c r="K2267" s="0"/>
      <x:c r="L2267" t="str" s="2">
        <x:v>Lost</x:v>
      </x:c>
    </x:row>
    <x:row r="2268">
      <x:c r="A2268" t="str" s="2">
        <x:f>="Jourdan Langston"</x:f>
      </x:c>
      <x:c r="B2268" t="str" s="2">
        <x:v>Heritage Housing of Athens</x:v>
      </x:c>
      <x:c r="C2268" t="str" s="2">
        <x:v/>
      </x:c>
      <x:c r="D2268" t="str" s="2">
        <x:v>7069880981</x:v>
      </x:c>
      <x:c r="E2268" t="str" s="2">
        <x:v>langston.ryley@yahoo.com</x:v>
      </x:c>
      <x:c r="F2268" t="str" s="2">
        <x:v>Financing Form</x:v>
      </x:c>
      <x:c r="G2268" t="str" s="2">
        <x:v>Nathan Bishop</x:v>
      </x:c>
      <x:c r="H2268" s="6">
        <x:v>46244.642195636574</x:v>
      </x:c>
      <x:c r="I2268" s="0"/>
      <x:c r="J2268" s="0"/>
      <x:c r="K2268" s="6">
        <x:v>46289.63046327546</x:v>
      </x:c>
      <x:c r="L2268" t="str" s="2">
        <x:v>Lost</x:v>
      </x:c>
    </x:row>
    <x:row r="2269">
      <x:c r="A2269" t="str" s="2">
        <x:f>="BROOKE DESHOTEL"</x:f>
      </x:c>
      <x:c r="B2269" t="str" s="2">
        <x:v>Heritage Housing of Jennings</x:v>
      </x:c>
      <x:c r="C2269" t="str" s="2">
        <x:v/>
      </x:c>
      <x:c r="D2269" t="str" s="2">
        <x:v>3374589317</x:v>
      </x:c>
      <x:c r="E2269" t="str" s="2">
        <x:v>brookedeshotel3@gmail.com</x:v>
      </x:c>
      <x:c r="F2269" t="str" s="2">
        <x:v>Financing Form</x:v>
      </x:c>
      <x:c r="G2269" t="str" s="2">
        <x:v>Marty Fontenot</x:v>
      </x:c>
      <x:c r="H2269" s="6">
        <x:v>46244.94246420139</x:v>
      </x:c>
      <x:c r="I2269" s="0"/>
      <x:c r="J2269" s="0"/>
      <x:c r="K2269" s="6">
        <x:v>46251.62906315972</x:v>
      </x:c>
      <x:c r="L2269" t="str" s="2">
        <x:v>Lost</x:v>
      </x:c>
    </x:row>
    <x:row r="2270">
      <x:c r="A2270" t="str" s="2">
        <x:f>="Alexis Foley"</x:f>
      </x:c>
      <x:c r="B2270" t="str" s="2">
        <x:v>Heritage Housing of Augusta</x:v>
      </x:c>
      <x:c r="C2270" t="str" s="2">
        <x:v/>
      </x:c>
      <x:c r="D2270" t="str" s="2">
        <x:v>9164769976</x:v>
      </x:c>
      <x:c r="E2270" t="str" s="2">
        <x:v>lacreed94@yahoo.com</x:v>
      </x:c>
      <x:c r="F2270" t="str" s="2">
        <x:v>Landing_BPM</x:v>
      </x:c>
      <x:c r="G2270" t="str" s="2">
        <x:v>Faye Lively</x:v>
      </x:c>
      <x:c r="H2270" s="6">
        <x:v>46245.060357256945</x:v>
      </x:c>
      <x:c r="I2270" s="0"/>
      <x:c r="J2270" s="0"/>
      <x:c r="K2270" s="6">
        <x:v>46246.59720871528</x:v>
      </x:c>
      <x:c r="L2270" t="str" s="2">
        <x:v>Lost</x:v>
      </x:c>
    </x:row>
    <x:row r="2271">
      <x:c r="A2271" t="str" s="2">
        <x:f>="Cameron Miller Miller"</x:f>
      </x:c>
      <x:c r="B2271" t="str" s="2">
        <x:v>Heritage Housing of Jennings</x:v>
      </x:c>
      <x:c r="C2271" t="str" s="2">
        <x:v/>
      </x:c>
      <x:c r="D2271" t="str" s="2">
        <x:v>3374760682</x:v>
      </x:c>
      <x:c r="E2271" t="str" s="2">
        <x:v>cjmiller70633@gmail.com</x:v>
      </x:c>
      <x:c r="F2271" t="str" s="2">
        <x:v>Landing_BPM</x:v>
      </x:c>
      <x:c r="G2271" t="str" s="2">
        <x:v>Marty Fontenot</x:v>
      </x:c>
      <x:c r="H2271" s="6">
        <x:v>46245.59708417824</x:v>
      </x:c>
      <x:c r="I2271" s="0"/>
      <x:c r="J2271" s="0"/>
      <x:c r="K2271" s="6">
        <x:v>46247.65609278935</x:v>
      </x:c>
      <x:c r="L2271" t="str" s="2">
        <x:v>Lost</x:v>
      </x:c>
    </x:row>
    <x:row r="2272">
      <x:c r="A2272" t="str" s="2">
        <x:f>="Mary Moore"</x:f>
      </x:c>
      <x:c r="B2272" t="str" s="2">
        <x:v>Heritage Housing Gainesville</x:v>
      </x:c>
      <x:c r="C2272" t="str" s="2">
        <x:v/>
      </x:c>
      <x:c r="D2272" t="str" s="2">
        <x:v>9404402127</x:v>
      </x:c>
      <x:c r="E2272" t="str" s="2">
        <x:v>3mmmfarms@gmail.com</x:v>
      </x:c>
      <x:c r="F2272" t="str" s="2">
        <x:v>Landing_BPM</x:v>
      </x:c>
      <x:c r="G2272" t="str" s="2">
        <x:v>John Schwichtenberg</x:v>
      </x:c>
      <x:c r="H2272" s="6">
        <x:v>46245.65263121528</x:v>
      </x:c>
      <x:c r="I2272" s="0"/>
      <x:c r="J2272" s="0"/>
      <x:c r="K2272" s="6">
        <x:v>46260</x:v>
      </x:c>
      <x:c r="L2272" t="str" s="2">
        <x:v>Lost</x:v>
      </x:c>
    </x:row>
    <x:row r="2273">
      <x:c r="A2273" t="str" s="2">
        <x:f>="Afton Allman"</x:f>
      </x:c>
      <x:c r="B2273" t="str" s="2">
        <x:v>Heritage Housing of Oklahoma City</x:v>
      </x:c>
      <x:c r="C2273" t="str" s="2">
        <x:v>0/1</x:v>
      </x:c>
      <x:c r="D2273" t="str" s="2">
        <x:v>9183736133</x:v>
      </x:c>
      <x:c r="E2273" t="str" s="2">
        <x:v>aallman200113@gmail.com</x:v>
      </x:c>
      <x:c r="F2273" t="str" s="2">
        <x:v>Website</x:v>
      </x:c>
      <x:c r="G2273" t="str" s="2">
        <x:v>Steve Castell</x:v>
      </x:c>
      <x:c r="H2273" s="6">
        <x:v>46245.75106820602</x:v>
      </x:c>
      <x:c r="I2273" s="0"/>
      <x:c r="J2273" s="0"/>
      <x:c r="K2273" s="6">
        <x:v>46245</x:v>
      </x:c>
      <x:c r="L2273" t="str" s="2">
        <x:v>Lost</x:v>
      </x:c>
    </x:row>
    <x:row r="2274">
      <x:c r="A2274" t="str" s="2">
        <x:f>="...,.,.,., .,.,.,.,.,.,"</x:f>
      </x:c>
      <x:c r="B2274" t="str" s="2">
        <x:v>Heritage Housing of Athens</x:v>
      </x:c>
      <x:c r="C2274" t="str" s="2">
        <x:v/>
      </x:c>
      <x:c r="D2274" t="str" s="2">
        <x:v>2323211212</x:v>
      </x:c>
      <x:c r="E2274" t="str" s="2">
        <x:v>dddddfffdds@ddddddcccccc.com</x:v>
      </x:c>
      <x:c r="F2274" t="str" s="2">
        <x:v>TikTok Ads - Traffic</x:v>
      </x:c>
      <x:c r="G2274" t="str" s="2">
        <x:v>Timothy Postlethwait</x:v>
      </x:c>
      <x:c r="H2274" s="6">
        <x:v>46245.909315625</x:v>
      </x:c>
      <x:c r="I2274" s="0"/>
      <x:c r="J2274" s="0"/>
      <x:c r="K2274" s="0"/>
      <x:c r="L2274" t="str" s="2">
        <x:v>Lost</x:v>
      </x:c>
    </x:row>
    <x:row r="2275">
      <x:c r="A2275" t="str" s="2">
        <x:f>="catrina dichelo porto"</x:f>
      </x:c>
      <x:c r="B2275" t="str" s="2">
        <x:v>Heritage Housing of Oklahoma City</x:v>
      </x:c>
      <x:c r="C2275" t="str" s="2">
        <x:v>0/2</x:v>
      </x:c>
      <x:c r="D2275" t="str" s="2">
        <x:v>3547444785</x:v>
      </x:c>
      <x:c r="E2275" t="str" s="2">
        <x:v>catrinadicheloporto@gmail.com</x:v>
      </x:c>
      <x:c r="F2275" t="str" s="2">
        <x:v>TikTok Ads - Traffic</x:v>
      </x:c>
      <x:c r="G2275" t="str" s="2">
        <x:v>Karla Brizuela</x:v>
      </x:c>
      <x:c r="H2275" s="6">
        <x:v>46245.94560104167</x:v>
      </x:c>
      <x:c r="I2275" s="0"/>
      <x:c r="J2275" s="0"/>
      <x:c r="K2275" s="6">
        <x:v>46245.94606392361</x:v>
      </x:c>
      <x:c r="L2275" t="str" s="2">
        <x:v>Lost</x:v>
      </x:c>
    </x:row>
    <x:row r="2276">
      <x:c r="A2276" t="str" s="2">
        <x:f>="Hector Portillo"</x:f>
      </x:c>
      <x:c r="B2276" t="str" s="2">
        <x:v>Heritage Housing Gainesville</x:v>
      </x:c>
      <x:c r="C2276" t="str" s="2">
        <x:v/>
      </x:c>
      <x:c r="D2276" t="str" s="2">
        <x:v>6197341446</x:v>
      </x:c>
      <x:c r="E2276" t="str" s="2">
        <x:v>hsergioportillo@gmail.com</x:v>
      </x:c>
      <x:c r="F2276" t="str" s="2">
        <x:v>Landing_BPM</x:v>
      </x:c>
      <x:c r="G2276" t="str" s="2">
        <x:v>Chris Michniacki</x:v>
      </x:c>
      <x:c r="H2276" s="6">
        <x:v>46246.76181084491</x:v>
      </x:c>
      <x:c r="I2276" s="0"/>
      <x:c r="J2276" s="0"/>
      <x:c r="K2276" s="6">
        <x:v>46246.77156292824</x:v>
      </x:c>
      <x:c r="L2276" t="str" s="2">
        <x:v>Lost</x:v>
      </x:c>
    </x:row>
    <x:row r="2277">
      <x:c r="A2277" t="str" s="2">
        <x:f>="James Davis"</x:f>
      </x:c>
      <x:c r="B2277" t="str" s="2">
        <x:v>Heritage Housing of Augusta</x:v>
      </x:c>
      <x:c r="C2277" t="str" s="2">
        <x:v/>
      </x:c>
      <x:c r="D2277" t="str" s="2">
        <x:v>9403998000</x:v>
      </x:c>
      <x:c r="E2277" t="str" s="2">
        <x:v>jjdavisjr_98@yahoo.com</x:v>
      </x:c>
      <x:c r="F2277" t="str" s="2">
        <x:v>Financing Form</x:v>
      </x:c>
      <x:c r="G2277" t="str" s="2">
        <x:v>Alex Jones</x:v>
      </x:c>
      <x:c r="H2277" s="6">
        <x:v>46246.9207846412</x:v>
      </x:c>
      <x:c r="I2277" s="0"/>
      <x:c r="J2277" s="0"/>
      <x:c r="K2277" s="6">
        <x:v>46275.57375494213</x:v>
      </x:c>
      <x:c r="L2277" t="str" s="2">
        <x:v>Lost</x:v>
      </x:c>
    </x:row>
    <x:row r="2278">
      <x:c r="A2278" t="str" s="2">
        <x:f>="Shakina Bentley"</x:f>
      </x:c>
      <x:c r="B2278" t="str" s="2">
        <x:v>Heritage Housing of Albany</x:v>
      </x:c>
      <x:c r="C2278" t="str" s="2">
        <x:v/>
      </x:c>
      <x:c r="D2278" t="str" s="2">
        <x:v>6789143607</x:v>
      </x:c>
      <x:c r="E2278" t="str" s="2">
        <x:v>kina85327@gmail.com</x:v>
      </x:c>
      <x:c r="F2278" t="str" s="2">
        <x:v>Landing_BPM</x:v>
      </x:c>
      <x:c r="G2278" t="str" s="2">
        <x:v>Yanet Alvarez</x:v>
      </x:c>
      <x:c r="H2278" s="6">
        <x:v>46247.05634722222</x:v>
      </x:c>
      <x:c r="I2278" s="0"/>
      <x:c r="J2278" s="0"/>
      <x:c r="K2278" s="6">
        <x:v>46281.952194791666</x:v>
      </x:c>
      <x:c r="L2278" t="str" s="2">
        <x:v>Lost</x:v>
      </x:c>
    </x:row>
    <x:row r="2279">
      <x:c r="A2279" t="str" s="2">
        <x:f>="William Taylor"</x:f>
      </x:c>
      <x:c r="B2279" t="str" s="2">
        <x:v>Heritage Housing of Oklahoma City</x:v>
      </x:c>
      <x:c r="C2279" t="str" s="2">
        <x:v>0/2</x:v>
      </x:c>
      <x:c r="D2279" t="str" s="2">
        <x:v>5014185414</x:v>
      </x:c>
      <x:c r="E2279" t="str" s="2">
        <x:v>williamat709@gmail.com</x:v>
      </x:c>
      <x:c r="F2279" t="str" s="2">
        <x:v>Landing_BPM</x:v>
      </x:c>
      <x:c r="G2279" t="str" s="2">
        <x:v>Karla Brizuela</x:v>
      </x:c>
      <x:c r="H2279" s="6">
        <x:v>46247.95326388889</x:v>
      </x:c>
      <x:c r="I2279" s="0"/>
      <x:c r="J2279" s="0"/>
      <x:c r="K2279" s="6">
        <x:v>46251.60230185185</x:v>
      </x:c>
      <x:c r="L2279" t="str" s="2">
        <x:v>Lost</x:v>
      </x:c>
    </x:row>
    <x:row r="2280">
      <x:c r="A2280" t="str" s="2">
        <x:f>="Robert Cantelli"</x:f>
      </x:c>
      <x:c r="B2280" t="str" s="2">
        <x:v>Heritage Housing of Albany</x:v>
      </x:c>
      <x:c r="C2280" t="str" s="2">
        <x:v/>
      </x:c>
      <x:c r="D2280" t="str" s="2">
        <x:v>3349091236</x:v>
      </x:c>
      <x:c r="E2280" t="str" s="2">
        <x:v>Rjcantelli707@gmail.com</x:v>
      </x:c>
      <x:c r="F2280" t="str" s="2">
        <x:v>Financing Form</x:v>
      </x:c>
      <x:c r="G2280" t="str" s="2">
        <x:v>Yanet Alvarez</x:v>
      </x:c>
      <x:c r="H2280" s="6">
        <x:v>46248.02529760417</x:v>
      </x:c>
      <x:c r="I2280" s="0"/>
      <x:c r="J2280" s="0"/>
      <x:c r="K2280" s="6">
        <x:v>46259.806738969906</x:v>
      </x:c>
      <x:c r="L2280" t="str" s="2">
        <x:v>Lost</x:v>
      </x:c>
    </x:row>
    <x:row r="2281">
      <x:c r="A2281" t="str" s="2">
        <x:f>="Christopher Davis"</x:f>
      </x:c>
      <x:c r="B2281" t="str" s="2">
        <x:v>Heritage Housing of Oklahoma City</x:v>
      </x:c>
      <x:c r="C2281" t="str" s="2">
        <x:v/>
      </x:c>
      <x:c r="D2281" t="str" s="2">
        <x:v>5804757833</x:v>
      </x:c>
      <x:c r="E2281" t="str" s="2">
        <x:v>cadavis7391@gmail.com</x:v>
      </x:c>
      <x:c r="F2281" t="str" s="2">
        <x:v>Landing_BPM</x:v>
      </x:c>
      <x:c r="G2281" t="str" s="2">
        <x:v>Karla Brizuela</x:v>
      </x:c>
      <x:c r="H2281" s="6">
        <x:v>46248.04503758102</x:v>
      </x:c>
      <x:c r="I2281" s="0"/>
      <x:c r="J2281" s="0"/>
      <x:c r="K2281" s="6">
        <x:v>46248.839180358795</x:v>
      </x:c>
      <x:c r="L2281" t="str" s="2">
        <x:v>Lost</x:v>
      </x:c>
    </x:row>
    <x:row r="2282">
      <x:c r="A2282" t="str" s="2">
        <x:f>="Patsy Speights"</x:f>
      </x:c>
      <x:c r="B2282" t="str" s="2">
        <x:v>Heritage Housing Gainesville</x:v>
      </x:c>
      <x:c r="C2282" t="str" s="2">
        <x:v/>
      </x:c>
      <x:c r="D2282" t="str" s="2">
        <x:v>9403510036</x:v>
      </x:c>
      <x:c r="E2282" t="str" s="2">
        <x:v>patsysp8s@gmail.com</x:v>
      </x:c>
      <x:c r="F2282" t="str" s="2">
        <x:v>Landing_BPM</x:v>
      </x:c>
      <x:c r="G2282" t="str" s="2">
        <x:v>Chris Michniacki</x:v>
      </x:c>
      <x:c r="H2282" s="6">
        <x:v>46248.77474880787</x:v>
      </x:c>
      <x:c r="I2282" s="0"/>
      <x:c r="J2282" s="0"/>
      <x:c r="K2282" s="6">
        <x:v>46248.78570324074</x:v>
      </x:c>
      <x:c r="L2282" t="str" s="2">
        <x:v>Lost</x:v>
      </x:c>
    </x:row>
    <x:row r="2283">
      <x:c r="A2283" t="str" s="2">
        <x:f>="Reilee Abels"</x:f>
      </x:c>
      <x:c r="B2283" t="str" s="2">
        <x:v>Heritage Housing Gainesville</x:v>
      </x:c>
      <x:c r="C2283" t="str" s="2">
        <x:v/>
      </x:c>
      <x:c r="D2283" t="str" s="2">
        <x:v>4698828011</x:v>
      </x:c>
      <x:c r="E2283" t="str" s="2">
        <x:v>rdabels21@gmail.com</x:v>
      </x:c>
      <x:c r="F2283" t="str" s="2">
        <x:v>Landing_BPM</x:v>
      </x:c>
      <x:c r="G2283" t="str" s="2">
        <x:v>John Schwichtenberg</x:v>
      </x:c>
      <x:c r="H2283" s="6">
        <x:v>46248.78424359953</x:v>
      </x:c>
      <x:c r="I2283" s="0"/>
      <x:c r="J2283" s="0"/>
      <x:c r="K2283" s="6">
        <x:v>46269</x:v>
      </x:c>
      <x:c r="L2283" t="str" s="2">
        <x:v>Lost</x:v>
      </x:c>
    </x:row>
    <x:row r="2284">
      <x:c r="A2284" t="str" s="2">
        <x:f>="Debra Gardner"</x:f>
      </x:c>
      <x:c r="B2284" t="str" s="2">
        <x:v>Heritage Housing of Oklahoma City</x:v>
      </x:c>
      <x:c r="C2284" t="str" s="2">
        <x:v>0/1</x:v>
      </x:c>
      <x:c r="D2284" t="str" s="2">
        <x:v>4052158586</x:v>
      </x:c>
      <x:c r="E2284" t="str" s="2">
        <x:v>Debgardner264@gmail.com</x:v>
      </x:c>
      <x:c r="F2284" t="str" s="2">
        <x:v>Landing_BPM</x:v>
      </x:c>
      <x:c r="G2284" t="str" s="2">
        <x:v>Karla Brizuela</x:v>
      </x:c>
      <x:c r="H2284" s="6">
        <x:v>46249.258576354165</x:v>
      </x:c>
      <x:c r="I2284" s="0"/>
      <x:c r="J2284" s="0"/>
      <x:c r="K2284" s="6">
        <x:v>46249.60237068287</x:v>
      </x:c>
      <x:c r="L2284" t="str" s="2">
        <x:v>Lost</x:v>
      </x:c>
    </x:row>
    <x:row r="2285">
      <x:c r="A2285" t="str" s="2">
        <x:f>="Renato bautista"</x:f>
      </x:c>
      <x:c r="B2285" t="str" s="2">
        <x:v>Heritage Housing of Tulsa</x:v>
      </x:c>
      <x:c r="C2285" t="str" s="2">
        <x:v/>
      </x:c>
      <x:c r="D2285" t="str" s="2">
        <x:v>9184091478</x:v>
      </x:c>
      <x:c r="E2285" t="str" s="2">
        <x:v>tulsaoklajoma@gmail.com</x:v>
      </x:c>
      <x:c r="F2285" t="str" s="2">
        <x:v>Landing_BPM</x:v>
      </x:c>
      <x:c r="G2285" t="str" s="2">
        <x:v>Brittany Cobb</x:v>
      </x:c>
      <x:c r="H2285" s="6">
        <x:v>46249.50848815972</x:v>
      </x:c>
      <x:c r="I2285" s="0"/>
      <x:c r="J2285" s="0"/>
      <x:c r="K2285" s="6">
        <x:v>46249.6710775463</x:v>
      </x:c>
      <x:c r="L2285" t="str" s="2">
        <x:v>Lost</x:v>
      </x:c>
    </x:row>
    <x:row r="2286">
      <x:c r="A2286" t="str" s="2">
        <x:f>="Jessica Hill"</x:f>
      </x:c>
      <x:c r="B2286" t="str" s="2">
        <x:v>Heritage Housing of Oklahoma City</x:v>
      </x:c>
      <x:c r="C2286" t="str" s="2">
        <x:v/>
      </x:c>
      <x:c r="D2286" t="str" s="2">
        <x:v>8706900343</x:v>
      </x:c>
      <x:c r="E2286" t="str" s="2">
        <x:v>yesska2@gmail.com</x:v>
      </x:c>
      <x:c r="F2286" t="str" s="2">
        <x:v>Landing_BPM</x:v>
      </x:c>
      <x:c r="G2286" t="str" s="2">
        <x:v>Steve Castell</x:v>
      </x:c>
      <x:c r="H2286" s="6">
        <x:v>46249.60740975694</x:v>
      </x:c>
      <x:c r="I2286" s="0"/>
      <x:c r="J2286" s="0"/>
      <x:c r="K2286" s="6">
        <x:v>46249.646575729166</x:v>
      </x:c>
      <x:c r="L2286" t="str" s="2">
        <x:v>Lost</x:v>
      </x:c>
    </x:row>
    <x:row r="2287">
      <x:c r="A2287" t="str" s="2">
        <x:f>="Jonnie Fleenor"</x:f>
      </x:c>
      <x:c r="B2287" t="str" s="2">
        <x:v>Heritage Housing Gainesville</x:v>
      </x:c>
      <x:c r="C2287" t="str" s="2">
        <x:v/>
      </x:c>
      <x:c r="D2287" t="str" s="2">
        <x:v>6514911634</x:v>
      </x:c>
      <x:c r="E2287" t="str" s="2">
        <x:v>jonnie1234@att.net</x:v>
      </x:c>
      <x:c r="F2287" t="str" s="2">
        <x:v>Landing_BPM</x:v>
      </x:c>
      <x:c r="G2287" t="str" s="2">
        <x:v>Chris Michniacki</x:v>
      </x:c>
      <x:c r="H2287" s="6">
        <x:v>46249.63967966435</x:v>
      </x:c>
      <x:c r="I2287" s="0"/>
      <x:c r="J2287" s="0"/>
      <x:c r="K2287" s="6">
        <x:v>46249.64886253472</x:v>
      </x:c>
      <x:c r="L2287" t="str" s="2">
        <x:v>Lost</x:v>
      </x:c>
    </x:row>
    <x:row r="2288">
      <x:c r="A2288" t="str" s="2">
        <x:f>="Pansy Bryant"</x:f>
      </x:c>
      <x:c r="B2288" t="str" s="2">
        <x:v>Heritage Housing of Jennings</x:v>
      </x:c>
      <x:c r="C2288" t="str" s="2">
        <x:v/>
      </x:c>
      <x:c r="D2288" t="str" s="2">
        <x:v>3375224489</x:v>
      </x:c>
      <x:c r="E2288" t="str" s="2">
        <x:v>pansybryant63@gmail.com</x:v>
      </x:c>
      <x:c r="F2288" t="str" s="2">
        <x:v>Landing_BPM</x:v>
      </x:c>
      <x:c r="G2288" t="str" s="2">
        <x:v>Marty Fontenot</x:v>
      </x:c>
      <x:c r="H2288" s="6">
        <x:v>46249.89965489583</x:v>
      </x:c>
      <x:c r="I2288" s="0"/>
      <x:c r="J2288" s="0"/>
      <x:c r="K2288" s="6">
        <x:v>46252</x:v>
      </x:c>
      <x:c r="L2288" t="str" s="2">
        <x:v>Lost</x:v>
      </x:c>
    </x:row>
    <x:row r="2289">
      <x:c r="A2289" t="str" s="2">
        <x:f>="Ryan Day"</x:f>
      </x:c>
      <x:c r="B2289" t="str" s="2">
        <x:v>Heritage Housing of Oklahoma City</x:v>
      </x:c>
      <x:c r="C2289" t="str" s="2">
        <x:v/>
      </x:c>
      <x:c r="D2289" t="str" s="2">
        <x:v>4054089523</x:v>
      </x:c>
      <x:c r="E2289" t="str" s="2">
        <x:v>rysky2015@gmail.com</x:v>
      </x:c>
      <x:c r="F2289" t="str" s="2">
        <x:v>Landing_BPM</x:v>
      </x:c>
      <x:c r="G2289" t="str" s="2">
        <x:v>Steve Castell</x:v>
      </x:c>
      <x:c r="H2289" s="6">
        <x:v>46249.93559826389</x:v>
      </x:c>
      <x:c r="I2289" s="0"/>
      <x:c r="J2289" s="0"/>
      <x:c r="K2289" s="6">
        <x:v>46249.94943741898</x:v>
      </x:c>
      <x:c r="L2289" t="str" s="2">
        <x:v>Lost</x:v>
      </x:c>
    </x:row>
    <x:row r="2290">
      <x:c r="A2290" t="str" s="2">
        <x:f>="Mike Petrea"</x:f>
      </x:c>
      <x:c r="B2290" t="str" s="2">
        <x:v>Heritage Housing of Albany</x:v>
      </x:c>
      <x:c r="C2290" t="str" s="2">
        <x:v/>
      </x:c>
      <x:c r="D2290" t="str" s="2">
        <x:v>9124864322</x:v>
      </x:c>
      <x:c r="E2290" t="str" s="2">
        <x:v>mpetrea95@gmail.com</x:v>
      </x:c>
      <x:c r="F2290" t="str" s="2">
        <x:v>LandingPage</x:v>
      </x:c>
      <x:c r="G2290" t="str" s="2">
        <x:v>Yanet Alvarez</x:v>
      </x:c>
      <x:c r="H2290" s="6">
        <x:v>46250.15043028935</x:v>
      </x:c>
      <x:c r="I2290" s="0"/>
      <x:c r="J2290" s="0"/>
      <x:c r="K2290" s="6">
        <x:v>46260.746407094906</x:v>
      </x:c>
      <x:c r="L2290" t="str" s="2">
        <x:v>Lost</x:v>
      </x:c>
    </x:row>
    <x:row r="2291">
      <x:c r="A2291" t="str" s="2">
        <x:f>="Ann Ard"</x:f>
      </x:c>
      <x:c r="B2291" t="str" s="2">
        <x:v>Heritage Housing of Athens</x:v>
      </x:c>
      <x:c r="C2291" t="str" s="2">
        <x:v/>
      </x:c>
      <x:c r="D2291" t="str" s="2">
        <x:v>7629980928</x:v>
      </x:c>
      <x:c r="E2291" t="str" s="2">
        <x:v>ardkim238@gmail.com</x:v>
      </x:c>
      <x:c r="F2291" t="str" s="2">
        <x:v>Landing_BPM</x:v>
      </x:c>
      <x:c r="G2291" t="str" s="2">
        <x:v>Nathan Bishop</x:v>
      </x:c>
      <x:c r="H2291" s="6">
        <x:v>46250.175137997685</x:v>
      </x:c>
      <x:c r="I2291" s="0"/>
      <x:c r="J2291" s="0"/>
      <x:c r="K2291" s="6">
        <x:v>46266</x:v>
      </x:c>
      <x:c r="L2291" t="str" s="2">
        <x:v>Lost</x:v>
      </x:c>
    </x:row>
    <x:row r="2292">
      <x:c r="A2292" t="str" s="2">
        <x:f>="Joshua Kluthe"</x:f>
      </x:c>
      <x:c r="B2292" t="str" s="2">
        <x:v>Heritage Housing of Oklahoma City</x:v>
      </x:c>
      <x:c r="C2292" t="str" s="2">
        <x:v>0/2</x:v>
      </x:c>
      <x:c r="D2292" t="str" s="2">
        <x:v>4058500354</x:v>
      </x:c>
      <x:c r="E2292" t="str" s="2">
        <x:v>kluthe_josh@yahoo.com</x:v>
      </x:c>
      <x:c r="F2292" t="str" s="2">
        <x:v>Financing Form</x:v>
      </x:c>
      <x:c r="G2292" t="str" s="2">
        <x:v>Steve Castell</x:v>
      </x:c>
      <x:c r="H2292" s="6">
        <x:v>46250.40230130787</x:v>
      </x:c>
      <x:c r="I2292" s="0"/>
      <x:c r="J2292" s="0"/>
      <x:c r="K2292" s="6">
        <x:v>46255</x:v>
      </x:c>
      <x:c r="L2292" t="str" s="2">
        <x:v>Lost</x:v>
      </x:c>
    </x:row>
    <x:row r="2293">
      <x:c r="A2293" t="str" s="2">
        <x:f>="Aliadia Brown"</x:f>
      </x:c>
      <x:c r="B2293" t="str" s="2">
        <x:v>Heritage Housing Gainesville</x:v>
      </x:c>
      <x:c r="C2293" t="str" s="2">
        <x:v/>
      </x:c>
      <x:c r="D2293" t="str" s="2">
        <x:v>6824829868</x:v>
      </x:c>
      <x:c r="E2293" t="str" s="2">
        <x:v>aliadiabrown@yahoo.com</x:v>
      </x:c>
      <x:c r="F2293" t="str" s="2">
        <x:v>Landing_BPM</x:v>
      </x:c>
      <x:c r="G2293" t="str" s="2">
        <x:v>John Schwichtenberg</x:v>
      </x:c>
      <x:c r="H2293" s="6">
        <x:v>46250.59047265046</x:v>
      </x:c>
      <x:c r="I2293" s="0"/>
      <x:c r="J2293" s="0"/>
      <x:c r="K2293" s="6">
        <x:v>46269</x:v>
      </x:c>
      <x:c r="L2293" t="str" s="2">
        <x:v>Lost</x:v>
      </x:c>
    </x:row>
    <x:row r="2294">
      <x:c r="A2294" t="str" s="2">
        <x:f>="John Sharpe Sharpe"</x:f>
      </x:c>
      <x:c r="B2294" t="str" s="2">
        <x:v>Heritage Housing of Athens</x:v>
      </x:c>
      <x:c r="C2294" t="str" s="2">
        <x:v/>
      </x:c>
      <x:c r="D2294" t="str" s="2">
        <x:v>1423594543</x:v>
      </x:c>
      <x:c r="E2294" t="str" s="2">
        <x:v>sharpebill60@gmail.com</x:v>
      </x:c>
      <x:c r="F2294" t="str" s="2">
        <x:v>Landing_BPM</x:v>
      </x:c>
      <x:c r="G2294" t="str" s="2">
        <x:v>Nathan Bishop</x:v>
      </x:c>
      <x:c r="H2294" s="6">
        <x:v>46250.91333862268</x:v>
      </x:c>
      <x:c r="I2294" s="0"/>
      <x:c r="J2294" s="0"/>
      <x:c r="K2294" s="6">
        <x:v>46266.734554131945</x:v>
      </x:c>
      <x:c r="L2294" t="str" s="2">
        <x:v>Lost</x:v>
      </x:c>
    </x:row>
    <x:row r="2295">
      <x:c r="A2295" t="str" s="2">
        <x:f>="Katherine Earls"</x:f>
      </x:c>
      <x:c r="B2295" t="str" s="2">
        <x:v>Heritage Housing of Greenville</x:v>
      </x:c>
      <x:c r="C2295" t="str" s="2">
        <x:v/>
      </x:c>
      <x:c r="D2295" t="str" s="2">
        <x:v>9035133228</x:v>
      </x:c>
      <x:c r="E2295" t="str" s="2">
        <x:v>katherineearls91@gmail.com</x:v>
      </x:c>
      <x:c r="F2295" t="str" s="2">
        <x:v>Financing Form</x:v>
      </x:c>
      <x:c r="G2295" t="str" s="2">
        <x:v>Greg Christman</x:v>
      </x:c>
      <x:c r="H2295" s="6">
        <x:v>46251.05774748843</x:v>
      </x:c>
      <x:c r="I2295" s="0"/>
      <x:c r="J2295" s="0"/>
      <x:c r="K2295" s="0"/>
      <x:c r="L2295" t="str" s="2">
        <x:v>Lost</x:v>
      </x:c>
    </x:row>
    <x:row r="2296">
      <x:c r="A2296" t="str" s="2">
        <x:f>="DanielEcord +177117870412"</x:f>
      </x:c>
      <x:c r="B2296" t="str" s="2">
        <x:v>Heritage Housing of Albany</x:v>
      </x:c>
      <x:c r="C2296" t="str" s="2">
        <x:v/>
      </x:c>
      <x:c r="D2296" t="str" s="2">
        <x:v>81471791386</x:v>
      </x:c>
      <x:c r="E2296" t="str" s="2">
        <x:v>cxgldgq@ighbqiq.dkq</x:v>
      </x:c>
      <x:c r="F2296" t="str" s="2">
        <x:v>Website</x:v>
      </x:c>
      <x:c r="G2296" t="str" s="2">
        <x:v>Yanet Alvarez</x:v>
      </x:c>
      <x:c r="H2296" s="6">
        <x:v>46251.60588769676</x:v>
      </x:c>
      <x:c r="I2296" s="0"/>
      <x:c r="J2296" s="0"/>
      <x:c r="K2296" s="6">
        <x:v>46251.840508483794</x:v>
      </x:c>
      <x:c r="L2296" t="str" s="2">
        <x:v>Lost</x:v>
      </x:c>
    </x:row>
    <x:row r="2297">
      <x:c r="A2297" t="str" s="2">
        <x:f>="Jacquor Fields"</x:f>
      </x:c>
      <x:c r="B2297" t="str" s="2">
        <x:v>Heritage Housing of Athens</x:v>
      </x:c>
      <x:c r="C2297" t="str" s="2">
        <x:v/>
      </x:c>
      <x:c r="D2297" t="str" s="2">
        <x:v>4782212140</x:v>
      </x:c>
      <x:c r="E2297" t="str" s="2">
        <x:v>jemeria014@gmail.com</x:v>
      </x:c>
      <x:c r="F2297" t="str" s="2">
        <x:v>Landing_BPM</x:v>
      </x:c>
      <x:c r="G2297" t="str" s="2">
        <x:v>Nathan Bishop</x:v>
      </x:c>
      <x:c r="H2297" s="6">
        <x:v>46251.65699818287</x:v>
      </x:c>
      <x:c r="I2297" s="0"/>
      <x:c r="J2297" s="0"/>
      <x:c r="K2297" s="6">
        <x:v>46282.73860991898</x:v>
      </x:c>
      <x:c r="L2297" t="str" s="2">
        <x:v>Lost</x:v>
      </x:c>
    </x:row>
    <x:row r="2298">
      <x:c r="A2298" t="str" s="2">
        <x:f>="&amp;lt;GDFBIOHNFNVÑG&amp;lt;FV &amp;lt;DFBSFBDZDF"</x:f>
      </x:c>
      <x:c r="B2298" t="str" s="2">
        <x:v>Heritage Housing of Oklahoma City</x:v>
      </x:c>
      <x:c r="C2298" t="str" s="2">
        <x:v/>
      </x:c>
      <x:c r="D2298" t="str" s="2">
        <x:v>324558744</x:v>
      </x:c>
      <x:c r="E2298" t="str" s="2">
        <x:v>DZBFGZFGBF@GMAIL.COM</x:v>
      </x:c>
      <x:c r="F2298" t="str" s="2">
        <x:v>Landing_BPM</x:v>
      </x:c>
      <x:c r="G2298" t="str" s="2">
        <x:v>Trey Rixleben</x:v>
      </x:c>
      <x:c r="H2298" s="6">
        <x:v>46251.719814317126</x:v>
      </x:c>
      <x:c r="I2298" s="0"/>
      <x:c r="J2298" s="0"/>
      <x:c r="K2298" s="0"/>
      <x:c r="L2298" t="str" s="2">
        <x:v>Lost</x:v>
      </x:c>
    </x:row>
    <x:row r="2299">
      <x:c r="A2299" t="str" s="2">
        <x:f>="KJBLBPñ ñlN HBOBOU-B-VBLJ"</x:f>
      </x:c>
      <x:c r="B2299" t="str" s="2">
        <x:v>Heritage Housing of Oklahoma City</x:v>
      </x:c>
      <x:c r="C2299" t="str" s="2">
        <x:v/>
      </x:c>
      <x:c r="D2299" t="str" s="2">
        <x:v>32545874555</x:v>
      </x:c>
      <x:c r="E2299" t="str" s="2">
        <x:v>KJBOBVOUVBOU@GMAIL.COM</x:v>
      </x:c>
      <x:c r="F2299" t="str" s="2">
        <x:v>Landing_BPM</x:v>
      </x:c>
      <x:c r="G2299" t="str" s="2">
        <x:v>Karla Brizuela</x:v>
      </x:c>
      <x:c r="H2299" s="6">
        <x:v>46251.721784837966</x:v>
      </x:c>
      <x:c r="I2299" s="0"/>
      <x:c r="J2299" s="0"/>
      <x:c r="K2299" s="6">
        <x:v>46251.75914996528</x:v>
      </x:c>
      <x:c r="L2299" t="str" s="2">
        <x:v>Lost</x:v>
      </x:c>
    </x:row>
    <x:row r="2300">
      <x:c r="A2300" t="str" s="2">
        <x:f>="Shan C"</x:f>
      </x:c>
      <x:c r="B2300" t="str" s="2">
        <x:v>Heritage Housing of Jennings</x:v>
      </x:c>
      <x:c r="C2300" t="str" s="2">
        <x:v/>
      </x:c>
      <x:c r="D2300" t="str" s="2">
        <x:v>2252818627</x:v>
      </x:c>
      <x:c r="E2300" t="str" s="2">
        <x:v>shanb.collins@gmail.com</x:v>
      </x:c>
      <x:c r="F2300" t="str" s="2">
        <x:v>Landing_BPM</x:v>
      </x:c>
      <x:c r="G2300" t="str" s="2">
        <x:v>Mervin Leslie Smith</x:v>
      </x:c>
      <x:c r="H2300" s="6">
        <x:v>46251.81142758102</x:v>
      </x:c>
      <x:c r="I2300" s="0"/>
      <x:c r="J2300" s="0"/>
      <x:c r="K2300" s="6">
        <x:v>46268.81460466435</x:v>
      </x:c>
      <x:c r="L2300" t="str" s="2">
        <x:v>Lost</x:v>
      </x:c>
    </x:row>
    <x:row r="2301">
      <x:c r="A2301" t="str" s="2">
        <x:f>="Charles Smith"</x:f>
      </x:c>
      <x:c r="B2301" t="str" s="2">
        <x:v>Heritage Housing of Oklahoma City</x:v>
      </x:c>
      <x:c r="C2301" t="str" s="2">
        <x:v/>
      </x:c>
      <x:c r="D2301" t="str" s="2">
        <x:v>4056986105</x:v>
      </x:c>
      <x:c r="E2301" t="str" s="2">
        <x:v>4056986105</x:v>
      </x:c>
      <x:c r="F2301" t="str" s="2">
        <x:v>Facebook Messenger</x:v>
      </x:c>
      <x:c r="G2301" t="str" s="2">
        <x:v>Steve Castell</x:v>
      </x:c>
      <x:c r="H2301" s="6">
        <x:v>46251.81718167824</x:v>
      </x:c>
      <x:c r="I2301" s="0"/>
      <x:c r="J2301" s="6">
        <x:v>46256.635416666664</x:v>
      </x:c>
      <x:c r="K2301" s="6">
        <x:v>46259.97927758102</x:v>
      </x:c>
      <x:c r="L2301" t="str" s="2">
        <x:v>Lost</x:v>
      </x:c>
    </x:row>
    <x:row r="2302">
      <x:c r="A2302" t="str" s="2">
        <x:f>="John Culpepper"</x:f>
      </x:c>
      <x:c r="B2302" t="str" s="2">
        <x:v>Heritage Housing of Albany</x:v>
      </x:c>
      <x:c r="C2302" t="str" s="2">
        <x:v/>
      </x:c>
      <x:c r="D2302" t="str" s="2">
        <x:v>3347911113</x:v>
      </x:c>
      <x:c r="E2302" t="str" s="2">
        <x:v>culpepperjohn026@gmail.com</x:v>
      </x:c>
      <x:c r="F2302" t="str" s="2">
        <x:v>Landing_BPM</x:v>
      </x:c>
      <x:c r="G2302" t="str" s="2">
        <x:v>Yanet Alvarez</x:v>
      </x:c>
      <x:c r="H2302" s="6">
        <x:v>46251.88049895834</x:v>
      </x:c>
      <x:c r="I2302" s="0"/>
      <x:c r="J2302" s="0"/>
      <x:c r="K2302" s="6">
        <x:v>46282.77934806713</x:v>
      </x:c>
      <x:c r="L2302" t="str" s="2">
        <x:v>Lost</x:v>
      </x:c>
    </x:row>
    <x:row r="2303">
      <x:c r="A2303" t="str" s="2">
        <x:f>="Devin Williams"</x:f>
      </x:c>
      <x:c r="B2303" t="str" s="2">
        <x:v>Heritage Housing of Oklahoma City</x:v>
      </x:c>
      <x:c r="C2303" t="str" s="2">
        <x:v/>
      </x:c>
      <x:c r="D2303" t="str" s="2">
        <x:v>4053052778</x:v>
      </x:c>
      <x:c r="E2303" t="str" s="2">
        <x:v>Dvwilliams0626@gmail.com</x:v>
      </x:c>
      <x:c r="F2303" t="str" s="2">
        <x:v>LandingPage</x:v>
      </x:c>
      <x:c r="G2303" t="str" s="2">
        <x:v>Steve Castell</x:v>
      </x:c>
      <x:c r="H2303" s="6">
        <x:v>46251.90851778935</x:v>
      </x:c>
      <x:c r="I2303" s="0"/>
      <x:c r="J2303" s="0"/>
      <x:c r="K2303" s="6">
        <x:v>46252.59412329861</x:v>
      </x:c>
      <x:c r="L2303" t="str" s="2">
        <x:v>Lost</x:v>
      </x:c>
    </x:row>
    <x:row r="2304">
      <x:c r="A2304" t="str" s="2">
        <x:f>="Cornelius Mack"</x:f>
      </x:c>
      <x:c r="B2304" t="str" s="2">
        <x:v>Heritage Housing of Augusta</x:v>
      </x:c>
      <x:c r="C2304" t="str" s="2">
        <x:v/>
      </x:c>
      <x:c r="D2304" t="str" s="2">
        <x:v>7068348204</x:v>
      </x:c>
      <x:c r="E2304" t="str" s="2">
        <x:v>corneliusmack50@gmail.com</x:v>
      </x:c>
      <x:c r="F2304" t="str" s="2">
        <x:v>Landing_BPM</x:v>
      </x:c>
      <x:c r="G2304" t="str" s="2">
        <x:v>Jose Chavez</x:v>
      </x:c>
      <x:c r="H2304" s="6">
        <x:v>46252.31370150463</x:v>
      </x:c>
      <x:c r="I2304" s="0"/>
      <x:c r="J2304" s="0"/>
      <x:c r="K2304" s="6">
        <x:v>46288.661975613424</x:v>
      </x:c>
      <x:c r="L2304" t="str" s="2">
        <x:v>Lost</x:v>
      </x:c>
    </x:row>
    <x:row r="2305">
      <x:c r="A2305" t="str" s="2">
        <x:f>="mcmcmcmcmmcc kdkdkdkdkdkd"</x:f>
      </x:c>
      <x:c r="B2305" t="str" s="2">
        <x:v>Heritage Housing of Canton</x:v>
      </x:c>
      <x:c r="C2305" t="str" s="2">
        <x:v/>
      </x:c>
      <x:c r="D2305" t="str" s="2">
        <x:v>9900887654</x:v>
      </x:c>
      <x:c r="E2305" t="str" s="2">
        <x:v>mcmccmc@mcmcmcmc.com</x:v>
      </x:c>
      <x:c r="F2305" t="str" s="2">
        <x:v>DSP - Native</x:v>
      </x:c>
      <x:c r="G2305" t="str" s="2">
        <x:v>Jacob Hatten</x:v>
      </x:c>
      <x:c r="H2305" s="6">
        <x:v>46252.61102696759</x:v>
      </x:c>
      <x:c r="I2305" s="0"/>
      <x:c r="J2305" s="0"/>
      <x:c r="K2305" s="0"/>
      <x:c r="L2305" t="str" s="2">
        <x:v>Lost</x:v>
      </x:c>
    </x:row>
    <x:row r="2306">
      <x:c r="A2306" t="str" s="2">
        <x:f>="cAROLA cAROLINE De los alcasares pumpom"</x:f>
      </x:c>
      <x:c r="B2306" t="str" s="2">
        <x:v>Heritage Housing of Oklahoma City</x:v>
      </x:c>
      <x:c r="C2306" t="str" s="2">
        <x:v/>
      </x:c>
      <x:c r="D2306" t="str" s="2">
        <x:v>3225478874</x:v>
      </x:c>
      <x:c r="E2306" t="str" s="2">
        <x:v>carolinacaroliera@gmail.com</x:v>
      </x:c>
      <x:c r="F2306" t="str" s="2">
        <x:v>DSP - CTV</x:v>
      </x:c>
      <x:c r="G2306" t="str" s="2">
        <x:v>Steve Castell</x:v>
      </x:c>
      <x:c r="H2306" s="6">
        <x:v>46252.61166142361</x:v>
      </x:c>
      <x:c r="I2306" s="0"/>
      <x:c r="J2306" s="0"/>
      <x:c r="K2306" s="0"/>
      <x:c r="L2306" t="str" s="2">
        <x:v>Lost</x:v>
      </x:c>
    </x:row>
    <x:row r="2307">
      <x:c r="A2307" t="str" s="2">
        <x:f>="Kendrick Jones"</x:f>
      </x:c>
      <x:c r="B2307" t="str" s="2">
        <x:v>Heritage Housing of Augusta</x:v>
      </x:c>
      <x:c r="C2307" t="str" s="2">
        <x:v>1/1</x:v>
      </x:c>
      <x:c r="D2307" t="str" s="2">
        <x:v>8644477534</x:v>
      </x:c>
      <x:c r="E2307" t="str" s="2">
        <x:v>kendrickjones1995@gmail.com</x:v>
      </x:c>
      <x:c r="F2307" t="str" s="2">
        <x:v>Website</x:v>
      </x:c>
      <x:c r="G2307" t="str" s="2">
        <x:v>Alex Jones</x:v>
      </x:c>
      <x:c r="H2307" s="6">
        <x:v>46252.92299479167</x:v>
      </x:c>
      <x:c r="I2307" s="0"/>
      <x:c r="J2307" s="0"/>
      <x:c r="K2307" s="6">
        <x:v>46275.60140818287</x:v>
      </x:c>
      <x:c r="L2307" t="str" s="2">
        <x:v>Lost</x:v>
      </x:c>
    </x:row>
    <x:row r="2308">
      <x:c r="A2308" t="str" s="2">
        <x:f>="Baylee Gilmore"</x:f>
      </x:c>
      <x:c r="B2308" t="str" s="2">
        <x:v>Heritage Housing of Oklahoma City</x:v>
      </x:c>
      <x:c r="C2308" t="str" s="2">
        <x:v>0/2</x:v>
      </x:c>
      <x:c r="D2308" t="str" s="2">
        <x:v>5733107455</x:v>
      </x:c>
      <x:c r="E2308" t="str" s="2">
        <x:v>bayleegilmore20@gmail.com</x:v>
      </x:c>
      <x:c r="F2308" t="str" s="2">
        <x:v>Landing_BPM</x:v>
      </x:c>
      <x:c r="G2308" t="str" s="2">
        <x:v>Steve Castell</x:v>
      </x:c>
      <x:c r="H2308" s="6">
        <x:v>46252.993930324075</x:v>
      </x:c>
      <x:c r="I2308" s="0"/>
      <x:c r="J2308" s="0"/>
      <x:c r="K2308" s="6">
        <x:v>46254.648715393516</x:v>
      </x:c>
      <x:c r="L2308" t="str" s="2">
        <x:v>Lost</x:v>
      </x:c>
    </x:row>
    <x:row r="2309">
      <x:c r="A2309" t="str" s="2">
        <x:f>="Shane Lee LEE"</x:f>
      </x:c>
      <x:c r="B2309" t="str" s="2">
        <x:v>Heritage Housing of Oklahoma City</x:v>
      </x:c>
      <x:c r="C2309" t="str" s="2">
        <x:v>0/3</x:v>
      </x:c>
      <x:c r="D2309" t="str" s="2">
        <x:v>4053087175</x:v>
      </x:c>
      <x:c r="E2309" t="str" s="2">
        <x:v>lavendeshot@gmail.com</x:v>
      </x:c>
      <x:c r="F2309" t="str" s="2">
        <x:v>Landing_BPM</x:v>
      </x:c>
      <x:c r="G2309" t="str" s="2">
        <x:v>Steve Castell</x:v>
      </x:c>
      <x:c r="H2309" s="6">
        <x:v>46253.74078020833</x:v>
      </x:c>
      <x:c r="I2309" s="0"/>
      <x:c r="J2309" s="0"/>
      <x:c r="K2309" s="6">
        <x:v>46255</x:v>
      </x:c>
      <x:c r="L2309" t="str" s="2">
        <x:v>Lost</x:v>
      </x:c>
    </x:row>
    <x:row r="2310">
      <x:c r="A2310" t="str" s="2">
        <x:f>="Anthony Ramirez"</x:f>
      </x:c>
      <x:c r="B2310" t="str" s="2">
        <x:v>Heritage Housing Marble Falls</x:v>
      </x:c>
      <x:c r="C2310" t="str" s="2">
        <x:v/>
      </x:c>
      <x:c r="D2310" t="str" s="2">
        <x:v>5127499352</x:v>
      </x:c>
      <x:c r="E2310" t="str" s="2">
        <x:v>bamrmrz@icloud.com</x:v>
      </x:c>
      <x:c r="F2310" t="str" s="2">
        <x:v>Landing_BPM</x:v>
      </x:c>
      <x:c r="G2310" t="str" s="2">
        <x:v>Stephen Sanders</x:v>
      </x:c>
      <x:c r="H2310" s="6">
        <x:v>46254.30846230324</x:v>
      </x:c>
      <x:c r="I2310" s="0"/>
      <x:c r="J2310" s="0"/>
      <x:c r="K2310" s="6">
        <x:v>46254</x:v>
      </x:c>
      <x:c r="L2310" t="str" s="2">
        <x:v>Lost</x:v>
      </x:c>
    </x:row>
    <x:row r="2311">
      <x:c r="A2311" t="str" s="2">
        <x:f>="Heather Cunningham"</x:f>
      </x:c>
      <x:c r="B2311" t="str" s="2">
        <x:v>Heritage Housing of Jennings</x:v>
      </x:c>
      <x:c r="C2311" t="str" s="2">
        <x:v/>
      </x:c>
      <x:c r="D2311" t="str" s="2">
        <x:v>3373362524</x:v>
      </x:c>
      <x:c r="E2311" t="str" s="2">
        <x:v>cunninghamh446@gmail.com</x:v>
      </x:c>
      <x:c r="F2311" t="str" s="2">
        <x:v>Landing_BPM</x:v>
      </x:c>
      <x:c r="G2311" t="str" s="2">
        <x:v>Clint O'Neal</x:v>
      </x:c>
      <x:c r="H2311" s="6">
        <x:v>46254.438864351854</x:v>
      </x:c>
      <x:c r="I2311" s="0"/>
      <x:c r="J2311" s="0"/>
      <x:c r="K2311" s="6">
        <x:v>46265.81110413194</x:v>
      </x:c>
      <x:c r="L2311" t="str" s="2">
        <x:v>Lost</x:v>
      </x:c>
    </x:row>
    <x:row r="2312">
      <x:c r="A2312" t="str" s="2">
        <x:f>="Vicente Vazquez"</x:f>
      </x:c>
      <x:c r="B2312" t="str" s="2">
        <x:v>Heritage Housing of Asheboro</x:v>
      </x:c>
      <x:c r="C2312" t="str" s="2">
        <x:v/>
      </x:c>
      <x:c r="D2312" t="str" s="2">
        <x:v>3362764371</x:v>
      </x:c>
      <x:c r="E2312" t="str" s="2">
        <x:v>vicenteruelas62@gmail.com</x:v>
      </x:c>
      <x:c r="F2312" t="str" s="2">
        <x:v>Landing_BPM</x:v>
      </x:c>
      <x:c r="G2312" t="str" s="2">
        <x:v>Maria Lopez</x:v>
      </x:c>
      <x:c r="H2312" s="6">
        <x:v>46254.649721724534</x:v>
      </x:c>
      <x:c r="I2312" s="0"/>
      <x:c r="J2312" s="0"/>
      <x:c r="K2312" s="6">
        <x:v>46258</x:v>
      </x:c>
      <x:c r="L2312" t="str" s="2">
        <x:v>Lost</x:v>
      </x:c>
    </x:row>
    <x:row r="2313">
      <x:c r="A2313" t="str" s="2">
        <x:f>="Brenda Gaston"</x:f>
      </x:c>
      <x:c r="B2313" t="str" s="2">
        <x:v>Heritage Housing of Minden</x:v>
      </x:c>
      <x:c r="C2313" t="str" s="2">
        <x:v>0/1</x:v>
      </x:c>
      <x:c r="D2313" t="str" s="2">
        <x:v>2138843508</x:v>
      </x:c>
      <x:c r="E2313" t="str" s="2">
        <x:v>bridgettegaston89@gmail.com</x:v>
      </x:c>
      <x:c r="F2313" t="str" s="2">
        <x:v>Landing_BPM</x:v>
      </x:c>
      <x:c r="G2313" t="str" s="2">
        <x:v>Patrick Schuchart</x:v>
      </x:c>
      <x:c r="H2313" s="6">
        <x:v>46254.710758217596</x:v>
      </x:c>
      <x:c r="I2313" s="0"/>
      <x:c r="J2313" s="0"/>
      <x:c r="K2313" s="6">
        <x:v>46289.92796056713</x:v>
      </x:c>
      <x:c r="L2313" t="str" s="2">
        <x:v>Lost</x:v>
      </x:c>
    </x:row>
    <x:row r="2314">
      <x:c r="A2314" t="str" s="2">
        <x:f>="Carolyn Gilbert"</x:f>
      </x:c>
      <x:c r="B2314" t="str" s="2">
        <x:v>Heritage Housing of Augusta</x:v>
      </x:c>
      <x:c r="C2314" t="str" s="2">
        <x:v/>
      </x:c>
      <x:c r="D2314" t="str" s="2">
        <x:v>7628672292</x:v>
      </x:c>
      <x:c r="E2314" t="str" s="2">
        <x:v>carolyngilbert6602@gmail.com</x:v>
      </x:c>
      <x:c r="F2314" t="str" s="2">
        <x:v>Landing_BPM</x:v>
      </x:c>
      <x:c r="G2314" t="str" s="2">
        <x:v>Alex Jones</x:v>
      </x:c>
      <x:c r="H2314" s="6">
        <x:v>46254.82803660879</x:v>
      </x:c>
      <x:c r="I2314" s="0"/>
      <x:c r="J2314" s="0"/>
      <x:c r="K2314" s="6">
        <x:v>46267.65030436343</x:v>
      </x:c>
      <x:c r="L2314" t="str" s="2">
        <x:v>Lost</x:v>
      </x:c>
    </x:row>
    <x:row r="2315">
      <x:c r="A2315" t="str" s="2">
        <x:f>="Christie Murray"</x:f>
      </x:c>
      <x:c r="B2315" t="str" s="2">
        <x:v>Heritage Housing of Jennings</x:v>
      </x:c>
      <x:c r="C2315" t="str" s="2">
        <x:v/>
      </x:c>
      <x:c r="D2315" t="str" s="2">
        <x:v>3375630875</x:v>
      </x:c>
      <x:c r="E2315" t="str" s="2">
        <x:v>cmullinax81@gmail.com</x:v>
      </x:c>
      <x:c r="F2315" t="str" s="2">
        <x:v>Landing_BPM</x:v>
      </x:c>
      <x:c r="G2315" t="str" s="2">
        <x:v>Mervin Leslie Smith</x:v>
      </x:c>
      <x:c r="H2315" s="6">
        <x:v>46255.63246099537</x:v>
      </x:c>
      <x:c r="I2315" s="0"/>
      <x:c r="J2315" s="0"/>
      <x:c r="K2315" s="6">
        <x:v>46268.907655208335</x:v>
      </x:c>
      <x:c r="L2315" t="str" s="2">
        <x:v>Lost</x:v>
      </x:c>
    </x:row>
    <x:row r="2316">
      <x:c r="A2316" t="str" s="2">
        <x:f>="testefelipetest testedfgtest"</x:f>
      </x:c>
      <x:c r="B2316" t="str" s="2">
        <x:v>Heritage Housing of Asheboro</x:v>
      </x:c>
      <x:c r="C2316" t="str" s="2">
        <x:v/>
      </x:c>
      <x:c r="D2316" t="str" s="2">
        <x:v>235465412</x:v>
      </x:c>
      <x:c r="E2316" t="str" s="2">
        <x:v>testing@testingitls.com</x:v>
      </x:c>
      <x:c r="F2316" t="str" s="2">
        <x:v>Financing Form</x:v>
      </x:c>
      <x:c r="G2316" t="str" s="2">
        <x:v>Cory Martin</x:v>
      </x:c>
      <x:c r="H2316" s="6">
        <x:v>46255.85936184028</x:v>
      </x:c>
      <x:c r="I2316" s="0"/>
      <x:c r="J2316" s="0"/>
      <x:c r="K2316" s="0"/>
      <x:c r="L2316" t="str" s="2">
        <x:v>Lost</x:v>
      </x:c>
    </x:row>
    <x:row r="2317">
      <x:c r="A2317" t="str" s="2">
        <x:f>="Benjamin McElreath"</x:f>
      </x:c>
      <x:c r="B2317" t="str" s="2">
        <x:v>Heritage Housing of Athens</x:v>
      </x:c>
      <x:c r="C2317" t="str" s="2">
        <x:v/>
      </x:c>
      <x:c r="D2317" t="str" s="2">
        <x:v>7064246858</x:v>
      </x:c>
      <x:c r="E2317" t="str" s="2">
        <x:v>benjaminmcelreath081@gmail.com</x:v>
      </x:c>
      <x:c r="F2317" t="str" s="2">
        <x:v>Financing Form</x:v>
      </x:c>
      <x:c r="G2317" t="str" s="2">
        <x:v>Nathan Bishop</x:v>
      </x:c>
      <x:c r="H2317" s="6">
        <x:v>46256.68181369213</x:v>
      </x:c>
      <x:c r="I2317" s="0"/>
      <x:c r="J2317" s="0"/>
      <x:c r="K2317" s="6">
        <x:v>46262.63112881944</x:v>
      </x:c>
      <x:c r="L2317" t="str" s="2">
        <x:v>Lost</x:v>
      </x:c>
    </x:row>
    <x:row r="2318">
      <x:c r="A2318" t="str" s="2">
        <x:f>="Cheyanne Cromer"</x:f>
      </x:c>
      <x:c r="B2318" t="str" s="2">
        <x:v>Heritage Housing of Albany</x:v>
      </x:c>
      <x:c r="C2318" t="str" s="2">
        <x:v/>
      </x:c>
      <x:c r="D2318" t="str" s="2">
        <x:v>2295918778</x:v>
      </x:c>
      <x:c r="E2318" t="str" s="2">
        <x:v>cheycromerx3@icloud.com</x:v>
      </x:c>
      <x:c r="F2318" t="str" s="2">
        <x:v>Landing_BPM</x:v>
      </x:c>
      <x:c r="G2318" t="str" s="2">
        <x:v>Yanet Alvarez</x:v>
      </x:c>
      <x:c r="H2318" s="6">
        <x:v>46257.84187164352</x:v>
      </x:c>
      <x:c r="I2318" s="0"/>
      <x:c r="J2318" s="0"/>
      <x:c r="K2318" s="6">
        <x:v>46283.84571033565</x:v>
      </x:c>
      <x:c r="L2318" t="str" s="2">
        <x:v>Lost</x:v>
      </x:c>
    </x:row>
    <x:row r="2319">
      <x:c r="A2319" t="str" s="2">
        <x:f>="Crystol king"</x:f>
      </x:c>
      <x:c r="B2319" t="str" s="2">
        <x:v>Heritage Housing of Oklahoma City</x:v>
      </x:c>
      <x:c r="C2319" t="str" s="2">
        <x:v>0/3</x:v>
      </x:c>
      <x:c r="D2319" t="str" s="2">
        <x:v>4059524225</x:v>
      </x:c>
      <x:c r="E2319" t="str" s="2">
        <x:v>crystolking3@gmail.com</x:v>
      </x:c>
      <x:c r="F2319" t="str" s="2">
        <x:v>Landing_BPM</x:v>
      </x:c>
      <x:c r="G2319" t="str" s="2">
        <x:v>Trey Rixleben</x:v>
      </x:c>
      <x:c r="H2319" s="6">
        <x:v>46258.83860605324</x:v>
      </x:c>
      <x:c r="I2319" s="0"/>
      <x:c r="J2319" s="0"/>
      <x:c r="K2319" s="6">
        <x:v>46258.86425859954</x:v>
      </x:c>
      <x:c r="L2319" t="str" s="2">
        <x:v>Lost</x:v>
      </x:c>
    </x:row>
    <x:row r="2320">
      <x:c r="A2320" t="str" s="2">
        <x:f>="Juan Caviedes"</x:f>
      </x:c>
      <x:c r="B2320" t="str" s="2">
        <x:v>Heritage Housing of Albany</x:v>
      </x:c>
      <x:c r="C2320" t="str" s="2">
        <x:v/>
      </x:c>
      <x:c r="D2320" t="str" s="2">
        <x:v>7254867951</x:v>
      </x:c>
      <x:c r="E2320" t="str" s="2">
        <x:v>parrasergio333@gmail.com</x:v>
      </x:c>
      <x:c r="F2320" t="str" s="2">
        <x:v>Bing - Search</x:v>
      </x:c>
      <x:c r="G2320" t="str" s="2">
        <x:v>Yanet Alvarez</x:v>
      </x:c>
      <x:c r="H2320" s="6">
        <x:v>46258.964363113424</x:v>
      </x:c>
      <x:c r="I2320" s="0"/>
      <x:c r="J2320" s="0"/>
      <x:c r="K2320" s="6">
        <x:v>46259.57934892361</x:v>
      </x:c>
      <x:c r="L2320" t="str" s="2">
        <x:v>Lost</x:v>
      </x:c>
    </x:row>
    <x:row r="2321">
      <x:c r="A2321" t="str" s="2">
        <x:f>="RonChoiz +12741761140"</x:f>
      </x:c>
      <x:c r="B2321" t="str" s="2">
        <x:v>Heritage Housing of Albany</x:v>
      </x:c>
      <x:c r="C2321" t="str" s="2">
        <x:v/>
      </x:c>
      <x:c r="D2321" t="str" s="2">
        <x:v>89912783244</x:v>
      </x:c>
      <x:c r="E2321" t="str" s="2">
        <x:v>pqnoieg@xacmopa.tsj</x:v>
      </x:c>
      <x:c r="F2321" t="str" s="2">
        <x:v>Website</x:v>
      </x:c>
      <x:c r="G2321" t="str" s="2">
        <x:v>Yanet Alvarez</x:v>
      </x:c>
      <x:c r="H2321" s="6">
        <x:v>46259.48665196759</x:v>
      </x:c>
      <x:c r="I2321" s="0"/>
      <x:c r="J2321" s="0"/>
      <x:c r="K2321" s="6">
        <x:v>46283.665333715275</x:v>
      </x:c>
      <x:c r="L2321" t="str" s="2">
        <x:v>Lost</x:v>
      </x:c>
    </x:row>
    <x:row r="2322">
      <x:c r="A2322" t="str" s="2">
        <x:f>="Johni Qumsieh"</x:f>
      </x:c>
      <x:c r="B2322" t="str" s="2">
        <x:v>Heritage Housing of Asheboro</x:v>
      </x:c>
      <x:c r="C2322" t="str" s="2">
        <x:v/>
      </x:c>
      <x:c r="D2322" t="str" s="2">
        <x:v>9197448884</x:v>
      </x:c>
      <x:c r="E2322" t="str" s="2">
        <x:v>johnqu43@gmail.com</x:v>
      </x:c>
      <x:c r="F2322" t="str" s="2">
        <x:v>Landing_BPM</x:v>
      </x:c>
      <x:c r="G2322" t="str" s="2">
        <x:v>Maria Lopez</x:v>
      </x:c>
      <x:c r="H2322" s="6">
        <x:v>46259.51821565972</x:v>
      </x:c>
      <x:c r="I2322" s="0"/>
      <x:c r="J2322" s="0"/>
      <x:c r="K2322" s="6">
        <x:v>46287</x:v>
      </x:c>
      <x:c r="L2322" t="str" s="2">
        <x:v>Lost</x:v>
      </x:c>
    </x:row>
    <x:row r="2323">
      <x:c r="A2323" t="str" s="2">
        <x:f>="MarvinMig MarvinMigWE"</x:f>
      </x:c>
      <x:c r="B2323" t="str" s="2">
        <x:v>Heritage Housing of Greenville</x:v>
      </x:c>
      <x:c r="C2323" t="str" s="2">
        <x:v/>
      </x:c>
      <x:c r="D2323" t="str" s="2">
        <x:v>87483125458</x:v>
      </x:c>
      <x:c r="E2323" t="str" s="2">
        <x:v>dpmnlxj@ntspsuc.pcd</x:v>
      </x:c>
      <x:c r="F2323" t="str" s="2">
        <x:v>Website</x:v>
      </x:c>
      <x:c r="G2323" t="str" s="2">
        <x:v>Greg Christman</x:v>
      </x:c>
      <x:c r="H2323" s="6">
        <x:v>46259.76177010417</x:v>
      </x:c>
      <x:c r="I2323" s="0"/>
      <x:c r="J2323" s="0"/>
      <x:c r="K2323" s="0"/>
      <x:c r="L2323" t="str" s="2">
        <x:v>Lost</x:v>
      </x:c>
    </x:row>
    <x:row r="2324">
      <x:c r="A2324" t="str" s="2">
        <x:f>="asder werfd"</x:f>
      </x:c>
      <x:c r="B2324" t="str" s="2">
        <x:v>Heritage Housing of Albany</x:v>
      </x:c>
      <x:c r="C2324" t="str" s="2">
        <x:v/>
      </x:c>
      <x:c r="D2324" t="str" s="2">
        <x:v>1234356477</x:v>
      </x:c>
      <x:c r="E2324" t="str" s="2">
        <x:v>sdsff@gmail.com</x:v>
      </x:c>
      <x:c r="F2324" t="str" s="2">
        <x:v>Bing - Search</x:v>
      </x:c>
      <x:c r="G2324" t="str" s="2">
        <x:v>Yanet Alvarez</x:v>
      </x:c>
      <x:c r="H2324" s="6">
        <x:v>46259.87158121528</x:v>
      </x:c>
      <x:c r="I2324" s="0"/>
      <x:c r="J2324" s="0"/>
      <x:c r="K2324" s="0"/>
      <x:c r="L2324" t="str" s="2">
        <x:v>Lost</x:v>
      </x:c>
    </x:row>
    <x:row r="2325">
      <x:c r="A2325" t="str" s="2">
        <x:f>="wadgjg cvbgcvv"</x:f>
      </x:c>
      <x:c r="B2325" t="str" s="2">
        <x:v>Heritage Housing of Asheboro</x:v>
      </x:c>
      <x:c r="C2325" t="str" s="2">
        <x:v/>
      </x:c>
      <x:c r="D2325" t="str" s="2">
        <x:v>36545872324</x:v>
      </x:c>
      <x:c r="E2325" t="str" s="2">
        <x:v>sxcgdgbrd@GMAIL.COM</x:v>
      </x:c>
      <x:c r="F2325" t="str" s="2">
        <x:v>Bing - Search</x:v>
      </x:c>
      <x:c r="G2325" t="str" s="2">
        <x:v>Jeremy Jacques</x:v>
      </x:c>
      <x:c r="H2325" s="6">
        <x:v>46259.91258993056</x:v>
      </x:c>
      <x:c r="I2325" s="0"/>
      <x:c r="J2325" s="0"/>
      <x:c r="K2325" s="0"/>
      <x:c r="L2325" t="str" s="2">
        <x:v>Lost</x:v>
      </x:c>
    </x:row>
    <x:row r="2326">
      <x:c r="A2326" t="str" s="2">
        <x:f>="wadyh cvbgcer"</x:f>
      </x:c>
      <x:c r="B2326" t="str" s="2">
        <x:v>Heritage Housing of Asheboro</x:v>
      </x:c>
      <x:c r="C2326" t="str" s="2">
        <x:v/>
      </x:c>
      <x:c r="D2326" t="str" s="2">
        <x:v>36545872323</x:v>
      </x:c>
      <x:c r="E2326" t="str" s="2">
        <x:v>sxscvdgbrd@GMAIL.COM</x:v>
      </x:c>
      <x:c r="F2326" t="str" s="2">
        <x:v>Bing - Search</x:v>
      </x:c>
      <x:c r="G2326" t="str" s="2">
        <x:v>Maria Lopez</x:v>
      </x:c>
      <x:c r="H2326" s="6">
        <x:v>46259.9135318287</x:v>
      </x:c>
      <x:c r="I2326" s="0"/>
      <x:c r="J2326" s="0"/>
      <x:c r="K2326" s="0"/>
      <x:c r="L2326" t="str" s="2">
        <x:v>Lost</x:v>
      </x:c>
    </x:row>
    <x:row r="2327">
      <x:c r="A2327" t="str" s="2">
        <x:f>="Deborah Hickey"</x:f>
      </x:c>
      <x:c r="B2327" t="str" s="2">
        <x:v>Heritage Housing Mt Pleasant</x:v>
      </x:c>
      <x:c r="C2327" t="str" s="2">
        <x:v/>
      </x:c>
      <x:c r="D2327" t="str" s="2">
        <x:v>1207484840</x:v>
      </x:c>
      <x:c r="E2327" t="str" s="2">
        <x:v>deborahhickey1293@gmail.com</x:v>
      </x:c>
      <x:c r="F2327" t="str" s="2">
        <x:v>Landing_BPM</x:v>
      </x:c>
      <x:c r="G2327" t="str" s="2">
        <x:v>Yarelis Torres</x:v>
      </x:c>
      <x:c r="H2327" s="6">
        <x:v>46259.91891921296</x:v>
      </x:c>
      <x:c r="I2327" s="0"/>
      <x:c r="J2327" s="0"/>
      <x:c r="K2327" s="6">
        <x:v>46274.88010204861</x:v>
      </x:c>
      <x:c r="L2327" t="str" s="2">
        <x:v>Lost</x:v>
      </x:c>
    </x:row>
    <x:row r="2328">
      <x:c r="A2328" t="str" s="2">
        <x:f>="wadsc cvbgcwf"</x:f>
      </x:c>
      <x:c r="B2328" t="str" s="2">
        <x:v>Heritage Housing of Athens</x:v>
      </x:c>
      <x:c r="C2328" t="str" s="2">
        <x:v/>
      </x:c>
      <x:c r="D2328" t="str" s="2">
        <x:v>42615985223</x:v>
      </x:c>
      <x:c r="E2328" t="str" s="2">
        <x:v>asbcvdgbrd@GMAIL.COM</x:v>
      </x:c>
      <x:c r="F2328" t="str" s="2">
        <x:v>Bing - Search</x:v>
      </x:c>
      <x:c r="G2328" t="str" s="2">
        <x:v>Nathan Bishop</x:v>
      </x:c>
      <x:c r="H2328" s="6">
        <x:v>46259.933072534724</x:v>
      </x:c>
      <x:c r="I2328" s="0"/>
      <x:c r="J2328" s="0"/>
      <x:c r="K2328" s="0"/>
      <x:c r="L2328" t="str" s="2">
        <x:v>Lost</x:v>
      </x:c>
    </x:row>
    <x:row r="2329">
      <x:c r="A2329" t="str" s="2">
        <x:f>="sxcbdsc wryugcwf"</x:f>
      </x:c>
      <x:c r="B2329" t="str" s="2">
        <x:v>Heritage Housing of Augusta</x:v>
      </x:c>
      <x:c r="C2329" t="str" s="2">
        <x:v/>
      </x:c>
      <x:c r="D2329" t="str" s="2">
        <x:v>2355985223</x:v>
      </x:c>
      <x:c r="E2329" t="str" s="2">
        <x:v>wasfvdgbrd@GMAIL.COM</x:v>
      </x:c>
      <x:c r="F2329" t="str" s="2">
        <x:v>Bing - Search</x:v>
      </x:c>
      <x:c r="G2329" t="str" s="2">
        <x:v>Alex Jones</x:v>
      </x:c>
      <x:c r="H2329" s="6">
        <x:v>46259.93353174769</x:v>
      </x:c>
      <x:c r="I2329" s="0"/>
      <x:c r="J2329" s="0"/>
      <x:c r="K2329" s="0"/>
      <x:c r="L2329" t="str" s="2">
        <x:v>Lost</x:v>
      </x:c>
    </x:row>
    <x:row r="2330">
      <x:c r="A2330" t="str" s="2">
        <x:f>="qacbdsc xcryugcwf"</x:f>
      </x:c>
      <x:c r="B2330" t="str" s="2">
        <x:v>Heritage Housing of Canton</x:v>
      </x:c>
      <x:c r="C2330" t="str" s="2">
        <x:v/>
      </x:c>
      <x:c r="D2330" t="str" s="2">
        <x:v>354985223</x:v>
      </x:c>
      <x:c r="E2330" t="str" s="2">
        <x:v>fadfvdgbrd@GMAIL.COM</x:v>
      </x:c>
      <x:c r="F2330" t="str" s="2">
        <x:v>Bing - Search</x:v>
      </x:c>
      <x:c r="G2330" t="str" s="2">
        <x:v>Maira Garcia</x:v>
      </x:c>
      <x:c r="H2330" s="6">
        <x:v>46259.9341369213</x:v>
      </x:c>
      <x:c r="I2330" s="0"/>
      <x:c r="J2330" s="0"/>
      <x:c r="K2330" s="0"/>
      <x:c r="L2330" t="str" s="2">
        <x:v>Lost</x:v>
      </x:c>
    </x:row>
    <x:row r="2331">
      <x:c r="A2331" t="str" s="2">
        <x:f>="sicbdsc sityugcwf"</x:f>
      </x:c>
      <x:c r="B2331" t="str" s="2">
        <x:v>Heritage Housing Gainesville</x:v>
      </x:c>
      <x:c r="C2331" t="str" s="2">
        <x:v/>
      </x:c>
      <x:c r="D2331" t="str" s="2">
        <x:v>36545872329</x:v>
      </x:c>
      <x:c r="E2331" t="str" s="2">
        <x:v>dcvvdgbrd@GMAIL.COM</x:v>
      </x:c>
      <x:c r="F2331" t="str" s="2">
        <x:v>Bing - Search</x:v>
      </x:c>
      <x:c r="G2331" t="str" s="2">
        <x:v>John Schwichtenberg</x:v>
      </x:c>
      <x:c r="H2331" s="6">
        <x:v>46259.93445625</x:v>
      </x:c>
      <x:c r="I2331" s="0"/>
      <x:c r="J2331" s="0"/>
      <x:c r="K2331" s="0"/>
      <x:c r="L2331" t="str" s="2">
        <x:v>Lost</x:v>
      </x:c>
    </x:row>
    <x:row r="2332">
      <x:c r="A2332" t="str" s="2">
        <x:f>="sfxc dsdfsf"</x:f>
      </x:c>
      <x:c r="B2332" t="str" s="2">
        <x:v>Heritage Housing of Greenville</x:v>
      </x:c>
      <x:c r="C2332" t="str" s="2">
        <x:v/>
      </x:c>
      <x:c r="D2332" t="str" s="2">
        <x:v>53545872324</x:v>
      </x:c>
      <x:c r="E2332" t="str" s="2">
        <x:v>sdsd@gmail.com</x:v>
      </x:c>
      <x:c r="F2332" t="str" s="2">
        <x:v>Bing - Search</x:v>
      </x:c>
      <x:c r="G2332" t="str" s="2">
        <x:v>Ana Garcia</x:v>
      </x:c>
      <x:c r="H2332" s="6">
        <x:v>46259.93477407407</x:v>
      </x:c>
      <x:c r="I2332" s="0"/>
      <x:c r="J2332" s="0"/>
      <x:c r="K2332" s="0"/>
      <x:c r="L2332" t="str" s="2">
        <x:v>Lost</x:v>
      </x:c>
    </x:row>
    <x:row r="2333">
      <x:c r="A2333" t="str" s="2">
        <x:f>="xcdfv mggb"</x:f>
      </x:c>
      <x:c r="B2333" t="str" s="2">
        <x:v>Legacy Housing Corp. DBA Americasa</x:v>
      </x:c>
      <x:c r="C2333" t="str" s="2">
        <x:v/>
      </x:c>
      <x:c r="D2333" t="str" s="2">
        <x:v>35245872322</x:v>
      </x:c>
      <x:c r="E2333" t="str" s="2">
        <x:v>daf@gmail.com</x:v>
      </x:c>
      <x:c r="F2333" t="str" s="2">
        <x:v>Bing - Search</x:v>
      </x:c>
      <x:c r="G2333" t="str" s="2">
        <x:v>Victoria Sanchez</x:v>
      </x:c>
      <x:c r="H2333" s="6">
        <x:v>46259.93680347222</x:v>
      </x:c>
      <x:c r="I2333" s="0"/>
      <x:c r="J2333" s="0"/>
      <x:c r="K2333" s="0"/>
      <x:c r="L2333" t="str" s="2">
        <x:v>Lost</x:v>
      </x:c>
    </x:row>
    <x:row r="2334">
      <x:c r="A2334" t="str" s="2">
        <x:f>="fdsc rfhj"</x:f>
      </x:c>
      <x:c r="B2334" t="str" s="2">
        <x:v>Heritage Housing of Minden</x:v>
      </x:c>
      <x:c r="C2334" t="str" s="2">
        <x:v/>
      </x:c>
      <x:c r="D2334" t="str" s="2">
        <x:v>345467866</x:v>
      </x:c>
      <x:c r="E2334" t="str" s="2">
        <x:v>pix@gmail.com</x:v>
      </x:c>
      <x:c r="F2334" t="str" s="2">
        <x:v>Bing - Search</x:v>
      </x:c>
      <x:c r="G2334" t="str" s="2">
        <x:v>Patrick Schuchart</x:v>
      </x:c>
      <x:c r="H2334" s="6">
        <x:v>46259.938191898145</x:v>
      </x:c>
      <x:c r="I2334" s="0"/>
      <x:c r="J2334" s="0"/>
      <x:c r="K2334" s="0"/>
      <x:c r="L2334" t="str" s="2">
        <x:v>Lost</x:v>
      </x:c>
    </x:row>
    <x:row r="2335">
      <x:c r="A2335" t="str" s="2">
        <x:f>="edft edgs"</x:f>
      </x:c>
      <x:c r="B2335" t="str" s="2">
        <x:v>Heritage Housing Mt Pleasant</x:v>
      </x:c>
      <x:c r="C2335" t="str" s="2">
        <x:v/>
      </x:c>
      <x:c r="D2335" t="str" s="2">
        <x:v>324534675</x:v>
      </x:c>
      <x:c r="E2335" t="str" s="2">
        <x:v>ter@gmail.com</x:v>
      </x:c>
      <x:c r="F2335" t="str" s="2">
        <x:v>Bing - Search</x:v>
      </x:c>
      <x:c r="G2335" t="str" s="2">
        <x:v>Elias Gallardo</x:v>
      </x:c>
      <x:c r="H2335" s="6">
        <x:v>46259.938622222224</x:v>
      </x:c>
      <x:c r="I2335" s="0"/>
      <x:c r="J2335" s="0"/>
      <x:c r="K2335" s="0"/>
      <x:c r="L2335" t="str" s="2">
        <x:v>Lost</x:v>
      </x:c>
    </x:row>
    <x:row r="2336">
      <x:c r="A2336" t="str" s="2">
        <x:f>="wfxzx erdt"</x:f>
      </x:c>
      <x:c r="B2336" t="str" s="2">
        <x:v>Heritage Housing of Oklahoma City</x:v>
      </x:c>
      <x:c r="C2336" t="str" s="2">
        <x:v/>
      </x:c>
      <x:c r="D2336" t="str" s="2">
        <x:v>313294205354</x:v>
      </x:c>
      <x:c r="E2336" t="str" s="2">
        <x:v>per@gmail.com</x:v>
      </x:c>
      <x:c r="F2336" t="str" s="2">
        <x:v>Bing - Search</x:v>
      </x:c>
      <x:c r="G2336" t="str" s="2">
        <x:v>Alejandra Calderon</x:v>
      </x:c>
      <x:c r="H2336" s="6">
        <x:v>46259.93895940972</x:v>
      </x:c>
      <x:c r="I2336" s="0"/>
      <x:c r="J2336" s="0"/>
      <x:c r="K2336" s="0"/>
      <x:c r="L2336" t="str" s="2">
        <x:v>Lost</x:v>
      </x:c>
    </x:row>
    <x:row r="2337">
      <x:c r="A2337" t="str" s="2">
        <x:f>="prgd edrtf"</x:f>
      </x:c>
      <x:c r="B2337" t="str" s="2">
        <x:v>Heritage Housing of Tulsa</x:v>
      </x:c>
      <x:c r="C2337" t="str" s="2">
        <x:v/>
      </x:c>
      <x:c r="D2337" t="str" s="2">
        <x:v>3456467467</x:v>
      </x:c>
      <x:c r="E2337" t="str" s="2">
        <x:v>etds@gmail.com</x:v>
      </x:c>
      <x:c r="F2337" t="str" s="2">
        <x:v>Bing - Search</x:v>
      </x:c>
      <x:c r="G2337" t="str" s="2">
        <x:v>Madison Chapman</x:v>
      </x:c>
      <x:c r="H2337" s="6">
        <x:v>46259.939303125</x:v>
      </x:c>
      <x:c r="I2337" s="0"/>
      <x:c r="J2337" s="0"/>
      <x:c r="K2337" s="0"/>
      <x:c r="L2337" t="str" s="2">
        <x:v>Lost</x:v>
      </x:c>
    </x:row>
    <x:row r="2338">
      <x:c r="A2338" t="str" s="2">
        <x:f>="Candace McGill"</x:f>
      </x:c>
      <x:c r="B2338" t="str" s="2">
        <x:v>Heritage Housing of Augusta</x:v>
      </x:c>
      <x:c r="C2338" t="str" s="2">
        <x:v/>
      </x:c>
      <x:c r="D2338" t="str" s="2">
        <x:v>9807459823</x:v>
      </x:c>
      <x:c r="E2338" t="str" s="2">
        <x:v>keontezjohnson6@gmail.com</x:v>
      </x:c>
      <x:c r="F2338" t="str" s="2">
        <x:v>Landing_BPM</x:v>
      </x:c>
      <x:c r="G2338" t="str" s="2">
        <x:v>Alex Jones</x:v>
      </x:c>
      <x:c r="H2338" s="6">
        <x:v>46260.00950436343</x:v>
      </x:c>
      <x:c r="I2338" s="0"/>
      <x:c r="J2338" s="0"/>
      <x:c r="K2338" s="6">
        <x:v>46267.64877905093</x:v>
      </x:c>
      <x:c r="L2338" t="str" s="2">
        <x:v>Lost</x:v>
      </x:c>
    </x:row>
    <x:row r="2339">
      <x:c r="A2339" t="str" s="2">
        <x:f>="asdcv wsder"</x:f>
      </x:c>
      <x:c r="B2339" t="str" s="2">
        <x:v>Heritage Housing of Albany</x:v>
      </x:c>
      <x:c r="C2339" t="str" s="2">
        <x:v/>
      </x:c>
      <x:c r="D2339" t="str" s="2">
        <x:v>352864592115</x:v>
      </x:c>
      <x:c r="E2339" t="str" s="2">
        <x:v>midc@gmail.com</x:v>
      </x:c>
      <x:c r="F2339" t="str" s="2">
        <x:v>Bing - Search</x:v>
      </x:c>
      <x:c r="G2339" t="str" s="2">
        <x:v>Yanet Alvarez</x:v>
      </x:c>
      <x:c r="H2339" s="6">
        <x:v>46260.54886574074</x:v>
      </x:c>
      <x:c r="I2339" s="0"/>
      <x:c r="J2339" s="0"/>
      <x:c r="K2339" s="0"/>
      <x:c r="L2339" t="str" s="2">
        <x:v>Lost</x:v>
      </x:c>
    </x:row>
    <x:row r="2340">
      <x:c r="A2340" t="str" s="2">
        <x:f>="Jasmine Toliver"</x:f>
      </x:c>
      <x:c r="B2340" t="str" s="2">
        <x:v>Heritage Housing Gainesville</x:v>
      </x:c>
      <x:c r="C2340" t="str" s="2">
        <x:v/>
      </x:c>
      <x:c r="D2340" t="str" s="2">
        <x:v>9452144877</x:v>
      </x:c>
      <x:c r="E2340" t="str" s="2">
        <x:v>jazzjones2424@gmail.com</x:v>
      </x:c>
      <x:c r="F2340" t="str" s="2">
        <x:v>Landing_BPM</x:v>
      </x:c>
      <x:c r="G2340" t="str" s="2">
        <x:v>John Schwichtenberg</x:v>
      </x:c>
      <x:c r="H2340" s="6">
        <x:v>46260.6368915162</x:v>
      </x:c>
      <x:c r="I2340" s="0"/>
      <x:c r="J2340" s="0"/>
      <x:c r="K2340" s="6">
        <x:v>46269</x:v>
      </x:c>
      <x:c r="L2340" t="str" s="2">
        <x:v>Lost</x:v>
      </x:c>
    </x:row>
    <x:row r="2341">
      <x:c r="A2341" t="str" s="2">
        <x:f>="Deakon Williams"</x:f>
      </x:c>
      <x:c r="B2341" t="str" s="2">
        <x:v>Heritage Housing Gainesville</x:v>
      </x:c>
      <x:c r="C2341" t="str" s="2">
        <x:v/>
      </x:c>
      <x:c r="D2341" t="str" s="2">
        <x:v>9402564273</x:v>
      </x:c>
      <x:c r="E2341" t="str" s="2">
        <x:v/>
      </x:c>
      <x:c r="F2341" t="str" s="2">
        <x:v>Cliengo Bot</x:v>
      </x:c>
      <x:c r="G2341" s="0"/>
      <x:c r="H2341" s="6">
        <x:v>46261.62951049768</x:v>
      </x:c>
      <x:c r="I2341" s="0"/>
      <x:c r="J2341" s="0"/>
      <x:c r="K2341" s="6">
        <x:v>46269</x:v>
      </x:c>
      <x:c r="L2341" t="str" s="2">
        <x:v>Lost</x:v>
      </x:c>
    </x:row>
    <x:row r="2342">
      <x:c r="A2342" t="str" s="2">
        <x:f>="william smith"</x:f>
      </x:c>
      <x:c r="B2342" t="str" s="2">
        <x:v>Heritage Housing of Albany</x:v>
      </x:c>
      <x:c r="C2342" t="str" s="2">
        <x:v/>
      </x:c>
      <x:c r="D2342" t="str" s="2">
        <x:v>22994912223</x:v>
      </x:c>
      <x:c r="E2342" t="str" s="2">
        <x:v>jacobosmom121810@gmail.com</x:v>
      </x:c>
      <x:c r="F2342" t="str" s="2">
        <x:v>Landing_BPM</x:v>
      </x:c>
      <x:c r="G2342" t="str" s="2">
        <x:v>Yanet Alvarez</x:v>
      </x:c>
      <x:c r="H2342" s="6">
        <x:v>46261.669978935184</x:v>
      </x:c>
      <x:c r="I2342" s="0"/>
      <x:c r="J2342" s="0"/>
      <x:c r="K2342" s="6">
        <x:v>46283.685747222225</x:v>
      </x:c>
      <x:c r="L2342" t="str" s="2">
        <x:v>Lost</x:v>
      </x:c>
    </x:row>
    <x:row r="2343">
      <x:c r="A2343" t="str" s="2">
        <x:f>="MarvinMig MarvinMigWE"</x:f>
      </x:c>
      <x:c r="B2343" t="str" s="2">
        <x:v>Heritage Housing of Greenville</x:v>
      </x:c>
      <x:c r="C2343" t="str" s="2">
        <x:v/>
      </x:c>
      <x:c r="D2343" t="str" s="2">
        <x:v>85131723355</x:v>
      </x:c>
      <x:c r="E2343" t="str" s="2">
        <x:v>ifjumgd@wueaxnb.sot</x:v>
      </x:c>
      <x:c r="F2343" t="str" s="2">
        <x:v>Website</x:v>
      </x:c>
      <x:c r="G2343" t="str" s="2">
        <x:v>Greg Christman</x:v>
      </x:c>
      <x:c r="H2343" s="6">
        <x:v>46262.35020621528</x:v>
      </x:c>
      <x:c r="I2343" s="0"/>
      <x:c r="J2343" s="0"/>
      <x:c r="K2343" s="0"/>
      <x:c r="L2343" t="str" s="2">
        <x:v>Lost</x:v>
      </x:c>
    </x:row>
    <x:row r="2344">
      <x:c r="A2344" t="str" s="2">
        <x:f>="Joseph Boudreaux"</x:f>
      </x:c>
      <x:c r="B2344" t="str" s="2">
        <x:v>Heritage Housing of Jennings</x:v>
      </x:c>
      <x:c r="C2344" t="str" s="2">
        <x:v/>
      </x:c>
      <x:c r="D2344" t="str" s="2">
        <x:v>3372271633</x:v>
      </x:c>
      <x:c r="E2344" t="str" s="2">
        <x:v>boudreauxsbest2025@gmail.com</x:v>
      </x:c>
      <x:c r="F2344" t="str" s="2">
        <x:v>Landing_BPM</x:v>
      </x:c>
      <x:c r="G2344" t="str" s="2">
        <x:v>Mervin Leslie Smith</x:v>
      </x:c>
      <x:c r="H2344" s="6">
        <x:v>46262.49340778935</x:v>
      </x:c>
      <x:c r="I2344" s="0"/>
      <x:c r="J2344" s="0"/>
      <x:c r="K2344" s="6">
        <x:v>46265.80720798611</x:v>
      </x:c>
      <x:c r="L2344" t="str" s="2">
        <x:v>Lost</x:v>
      </x:c>
    </x:row>
    <x:row r="2345">
      <x:c r="A2345" t="str" s="2">
        <x:f>="Gwendolyn Richardson-Cook"</x:f>
      </x:c>
      <x:c r="B2345" t="str" s="2">
        <x:v>Heritage Housing Gainesville</x:v>
      </x:c>
      <x:c r="C2345" t="str" s="2">
        <x:v/>
      </x:c>
      <x:c r="D2345" t="str" s="2">
        <x:v>2543457267</x:v>
      </x:c>
      <x:c r="E2345" t="str" s="2">
        <x:v>richardsoncookg@gmail.com</x:v>
      </x:c>
      <x:c r="F2345" t="str" s="2">
        <x:v>Landing_BPM</x:v>
      </x:c>
      <x:c r="G2345" t="str" s="2">
        <x:v>John Schwichtenberg</x:v>
      </x:c>
      <x:c r="H2345" s="6">
        <x:v>46262.570658414355</x:v>
      </x:c>
      <x:c r="I2345" s="0"/>
      <x:c r="J2345" s="0"/>
      <x:c r="K2345" s="6">
        <x:v>46269</x:v>
      </x:c>
      <x:c r="L2345" t="str" s="2">
        <x:v>Lost</x:v>
      </x:c>
    </x:row>
    <x:row r="2346">
      <x:c r="A2346" t="str" s="2">
        <x:f>="April Watkins"</x:f>
      </x:c>
      <x:c r="B2346" t="str" s="2">
        <x:v>Heritage Housing of Augusta</x:v>
      </x:c>
      <x:c r="C2346" t="str" s="2">
        <x:v/>
      </x:c>
      <x:c r="D2346" t="str" s="2">
        <x:v>8033342819</x:v>
      </x:c>
      <x:c r="E2346" t="str" s="2">
        <x:v>sw83773@gmail.com</x:v>
      </x:c>
      <x:c r="F2346" t="str" s="2">
        <x:v>Landing_BPM</x:v>
      </x:c>
      <x:c r="G2346" t="str" s="2">
        <x:v>Faye Lively</x:v>
      </x:c>
      <x:c r="H2346" s="6">
        <x:v>46262.72272762731</x:v>
      </x:c>
      <x:c r="I2346" s="0"/>
      <x:c r="J2346" s="0"/>
      <x:c r="K2346" s="6">
        <x:v>46275.6051003125</x:v>
      </x:c>
      <x:c r="L2346" t="str" s="2">
        <x:v>Lost</x:v>
      </x:c>
    </x:row>
    <x:row r="2347">
      <x:c r="A2347" t="str" s="2">
        <x:f>="Mary Glover"</x:f>
      </x:c>
      <x:c r="B2347" t="str" s="2">
        <x:v>Heritage Housing Gainesville</x:v>
      </x:c>
      <x:c r="C2347" t="str" s="2">
        <x:v/>
      </x:c>
      <x:c r="D2347" t="str" s="2">
        <x:v>9403675684</x:v>
      </x:c>
      <x:c r="E2347" t="str" s="2">
        <x:v>meglover64@gmail.com</x:v>
      </x:c>
      <x:c r="F2347" t="str" s="2">
        <x:v>Bing - Search</x:v>
      </x:c>
      <x:c r="G2347" t="str" s="2">
        <x:v>John Schwichtenberg</x:v>
      </x:c>
      <x:c r="H2347" s="6">
        <x:v>46262.7482627662</x:v>
      </x:c>
      <x:c r="I2347" s="0"/>
      <x:c r="J2347" s="0"/>
      <x:c r="K2347" s="6">
        <x:v>46269</x:v>
      </x:c>
      <x:c r="L2347" t="str" s="2">
        <x:v>Lost</x:v>
      </x:c>
    </x:row>
    <x:row r="2348">
      <x:c r="A2348" t="str" s="2">
        <x:f>="Courtney Wyatt"</x:f>
      </x:c>
      <x:c r="B2348" t="str" s="2">
        <x:v>Heritage Housing of Athens</x:v>
      </x:c>
      <x:c r="C2348" t="str" s="2">
        <x:v>0/2</x:v>
      </x:c>
      <x:c r="D2348" t="str" s="2">
        <x:v>4705393356</x:v>
      </x:c>
      <x:c r="E2348" t="str" s="2">
        <x:v>CMWyatt48@gmail.com</x:v>
      </x:c>
      <x:c r="F2348" t="str" s="2">
        <x:v>Landing_BPM</x:v>
      </x:c>
      <x:c r="G2348" t="str" s="2">
        <x:v>Nathan Bishop</x:v>
      </x:c>
      <x:c r="H2348" s="6">
        <x:v>46262.75055737269</x:v>
      </x:c>
      <x:c r="I2348" s="0"/>
      <x:c r="J2348" s="0"/>
      <x:c r="K2348" s="6">
        <x:v>46297</x:v>
      </x:c>
      <x:c r="L2348" t="str" s="2">
        <x:v>Lost</x:v>
      </x:c>
    </x:row>
    <x:row r="2349">
      <x:c r="A2349" t="str" s="2">
        <x:f>="Cheryl Edwards"</x:f>
      </x:c>
      <x:c r="B2349" t="str" s="2">
        <x:v>Heritage Housing of Albany</x:v>
      </x:c>
      <x:c r="C2349" t="str" s="2">
        <x:v/>
      </x:c>
      <x:c r="D2349" t="str" s="2">
        <x:v>2293441568</x:v>
      </x:c>
      <x:c r="E2349" t="str" s="2">
        <x:v>katrice03@yahoo.com</x:v>
      </x:c>
      <x:c r="F2349" t="str" s="2">
        <x:v>Landing_BPM</x:v>
      </x:c>
      <x:c r="G2349" t="str" s="2">
        <x:v>Yanet Alvarez</x:v>
      </x:c>
      <x:c r="H2349" s="6">
        <x:v>46262.75781446759</x:v>
      </x:c>
      <x:c r="I2349" s="0"/>
      <x:c r="J2349" s="0"/>
      <x:c r="K2349" s="6">
        <x:v>46267</x:v>
      </x:c>
      <x:c r="L2349" t="str" s="2">
        <x:v>Lost</x:v>
      </x:c>
    </x:row>
    <x:row r="2350">
      <x:c r="A2350" t="str" s="2">
        <x:f>="awsds asas"</x:f>
      </x:c>
      <x:c r="B2350" t="str" s="2">
        <x:v>Heritage Housing of Athens</x:v>
      </x:c>
      <x:c r="C2350" t="str" s="2">
        <x:v/>
      </x:c>
      <x:c r="D2350" t="str" s="2">
        <x:v>2329232</x:v>
      </x:c>
      <x:c r="E2350" t="str" s="2">
        <x:v>psdr@gmail.com</x:v>
      </x:c>
      <x:c r="F2350" t="str" s="2">
        <x:v>Youtube</x:v>
      </x:c>
      <x:c r="G2350" t="str" s="2">
        <x:v>Nathan Bishop</x:v>
      </x:c>
      <x:c r="H2350" s="6">
        <x:v>46262.92307048611</x:v>
      </x:c>
      <x:c r="I2350" s="0"/>
      <x:c r="J2350" s="0"/>
      <x:c r="K2350" s="0"/>
      <x:c r="L2350" t="str" s="2">
        <x:v>Lost</x:v>
      </x:c>
    </x:row>
    <x:row r="2351">
      <x:c r="A2351" t="str" s="2">
        <x:f>="ertd sdfc"</x:f>
      </x:c>
      <x:c r="B2351" t="str" s="2">
        <x:v>Heritage Housing of Oklahoma City</x:v>
      </x:c>
      <x:c r="C2351" t="str" s="2">
        <x:v/>
      </x:c>
      <x:c r="D2351" t="str" s="2">
        <x:v>4589561254</x:v>
      </x:c>
      <x:c r="E2351" t="str" s="2">
        <x:v>dep@gmail.com</x:v>
      </x:c>
      <x:c r="F2351" t="str" s="2">
        <x:v>Youtube</x:v>
      </x:c>
      <x:c r="G2351" t="str" s="2">
        <x:v>Trey Rixleben</x:v>
      </x:c>
      <x:c r="H2351" s="6">
        <x:v>46262.9425908912</x:v>
      </x:c>
      <x:c r="I2351" s="0"/>
      <x:c r="J2351" s="0"/>
      <x:c r="K2351" s="6">
        <x:v>46262.942899155096</x:v>
      </x:c>
      <x:c r="L2351" t="str" s="2">
        <x:v>Lost</x:v>
      </x:c>
    </x:row>
    <x:row r="2352">
      <x:c r="A2352" t="str" s="2">
        <x:f>="ewds adsdd"</x:f>
      </x:c>
      <x:c r="B2352" t="str" s="2">
        <x:v>Heritage Housing of Greenville</x:v>
      </x:c>
      <x:c r="C2352" t="str" s="2">
        <x:v/>
      </x:c>
      <x:c r="D2352" t="str" s="2">
        <x:v>4758695263</x:v>
      </x:c>
      <x:c r="E2352" t="str" s="2">
        <x:v>pas@gmail.com</x:v>
      </x:c>
      <x:c r="F2352" t="str" s="2">
        <x:v>Youtube</x:v>
      </x:c>
      <x:c r="G2352" t="str" s="2">
        <x:v>Brooklynn Allen</x:v>
      </x:c>
      <x:c r="H2352" s="6">
        <x:v>46262.94419918981</x:v>
      </x:c>
      <x:c r="I2352" s="0"/>
      <x:c r="J2352" s="0"/>
      <x:c r="K2352" s="0"/>
      <x:c r="L2352" t="str" s="2">
        <x:v>Lost</x:v>
      </x:c>
    </x:row>
    <x:row r="2353">
      <x:c r="A2353" t="str" s="2">
        <x:f>="Sherry Pilgrim"</x:f>
      </x:c>
      <x:c r="B2353" t="str" s="2">
        <x:v>Heritage Housing of Athens</x:v>
      </x:c>
      <x:c r="C2353" t="str" s="2">
        <x:v>0/1</x:v>
      </x:c>
      <x:c r="D2353" t="str" s="2">
        <x:v>4709847715</x:v>
      </x:c>
      <x:c r="E2353" t="str" s="2">
        <x:v>pilgrimsherry56@gmail.com</x:v>
      </x:c>
      <x:c r="F2353" t="str" s="2">
        <x:v>Landing_BPM</x:v>
      </x:c>
      <x:c r="G2353" t="str" s="2">
        <x:v>Nathan Bishop</x:v>
      </x:c>
      <x:c r="H2353" s="6">
        <x:v>46263.746682372686</x:v>
      </x:c>
      <x:c r="I2353" s="0"/>
      <x:c r="J2353" s="0"/>
      <x:c r="K2353" s="6">
        <x:v>46266</x:v>
      </x:c>
      <x:c r="L2353" t="str" s="2">
        <x:v>Lost</x:v>
      </x:c>
    </x:row>
    <x:row r="2354">
      <x:c r="A2354" t="str" s="2">
        <x:f>="RonChoiz +12741761140"</x:f>
      </x:c>
      <x:c r="B2354" t="str" s="2">
        <x:v>Heritage Housing of Albany</x:v>
      </x:c>
      <x:c r="C2354" t="str" s="2">
        <x:v/>
      </x:c>
      <x:c r="D2354" t="str" s="2">
        <x:v>84316885667</x:v>
      </x:c>
      <x:c r="E2354" t="str" s="2">
        <x:v>hfkeees@kilbfde.lxr</x:v>
      </x:c>
      <x:c r="F2354" t="str" s="2">
        <x:v>Website</x:v>
      </x:c>
      <x:c r="G2354" t="str" s="2">
        <x:v>Justin Johnson</x:v>
      </x:c>
      <x:c r="H2354" s="6">
        <x:v>46263.836993171295</x:v>
      </x:c>
      <x:c r="I2354" s="0"/>
      <x:c r="J2354" s="0"/>
      <x:c r="K2354" s="6">
        <x:v>46265.599399652776</x:v>
      </x:c>
      <x:c r="L2354" t="str" s="2">
        <x:v>Lost</x:v>
      </x:c>
    </x:row>
    <x:row r="2355">
      <x:c r="A2355" t="str" s="2">
        <x:f>="Dnaja Bryson"</x:f>
      </x:c>
      <x:c r="B2355" t="str" s="2">
        <x:v>Heritage Housing of Augusta</x:v>
      </x:c>
      <x:c r="C2355" t="str" s="2">
        <x:v/>
      </x:c>
      <x:c r="D2355" t="str" s="2">
        <x:v>7064458238</x:v>
      </x:c>
      <x:c r="E2355" t="str" s="2">
        <x:v>simonebryson97@gmail.com</x:v>
      </x:c>
      <x:c r="F2355" t="str" s="2">
        <x:v>Website</x:v>
      </x:c>
      <x:c r="G2355" t="str" s="2">
        <x:v>Alex Jones</x:v>
      </x:c>
      <x:c r="H2355" s="6">
        <x:v>46264.56843515046</x:v>
      </x:c>
      <x:c r="I2355" s="0"/>
      <x:c r="J2355" s="0"/>
      <x:c r="K2355" s="6">
        <x:v>46281.907546759256</x:v>
      </x:c>
      <x:c r="L2355" t="str" s="2">
        <x:v>Lost</x:v>
      </x:c>
    </x:row>
    <x:row r="2356">
      <x:c r="A2356" t="str" s="2">
        <x:f>="Rosalinda Rivera"</x:f>
      </x:c>
      <x:c r="B2356" t="str" s="2">
        <x:v>Heritage Housing Gainesville</x:v>
      </x:c>
      <x:c r="C2356" t="str" s="2">
        <x:v/>
      </x:c>
      <x:c r="D2356" t="str" s="2">
        <x:v>9404527474</x:v>
      </x:c>
      <x:c r="E2356" t="str" s="2">
        <x:v>rosierivera72@gmail.com</x:v>
      </x:c>
      <x:c r="F2356" t="str" s="2">
        <x:v>Landing_BPM</x:v>
      </x:c>
      <x:c r="G2356" t="str" s="2">
        <x:v>John Schwichtenberg</x:v>
      </x:c>
      <x:c r="H2356" s="6">
        <x:v>46264.853713344906</x:v>
      </x:c>
      <x:c r="I2356" s="0"/>
      <x:c r="J2356" s="0"/>
      <x:c r="K2356" s="6">
        <x:v>46269</x:v>
      </x:c>
      <x:c r="L2356" t="str" s="2">
        <x:v>Lost</x:v>
      </x:c>
    </x:row>
    <x:row r="2357">
      <x:c r="A2357" t="str" s="2">
        <x:f>="Joshua lowe"</x:f>
      </x:c>
      <x:c r="B2357" t="str" s="2">
        <x:v>Heritage Housing Gainesville</x:v>
      </x:c>
      <x:c r="C2357" t="str" s="2">
        <x:v/>
      </x:c>
      <x:c r="D2357" t="str" s="2">
        <x:v>9402322194</x:v>
      </x:c>
      <x:c r="E2357" t="str" s="2">
        <x:v>lowejay063089@gmail.com</x:v>
      </x:c>
      <x:c r="F2357" t="str" s="2">
        <x:v>Landing_BPM</x:v>
      </x:c>
      <x:c r="G2357" t="str" s="2">
        <x:v>John Schwichtenberg</x:v>
      </x:c>
      <x:c r="H2357" s="6">
        <x:v>46265.11267986111</x:v>
      </x:c>
      <x:c r="I2357" s="0"/>
      <x:c r="J2357" s="0"/>
      <x:c r="K2357" s="6">
        <x:v>46269</x:v>
      </x:c>
      <x:c r="L2357" t="str" s="2">
        <x:v>Lost</x:v>
      </x:c>
    </x:row>
    <x:row r="2358">
      <x:c r="A2358" t="str" s="2">
        <x:f>="lisa fontenot"</x:f>
      </x:c>
      <x:c r="B2358" t="str" s="2">
        <x:v>Heritage Housing of Jennings</x:v>
      </x:c>
      <x:c r="C2358" t="str" s="2">
        <x:v/>
      </x:c>
      <x:c r="D2358" t="str" s="2">
        <x:v>3372220782</x:v>
      </x:c>
      <x:c r="E2358" t="str" s="2">
        <x:v>leefontenot66@gmail.com</x:v>
      </x:c>
      <x:c r="F2358" t="str" s="2">
        <x:v>Landing_BPM</x:v>
      </x:c>
      <x:c r="G2358" t="str" s="2">
        <x:v>Mervin Leslie Smith</x:v>
      </x:c>
      <x:c r="H2358" s="6">
        <x:v>46265.14407766204</x:v>
      </x:c>
      <x:c r="I2358" s="0"/>
      <x:c r="J2358" s="0"/>
      <x:c r="K2358" s="6">
        <x:v>46267.80682693287</x:v>
      </x:c>
      <x:c r="L2358" t="str" s="2">
        <x:v>Lost</x:v>
      </x:c>
    </x:row>
    <x:row r="2359">
      <x:c r="A2359" t="str" s="2">
        <x:f>="MarvinMig MarvinMigWE"</x:f>
      </x:c>
      <x:c r="B2359" t="str" s="2">
        <x:v>Heritage Housing of Greenville</x:v>
      </x:c>
      <x:c r="C2359" t="str" s="2">
        <x:v/>
      </x:c>
      <x:c r="D2359" t="str" s="2">
        <x:v>87725455977</x:v>
      </x:c>
      <x:c r="E2359" t="str" s="2">
        <x:v>cxgpsuk@hximqpe.mqd</x:v>
      </x:c>
      <x:c r="F2359" t="str" s="2">
        <x:v>Website</x:v>
      </x:c>
      <x:c r="G2359" t="str" s="2">
        <x:v>Greg Christman</x:v>
      </x:c>
      <x:c r="H2359" s="6">
        <x:v>46265.19855934028</x:v>
      </x:c>
      <x:c r="I2359" s="0"/>
      <x:c r="J2359" s="0"/>
      <x:c r="K2359" s="0"/>
      <x:c r="L2359" t="str" s="2">
        <x:v>Lost</x:v>
      </x:c>
    </x:row>
    <x:row r="2360">
      <x:c r="A2360" t="str" s="2">
        <x:f>="Rondia GOLIGHTLY"</x:f>
      </x:c>
      <x:c r="B2360" t="str" s="2">
        <x:v>Heritage Housing of Albany</x:v>
      </x:c>
      <x:c r="C2360" t="str" s="2">
        <x:v/>
      </x:c>
      <x:c r="D2360" t="str" s="2">
        <x:v>6148432268</x:v>
      </x:c>
      <x:c r="E2360" t="str" s="2">
        <x:v>Rondiagogo@yahoo.com</x:v>
      </x:c>
      <x:c r="F2360" t="str" s="2">
        <x:v>Youtube</x:v>
      </x:c>
      <x:c r="G2360" t="str" s="2">
        <x:v>Justin Johnson</x:v>
      </x:c>
      <x:c r="H2360" s="6">
        <x:v>46265.605122256944</x:v>
      </x:c>
      <x:c r="I2360" s="0"/>
      <x:c r="J2360" s="0"/>
      <x:c r="K2360" s="6">
        <x:v>46265.847497835646</x:v>
      </x:c>
      <x:c r="L2360" t="str" s="2">
        <x:v>Lost</x:v>
      </x:c>
    </x:row>
    <x:row r="2361">
      <x:c r="A2361" t="str" s="2">
        <x:f>="Anthony Lawton"</x:f>
      </x:c>
      <x:c r="B2361" t="str" s="2">
        <x:v>Heritage Housing of Jennings</x:v>
      </x:c>
      <x:c r="C2361" t="str" s="2">
        <x:v/>
      </x:c>
      <x:c r="D2361" t="str" s="2">
        <x:v>3182057030</x:v>
      </x:c>
      <x:c r="E2361" t="str" s="2">
        <x:v>ajames8886@gmail.com</x:v>
      </x:c>
      <x:c r="F2361" t="str" s="2">
        <x:v>Youtube</x:v>
      </x:c>
      <x:c r="G2361" t="str" s="2">
        <x:v>Mervin Leslie Smith</x:v>
      </x:c>
      <x:c r="H2361" s="6">
        <x:v>46265.973803622684</x:v>
      </x:c>
      <x:c r="I2361" s="0"/>
      <x:c r="J2361" s="0"/>
      <x:c r="K2361" s="6">
        <x:v>46268.76293237269</x:v>
      </x:c>
      <x:c r="L2361" t="str" s="2">
        <x:v>Lost</x:v>
      </x:c>
    </x:row>
    <x:row r="2362">
      <x:c r="A2362" t="str" s="2">
        <x:f>="MarvinMig MarvinMigWE"</x:f>
      </x:c>
      <x:c r="B2362" t="str" s="2">
        <x:v>Heritage Housing of Greenville</x:v>
      </x:c>
      <x:c r="C2362" t="str" s="2">
        <x:v/>
      </x:c>
      <x:c r="D2362" t="str" s="2">
        <x:v>81778871974</x:v>
      </x:c>
      <x:c r="E2362" t="str" s="2">
        <x:v>vsitdkc@fniklsv.ohx</x:v>
      </x:c>
      <x:c r="F2362" t="str" s="2">
        <x:v>Website</x:v>
      </x:c>
      <x:c r="G2362" t="str" s="2">
        <x:v>Greg Christman</x:v>
      </x:c>
      <x:c r="H2362" s="6">
        <x:v>46266.42760135417</x:v>
      </x:c>
      <x:c r="I2362" s="0"/>
      <x:c r="J2362" s="0"/>
      <x:c r="K2362" s="0"/>
      <x:c r="L2362" t="str" s="2">
        <x:v>Lost</x:v>
      </x:c>
    </x:row>
    <x:row r="2363">
      <x:c r="A2363" t="str" s="2">
        <x:f>="Stephen Saxon"</x:f>
      </x:c>
      <x:c r="B2363" t="str" s="2">
        <x:v>Heritage Housing of Athens</x:v>
      </x:c>
      <x:c r="C2363" t="str" s="2">
        <x:v/>
      </x:c>
      <x:c r="D2363" t="str" s="2">
        <x:v>7068057715</x:v>
      </x:c>
      <x:c r="E2363" t="str" s="2">
        <x:v>sssandblast@yahoo.com</x:v>
      </x:c>
      <x:c r="F2363" t="str" s="2">
        <x:v>LandingPage</x:v>
      </x:c>
      <x:c r="G2363" t="str" s="2">
        <x:v>Nathan Bishop</x:v>
      </x:c>
      <x:c r="H2363" s="6">
        <x:v>46266.501994872684</x:v>
      </x:c>
      <x:c r="I2363" s="0"/>
      <x:c r="J2363" s="0"/>
      <x:c r="K2363" s="6">
        <x:v>46289</x:v>
      </x:c>
      <x:c r="L2363" t="str" s="2">
        <x:v>Lost</x:v>
      </x:c>
    </x:row>
    <x:row r="2364">
      <x:c r="A2364" t="str" s="2">
        <x:f>="B S"</x:f>
      </x:c>
      <x:c r="B2364" t="str" s="2">
        <x:v>Heritage Housing of Tulsa</x:v>
      </x:c>
      <x:c r="C2364" t="str" s="2">
        <x:v/>
      </x:c>
      <x:c r="D2364" t="str" s="2">
        <x:v>9034543977</x:v>
      </x:c>
      <x:c r="E2364" t="str" s="2">
        <x:v>bsartor46@yahoo.com</x:v>
      </x:c>
      <x:c r="F2364" t="str" s="2">
        <x:v>Walk-in</x:v>
      </x:c>
      <x:c r="G2364" s="0"/>
      <x:c r="H2364" s="6">
        <x:v>46266.583849918985</x:v>
      </x:c>
      <x:c r="I2364" s="0"/>
      <x:c r="J2364" s="0"/>
      <x:c r="K2364" s="0"/>
      <x:c r="L2364" t="str" s="2">
        <x:v>Lost</x:v>
      </x:c>
    </x:row>
    <x:row r="2365">
      <x:c r="A2365" t="str" s="2">
        <x:f>="Ashlea Poole"</x:f>
      </x:c>
      <x:c r="B2365" t="str" s="2">
        <x:v>Heritage Housing of Albany</x:v>
      </x:c>
      <x:c r="C2365" t="str" s="2">
        <x:v/>
      </x:c>
      <x:c r="D2365" t="str" s="2">
        <x:v>2299471306</x:v>
      </x:c>
      <x:c r="E2365" t="str" s="2">
        <x:v>raeraepoole33@yahoo.com</x:v>
      </x:c>
      <x:c r="F2365" t="str" s="2">
        <x:v>LandingPage</x:v>
      </x:c>
      <x:c r="G2365" t="str" s="2">
        <x:v>Yanet Alvarez</x:v>
      </x:c>
      <x:c r="H2365" s="6">
        <x:v>46266.710875578705</x:v>
      </x:c>
      <x:c r="I2365" s="0"/>
      <x:c r="J2365" s="0"/>
      <x:c r="K2365" s="6">
        <x:v>46266.74421215278</x:v>
      </x:c>
      <x:c r="L2365" t="str" s="2">
        <x:v>Lost</x:v>
      </x:c>
    </x:row>
    <x:row r="2366">
      <x:c r="A2366" t="str" s="2">
        <x:f>="Robert Ester"</x:f>
      </x:c>
      <x:c r="B2366" t="str" s="2">
        <x:v>Heritage Housing of Asheboro</x:v>
      </x:c>
      <x:c r="C2366" t="str" s="2">
        <x:v/>
      </x:c>
      <x:c r="D2366" t="str" s="2">
        <x:v>9102203753</x:v>
      </x:c>
      <x:c r="E2366" t="str" s="2">
        <x:v>rester92@gmail.com</x:v>
      </x:c>
      <x:c r="F2366" t="str" s="2">
        <x:v>Landing_BPM</x:v>
      </x:c>
      <x:c r="G2366" t="str" s="2">
        <x:v>Maria Lopez</x:v>
      </x:c>
      <x:c r="H2366" s="6">
        <x:v>46267.06130320602</x:v>
      </x:c>
      <x:c r="I2366" s="0"/>
      <x:c r="J2366" s="0"/>
      <x:c r="K2366" s="6">
        <x:v>46268</x:v>
      </x:c>
      <x:c r="L2366" t="str" s="2">
        <x:v>Lost</x:v>
      </x:c>
    </x:row>
    <x:row r="2367">
      <x:c r="A2367" t="str" s="2">
        <x:f>="Jaslynn Arceneaux"</x:f>
      </x:c>
      <x:c r="B2367" t="str" s="2">
        <x:v>Heritage Housing of Jennings</x:v>
      </x:c>
      <x:c r="C2367" t="str" s="2">
        <x:v/>
      </x:c>
      <x:c r="D2367" t="str" s="2">
        <x:v>3372962260</x:v>
      </x:c>
      <x:c r="E2367" t="str" s="2">
        <x:v>joluoyeneye@gmail.com</x:v>
      </x:c>
      <x:c r="F2367" t="str" s="2">
        <x:v>Landing_BPM</x:v>
      </x:c>
      <x:c r="G2367" t="str" s="2">
        <x:v>Mervin Leslie Smith</x:v>
      </x:c>
      <x:c r="H2367" s="6">
        <x:v>46267.10231524306</x:v>
      </x:c>
      <x:c r="I2367" s="0"/>
      <x:c r="J2367" s="0"/>
      <x:c r="K2367" s="6">
        <x:v>46268.69185069444</x:v>
      </x:c>
      <x:c r="L2367" t="str" s="2">
        <x:v>Lost</x:v>
      </x:c>
    </x:row>
    <x:row r="2368">
      <x:c r="A2368" t="str" s="2">
        <x:f>="Tyisha Jefferson"</x:f>
      </x:c>
      <x:c r="B2368" t="str" s="2">
        <x:v>Heritage Housing of Minden</x:v>
      </x:c>
      <x:c r="C2368" t="str" s="2">
        <x:v>0/1</x:v>
      </x:c>
      <x:c r="D2368" t="str" s="2">
        <x:v>3184378125</x:v>
      </x:c>
      <x:c r="E2368" t="str" s="2">
        <x:v>tyishajefferson@gmail.com</x:v>
      </x:c>
      <x:c r="F2368" t="str" s="2">
        <x:v>LandingPage</x:v>
      </x:c>
      <x:c r="G2368" t="str" s="2">
        <x:v>Patrick Schuchart</x:v>
      </x:c>
      <x:c r="H2368" s="6">
        <x:v>46267.22701412037</x:v>
      </x:c>
      <x:c r="I2368" s="0"/>
      <x:c r="J2368" s="0"/>
      <x:c r="K2368" s="6">
        <x:v>46289.82052126157</x:v>
      </x:c>
      <x:c r="L2368" t="str" s="2">
        <x:v>Lost</x:v>
      </x:c>
    </x:row>
    <x:row r="2369">
      <x:c r="A2369" t="str" s="2">
        <x:f>="John Young"</x:f>
      </x:c>
      <x:c r="B2369" t="str" s="2">
        <x:v>Heritage Housing of Asheboro</x:v>
      </x:c>
      <x:c r="C2369" t="str" s="2">
        <x:v/>
      </x:c>
      <x:c r="D2369" t="str" s="2">
        <x:v>3368404174</x:v>
      </x:c>
      <x:c r="E2369" t="str" s="2">
        <x:v>youngjohnhey@gmail.com</x:v>
      </x:c>
      <x:c r="F2369" t="str" s="2">
        <x:v>Landing_BPM</x:v>
      </x:c>
      <x:c r="G2369" t="str" s="2">
        <x:v>Maria Lopez</x:v>
      </x:c>
      <x:c r="H2369" s="6">
        <x:v>46267.508898148146</x:v>
      </x:c>
      <x:c r="I2369" s="0"/>
      <x:c r="J2369" s="0"/>
      <x:c r="K2369" s="6">
        <x:v>46267</x:v>
      </x:c>
      <x:c r="L2369" t="str" s="2">
        <x:v>Lost</x:v>
      </x:c>
    </x:row>
    <x:row r="2370">
      <x:c r="A2370" t="str" s="2">
        <x:f>="Tamiko Bullock"</x:f>
      </x:c>
      <x:c r="B2370" t="str" s="2">
        <x:v>Heritage Housing of Augusta</x:v>
      </x:c>
      <x:c r="C2370" t="str" s="2">
        <x:v/>
      </x:c>
      <x:c r="D2370" t="str" s="2">
        <x:v>9804772448</x:v>
      </x:c>
      <x:c r="E2370" t="str" s="2">
        <x:v>tamikobullock46@gmail.com</x:v>
      </x:c>
      <x:c r="F2370" t="str" s="2">
        <x:v>Landing_BPM</x:v>
      </x:c>
      <x:c r="G2370" t="str" s="2">
        <x:v>Faye Lively</x:v>
      </x:c>
      <x:c r="H2370" s="6">
        <x:v>46267.55772121528</x:v>
      </x:c>
      <x:c r="I2370" s="0"/>
      <x:c r="J2370" s="0"/>
      <x:c r="K2370" s="6">
        <x:v>46274</x:v>
      </x:c>
      <x:c r="L2370" t="str" s="2">
        <x:v>Lost</x:v>
      </x:c>
    </x:row>
    <x:row r="2371">
      <x:c r="A2371" t="str" s="2">
        <x:f>="Anthony Taylor Taylor"</x:f>
      </x:c>
      <x:c r="B2371" t="str" s="2">
        <x:v>Heritage Housing of Albany</x:v>
      </x:c>
      <x:c r="C2371" t="str" s="2">
        <x:v/>
      </x:c>
      <x:c r="D2371" t="str" s="2">
        <x:v>2025550180</x:v>
      </x:c>
      <x:c r="E2371" t="str" s="2">
        <x:v>kingsmarine12@gmail.com</x:v>
      </x:c>
      <x:c r="F2371" t="str" s="2">
        <x:v>Website</x:v>
      </x:c>
      <x:c r="G2371" t="str" s="2">
        <x:v>Yanet Alvarez</x:v>
      </x:c>
      <x:c r="H2371" s="6">
        <x:v>46267.60221385417</x:v>
      </x:c>
      <x:c r="I2371" s="0"/>
      <x:c r="J2371" s="0"/>
      <x:c r="K2371" s="6">
        <x:v>46280.81001709491</x:v>
      </x:c>
      <x:c r="L2371" t="str" s="2">
        <x:v>Lost</x:v>
      </x:c>
    </x:row>
    <x:row r="2372">
      <x:c r="A2372" t="str" s="2">
        <x:f>="Ryan Robinson"</x:f>
      </x:c>
      <x:c r="B2372" t="str" s="2">
        <x:v>Heritage Housing of Asheboro</x:v>
      </x:c>
      <x:c r="C2372" t="str" s="2">
        <x:v/>
      </x:c>
      <x:c r="D2372" t="str" s="2">
        <x:v>9804391622</x:v>
      </x:c>
      <x:c r="E2372" t="str" s="2">
        <x:v>robinson8171980@gmail.com</x:v>
      </x:c>
      <x:c r="F2372" t="str" s="2">
        <x:v>Youtube</x:v>
      </x:c>
      <x:c r="G2372" t="str" s="2">
        <x:v>Maria Lopez</x:v>
      </x:c>
      <x:c r="H2372" s="6">
        <x:v>46267.699405405096</x:v>
      </x:c>
      <x:c r="I2372" s="0"/>
      <x:c r="J2372" s="0"/>
      <x:c r="K2372" s="6">
        <x:v>46267</x:v>
      </x:c>
      <x:c r="L2372" t="str" s="2">
        <x:v>Lost</x:v>
      </x:c>
    </x:row>
    <x:row r="2373">
      <x:c r="A2373" t="str" s="2">
        <x:f>="Michelle Ridgeway-McGrann"</x:f>
      </x:c>
      <x:c r="B2373" t="str" s="2">
        <x:v>Heritage Housing of Athens</x:v>
      </x:c>
      <x:c r="C2373" t="str" s="2">
        <x:v>0/1</x:v>
      </x:c>
      <x:c r="D2373" t="str" s="2">
        <x:v>760-407-5794</x:v>
      </x:c>
      <x:c r="E2373" t="str" s="2">
        <x:v>jmmcgrann@gmail.com</x:v>
      </x:c>
      <x:c r="F2373" t="str" s="2">
        <x:v>Bing - Search</x:v>
      </x:c>
      <x:c r="G2373" t="str" s="2">
        <x:v>Nathan Bishop</x:v>
      </x:c>
      <x:c r="H2373" s="6">
        <x:v>46267.70779502315</x:v>
      </x:c>
      <x:c r="I2373" s="0"/>
      <x:c r="J2373" s="0"/>
      <x:c r="K2373" s="6">
        <x:v>46279.89566623842</x:v>
      </x:c>
      <x:c r="L2373" t="str" s="2">
        <x:v>Lost</x:v>
      </x:c>
    </x:row>
    <x:row r="2374">
      <x:c r="A2374" t="str" s="2">
        <x:f>="Ricardo Barahona-Godoy"</x:f>
      </x:c>
      <x:c r="B2374" t="str" s="2">
        <x:v>Heritage Housing of Asheboro</x:v>
      </x:c>
      <x:c r="C2374" t="str" s="2">
        <x:v/>
      </x:c>
      <x:c r="D2374" t="str" s="2">
        <x:v>5129033616</x:v>
      </x:c>
      <x:c r="E2374" t="str" s="2">
        <x:v>fabulosousa@gmail.com</x:v>
      </x:c>
      <x:c r="F2374" t="str" s="2">
        <x:v>Landing_BPM</x:v>
      </x:c>
      <x:c r="G2374" t="str" s="2">
        <x:v>Maria Lopez</x:v>
      </x:c>
      <x:c r="H2374" s="6">
        <x:v>46267.78224163195</x:v>
      </x:c>
      <x:c r="I2374" s="0"/>
      <x:c r="J2374" s="0"/>
      <x:c r="K2374" s="6">
        <x:v>46267</x:v>
      </x:c>
      <x:c r="L2374" t="str" s="2">
        <x:v>Lost</x:v>
      </x:c>
    </x:row>
    <x:row r="2375">
      <x:c r="A2375" t="str" s="2">
        <x:f>="Glen Williams"</x:f>
      </x:c>
      <x:c r="B2375" t="str" s="2">
        <x:v>Heritage Housing of Minden</x:v>
      </x:c>
      <x:c r="C2375" t="str" s="2">
        <x:v/>
      </x:c>
      <x:c r="D2375" t="str" s="2">
        <x:v>5049051319</x:v>
      </x:c>
      <x:c r="E2375" t="str" s="2">
        <x:v>gw943360@gmail.com</x:v>
      </x:c>
      <x:c r="F2375" t="str" s="2">
        <x:v>Bing - Search</x:v>
      </x:c>
      <x:c r="G2375" t="str" s="2">
        <x:v>Patrick Schuchart</x:v>
      </x:c>
      <x:c r="H2375" s="6">
        <x:v>46267.92178267361</x:v>
      </x:c>
      <x:c r="I2375" s="0"/>
      <x:c r="J2375" s="0"/>
      <x:c r="K2375" s="6">
        <x:v>46267.92288128472</x:v>
      </x:c>
      <x:c r="L2375" t="str" s="2">
        <x:v>Lost</x:v>
      </x:c>
    </x:row>
    <x:row r="2376">
      <x:c r="A2376" t="str" s="2">
        <x:f>="MarQuita NarCisse"</x:f>
      </x:c>
      <x:c r="B2376" t="str" s="2">
        <x:v>Heritage Housing of Minden</x:v>
      </x:c>
      <x:c r="C2376" t="str" s="2">
        <x:v>0/1</x:v>
      </x:c>
      <x:c r="D2376" t="str" s="2">
        <x:v>5045783538</x:v>
      </x:c>
      <x:c r="E2376" t="str" s="2">
        <x:v>squitanose@gmail.com</x:v>
      </x:c>
      <x:c r="F2376" t="str" s="2">
        <x:v>Youtube</x:v>
      </x:c>
      <x:c r="G2376" t="str" s="2">
        <x:v>Kyla Brown</x:v>
      </x:c>
      <x:c r="H2376" s="6">
        <x:v>46267.922582141204</x:v>
      </x:c>
      <x:c r="I2376" s="0"/>
      <x:c r="J2376" s="0"/>
      <x:c r="K2376" s="6">
        <x:v>46267.92480385417</x:v>
      </x:c>
      <x:c r="L2376" t="str" s="2">
        <x:v>Lost</x:v>
      </x:c>
    </x:row>
    <x:row r="2377">
      <x:c r="A2377" t="str" s="2">
        <x:f>="Michael Foshee"</x:f>
      </x:c>
      <x:c r="B2377" t="str" s="2">
        <x:v>Heritage Housing of Jennings</x:v>
      </x:c>
      <x:c r="C2377" t="str" s="2">
        <x:v/>
      </x:c>
      <x:c r="D2377" t="str" s="2">
        <x:v>3372220586</x:v>
      </x:c>
      <x:c r="E2377" t="str" s="2">
        <x:v>mikethegreat0123@gmail.com</x:v>
      </x:c>
      <x:c r="F2377" t="str" s="2">
        <x:v>LandingPage</x:v>
      </x:c>
      <x:c r="G2377" t="str" s="2">
        <x:v>Mervin Leslie Smith</x:v>
      </x:c>
      <x:c r="H2377" s="6">
        <x:v>46268.36443136574</x:v>
      </x:c>
      <x:c r="I2377" s="0"/>
      <x:c r="J2377" s="0"/>
      <x:c r="K2377" s="6">
        <x:v>46297.8584772338</x:v>
      </x:c>
      <x:c r="L2377" t="str" s="2">
        <x:v>Lost</x:v>
      </x:c>
    </x:row>
    <x:row r="2378">
      <x:c r="A2378" t="str" s="2">
        <x:f>=HYPERLINK("https://rsms.futurehomex.com/lead/40094", "Penny Penny")</x:f>
      </x:c>
      <x:c r="B2378" t="str" s="2">
        <x:v>Heritage Housing of Tulsa</x:v>
      </x:c>
      <x:c r="C2378" t="str" s="2">
        <x:v/>
      </x:c>
      <x:c r="D2378" t="str" s="2">
        <x:v>9186710518</x:v>
      </x:c>
      <x:c r="E2378" t="str" s="2">
        <x:v>nickelmorris6465@gmail.com</x:v>
      </x:c>
      <x:c r="F2378" t="str" s="2">
        <x:v>Financing Form</x:v>
      </x:c>
      <x:c r="G2378" t="str" s="2">
        <x:v>Jenna Fransisco</x:v>
      </x:c>
      <x:c r="H2378" s="6">
        <x:v>46268.56767017361</x:v>
      </x:c>
      <x:c r="I2378" t="str" s="2">
        <x:v>Jenna Fransisco</x:v>
      </x:c>
      <x:c r="J2378" s="0"/>
      <x:c r="K2378" s="6">
        <x:v>46270</x:v>
      </x:c>
      <x:c r="L2378" t="str" s="2">
        <x:v>Lost</x:v>
      </x:c>
    </x:row>
    <x:row r="2379">
      <x:c r="A2379" t="str" s="2">
        <x:f>="testwork ekeekek"</x:f>
      </x:c>
      <x:c r="B2379" t="str" s="2">
        <x:v>Heritage Housing of Jennings</x:v>
      </x:c>
      <x:c r="C2379" t="str" s="2">
        <x:v/>
      </x:c>
      <x:c r="D2379" t="str" s="2">
        <x:v>fefeee@jdjdyaicj.com</x:v>
      </x:c>
      <x:c r="E2379" t="str" s="2">
        <x:v>fefeee@jdjdyaicj.com</x:v>
      </x:c>
      <x:c r="F2379" t="str" s="2">
        <x:v>Website</x:v>
      </x:c>
      <x:c r="G2379" t="str" s="2">
        <x:v>Mervin Leslie Smith</x:v>
      </x:c>
      <x:c r="H2379" s="6">
        <x:v>46268.6934727662</x:v>
      </x:c>
      <x:c r="I2379" s="0"/>
      <x:c r="J2379" s="0"/>
      <x:c r="K2379" s="0"/>
      <x:c r="L2379" t="str" s="2">
        <x:v>Lost</x:v>
      </x:c>
    </x:row>
    <x:row r="2380">
      <x:c r="A2380" t="str" s="2">
        <x:f>="Latricia Youmans"</x:f>
      </x:c>
      <x:c r="B2380" t="str" s="2">
        <x:v>Heritage Housing of Augusta</x:v>
      </x:c>
      <x:c r="C2380" t="str" s="2">
        <x:v>0/1</x:v>
      </x:c>
      <x:c r="D2380" t="str" s="2">
        <x:v>8035084348</x:v>
      </x:c>
      <x:c r="E2380" t="str" s="2">
        <x:v>lawyoumans@outlook.com</x:v>
      </x:c>
      <x:c r="F2380" t="str" s="2">
        <x:v>Landing_BPM</x:v>
      </x:c>
      <x:c r="G2380" t="str" s="2">
        <x:v>Alex Jones</x:v>
      </x:c>
      <x:c r="H2380" s="6">
        <x:v>46268.69912434028</x:v>
      </x:c>
      <x:c r="I2380" s="0"/>
      <x:c r="J2380" s="0"/>
      <x:c r="K2380" s="6">
        <x:v>46281.90986605324</x:v>
      </x:c>
      <x:c r="L2380" t="str" s="2">
        <x:v>Lost</x:v>
      </x:c>
    </x:row>
    <x:row r="2381">
      <x:c r="A2381" t="str" s="2">
        <x:f>="testing testinggggggg"</x:f>
      </x:c>
      <x:c r="B2381" t="str" s="2">
        <x:v>Legacy Housing Corp. DBA Americasa</x:v>
      </x:c>
      <x:c r="C2381" t="str" s="2">
        <x:v/>
      </x:c>
      <x:c r="D2381" t="str" s="2">
        <x:v>597536987</x:v>
      </x:c>
      <x:c r="E2381" t="str" s="2">
        <x:v>hjdhdhdhd@ldjfhrueud.com</x:v>
      </x:c>
      <x:c r="F2381" t="str" s="2">
        <x:v>Workforce - Meta</x:v>
      </x:c>
      <x:c r="G2381" t="str" s="2">
        <x:v>Victoria Sanchez</x:v>
      </x:c>
      <x:c r="H2381" s="6">
        <x:v>46268.7028278588</x:v>
      </x:c>
      <x:c r="I2381" s="0"/>
      <x:c r="J2381" s="0"/>
      <x:c r="K2381" s="0"/>
      <x:c r="L2381" t="str" s="2">
        <x:v>Lost</x:v>
      </x:c>
    </x:row>
    <x:row r="2382">
      <x:c r="A2382" t="str" s="2">
        <x:f>="Michelle Stepp"</x:f>
      </x:c>
      <x:c r="B2382" t="str" s="2">
        <x:v>Heritage Housing of Asheboro</x:v>
      </x:c>
      <x:c r="C2382" t="str" s="2">
        <x:v/>
      </x:c>
      <x:c r="D2382" t="str" s="2">
        <x:v>8108371735</x:v>
      </x:c>
      <x:c r="E2382" t="str" s="2">
        <x:v>michellestepp8@gmail.com</x:v>
      </x:c>
      <x:c r="F2382" t="str" s="2">
        <x:v>Website</x:v>
      </x:c>
      <x:c r="G2382" t="str" s="2">
        <x:v>Kate Gutierrez</x:v>
      </x:c>
      <x:c r="H2382" s="6">
        <x:v>46268.73712268518</x:v>
      </x:c>
      <x:c r="I2382" s="0"/>
      <x:c r="J2382" s="0"/>
      <x:c r="K2382" s="6">
        <x:v>46268</x:v>
      </x:c>
      <x:c r="L2382" t="str" s="2">
        <x:v>Lost</x:v>
      </x:c>
    </x:row>
    <x:row r="2383">
      <x:c r="A2383" t="str" s="2">
        <x:f>="Destiny Spinks"</x:f>
      </x:c>
      <x:c r="B2383" t="str" s="2">
        <x:v>Heritage Housing of Asheboro</x:v>
      </x:c>
      <x:c r="C2383" t="str" s="2">
        <x:v/>
      </x:c>
      <x:c r="D2383" t="str" s="2">
        <x:v>3363394182</x:v>
      </x:c>
      <x:c r="E2383" t="str" s="2">
        <x:v>destinydelarca@gmail.com</x:v>
      </x:c>
      <x:c r="F2383" t="str" s="2">
        <x:v>Landing_BPM</x:v>
      </x:c>
      <x:c r="G2383" t="str" s="2">
        <x:v>Kate Gutierrez</x:v>
      </x:c>
      <x:c r="H2383" s="6">
        <x:v>46268.926395752314</x:v>
      </x:c>
      <x:c r="I2383" s="0"/>
      <x:c r="J2383" s="0"/>
      <x:c r="K2383" s="6">
        <x:v>46269.85114082176</x:v>
      </x:c>
      <x:c r="L2383" t="str" s="2">
        <x:v>Lost</x:v>
      </x:c>
    </x:row>
    <x:row r="2384">
      <x:c r="A2384" t="str" s="2">
        <x:f>="Madison McGrew"</x:f>
      </x:c>
      <x:c r="B2384" t="str" s="2">
        <x:v>Heritage Housing of Jennings</x:v>
      </x:c>
      <x:c r="C2384" t="str" s="2">
        <x:v/>
      </x:c>
      <x:c r="D2384" t="str" s="2">
        <x:v>2544234462</x:v>
      </x:c>
      <x:c r="E2384" t="str" s="2">
        <x:v>maddym8982@gmail.com</x:v>
      </x:c>
      <x:c r="F2384" t="str" s="2">
        <x:v>Landing_BPM</x:v>
      </x:c>
      <x:c r="G2384" t="str" s="2">
        <x:v>Clint O'Neal</x:v>
      </x:c>
      <x:c r="H2384" s="6">
        <x:v>46268.96471334491</x:v>
      </x:c>
      <x:c r="I2384" s="0"/>
      <x:c r="J2384" s="0"/>
      <x:c r="K2384" s="6">
        <x:v>46281.721318171294</x:v>
      </x:c>
      <x:c r="L2384" t="str" s="2">
        <x:v>Lost</x:v>
      </x:c>
    </x:row>
    <x:row r="2385">
      <x:c r="A2385" t="str" s="2">
        <x:f>="Shannon Hassell"</x:f>
      </x:c>
      <x:c r="B2385" t="str" s="2">
        <x:v>Heritage Housing of Jennings</x:v>
      </x:c>
      <x:c r="C2385" t="str" s="2">
        <x:v/>
      </x:c>
      <x:c r="D2385" t="str" s="2">
        <x:v>3607216431</x:v>
      </x:c>
      <x:c r="E2385" t="str" s="2">
        <x:v>djhassell98@gmail.com</x:v>
      </x:c>
      <x:c r="F2385" t="str" s="2">
        <x:v>Youtube</x:v>
      </x:c>
      <x:c r="G2385" t="str" s="2">
        <x:v>Mervin Leslie Smith</x:v>
      </x:c>
      <x:c r="H2385" s="6">
        <x:v>46268.97132210648</x:v>
      </x:c>
      <x:c r="I2385" s="0"/>
      <x:c r="J2385" s="0"/>
      <x:c r="K2385" s="6">
        <x:v>46269.7713871875</x:v>
      </x:c>
      <x:c r="L2385" t="str" s="2">
        <x:v>Lost</x:v>
      </x:c>
    </x:row>
    <x:row r="2386">
      <x:c r="A2386" t="str" s="2">
        <x:f>="Donna Bohn"</x:f>
      </x:c>
      <x:c r="B2386" t="str" s="2">
        <x:v>Heritage Housing of Jennings</x:v>
      </x:c>
      <x:c r="C2386" t="str" s="2">
        <x:v/>
      </x:c>
      <x:c r="D2386" t="str" s="2">
        <x:v>5043801223</x:v>
      </x:c>
      <x:c r="E2386" t="str" s="2">
        <x:v>freebird058@yahoo.com</x:v>
      </x:c>
      <x:c r="F2386" t="str" s="2">
        <x:v>Youtube</x:v>
      </x:c>
      <x:c r="G2386" t="str" s="2">
        <x:v>Clint O'Neal</x:v>
      </x:c>
      <x:c r="H2386" s="6">
        <x:v>46268.98622774306</x:v>
      </x:c>
      <x:c r="I2386" s="0"/>
      <x:c r="J2386" s="0"/>
      <x:c r="K2386" s="6">
        <x:v>46284.75724074074</x:v>
      </x:c>
      <x:c r="L2386" t="str" s="2">
        <x:v>Lost</x:v>
      </x:c>
    </x:row>
    <x:row r="2387">
      <x:c r="A2387" t="str" s="2">
        <x:f>="Ashley Ferdinand"</x:f>
      </x:c>
      <x:c r="B2387" t="str" s="2">
        <x:v>Heritage Housing of Jennings</x:v>
      </x:c>
      <x:c r="C2387" t="str" s="2">
        <x:v/>
      </x:c>
      <x:c r="D2387" t="str" s="2">
        <x:v>2254937328</x:v>
      </x:c>
      <x:c r="E2387" t="str" s="2">
        <x:v>Taccara125@gmail.com</x:v>
      </x:c>
      <x:c r="F2387" t="str" s="2">
        <x:v>Youtube</x:v>
      </x:c>
      <x:c r="G2387" t="str" s="2">
        <x:v>Mervin Leslie Smith</x:v>
      </x:c>
      <x:c r="H2387" s="6">
        <x:v>46269.08995046296</x:v>
      </x:c>
      <x:c r="I2387" s="0"/>
      <x:c r="J2387" s="0"/>
      <x:c r="K2387" s="6">
        <x:v>46269.68226809028</x:v>
      </x:c>
      <x:c r="L2387" t="str" s="2">
        <x:v>Lost</x:v>
      </x:c>
    </x:row>
    <x:row r="2388">
      <x:c r="A2388" t="str" s="2">
        <x:f>="Chantovia Jackson"</x:f>
      </x:c>
      <x:c r="B2388" t="str" s="2">
        <x:v>Heritage Housing of Greenville</x:v>
      </x:c>
      <x:c r="C2388" t="str" s="2">
        <x:v/>
      </x:c>
      <x:c r="D2388" t="str" s="2">
        <x:v>4694635642</x:v>
      </x:c>
      <x:c r="E2388" t="str" s="2">
        <x:v>Mschantie@gmail.com</x:v>
      </x:c>
      <x:c r="F2388" t="str" s="2">
        <x:v>Landing_BPM</x:v>
      </x:c>
      <x:c r="G2388" t="str" s="2">
        <x:v>Greg Christman</x:v>
      </x:c>
      <x:c r="H2388" s="6">
        <x:v>46269.26942820602</x:v>
      </x:c>
      <x:c r="I2388" s="0"/>
      <x:c r="J2388" s="0"/>
      <x:c r="K2388" s="6">
        <x:v>46273.76070165509</x:v>
      </x:c>
      <x:c r="L2388" t="str" s="2">
        <x:v>Lost</x:v>
      </x:c>
    </x:row>
    <x:row r="2389">
      <x:c r="A2389" t="str" s="2">
        <x:f>="Carmen Gutierrez Gutierrez"</x:f>
      </x:c>
      <x:c r="B2389" t="str" s="2">
        <x:v>Heritage Housing of Asheboro</x:v>
      </x:c>
      <x:c r="C2389" t="str" s="2">
        <x:v/>
      </x:c>
      <x:c r="D2389" t="str" s="2">
        <x:v>5614185968</x:v>
      </x:c>
      <x:c r="E2389" t="str" s="2">
        <x:v>allenniurka185@gmail.com</x:v>
      </x:c>
      <x:c r="F2389" t="str" s="2">
        <x:v>Landing_BPM</x:v>
      </x:c>
      <x:c r="G2389" t="str" s="2">
        <x:v>Kate Gutierrez</x:v>
      </x:c>
      <x:c r="H2389" s="6">
        <x:v>46269.53408174768</x:v>
      </x:c>
      <x:c r="I2389" s="0"/>
      <x:c r="J2389" s="0"/>
      <x:c r="K2389" s="6">
        <x:v>46269.573545405096</x:v>
      </x:c>
      <x:c r="L2389" t="str" s="2">
        <x:v>Lost</x:v>
      </x:c>
    </x:row>
    <x:row r="2390">
      <x:c r="A2390" t="str" s="2">
        <x:f>="DEBORAH GAINEY"</x:f>
      </x:c>
      <x:c r="B2390" t="str" s="2">
        <x:v>Heritage Housing of Asheboro</x:v>
      </x:c>
      <x:c r="C2390" t="str" s="2">
        <x:v/>
      </x:c>
      <x:c r="D2390" t="str" s="2">
        <x:v>2526228511</x:v>
      </x:c>
      <x:c r="E2390" t="str" s="2">
        <x:v>debjeangainey47@gmail.com</x:v>
      </x:c>
      <x:c r="F2390" t="str" s="2">
        <x:v>Landing_BPM</x:v>
      </x:c>
      <x:c r="G2390" t="str" s="2">
        <x:v>Maria Lopez</x:v>
      </x:c>
      <x:c r="H2390" s="6">
        <x:v>46269.54381396991</x:v>
      </x:c>
      <x:c r="I2390" s="0"/>
      <x:c r="J2390" s="0"/>
      <x:c r="K2390" s="6">
        <x:v>46269.74002075232</x:v>
      </x:c>
      <x:c r="L2390" t="str" s="2">
        <x:v>Lost</x:v>
      </x:c>
    </x:row>
    <x:row r="2391">
      <x:c r="A2391" t="str" s="2">
        <x:f>="Larryguict LarryguictPA"</x:f>
      </x:c>
      <x:c r="B2391" t="str" s="2">
        <x:v>Heritage Housing of Greenville</x:v>
      </x:c>
      <x:c r="C2391" t="str" s="2">
        <x:v/>
      </x:c>
      <x:c r="D2391" t="str" s="2">
        <x:v>85546496164</x:v>
      </x:c>
      <x:c r="E2391" t="str" s="2">
        <x:v>lgtwwfl@baewmov.get</x:v>
      </x:c>
      <x:c r="F2391" t="str" s="2">
        <x:v>Website</x:v>
      </x:c>
      <x:c r="G2391" t="str" s="2">
        <x:v>Greg Christman</x:v>
      </x:c>
      <x:c r="H2391" s="6">
        <x:v>46269.80547144676</x:v>
      </x:c>
      <x:c r="I2391" s="0"/>
      <x:c r="J2391" s="0"/>
      <x:c r="K2391" s="6">
        <x:v>46273.76003657407</x:v>
      </x:c>
      <x:c r="L2391" t="str" s="2">
        <x:v>Lost</x:v>
      </x:c>
    </x:row>
    <x:row r="2392">
      <x:c r="A2392" t="str" s="2">
        <x:f>="Thomas Davis Davis"</x:f>
      </x:c>
      <x:c r="B2392" t="str" s="2">
        <x:v>Heritage Housing of Albany</x:v>
      </x:c>
      <x:c r="C2392" t="str" s="2">
        <x:v/>
      </x:c>
      <x:c r="D2392" t="str" s="2">
        <x:v>2025556786</x:v>
      </x:c>
      <x:c r="E2392" t="str" s="2">
        <x:v>san.yi@ufl.edu</x:v>
      </x:c>
      <x:c r="F2392" t="str" s="2">
        <x:v>Website</x:v>
      </x:c>
      <x:c r="G2392" t="str" s="2">
        <x:v>Yanet Alvarez</x:v>
      </x:c>
      <x:c r="H2392" s="6">
        <x:v>46269.97211917824</x:v>
      </x:c>
      <x:c r="I2392" s="0"/>
      <x:c r="J2392" s="0"/>
      <x:c r="K2392" s="6">
        <x:v>46282.67145188658</x:v>
      </x:c>
      <x:c r="L2392" t="str" s="2">
        <x:v>Lost</x:v>
      </x:c>
    </x:row>
    <x:row r="2393">
      <x:c r="A2393" t="str" s="2">
        <x:f>="Vincentoxigo +14721861541"</x:f>
      </x:c>
      <x:c r="B2393" t="str" s="2">
        <x:v>Heritage Housing of Albany</x:v>
      </x:c>
      <x:c r="C2393" t="str" s="2">
        <x:v/>
      </x:c>
      <x:c r="D2393" t="str" s="2">
        <x:v>81181427454</x:v>
      </x:c>
      <x:c r="E2393" t="str" s="2">
        <x:v>sqludpp@itirgeo.fqb</x:v>
      </x:c>
      <x:c r="F2393" t="str" s="2">
        <x:v>Website</x:v>
      </x:c>
      <x:c r="G2393" t="str" s="2">
        <x:v>Yanet Alvarez</x:v>
      </x:c>
      <x:c r="H2393" s="6">
        <x:v>46270.18107800926</x:v>
      </x:c>
      <x:c r="I2393" s="0"/>
      <x:c r="J2393" s="0"/>
      <x:c r="K2393" s="6">
        <x:v>46270.79786759259</x:v>
      </x:c>
      <x:c r="L2393" t="str" s="2">
        <x:v>Lost</x:v>
      </x:c>
    </x:row>
    <x:row r="2394">
      <x:c r="A2394" t="str" s="2">
        <x:f>="Robertrer AlbertrerGM"</x:f>
      </x:c>
      <x:c r="B2394" t="str" s="2">
        <x:v>Heritage Housing of Greenville</x:v>
      </x:c>
      <x:c r="C2394" t="str" s="2">
        <x:v/>
      </x:c>
      <x:c r="D2394" t="str" s="2">
        <x:v>87627478173</x:v>
      </x:c>
      <x:c r="E2394" t="str" s="2">
        <x:v>vhdacif@unlfslu.pdu</x:v>
      </x:c>
      <x:c r="F2394" t="str" s="2">
        <x:v>Website</x:v>
      </x:c>
      <x:c r="G2394" t="str" s="2">
        <x:v>Greg Christman</x:v>
      </x:c>
      <x:c r="H2394" s="6">
        <x:v>46270.60427758102</x:v>
      </x:c>
      <x:c r="I2394" s="0"/>
      <x:c r="J2394" s="0"/>
      <x:c r="K2394" s="6">
        <x:v>46273.76033244213</x:v>
      </x:c>
      <x:c r="L2394" t="str" s="2">
        <x:v>Lost</x:v>
      </x:c>
    </x:row>
    <x:row r="2395">
      <x:c r="A2395" t="str" s="2">
        <x:f>="Gena Mendoza"</x:f>
      </x:c>
      <x:c r="B2395" t="str" s="2">
        <x:v>Heritage Housing of Tulsa</x:v>
      </x:c>
      <x:c r="C2395" t="str" s="2">
        <x:v/>
      </x:c>
      <x:c r="D2395" t="str" s="2">
        <x:v>9183852800</x:v>
      </x:c>
      <x:c r="E2395" t="str" s="2">
        <x:v>mendozaxgena@gmail.com</x:v>
      </x:c>
      <x:c r="F2395" t="str" s="2">
        <x:v>Bing - Search</x:v>
      </x:c>
      <x:c r="G2395" t="str" s="2">
        <x:v>Jenna Fransisco</x:v>
      </x:c>
      <x:c r="H2395" s="6">
        <x:v>46270.614898113425</x:v>
      </x:c>
      <x:c r="I2395" s="0"/>
      <x:c r="J2395" s="0"/>
      <x:c r="K2395" s="6">
        <x:v>46279</x:v>
      </x:c>
      <x:c r="L2395" t="str" s="2">
        <x:v>Lost</x:v>
      </x:c>
    </x:row>
    <x:row r="2396">
      <x:c r="A2396" t="str" s="2">
        <x:f>="Wayne Chappell"</x:f>
      </x:c>
      <x:c r="B2396" t="str" s="2">
        <x:v>Heritage Housing of Asheboro</x:v>
      </x:c>
      <x:c r="C2396" t="str" s="2">
        <x:v/>
      </x:c>
      <x:c r="D2396" t="str" s="2">
        <x:v>8643658504</x:v>
      </x:c>
      <x:c r="E2396" t="str" s="2">
        <x:v>wtcambell95@gmail.com</x:v>
      </x:c>
      <x:c r="F2396" t="str" s="2">
        <x:v>Landing_BPM</x:v>
      </x:c>
      <x:c r="G2396" t="str" s="2">
        <x:v>Maria Lopez</x:v>
      </x:c>
      <x:c r="H2396" s="6">
        <x:v>46270.66195408565</x:v>
      </x:c>
      <x:c r="I2396" s="0"/>
      <x:c r="J2396" s="0"/>
      <x:c r="K2396" s="6">
        <x:v>46270.70518510417</x:v>
      </x:c>
      <x:c r="L2396" t="str" s="2">
        <x:v>Lost</x:v>
      </x:c>
    </x:row>
    <x:row r="2397">
      <x:c r="A2397" t="str" s="2">
        <x:f>="Lacandria Wesley"</x:f>
      </x:c>
      <x:c r="B2397" t="str" s="2">
        <x:v>Heritage Housing of Jennings</x:v>
      </x:c>
      <x:c r="C2397" t="str" s="2">
        <x:v/>
      </x:c>
      <x:c r="D2397" t="str" s="2">
        <x:v>3182972868</x:v>
      </x:c>
      <x:c r="E2397" t="str" s="2">
        <x:v>candywesley91@gmail.com</x:v>
      </x:c>
      <x:c r="F2397" t="str" s="2">
        <x:v>Youtube</x:v>
      </x:c>
      <x:c r="G2397" t="str" s="2">
        <x:v>Mervin Leslie Smith</x:v>
      </x:c>
      <x:c r="H2397" s="6">
        <x:v>46271.211860219904</x:v>
      </x:c>
      <x:c r="I2397" s="0"/>
      <x:c r="J2397" s="0"/>
      <x:c r="K2397" s="6">
        <x:v>46286.85102519676</x:v>
      </x:c>
      <x:c r="L2397" t="str" s="2">
        <x:v>Lost</x:v>
      </x:c>
    </x:row>
    <x:row r="2398">
      <x:c r="A2398" t="str" s="2">
        <x:f>="Onita Wade"</x:f>
      </x:c>
      <x:c r="B2398" t="str" s="2">
        <x:v>Heritage Housing of Jennings</x:v>
      </x:c>
      <x:c r="C2398" t="str" s="2">
        <x:v/>
      </x:c>
      <x:c r="D2398" t="str" s="2">
        <x:v>3372963374</x:v>
      </x:c>
      <x:c r="E2398" t="str" s="2">
        <x:v>Nwade092@gmail.com</x:v>
      </x:c>
      <x:c r="F2398" t="str" s="2">
        <x:v>Landing_BPM</x:v>
      </x:c>
      <x:c r="G2398" t="str" s="2">
        <x:v>Mervin Leslie Smith</x:v>
      </x:c>
      <x:c r="H2398" s="6">
        <x:v>46271.57121079861</x:v>
      </x:c>
      <x:c r="I2398" s="0"/>
      <x:c r="J2398" s="0"/>
      <x:c r="K2398" s="6">
        <x:v>46273.65365497685</x:v>
      </x:c>
      <x:c r="L2398" t="str" s="2">
        <x:v>Lost</x:v>
      </x:c>
    </x:row>
    <x:row r="2399">
      <x:c r="A2399" t="str" s="2">
        <x:f>="Dakota Monthey"</x:f>
      </x:c>
      <x:c r="B2399" t="str" s="2">
        <x:v>Heritage Housing Mt Pleasant</x:v>
      </x:c>
      <x:c r="C2399" t="str" s="2">
        <x:v/>
      </x:c>
      <x:c r="D2399" t="str" s="2">
        <x:v>2544791952</x:v>
      </x:c>
      <x:c r="E2399" t="str" s="2">
        <x:v>dakota.monthey1114@gmail.com</x:v>
      </x:c>
      <x:c r="F2399" t="str" s="2">
        <x:v>Landing_BPM</x:v>
      </x:c>
      <x:c r="G2399" t="str" s="2">
        <x:v>Yarelis Torres</x:v>
      </x:c>
      <x:c r="H2399" s="6">
        <x:v>46271.598426585646</x:v>
      </x:c>
      <x:c r="I2399" s="0"/>
      <x:c r="J2399" s="0"/>
      <x:c r="K2399" s="6">
        <x:v>46279.907817210646</x:v>
      </x:c>
      <x:c r="L2399" t="str" s="2">
        <x:v>Lost</x:v>
      </x:c>
    </x:row>
    <x:row r="2400">
      <x:c r="A2400" t="str" s="2">
        <x:f>="Leah Dean"</x:f>
      </x:c>
      <x:c r="B2400" t="str" s="2">
        <x:v>Heritage Housing of Athens</x:v>
      </x:c>
      <x:c r="C2400" t="str" s="2">
        <x:v>0/1</x:v>
      </x:c>
      <x:c r="D2400" t="str" s="2">
        <x:v>7705724331</x:v>
      </x:c>
      <x:c r="E2400" t="str" s="2">
        <x:v>deanleah46@gmail.com</x:v>
      </x:c>
      <x:c r="F2400" t="str" s="2">
        <x:v>Bing - Search</x:v>
      </x:c>
      <x:c r="G2400" t="str" s="2">
        <x:v>Nathan Bishop</x:v>
      </x:c>
      <x:c r="H2400" s="6">
        <x:v>46271.599577280096</x:v>
      </x:c>
      <x:c r="I2400" s="0"/>
      <x:c r="J2400" s="0"/>
      <x:c r="K2400" s="6">
        <x:v>46302.67443908565</x:v>
      </x:c>
      <x:c r="L2400" t="str" s="2">
        <x:v>Lost</x:v>
      </x:c>
    </x:row>
    <x:row r="2401">
      <x:c r="A2401" t="str" s="2">
        <x:f>="Mary Grice"</x:f>
      </x:c>
      <x:c r="B2401" t="str" s="2">
        <x:v>Heritage Housing of Asheboro</x:v>
      </x:c>
      <x:c r="C2401" t="str" s="2">
        <x:v/>
      </x:c>
      <x:c r="D2401" t="str" s="2">
        <x:v>9103167239</x:v>
      </x:c>
      <x:c r="E2401" t="str" s="2">
        <x:v>marygrice80@gmail.com</x:v>
      </x:c>
      <x:c r="F2401" t="str" s="2">
        <x:v>Youtube</x:v>
      </x:c>
      <x:c r="G2401" t="str" s="2">
        <x:v>Maria Lopez</x:v>
      </x:c>
      <x:c r="H2401" s="6">
        <x:v>46271.62304320602</x:v>
      </x:c>
      <x:c r="I2401" s="0"/>
      <x:c r="J2401" s="0"/>
      <x:c r="K2401" s="6">
        <x:v>46273</x:v>
      </x:c>
      <x:c r="L2401" t="str" s="2">
        <x:v>Lost</x:v>
      </x:c>
    </x:row>
    <x:row r="2402">
      <x:c r="A2402" t="str" s="2">
        <x:f>="Amanda Allen"</x:f>
      </x:c>
      <x:c r="B2402" t="str" s="2">
        <x:v>Heritage Housing of Minden</x:v>
      </x:c>
      <x:c r="C2402" t="str" s="2">
        <x:v>0/1</x:v>
      </x:c>
      <x:c r="D2402" t="str" s="2">
        <x:v>8702991730</x:v>
      </x:c>
      <x:c r="E2402" t="str" s="2">
        <x:v>amandala1376@gmail.com</x:v>
      </x:c>
      <x:c r="F2402" t="str" s="2">
        <x:v>Landing_BPM</x:v>
      </x:c>
      <x:c r="G2402" t="str" s="2">
        <x:v>Patrick Schuchart</x:v>
      </x:c>
      <x:c r="H2402" s="6">
        <x:v>46271.651308761575</x:v>
      </x:c>
      <x:c r="I2402" s="0"/>
      <x:c r="J2402" s="0"/>
      <x:c r="K2402" s="6">
        <x:v>46286.86558125</x:v>
      </x:c>
      <x:c r="L2402" t="str" s="2">
        <x:v>Lost</x:v>
      </x:c>
    </x:row>
    <x:row r="2403">
      <x:c r="A2403" t="str" s="2">
        <x:f>="Katrell Slydell"</x:f>
      </x:c>
      <x:c r="B2403" t="str" s="2">
        <x:v>Heritage Housing of Jennings</x:v>
      </x:c>
      <x:c r="C2403" t="str" s="2">
        <x:v/>
      </x:c>
      <x:c r="D2403" t="str" s="2">
        <x:v>337-419-4870</x:v>
      </x:c>
      <x:c r="E2403" t="str" s="2">
        <x:v>katrellslydell8@gmail.com</x:v>
      </x:c>
      <x:c r="F2403" t="str" s="2">
        <x:v>Youtube</x:v>
      </x:c>
      <x:c r="G2403" t="str" s="2">
        <x:v>Mervin Leslie Smith</x:v>
      </x:c>
      <x:c r="H2403" s="6">
        <x:v>46271.84989513889</x:v>
      </x:c>
      <x:c r="I2403" s="0"/>
      <x:c r="J2403" s="0"/>
      <x:c r="K2403" s="6">
        <x:v>46276.775224502315</x:v>
      </x:c>
      <x:c r="L2403" t="str" s="2">
        <x:v>Lost</x:v>
      </x:c>
    </x:row>
    <x:row r="2404">
      <x:c r="A2404" t="str" s="2">
        <x:f>="Samantha Daniels"</x:f>
      </x:c>
      <x:c r="B2404" t="str" s="2">
        <x:v>Heritage Housing of Oklahoma City</x:v>
      </x:c>
      <x:c r="C2404" t="str" s="2">
        <x:v/>
      </x:c>
      <x:c r="D2404" t="str" s="2">
        <x:v>9405578222</x:v>
      </x:c>
      <x:c r="E2404" t="str" s="2">
        <x:v>kittengreen69@gmail.com</x:v>
      </x:c>
      <x:c r="F2404" t="str" s="2">
        <x:v>Financing Form</x:v>
      </x:c>
      <x:c r="G2404" t="str" s="2">
        <x:v>Alexander Bryant</x:v>
      </x:c>
      <x:c r="H2404" s="6">
        <x:v>46271.861561655096</x:v>
      </x:c>
      <x:c r="I2404" s="0"/>
      <x:c r="J2404" s="0"/>
      <x:c r="K2404" s="6">
        <x:v>46273.57520289352</x:v>
      </x:c>
      <x:c r="L2404" t="str" s="2">
        <x:v>Lost</x:v>
      </x:c>
    </x:row>
    <x:row r="2405">
      <x:c r="A2405" t="str" s="2">
        <x:f>="Francisco Gutierrez"</x:f>
      </x:c>
      <x:c r="B2405" t="str" s="2">
        <x:v>Heritage Housing of Jennings</x:v>
      </x:c>
      <x:c r="C2405" t="str" s="2">
        <x:v>0/2</x:v>
      </x:c>
      <x:c r="D2405" t="str" s="2">
        <x:v>3372751338</x:v>
      </x:c>
      <x:c r="E2405" t="str" s="2">
        <x:v>franciscoguti@gmail.com</x:v>
      </x:c>
      <x:c r="F2405" t="str" s="2">
        <x:v>Youtube</x:v>
      </x:c>
      <x:c r="G2405" t="str" s="2">
        <x:v>Mervin Leslie Smith</x:v>
      </x:c>
      <x:c r="H2405" s="6">
        <x:v>46272.12410818287</x:v>
      </x:c>
      <x:c r="I2405" s="0"/>
      <x:c r="J2405" s="0"/>
      <x:c r="K2405" s="6">
        <x:v>46286</x:v>
      </x:c>
      <x:c r="L2405" t="str" s="2">
        <x:v>Lost</x:v>
      </x:c>
    </x:row>
    <x:row r="2406">
      <x:c r="A2406" t="str" s="2">
        <x:f>="Larryguict LarryguictPA"</x:f>
      </x:c>
      <x:c r="B2406" t="str" s="2">
        <x:v>Heritage Housing of Greenville</x:v>
      </x:c>
      <x:c r="C2406" t="str" s="2">
        <x:v/>
      </x:c>
      <x:c r="D2406" t="str" s="2">
        <x:v>88153763238</x:v>
      </x:c>
      <x:c r="E2406" t="str" s="2">
        <x:v>ohardjg@uwhhnoe.ewl</x:v>
      </x:c>
      <x:c r="F2406" t="str" s="2">
        <x:v>Website</x:v>
      </x:c>
      <x:c r="G2406" t="str" s="2">
        <x:v>Greg Christman</x:v>
      </x:c>
      <x:c r="H2406" s="6">
        <x:v>46272.279766631946</x:v>
      </x:c>
      <x:c r="I2406" s="0"/>
      <x:c r="J2406" s="0"/>
      <x:c r="K2406" s="0"/>
      <x:c r="L2406" t="str" s="2">
        <x:v>Lost</x:v>
      </x:c>
    </x:row>
    <x:row r="2407">
      <x:c r="A2407" t="str" s="2">
        <x:f>="Benjamin Boyd"</x:f>
      </x:c>
      <x:c r="B2407" t="str" s="2">
        <x:v>Heritage Housing of Asheboro</x:v>
      </x:c>
      <x:c r="C2407" t="str" s="2">
        <x:v/>
      </x:c>
      <x:c r="D2407" t="str" s="2">
        <x:v>7046064238</x:v>
      </x:c>
      <x:c r="E2407" t="str" s="2">
        <x:v>bboydreliable1@gmail.com</x:v>
      </x:c>
      <x:c r="F2407" t="str" s="2">
        <x:v>Youtube</x:v>
      </x:c>
      <x:c r="G2407" t="str" s="2">
        <x:v>Kate Gutierrez</x:v>
      </x:c>
      <x:c r="H2407" s="6">
        <x:v>46272.56257769676</x:v>
      </x:c>
      <x:c r="I2407" s="0"/>
      <x:c r="J2407" s="0"/>
      <x:c r="K2407" s="6">
        <x:v>46295</x:v>
      </x:c>
      <x:c r="L2407" t="str" s="2">
        <x:v>Lost</x:v>
      </x:c>
    </x:row>
    <x:row r="2408">
      <x:c r="A2408" t="str" s="2">
        <x:f>="David Lemmon"</x:f>
      </x:c>
      <x:c r="B2408" t="str" s="2">
        <x:v>Heritage Housing of Asheboro</x:v>
      </x:c>
      <x:c r="C2408" t="str" s="2">
        <x:v/>
      </x:c>
      <x:c r="D2408" t="str" s="2">
        <x:v>3362254895</x:v>
      </x:c>
      <x:c r="E2408" t="str" s="2">
        <x:v>terryaslemmon@gmail.com</x:v>
      </x:c>
      <x:c r="F2408" t="str" s="2">
        <x:v>Landing_BPM</x:v>
      </x:c>
      <x:c r="G2408" t="str" s="2">
        <x:v>Kate Gutierrez</x:v>
      </x:c>
      <x:c r="H2408" s="6">
        <x:v>46272.58143086806</x:v>
      </x:c>
      <x:c r="I2408" s="0"/>
      <x:c r="J2408" s="0"/>
      <x:c r="K2408" s="6">
        <x:v>46273</x:v>
      </x:c>
      <x:c r="L2408" t="str" s="2">
        <x:v>Lost</x:v>
      </x:c>
    </x:row>
    <x:row r="2409">
      <x:c r="A2409" t="str" s="2">
        <x:f>="Curtis Reaser"</x:f>
      </x:c>
      <x:c r="B2409" t="str" s="2">
        <x:v>Heritage Housing of Albany</x:v>
      </x:c>
      <x:c r="C2409" t="str" s="2">
        <x:v/>
      </x:c>
      <x:c r="D2409" t="str" s="2">
        <x:v>3044169920</x:v>
      </x:c>
      <x:c r="E2409" t="str" s="2">
        <x:v>alireaser@gmail.com</x:v>
      </x:c>
      <x:c r="F2409" t="str" s="2">
        <x:v>Financing Form</x:v>
      </x:c>
      <x:c r="G2409" t="str" s="2">
        <x:v>Justin Johnson</x:v>
      </x:c>
      <x:c r="H2409" s="6">
        <x:v>46272.71483379629</x:v>
      </x:c>
      <x:c r="I2409" s="0"/>
      <x:c r="J2409" s="0"/>
      <x:c r="K2409" s="6">
        <x:v>46273.65579748843</x:v>
      </x:c>
      <x:c r="L2409" t="str" s="2">
        <x:v>Lost</x:v>
      </x:c>
    </x:row>
    <x:row r="2410">
      <x:c r="A2410" t="str" s="2">
        <x:f>="Kallaigh Ingram"</x:f>
      </x:c>
      <x:c r="B2410" t="str" s="2">
        <x:v>Heritage Housing of Greenville</x:v>
      </x:c>
      <x:c r="C2410" t="str" s="2">
        <x:v/>
      </x:c>
      <x:c r="D2410" t="str" s="2">
        <x:v>9037156175</x:v>
      </x:c>
      <x:c r="E2410" t="str" s="2">
        <x:v>kallaighingram23@gmail.com</x:v>
      </x:c>
      <x:c r="F2410" t="str" s="2">
        <x:v>Website</x:v>
      </x:c>
      <x:c r="G2410" t="str" s="2">
        <x:v>Greg Christman</x:v>
      </x:c>
      <x:c r="H2410" s="6">
        <x:v>46272.84619270833</x:v>
      </x:c>
      <x:c r="I2410" s="0"/>
      <x:c r="J2410" s="0"/>
      <x:c r="K2410" s="0"/>
      <x:c r="L2410" t="str" s="2">
        <x:v>Lost</x:v>
      </x:c>
    </x:row>
    <x:row r="2411">
      <x:c r="A2411" t="str" s="2">
        <x:f>="Erlin Cano Cano"</x:f>
      </x:c>
      <x:c r="B2411" t="str" s="2">
        <x:v>Heritage Housing of Augusta</x:v>
      </x:c>
      <x:c r="C2411" t="str" s="2">
        <x:v/>
      </x:c>
      <x:c r="D2411" t="str" s="2">
        <x:v>8032921761</x:v>
      </x:c>
      <x:c r="E2411" t="str" s="2">
        <x:v>antoniolawncare22@gmail.com</x:v>
      </x:c>
      <x:c r="F2411" t="str" s="2">
        <x:v>Landing_BPM</x:v>
      </x:c>
      <x:c r="G2411" t="str" s="2">
        <x:v>Alex Jones</x:v>
      </x:c>
      <x:c r="H2411" s="6">
        <x:v>46272.90859386574</x:v>
      </x:c>
      <x:c r="I2411" s="0"/>
      <x:c r="J2411" s="0"/>
      <x:c r="K2411" s="6">
        <x:v>46273.571076388886</x:v>
      </x:c>
      <x:c r="L2411" t="str" s="2">
        <x:v>Lost</x:v>
      </x:c>
    </x:row>
    <x:row r="2412">
      <x:c r="A2412" t="str" s="2">
        <x:f>="Erica Jones"</x:f>
      </x:c>
      <x:c r="B2412" t="str" s="2">
        <x:v>Heritage Housing of Albany</x:v>
      </x:c>
      <x:c r="C2412" t="str" s="2">
        <x:v/>
      </x:c>
      <x:c r="D2412" t="str" s="2">
        <x:v>2293876094</x:v>
      </x:c>
      <x:c r="E2412" t="str" s="2">
        <x:v>eljones211@gmail.com</x:v>
      </x:c>
      <x:c r="F2412" t="str" s="2">
        <x:v>Landing_BPM</x:v>
      </x:c>
      <x:c r="G2412" t="str" s="2">
        <x:v>Justin Johnson</x:v>
      </x:c>
      <x:c r="H2412" s="6">
        <x:v>46272.99283877315</x:v>
      </x:c>
      <x:c r="I2412" s="0"/>
      <x:c r="J2412" s="0"/>
      <x:c r="K2412" s="6">
        <x:v>46274.58366134259</x:v>
      </x:c>
      <x:c r="L2412" t="str" s="2">
        <x:v>Lost</x:v>
      </x:c>
    </x:row>
    <x:row r="2413">
      <x:c r="A2413" t="str" s="2">
        <x:f>="Stella Pride"</x:f>
      </x:c>
      <x:c r="B2413" t="str" s="2">
        <x:v>Heritage Housing of Asheboro</x:v>
      </x:c>
      <x:c r="C2413" t="str" s="2">
        <x:v/>
      </x:c>
      <x:c r="D2413" t="str" s="2">
        <x:v>3363292795</x:v>
      </x:c>
      <x:c r="E2413" t="str" s="2">
        <x:v>pridestella03@gmail.com</x:v>
      </x:c>
      <x:c r="F2413" t="str" s="2">
        <x:v>Youtube</x:v>
      </x:c>
      <x:c r="G2413" t="str" s="2">
        <x:v>Maria Lopez</x:v>
      </x:c>
      <x:c r="H2413" s="6">
        <x:v>46273.08068020833</x:v>
      </x:c>
      <x:c r="I2413" s="0"/>
      <x:c r="J2413" s="0"/>
      <x:c r="K2413" s="6">
        <x:v>46273</x:v>
      </x:c>
      <x:c r="L2413" t="str" s="2">
        <x:v>Lost</x:v>
      </x:c>
    </x:row>
    <x:row r="2414">
      <x:c r="A2414" t="str" s="2">
        <x:f>="Najawa Ahmed"</x:f>
      </x:c>
      <x:c r="B2414" t="str" s="2">
        <x:v>Heritage Housing of Asheboro</x:v>
      </x:c>
      <x:c r="C2414" t="str" s="2">
        <x:v/>
      </x:c>
      <x:c r="D2414" t="str" s="2">
        <x:v>3367624755</x:v>
      </x:c>
      <x:c r="E2414" t="str" s="2">
        <x:v>najawaahmed9@gmail.com</x:v>
      </x:c>
      <x:c r="F2414" t="str" s="2">
        <x:v>Landing_BPM</x:v>
      </x:c>
      <x:c r="G2414" t="str" s="2">
        <x:v>Kate Gutierrez</x:v>
      </x:c>
      <x:c r="H2414" s="6">
        <x:v>46273.315778703705</x:v>
      </x:c>
      <x:c r="I2414" s="0"/>
      <x:c r="J2414" s="0"/>
      <x:c r="K2414" s="6">
        <x:v>46273</x:v>
      </x:c>
      <x:c r="L2414" t="str" s="2">
        <x:v>Lost</x:v>
      </x:c>
    </x:row>
    <x:row r="2415">
      <x:c r="A2415" t="str" s="2">
        <x:f>="Darren Leak"</x:f>
      </x:c>
      <x:c r="B2415" t="str" s="2">
        <x:v>Heritage Housing of Asheboro</x:v>
      </x:c>
      <x:c r="C2415" t="str" s="2">
        <x:v/>
      </x:c>
      <x:c r="D2415" t="str" s="2">
        <x:v>000000000000000</x:v>
      </x:c>
      <x:c r="E2415" t="str" s="2">
        <x:v>Darrenswayofbusiness@gmail.com</x:v>
      </x:c>
      <x:c r="F2415" t="str" s="2">
        <x:v>Website</x:v>
      </x:c>
      <x:c r="G2415" t="str" s="2">
        <x:v>Kate Gutierrez</x:v>
      </x:c>
      <x:c r="H2415" s="6">
        <x:v>46273.578722997685</x:v>
      </x:c>
      <x:c r="I2415" s="0"/>
      <x:c r="J2415" s="0"/>
      <x:c r="K2415" s="6">
        <x:v>46280.89340778935</x:v>
      </x:c>
      <x:c r="L2415" t="str" s="2">
        <x:v>Lost</x:v>
      </x:c>
    </x:row>
    <x:row r="2416">
      <x:c r="A2416" t="str" s="2">
        <x:f>="Danyelle Pollock"</x:f>
      </x:c>
      <x:c r="B2416" t="str" s="2">
        <x:v>Heritage Housing of Albany</x:v>
      </x:c>
      <x:c r="C2416" t="str" s="2">
        <x:v/>
      </x:c>
      <x:c r="D2416" t="str" s="2">
        <x:v>2293282102</x:v>
      </x:c>
      <x:c r="E2416" t="str" s="2">
        <x:v>danyellepollock27@gmail.com</x:v>
      </x:c>
      <x:c r="F2416" t="str" s="2">
        <x:v>LandingPage</x:v>
      </x:c>
      <x:c r="G2416" t="str" s="2">
        <x:v>Yanet Alvarez</x:v>
      </x:c>
      <x:c r="H2416" s="6">
        <x:v>46273.6412866088</x:v>
      </x:c>
      <x:c r="I2416" s="0"/>
      <x:c r="J2416" s="0"/>
      <x:c r="K2416" s="6">
        <x:v>46283.72168498843</x:v>
      </x:c>
      <x:c r="L2416" t="str" s="2">
        <x:v>Lost</x:v>
      </x:c>
    </x:row>
    <x:row r="2417">
      <x:c r="A2417" t="str" s="2">
        <x:f>="Steven/ Georgia Mason"</x:f>
      </x:c>
      <x:c r="B2417" t="str" s="2">
        <x:v>Heritage Housing of Tulsa</x:v>
      </x:c>
      <x:c r="C2417" t="str" s="2">
        <x:v/>
      </x:c>
      <x:c r="D2417" t="str" s="2">
        <x:v>9185306855</x:v>
      </x:c>
      <x:c r="E2417" t="str" s="2">
        <x:v>dawn43737@gmail.com</x:v>
      </x:c>
      <x:c r="F2417" t="str" s="2">
        <x:v>Youtube</x:v>
      </x:c>
      <x:c r="G2417" t="str" s="2">
        <x:v>Jenna Fransisco</x:v>
      </x:c>
      <x:c r="H2417" s="6">
        <x:v>46273.855028125</x:v>
      </x:c>
      <x:c r="I2417" s="0"/>
      <x:c r="J2417" s="0"/>
      <x:c r="K2417" s="6">
        <x:v>46279</x:v>
      </x:c>
      <x:c r="L2417" t="str" s="2">
        <x:v>Lost</x:v>
      </x:c>
    </x:row>
    <x:row r="2418">
      <x:c r="A2418" t="str" s="2">
        <x:f>="Juan Ramos"</x:f>
      </x:c>
      <x:c r="B2418" t="str" s="2">
        <x:v>Heritage Housing of Athens</x:v>
      </x:c>
      <x:c r="C2418" t="str" s="2">
        <x:v/>
      </x:c>
      <x:c r="D2418" t="str" s="2">
        <x:v>4074055165</x:v>
      </x:c>
      <x:c r="E2418" t="str" s="2">
        <x:v>jlgetit69@gmail.com</x:v>
      </x:c>
      <x:c r="F2418" t="str" s="2">
        <x:v>Financing Form</x:v>
      </x:c>
      <x:c r="G2418" t="str" s="2">
        <x:v>Nathan Bishop</x:v>
      </x:c>
      <x:c r="H2418" s="6">
        <x:v>46274.064487118056</x:v>
      </x:c>
      <x:c r="I2418" s="0"/>
      <x:c r="J2418" s="0"/>
      <x:c r="K2418" s="6">
        <x:v>46287</x:v>
      </x:c>
      <x:c r="L2418" t="str" s="2">
        <x:v>Lost</x:v>
      </x:c>
    </x:row>
    <x:row r="2419">
      <x:c r="A2419" t="str" s="2">
        <x:f>="Virgnia Lavin"</x:f>
      </x:c>
      <x:c r="B2419" t="str" s="2">
        <x:v>Heritage Housing of Asheboro</x:v>
      </x:c>
      <x:c r="C2419" t="str" s="2">
        <x:v/>
      </x:c>
      <x:c r="D2419" t="str" s="2">
        <x:v>9045059742</x:v>
      </x:c>
      <x:c r="E2419" t="str" s="2">
        <x:v>vzlavin@gmail.com</x:v>
      </x:c>
      <x:c r="F2419" t="str" s="2">
        <x:v>Bing - Search</x:v>
      </x:c>
      <x:c r="G2419" t="str" s="2">
        <x:v>Maria Lopez</x:v>
      </x:c>
      <x:c r="H2419" s="6">
        <x:v>46274.3688503125</x:v>
      </x:c>
      <x:c r="I2419" s="0"/>
      <x:c r="J2419" s="0"/>
      <x:c r="K2419" s="6">
        <x:v>46274.543181678244</x:v>
      </x:c>
      <x:c r="L2419" t="str" s="2">
        <x:v>Lost</x:v>
      </x:c>
    </x:row>
    <x:row r="2420">
      <x:c r="A2420" t="str" s="2">
        <x:f>="Gracious Hogan-Green"</x:f>
      </x:c>
      <x:c r="B2420" t="str" s="2">
        <x:v>Heritage Housing of Jennings</x:v>
      </x:c>
      <x:c r="C2420" t="str" s="2">
        <x:v/>
      </x:c>
      <x:c r="D2420" t="str" s="2">
        <x:v>6622951788</x:v>
      </x:c>
      <x:c r="E2420" t="str" s="2">
        <x:v>gracioush40@gmail.com</x:v>
      </x:c>
      <x:c r="F2420" t="str" s="2">
        <x:v>Financing Form</x:v>
      </x:c>
      <x:c r="G2420" t="str" s="2">
        <x:v>Mervin Leslie Smith</x:v>
      </x:c>
      <x:c r="H2420" s="6">
        <x:v>46274.64054112269</x:v>
      </x:c>
      <x:c r="I2420" s="0"/>
      <x:c r="J2420" s="0"/>
      <x:c r="K2420" s="0"/>
      <x:c r="L2420" t="str" s="2">
        <x:v>Lost</x:v>
      </x:c>
    </x:row>
    <x:row r="2421">
      <x:c r="A2421" t="str" s="2">
        <x:f>="testwork worktest"</x:f>
      </x:c>
      <x:c r="B2421" t="str" s="2">
        <x:v>Heritage Housing Mt Pleasant</x:v>
      </x:c>
      <x:c r="C2421" t="str" s="2">
        <x:v/>
      </x:c>
      <x:c r="D2421" t="str" s="2">
        <x:v>2121458798</x:v>
      </x:c>
      <x:c r="E2421" t="str" s="2">
        <x:v>efwlkefwhewhujewhuefwiefw@kdjdjdjdjd.com</x:v>
      </x:c>
      <x:c r="F2421" t="str" s="2">
        <x:v>Workforce - Linkedin</x:v>
      </x:c>
      <x:c r="G2421" t="str" s="2">
        <x:v>Sandra Saldana</x:v>
      </x:c>
      <x:c r="H2421" s="6">
        <x:v>46274.66010512732</x:v>
      </x:c>
      <x:c r="I2421" s="0"/>
      <x:c r="J2421" s="0"/>
      <x:c r="K2421" s="6">
        <x:v>46274</x:v>
      </x:c>
      <x:c r="L2421" t="str" s="2">
        <x:v>Lost</x:v>
      </x:c>
    </x:row>
    <x:row r="2422">
      <x:c r="A2422" t="str" s="2">
        <x:f>="Virginia Daniels"</x:f>
      </x:c>
      <x:c r="B2422" t="str" s="2">
        <x:v>Heritage Housing of Albany</x:v>
      </x:c>
      <x:c r="C2422" t="str" s="2">
        <x:v>1/2</x:v>
      </x:c>
      <x:c r="D2422" t="str" s="2">
        <x:v>7065704152</x:v>
      </x:c>
      <x:c r="E2422" t="str" s="2">
        <x:v>dvirginia21@yahoo.com</x:v>
      </x:c>
      <x:c r="F2422" t="str" s="2">
        <x:v>Landing_BPM</x:v>
      </x:c>
      <x:c r="G2422" t="str" s="2">
        <x:v>Justin Johnson</x:v>
      </x:c>
      <x:c r="H2422" s="6">
        <x:v>46274.71964293982</x:v>
      </x:c>
      <x:c r="I2422" s="0"/>
      <x:c r="J2422" s="0"/>
      <x:c r="K2422" s="6">
        <x:v>46281.857364965275</x:v>
      </x:c>
      <x:c r="L2422" t="str" s="2">
        <x:v>Lost</x:v>
      </x:c>
    </x:row>
    <x:row r="2423">
      <x:c r="A2423" t="str" s="2">
        <x:f>="Charity Wilson"</x:f>
      </x:c>
      <x:c r="B2423" t="str" s="2">
        <x:v>Heritage Housing of Athens</x:v>
      </x:c>
      <x:c r="C2423" t="str" s="2">
        <x:v/>
      </x:c>
      <x:c r="D2423" t="str" s="2">
        <x:v>4702587420</x:v>
      </x:c>
      <x:c r="E2423" t="str" s="2">
        <x:v>cheddymontes@gmail.com</x:v>
      </x:c>
      <x:c r="F2423" t="str" s="2">
        <x:v>Landing_BPM</x:v>
      </x:c>
      <x:c r="G2423" t="str" s="2">
        <x:v>Nathan Bishop</x:v>
      </x:c>
      <x:c r="H2423" s="6">
        <x:v>46274.78732091435</x:v>
      </x:c>
      <x:c r="I2423" s="0"/>
      <x:c r="J2423" s="0"/>
      <x:c r="K2423" s="6">
        <x:v>46274</x:v>
      </x:c>
      <x:c r="L2423" t="str" s="2">
        <x:v>Lost</x:v>
      </x:c>
    </x:row>
    <x:row r="2424">
      <x:c r="A2424" t="str" s="2">
        <x:f>=HYPERLINK("https://rsms.futurehomex.com/lead/39888", "Linda Davis")</x:f>
      </x:c>
      <x:c r="B2424" t="str" s="2">
        <x:v>Heritage Housing of Oklahoma City</x:v>
      </x:c>
      <x:c r="C2424" t="str" s="2">
        <x:v/>
      </x:c>
      <x:c r="D2424" t="str" s="2">
        <x:v>4056844648</x:v>
      </x:c>
      <x:c r="E2424" t="str" s="2">
        <x:v>nomail@mail.com</x:v>
      </x:c>
      <x:c r="F2424" t="str" s="2">
        <x:v>Facebook Messenger</x:v>
      </x:c>
      <x:c r="G2424" t="str" s="2">
        <x:v>Steve Castell</x:v>
      </x:c>
      <x:c r="H2424" s="6">
        <x:v>46274.804950115744</x:v>
      </x:c>
      <x:c r="I2424" t="str" s="2">
        <x:v>Steve Castell</x:v>
      </x:c>
      <x:c r="J2424" s="6">
        <x:v>46274.854166666664</x:v>
      </x:c>
      <x:c r="K2424" s="6">
        <x:v>46275.87927334491</x:v>
      </x:c>
      <x:c r="L2424" t="str" s="2">
        <x:v>Lost</x:v>
      </x:c>
    </x:row>
    <x:row r="2425">
      <x:c r="A2425" t="str" s="2">
        <x:f>="Zachary Sullivan"</x:f>
      </x:c>
      <x:c r="B2425" t="str" s="2">
        <x:v>Heritage Housing Marble Falls</x:v>
      </x:c>
      <x:c r="C2425" t="str" s="2">
        <x:v/>
      </x:c>
      <x:c r="D2425" t="str" s="2">
        <x:v>7374253236</x:v>
      </x:c>
      <x:c r="E2425" t="str" s="2">
        <x:v>Zacharysullivan209@gmail.com</x:v>
      </x:c>
      <x:c r="F2425" t="str" s="2">
        <x:v>Bing - Search</x:v>
      </x:c>
      <x:c r="G2425" t="str" s="2">
        <x:v>Stephen Sanders</x:v>
      </x:c>
      <x:c r="H2425" s="6">
        <x:v>46274.865805787034</x:v>
      </x:c>
      <x:c r="I2425" s="0"/>
      <x:c r="J2425" s="0"/>
      <x:c r="K2425" s="6">
        <x:v>46275.570609375</x:v>
      </x:c>
      <x:c r="L2425" t="str" s="2">
        <x:v>Lost</x:v>
      </x:c>
    </x:row>
    <x:row r="2426">
      <x:c r="A2426" t="str" s="2">
        <x:f>="Keir Evans"</x:f>
      </x:c>
      <x:c r="B2426" t="str" s="2">
        <x:v>Heritage Housing of Asheboro</x:v>
      </x:c>
      <x:c r="C2426" t="str" s="2">
        <x:v/>
      </x:c>
      <x:c r="D2426" t="str" s="2">
        <x:v>3363466269</x:v>
      </x:c>
      <x:c r="E2426" t="str" s="2">
        <x:v>keirevans@yahoo.com</x:v>
      </x:c>
      <x:c r="F2426" t="str" s="2">
        <x:v>Landing_BPM</x:v>
      </x:c>
      <x:c r="G2426" t="str" s="2">
        <x:v>Maria Lopez</x:v>
      </x:c>
      <x:c r="H2426" s="6">
        <x:v>46274.8671375</x:v>
      </x:c>
      <x:c r="I2426" s="0"/>
      <x:c r="J2426" s="0"/>
      <x:c r="K2426" s="6">
        <x:v>46274</x:v>
      </x:c>
      <x:c r="L2426" t="str" s="2">
        <x:v>Lost</x:v>
      </x:c>
    </x:row>
    <x:row r="2427">
      <x:c r="A2427" t="str" s="2">
        <x:f>="Tinaca Gebhardt"</x:f>
      </x:c>
      <x:c r="B2427" t="str" s="2">
        <x:v>Heritage Housing of Albany</x:v>
      </x:c>
      <x:c r="C2427" t="str" s="2">
        <x:v/>
      </x:c>
      <x:c r="D2427" t="str" s="2">
        <x:v>2292301305</x:v>
      </x:c>
      <x:c r="E2427" t="str" s="2">
        <x:v>tinaca.gebhardt@gmail.com</x:v>
      </x:c>
      <x:c r="F2427" t="str" s="2">
        <x:v>Landing_BPM</x:v>
      </x:c>
      <x:c r="G2427" t="str" s="2">
        <x:v>Justin Johnson</x:v>
      </x:c>
      <x:c r="H2427" s="6">
        <x:v>46274.927464583336</x:v>
      </x:c>
      <x:c r="I2427" s="0"/>
      <x:c r="J2427" s="0"/>
      <x:c r="K2427" s="6">
        <x:v>46275</x:v>
      </x:c>
      <x:c r="L2427" t="str" s="2">
        <x:v>Lost</x:v>
      </x:c>
    </x:row>
    <x:row r="2428">
      <x:c r="A2428" t="str" s="2">
        <x:f>="Victor Woody"</x:f>
      </x:c>
      <x:c r="B2428" t="str" s="2">
        <x:v>Heritage Housing of Albany</x:v>
      </x:c>
      <x:c r="C2428" t="str" s="2">
        <x:v/>
      </x:c>
      <x:c r="D2428" t="str" s="2">
        <x:v>3347583786</x:v>
      </x:c>
      <x:c r="E2428" t="str" s="2">
        <x:v>woodyvictor0@gmail.com</x:v>
      </x:c>
      <x:c r="F2428" t="str" s="2">
        <x:v>Youtube</x:v>
      </x:c>
      <x:c r="G2428" t="str" s="2">
        <x:v>Justin Johnson</x:v>
      </x:c>
      <x:c r="H2428" s="6">
        <x:v>46275.430300810185</x:v>
      </x:c>
      <x:c r="I2428" s="0"/>
      <x:c r="J2428" s="0"/>
      <x:c r="K2428" s="6">
        <x:v>46280.66297230324</x:v>
      </x:c>
      <x:c r="L2428" t="str" s="2">
        <x:v>Lost</x:v>
      </x:c>
    </x:row>
    <x:row r="2429">
      <x:c r="A2429" t="str" s="2">
        <x:f>="Irma McGuire"</x:f>
      </x:c>
      <x:c r="B2429" t="str" s="2">
        <x:v>Heritage Housing of Jennings</x:v>
      </x:c>
      <x:c r="C2429" t="str" s="2">
        <x:v/>
      </x:c>
      <x:c r="D2429" t="str" s="2">
        <x:v>9857226169</x:v>
      </x:c>
      <x:c r="E2429" t="str" s="2">
        <x:v>irmamcguire10@gmail.com</x:v>
      </x:c>
      <x:c r="F2429" t="str" s="2">
        <x:v>Financing Form</x:v>
      </x:c>
      <x:c r="G2429" t="str" s="2">
        <x:v>Mervin Leslie Smith</x:v>
      </x:c>
      <x:c r="H2429" s="6">
        <x:v>46275.689578935184</x:v>
      </x:c>
      <x:c r="I2429" s="0"/>
      <x:c r="J2429" s="0"/>
      <x:c r="K2429" s="6">
        <x:v>46276.76424664352</x:v>
      </x:c>
      <x:c r="L2429" t="str" s="2">
        <x:v>Lost</x:v>
      </x:c>
    </x:row>
    <x:row r="2430">
      <x:c r="A2430" t="str" s="2">
        <x:f>="Alexis Brotzman"</x:f>
      </x:c>
      <x:c r="B2430" t="str" s="2">
        <x:v>Heritage Housing of Jennings</x:v>
      </x:c>
      <x:c r="C2430" t="str" s="2">
        <x:v/>
      </x:c>
      <x:c r="D2430" t="str" s="2">
        <x:v>5043225334</x:v>
      </x:c>
      <x:c r="E2430" t="str" s="2">
        <x:v>Alexis.miken@gmail.com</x:v>
      </x:c>
      <x:c r="F2430" t="str" s="2">
        <x:v>Website</x:v>
      </x:c>
      <x:c r="G2430" t="str" s="2">
        <x:v>Clint O'Neal</x:v>
      </x:c>
      <x:c r="H2430" s="6">
        <x:v>46275.71493888889</x:v>
      </x:c>
      <x:c r="I2430" s="0"/>
      <x:c r="J2430" s="0"/>
      <x:c r="K2430" s="6">
        <x:v>46284</x:v>
      </x:c>
      <x:c r="L2430" t="str" s="2">
        <x:v>Lost</x:v>
      </x:c>
    </x:row>
    <x:row r="2431">
      <x:c r="A2431" t="str" s="2">
        <x:f>="Latasha Valdery"</x:f>
      </x:c>
      <x:c r="B2431" t="str" s="2">
        <x:v>Heritage Housing of Jennings</x:v>
      </x:c>
      <x:c r="C2431" t="str" s="2">
        <x:v/>
      </x:c>
      <x:c r="D2431" t="str" s="2">
        <x:v>5043450803</x:v>
      </x:c>
      <x:c r="E2431" t="str" s="2">
        <x:v>takirakaine@gmail.com</x:v>
      </x:c>
      <x:c r="F2431" t="str" s="2">
        <x:v>Youtube</x:v>
      </x:c>
      <x:c r="G2431" t="str" s="2">
        <x:v>Mervin Leslie Smith</x:v>
      </x:c>
      <x:c r="H2431" s="6">
        <x:v>46275.77986778935</x:v>
      </x:c>
      <x:c r="I2431" s="0"/>
      <x:c r="J2431" s="0"/>
      <x:c r="K2431" s="6">
        <x:v>46275.8078721875</x:v>
      </x:c>
      <x:c r="L2431" t="str" s="2">
        <x:v>Lost</x:v>
      </x:c>
    </x:row>
    <x:row r="2432">
      <x:c r="A2432" t="str" s="2">
        <x:f>="Danielle Rodgers"</x:f>
      </x:c>
      <x:c r="B2432" t="str" s="2">
        <x:v>Heritage Housing of Greenville</x:v>
      </x:c>
      <x:c r="C2432" t="str" s="2">
        <x:v>0/1</x:v>
      </x:c>
      <x:c r="D2432" t="str" s="2">
        <x:v>5613226452</x:v>
      </x:c>
      <x:c r="E2432" t="str" s="2">
        <x:v>d02919781@gmail.com</x:v>
      </x:c>
      <x:c r="F2432" t="str" s="2">
        <x:v>Website</x:v>
      </x:c>
      <x:c r="G2432" t="str" s="2">
        <x:v>Greg Christman</x:v>
      </x:c>
      <x:c r="H2432" s="6">
        <x:v>46275.89140547454</x:v>
      </x:c>
      <x:c r="I2432" s="0"/>
      <x:c r="J2432" s="0"/>
      <x:c r="K2432" s="6">
        <x:v>46288</x:v>
      </x:c>
      <x:c r="L2432" t="str" s="2">
        <x:v>Lost</x:v>
      </x:c>
    </x:row>
    <x:row r="2433">
      <x:c r="A2433" t="str" s="2">
        <x:f>="Dwayne Barber"</x:f>
      </x:c>
      <x:c r="B2433" t="str" s="2">
        <x:v>Heritage Housing of Albany</x:v>
      </x:c>
      <x:c r="C2433" t="str" s="2">
        <x:v/>
      </x:c>
      <x:c r="D2433" t="str" s="2">
        <x:v>4045877921</x:v>
      </x:c>
      <x:c r="E2433" t="str" s="2">
        <x:v>lemondbarber@gmail.com</x:v>
      </x:c>
      <x:c r="F2433" t="str" s="2">
        <x:v>Youtube</x:v>
      </x:c>
      <x:c r="G2433" t="str" s="2">
        <x:v>Justin Johnson</x:v>
      </x:c>
      <x:c r="H2433" s="6">
        <x:v>46275.943739965274</x:v>
      </x:c>
      <x:c r="I2433" s="0"/>
      <x:c r="J2433" s="0"/>
      <x:c r="K2433" s="6">
        <x:v>46280.635896608794</x:v>
      </x:c>
      <x:c r="L2433" t="str" s="2">
        <x:v>Lost</x:v>
      </x:c>
    </x:row>
    <x:row r="2434">
      <x:c r="A2434" t="str" s="2">
        <x:f>="Barry Bradley"</x:f>
      </x:c>
      <x:c r="B2434" t="str" s="2">
        <x:v>Heritage Housing of Minden</x:v>
      </x:c>
      <x:c r="C2434" t="str" s="2">
        <x:v/>
      </x:c>
      <x:c r="D2434" t="str" s="2">
        <x:v>3185530044</x:v>
      </x:c>
      <x:c r="E2434" t="str" s="2">
        <x:v>bradleybarry43@gmail.com</x:v>
      </x:c>
      <x:c r="F2434" t="str" s="2">
        <x:v>Bing - Search</x:v>
      </x:c>
      <x:c r="G2434" t="str" s="2">
        <x:v>Patrick Schuchart</x:v>
      </x:c>
      <x:c r="H2434" s="6">
        <x:v>46276.546681597225</x:v>
      </x:c>
      <x:c r="I2434" s="0"/>
      <x:c r="J2434" s="0"/>
      <x:c r="K2434" s="6">
        <x:v>46276.74068811342</x:v>
      </x:c>
      <x:c r="L2434" t="str" s="2">
        <x:v>Lost</x:v>
      </x:c>
    </x:row>
    <x:row r="2435">
      <x:c r="A2435" t="str" s="2">
        <x:f>="Jessica Booker"</x:f>
      </x:c>
      <x:c r="B2435" t="str" s="2">
        <x:v>Heritage Housing of Asheboro</x:v>
      </x:c>
      <x:c r="C2435" t="str" s="2">
        <x:v/>
      </x:c>
      <x:c r="D2435" t="str" s="2">
        <x:v>9482327203</x:v>
      </x:c>
      <x:c r="E2435" t="str" s="2">
        <x:v>wakietabook2@gmail.com</x:v>
      </x:c>
      <x:c r="F2435" t="str" s="2">
        <x:v>Youtube</x:v>
      </x:c>
      <x:c r="G2435" t="str" s="2">
        <x:v>Kate Gutierrez</x:v>
      </x:c>
      <x:c r="H2435" s="6">
        <x:v>46276.618330405094</x:v>
      </x:c>
      <x:c r="I2435" s="0"/>
      <x:c r="J2435" s="0"/>
      <x:c r="K2435" s="6">
        <x:v>46283</x:v>
      </x:c>
      <x:c r="L2435" t="str" s="2">
        <x:v>Lost</x:v>
      </x:c>
    </x:row>
    <x:row r="2436">
      <x:c r="A2436" t="str" s="2">
        <x:f>="James Ayer"</x:f>
      </x:c>
      <x:c r="B2436" t="str" s="2">
        <x:v>Heritage Housing of Canton</x:v>
      </x:c>
      <x:c r="C2436" t="str" s="2">
        <x:v/>
      </x:c>
      <x:c r="D2436" t="str" s="2">
        <x:v>9453415957</x:v>
      </x:c>
      <x:c r="E2436" t="str" s="2">
        <x:v>ayertruck@gmail.com</x:v>
      </x:c>
      <x:c r="F2436" t="str" s="2">
        <x:v>Financing Form</x:v>
      </x:c>
      <x:c r="G2436" t="str" s="2">
        <x:v>Jacob Hatten</x:v>
      </x:c>
      <x:c r="H2436" s="6">
        <x:v>46276.80273869213</x:v>
      </x:c>
      <x:c r="I2436" s="0"/>
      <x:c r="J2436" s="0"/>
      <x:c r="K2436" s="6">
        <x:v>46282.87817103009</x:v>
      </x:c>
      <x:c r="L2436" t="str" s="2">
        <x:v>Lost</x:v>
      </x:c>
    </x:row>
    <x:row r="2437">
      <x:c r="A2437" t="str" s="2">
        <x:f>="Carlos Infante"</x:f>
      </x:c>
      <x:c r="B2437" t="str" s="2">
        <x:v>Heritage Housing of Greenville</x:v>
      </x:c>
      <x:c r="C2437" t="str" s="2">
        <x:v/>
      </x:c>
      <x:c r="D2437" t="str" s="2">
        <x:v>9032590138</x:v>
      </x:c>
      <x:c r="E2437" t="str" s="2">
        <x:v>infantep7959@gmail.com</x:v>
      </x:c>
      <x:c r="F2437" t="str" s="2">
        <x:v>Youtube</x:v>
      </x:c>
      <x:c r="G2437" t="str" s="2">
        <x:v>Greg Christman</x:v>
      </x:c>
      <x:c r="H2437" s="6">
        <x:v>46276.93429765046</x:v>
      </x:c>
      <x:c r="I2437" s="0"/>
      <x:c r="J2437" s="0"/>
      <x:c r="K2437" s="0"/>
      <x:c r="L2437" t="str" s="2">
        <x:v>Lost</x:v>
      </x:c>
    </x:row>
    <x:row r="2438">
      <x:c r="A2438" t="str" s="2">
        <x:f>="jordan callaway"</x:f>
      </x:c>
      <x:c r="B2438" t="str" s="2">
        <x:v>Heritage Housing of Greenville</x:v>
      </x:c>
      <x:c r="C2438" t="str" s="2">
        <x:v/>
      </x:c>
      <x:c r="D2438" t="str" s="2">
        <x:v>9034971460</x:v>
      </x:c>
      <x:c r="E2438" t="str" s="2">
        <x:v>jordanfreedom@icloud.com</x:v>
      </x:c>
      <x:c r="F2438" t="str" s="2">
        <x:v>Landing_BPM</x:v>
      </x:c>
      <x:c r="G2438" t="str" s="2">
        <x:v>Greg Christman</x:v>
      </x:c>
      <x:c r="H2438" s="6">
        <x:v>46277.20184806713</x:v>
      </x:c>
      <x:c r="I2438" s="0"/>
      <x:c r="J2438" s="0"/>
      <x:c r="K2438" s="0"/>
      <x:c r="L2438" t="str" s="2">
        <x:v>Lost</x:v>
      </x:c>
    </x:row>
    <x:row r="2439">
      <x:c r="A2439" t="str" s="2">
        <x:f>="Henry Pettis"</x:f>
      </x:c>
      <x:c r="B2439" t="str" s="2">
        <x:v>Heritage Housing of Asheboro</x:v>
      </x:c>
      <x:c r="C2439" t="str" s="2">
        <x:v>1/1</x:v>
      </x:c>
      <x:c r="D2439" t="str" s="2">
        <x:v>3369955586</x:v>
      </x:c>
      <x:c r="E2439" t="str" s="2">
        <x:v>MrPettis23@gmail.com</x:v>
      </x:c>
      <x:c r="F2439" t="str" s="2">
        <x:v>Landing_BPM</x:v>
      </x:c>
      <x:c r="G2439" t="str" s="2">
        <x:v>Maria Lopez</x:v>
      </x:c>
      <x:c r="H2439" s="6">
        <x:v>46277.55351770834</x:v>
      </x:c>
      <x:c r="I2439" s="0"/>
      <x:c r="J2439" s="0"/>
      <x:c r="K2439" s="6">
        <x:v>46279</x:v>
      </x:c>
      <x:c r="L2439" t="str" s="2">
        <x:v>Lost</x:v>
      </x:c>
    </x:row>
    <x:row r="2440">
      <x:c r="A2440" t="str" s="2">
        <x:f>="Brittany Clowney"</x:f>
      </x:c>
      <x:c r="B2440" t="str" s="2">
        <x:v>Heritage Housing of Athens</x:v>
      </x:c>
      <x:c r="C2440" t="str" s="2">
        <x:v/>
      </x:c>
      <x:c r="D2440" t="str" s="2">
        <x:v>6789434752</x:v>
      </x:c>
      <x:c r="E2440" t="str" s="2">
        <x:v>brittanyclowney0000@gmail.com</x:v>
      </x:c>
      <x:c r="F2440" t="str" s="2">
        <x:v>Bing - Search</x:v>
      </x:c>
      <x:c r="G2440" t="str" s="2">
        <x:v>Ethan Fossett</x:v>
      </x:c>
      <x:c r="H2440" s="6">
        <x:v>46277.84327704861</x:v>
      </x:c>
      <x:c r="I2440" s="0"/>
      <x:c r="J2440" s="0"/>
      <x:c r="K2440" s="6">
        <x:v>46284</x:v>
      </x:c>
      <x:c r="L2440" t="str" s="2">
        <x:v>Lost</x:v>
      </x:c>
    </x:row>
    <x:row r="2441">
      <x:c r="A2441" t="str" s="2">
        <x:f>="Larry and Karen Hinds"</x:f>
      </x:c>
      <x:c r="B2441" t="str" s="2">
        <x:v>Heritage Housing of Augusta</x:v>
      </x:c>
      <x:c r="C2441" t="str" s="2">
        <x:v/>
      </x:c>
      <x:c r="D2441" t="str" s="2">
        <x:v>2243036638</x:v>
      </x:c>
      <x:c r="E2441" t="str" s="2">
        <x:v>29581955abc@gmail.com</x:v>
      </x:c>
      <x:c r="F2441" t="str" s="2">
        <x:v>Website</x:v>
      </x:c>
      <x:c r="G2441" t="str" s="2">
        <x:v>Alex Jones</x:v>
      </x:c>
      <x:c r="H2441" s="6">
        <x:v>46278.508701886574</x:v>
      </x:c>
      <x:c r="I2441" s="0"/>
      <x:c r="J2441" s="0"/>
      <x:c r="K2441" s="6">
        <x:v>46281</x:v>
      </x:c>
      <x:c r="L2441" t="str" s="2">
        <x:v>Lost</x:v>
      </x:c>
    </x:row>
    <x:row r="2442">
      <x:c r="A2442" t="str" s="2">
        <x:f>="Stacy Armstrong"</x:f>
      </x:c>
      <x:c r="B2442" t="str" s="2">
        <x:v>Heritage Housing of Jennings</x:v>
      </x:c>
      <x:c r="C2442" t="str" s="2">
        <x:v/>
      </x:c>
      <x:c r="D2442" t="str" s="2">
        <x:v>3189009022</x:v>
      </x:c>
      <x:c r="E2442" t="str" s="2">
        <x:v>stacyatmstrong1@gmail.com</x:v>
      </x:c>
      <x:c r="F2442" t="str" s="2">
        <x:v>Youtube</x:v>
      </x:c>
      <x:c r="G2442" t="str" s="2">
        <x:v>Mervin Leslie Smith</x:v>
      </x:c>
      <x:c r="H2442" s="6">
        <x:v>46278.51481508102</x:v>
      </x:c>
      <x:c r="I2442" s="0"/>
      <x:c r="J2442" s="0"/>
      <x:c r="K2442" s="6">
        <x:v>46280.71530940972</x:v>
      </x:c>
      <x:c r="L2442" t="str" s="2">
        <x:v>Lost</x:v>
      </x:c>
    </x:row>
    <x:row r="2443">
      <x:c r="A2443" t="str" s="2">
        <x:f>="Robertrer RalphrerGM"</x:f>
      </x:c>
      <x:c r="B2443" t="str" s="2">
        <x:v>Heritage Housing of Greenville</x:v>
      </x:c>
      <x:c r="C2443" t="str" s="2">
        <x:v/>
      </x:c>
      <x:c r="D2443" t="str" s="2">
        <x:v>89593128163</x:v>
      </x:c>
      <x:c r="E2443" t="str" s="2">
        <x:v>eundtgc@wvavmig.qjk</x:v>
      </x:c>
      <x:c r="F2443" t="str" s="2">
        <x:v>Website</x:v>
      </x:c>
      <x:c r="G2443" t="str" s="2">
        <x:v>Greg Christman</x:v>
      </x:c>
      <x:c r="H2443" s="6">
        <x:v>46278.83240219908</x:v>
      </x:c>
      <x:c r="I2443" s="0"/>
      <x:c r="J2443" s="0"/>
      <x:c r="K2443" s="0"/>
      <x:c r="L2443" t="str" s="2">
        <x:v>Lost</x:v>
      </x:c>
    </x:row>
    <x:row r="2444">
      <x:c r="A2444" t="str" s="2">
        <x:f>="Brandi Ditta"</x:f>
      </x:c>
      <x:c r="B2444" t="str" s="2">
        <x:v>Heritage Housing of Jennings</x:v>
      </x:c>
      <x:c r="C2444" t="str" s="2">
        <x:v/>
      </x:c>
      <x:c r="D2444" t="str" s="2">
        <x:v>9856478665</x:v>
      </x:c>
      <x:c r="E2444" t="str" s="2">
        <x:v>brandiditta@gmail.com</x:v>
      </x:c>
      <x:c r="F2444" t="str" s="2">
        <x:v>Financing Form</x:v>
      </x:c>
      <x:c r="G2444" t="str" s="2">
        <x:v>Mervin Leslie Smith</x:v>
      </x:c>
      <x:c r="H2444" s="6">
        <x:v>46279.122580868054</x:v>
      </x:c>
      <x:c r="I2444" s="0"/>
      <x:c r="J2444" s="0"/>
      <x:c r="K2444" s="6">
        <x:v>46279.75873619213</x:v>
      </x:c>
      <x:c r="L2444" t="str" s="2">
        <x:v>Lost</x:v>
      </x:c>
    </x:row>
    <x:row r="2445">
      <x:c r="A2445" t="str" s="2">
        <x:f>="Jonathan De Jesus"</x:f>
      </x:c>
      <x:c r="B2445" t="str" s="2">
        <x:v>Heritage Housing of Jennings</x:v>
      </x:c>
      <x:c r="C2445" t="str" s="2">
        <x:v/>
      </x:c>
      <x:c r="D2445" t="str" s="2">
        <x:v>3374232231</x:v>
      </x:c>
      <x:c r="E2445" t="str" s="2">
        <x:v>haynl5119@gmail.com</x:v>
      </x:c>
      <x:c r="F2445" t="str" s="2">
        <x:v>Landing_BPM</x:v>
      </x:c>
      <x:c r="G2445" t="str" s="2">
        <x:v>Mervin Leslie Smith</x:v>
      </x:c>
      <x:c r="H2445" s="6">
        <x:v>46279.3055846412</x:v>
      </x:c>
      <x:c r="I2445" s="0"/>
      <x:c r="J2445" s="0"/>
      <x:c r="K2445" s="6">
        <x:v>46279.76532832176</x:v>
      </x:c>
      <x:c r="L2445" t="str" s="2">
        <x:v>Lost</x:v>
      </x:c>
    </x:row>
    <x:row r="2446">
      <x:c r="A2446" t="str" s="2">
        <x:f>="JOEY WATSON"</x:f>
      </x:c>
      <x:c r="B2446" t="str" s="2">
        <x:v>Heritage Housing of Asheboro</x:v>
      </x:c>
      <x:c r="C2446" t="str" s="2">
        <x:v/>
      </x:c>
      <x:c r="D2446" t="str" s="2">
        <x:v>8285729795</x:v>
      </x:c>
      <x:c r="E2446" t="str" s="2">
        <x:v>chikanman1672@gmail.com</x:v>
      </x:c>
      <x:c r="F2446" t="str" s="2">
        <x:v>Landing_BPM</x:v>
      </x:c>
      <x:c r="G2446" t="str" s="2">
        <x:v>Maria Lopez</x:v>
      </x:c>
      <x:c r="H2446" s="6">
        <x:v>46279.5218443287</x:v>
      </x:c>
      <x:c r="I2446" s="0"/>
      <x:c r="J2446" s="0"/>
      <x:c r="K2446" s="6">
        <x:v>46288</x:v>
      </x:c>
      <x:c r="L2446" t="str" s="2">
        <x:v>Lost</x:v>
      </x:c>
    </x:row>
    <x:row r="2447">
      <x:c r="A2447" t="str" s="2">
        <x:f>="Crystal hunter hunter"</x:f>
      </x:c>
      <x:c r="B2447" t="str" s="2">
        <x:v>Heritage Housing of Greenville</x:v>
      </x:c>
      <x:c r="C2447" t="str" s="2">
        <x:v>0/1</x:v>
      </x:c>
      <x:c r="D2447" t="str" s="2">
        <x:v>9033049744</x:v>
      </x:c>
      <x:c r="E2447" t="str" s="2">
        <x:v>crystalhunter092@gmail.com</x:v>
      </x:c>
      <x:c r="F2447" t="str" s="2">
        <x:v>Landing_BPM</x:v>
      </x:c>
      <x:c r="G2447" t="str" s="2">
        <x:v>Greg Christman</x:v>
      </x:c>
      <x:c r="H2447" s="6">
        <x:v>46279.52231755787</x:v>
      </x:c>
      <x:c r="I2447" s="0"/>
      <x:c r="J2447" s="0"/>
      <x:c r="K2447" s="6">
        <x:v>46281</x:v>
      </x:c>
      <x:c r="L2447" t="str" s="2">
        <x:v>Lost</x:v>
      </x:c>
    </x:row>
    <x:row r="2448">
      <x:c r="A2448" t="str" s="2">
        <x:f>="Torie Coleman"</x:f>
      </x:c>
      <x:c r="B2448" t="str" s="2">
        <x:v>Heritage Housing of Athens</x:v>
      </x:c>
      <x:c r="C2448" t="str" s="2">
        <x:v/>
      </x:c>
      <x:c r="D2448" t="str" s="2">
        <x:v>7065409788</x:v>
      </x:c>
      <x:c r="E2448" t="str" s="2">
        <x:v>toriecoleman15@gmail.com</x:v>
      </x:c>
      <x:c r="F2448" t="str" s="2">
        <x:v>Landing_BPM</x:v>
      </x:c>
      <x:c r="G2448" t="str" s="2">
        <x:v>Ethan Fossett</x:v>
      </x:c>
      <x:c r="H2448" s="6">
        <x:v>46279.92344232639</x:v>
      </x:c>
      <x:c r="I2448" s="0"/>
      <x:c r="J2448" s="0"/>
      <x:c r="K2448" s="6">
        <x:v>46290.747657025466</x:v>
      </x:c>
      <x:c r="L2448" t="str" s="2">
        <x:v>Lost</x:v>
      </x:c>
    </x:row>
    <x:row r="2449">
      <x:c r="A2449" t="str" s="2">
        <x:f>="Sophia Harris Harris"</x:f>
      </x:c>
      <x:c r="B2449" t="str" s="2">
        <x:v>Heritage Housing of Albany</x:v>
      </x:c>
      <x:c r="C2449" t="str" s="2">
        <x:v/>
      </x:c>
      <x:c r="D2449" t="str" s="2">
        <x:v>2025558806</x:v>
      </x:c>
      <x:c r="E2449" t="str" s="2">
        <x:v>phatpat10@me.com</x:v>
      </x:c>
      <x:c r="F2449" t="str" s="2">
        <x:v>Website</x:v>
      </x:c>
      <x:c r="G2449" t="str" s="2">
        <x:v>Yanet Alvarez</x:v>
      </x:c>
      <x:c r="H2449" s="6">
        <x:v>46280.00352971065</x:v>
      </x:c>
      <x:c r="I2449" s="0"/>
      <x:c r="J2449" s="0"/>
      <x:c r="K2449" s="6">
        <x:v>46280.57881292824</x:v>
      </x:c>
      <x:c r="L2449" t="str" s="2">
        <x:v>Lost</x:v>
      </x:c>
    </x:row>
    <x:row r="2450">
      <x:c r="A2450" t="str" s="2">
        <x:f>="Raven Harris"</x:f>
      </x:c>
      <x:c r="B2450" t="str" s="2">
        <x:v>Heritage Housing of Jennings</x:v>
      </x:c>
      <x:c r="C2450" t="str" s="2">
        <x:v/>
      </x:c>
      <x:c r="D2450" t="str" s="2">
        <x:v>3372401825</x:v>
      </x:c>
      <x:c r="E2450" t="str" s="2">
        <x:v>ravenlacole0022@gmail.com</x:v>
      </x:c>
      <x:c r="F2450" t="str" s="2">
        <x:v>Financing Form</x:v>
      </x:c>
      <x:c r="G2450" t="str" s="2">
        <x:v>Mervin Leslie Smith</x:v>
      </x:c>
      <x:c r="H2450" s="6">
        <x:v>46280.3764153125</x:v>
      </x:c>
      <x:c r="I2450" s="0"/>
      <x:c r="J2450" s="0"/>
      <x:c r="K2450" s="6">
        <x:v>46282.80908579861</x:v>
      </x:c>
      <x:c r="L2450" t="str" s="2">
        <x:v>Lost</x:v>
      </x:c>
    </x:row>
    <x:row r="2451">
      <x:c r="A2451" t="str" s="2">
        <x:f>="Detrai Flowers"</x:f>
      </x:c>
      <x:c r="B2451" t="str" s="2">
        <x:v>Heritage Housing of Asheboro</x:v>
      </x:c>
      <x:c r="C2451" t="str" s="2">
        <x:v/>
      </x:c>
      <x:c r="D2451" t="str" s="2">
        <x:v>3029830883</x:v>
      </x:c>
      <x:c r="E2451" t="str" s="2">
        <x:v>detrai13@gmail.com</x:v>
      </x:c>
      <x:c r="F2451" t="str" s="2">
        <x:v>Landing_BPM</x:v>
      </x:c>
      <x:c r="G2451" t="str" s="2">
        <x:v>Maria Lopez</x:v>
      </x:c>
      <x:c r="H2451" s="6">
        <x:v>46280.392424108795</x:v>
      </x:c>
      <x:c r="I2451" s="0"/>
      <x:c r="J2451" s="0"/>
      <x:c r="K2451" s="6">
        <x:v>46281.63011597222</x:v>
      </x:c>
      <x:c r="L2451" t="str" s="2">
        <x:v>Lost</x:v>
      </x:c>
    </x:row>
    <x:row r="2452">
      <x:c r="A2452" t="str" s="2">
        <x:f>="Sara Garcia"</x:f>
      </x:c>
      <x:c r="B2452" t="str" s="2">
        <x:v>Heritage Housing of Asheboro</x:v>
      </x:c>
      <x:c r="C2452" t="str" s="2">
        <x:v/>
      </x:c>
      <x:c r="D2452" t="str" s="2">
        <x:v>5594291131</x:v>
      </x:c>
      <x:c r="E2452" t="str" s="2">
        <x:v>lmmm83@yahoo.com</x:v>
      </x:c>
      <x:c r="F2452" t="str" s="2">
        <x:v>Landing_BPM</x:v>
      </x:c>
      <x:c r="G2452" t="str" s="2">
        <x:v>Maria Lopez</x:v>
      </x:c>
      <x:c r="H2452" s="6">
        <x:v>46280.44879637731</x:v>
      </x:c>
      <x:c r="I2452" s="0"/>
      <x:c r="J2452" s="0"/>
      <x:c r="K2452" s="6">
        <x:v>46288.73376122685</x:v>
      </x:c>
      <x:c r="L2452" t="str" s="2">
        <x:v>Lost</x:v>
      </x:c>
    </x:row>
    <x:row r="2453">
      <x:c r="A2453" t="str" s="2">
        <x:f>="sonia Kelley"</x:f>
      </x:c>
      <x:c r="B2453" t="str" s="2">
        <x:v>Heritage Housing of Albany</x:v>
      </x:c>
      <x:c r="C2453" t="str" s="2">
        <x:v/>
      </x:c>
      <x:c r="D2453" t="str" s="2">
        <x:v>6782608144</x:v>
      </x:c>
      <x:c r="E2453" t="str" s="2">
        <x:v>kelleysonia000@gmail.com</x:v>
      </x:c>
      <x:c r="F2453" t="str" s="2">
        <x:v>Youtube</x:v>
      </x:c>
      <x:c r="G2453" t="str" s="2">
        <x:v>Yanet Alvarez</x:v>
      </x:c>
      <x:c r="H2453" s="6">
        <x:v>46280.75228090278</x:v>
      </x:c>
      <x:c r="I2453" s="0"/>
      <x:c r="J2453" s="0"/>
      <x:c r="K2453" s="6">
        <x:v>46280.8080096412</x:v>
      </x:c>
      <x:c r="L2453" t="str" s="2">
        <x:v>Lost</x:v>
      </x:c>
    </x:row>
    <x:row r="2454">
      <x:c r="A2454" t="str" s="2">
        <x:f>="Connie Moline"</x:f>
      </x:c>
      <x:c r="B2454" t="str" s="2">
        <x:v>Heritage Housing of Canton</x:v>
      </x:c>
      <x:c r="C2454" t="str" s="2">
        <x:v/>
      </x:c>
      <x:c r="D2454" t="str" s="2">
        <x:v>9035764127</x:v>
      </x:c>
      <x:c r="E2454" t="str" s="2">
        <x:v>conniemoline75@gmail.com</x:v>
      </x:c>
      <x:c r="F2454" t="str" s="2">
        <x:v>Website</x:v>
      </x:c>
      <x:c r="G2454" t="str" s="2">
        <x:v>Jacob Hatten</x:v>
      </x:c>
      <x:c r="H2454" s="6">
        <x:v>46280.78078267361</x:v>
      </x:c>
      <x:c r="I2454" s="0"/>
      <x:c r="J2454" s="0"/>
      <x:c r="K2454" s="6">
        <x:v>46281</x:v>
      </x:c>
      <x:c r="L2454" t="str" s="2">
        <x:v>Lost</x:v>
      </x:c>
    </x:row>
    <x:row r="2455">
      <x:c r="A2455" t="str" s="2">
        <x:f>="Jerry Trychta"</x:f>
      </x:c>
      <x:c r="B2455" t="str" s="2">
        <x:v>Heritage Housing of Albany</x:v>
      </x:c>
      <x:c r="C2455" t="str" s="2">
        <x:v/>
      </x:c>
      <x:c r="D2455" t="str" s="2">
        <x:v>5616359157</x:v>
      </x:c>
      <x:c r="E2455" t="str" s="2">
        <x:v>jj561trych@gmail.com</x:v>
      </x:c>
      <x:c r="F2455" t="str" s="2">
        <x:v>Youtube</x:v>
      </x:c>
      <x:c r="G2455" t="str" s="2">
        <x:v>Yanet Alvarez</x:v>
      </x:c>
      <x:c r="H2455" s="6">
        <x:v>46280.862900810185</x:v>
      </x:c>
      <x:c r="I2455" s="0"/>
      <x:c r="J2455" s="0"/>
      <x:c r="K2455" s="6">
        <x:v>46280.91173668981</x:v>
      </x:c>
      <x:c r="L2455" t="str" s="2">
        <x:v>Lost</x:v>
      </x:c>
    </x:row>
    <x:row r="2456">
      <x:c r="A2456" t="str" s="2">
        <x:f>="Olinda Stoker"</x:f>
      </x:c>
      <x:c r="B2456" t="str" s="2">
        <x:v>Heritage Housing of Jennings</x:v>
      </x:c>
      <x:c r="C2456" t="str" s="2">
        <x:v/>
      </x:c>
      <x:c r="D2456" t="str" s="2">
        <x:v>3374595505</x:v>
      </x:c>
      <x:c r="E2456" t="str" s="2">
        <x:v>olindastoker555@gmail.com</x:v>
      </x:c>
      <x:c r="F2456" t="str" s="2">
        <x:v>Youtube</x:v>
      </x:c>
      <x:c r="G2456" t="str" s="2">
        <x:v>Clint O'Neal</x:v>
      </x:c>
      <x:c r="H2456" s="6">
        <x:v>46280.89285019676</x:v>
      </x:c>
      <x:c r="I2456" s="0"/>
      <x:c r="J2456" s="0"/>
      <x:c r="K2456" s="6">
        <x:v>46280.89591357639</x:v>
      </x:c>
      <x:c r="L2456" t="str" s="2">
        <x:v>Lost</x:v>
      </x:c>
    </x:row>
    <x:row r="2457">
      <x:c r="A2457" t="str" s="2">
        <x:f>="Shaelyn Schexnider Schexnider"</x:f>
      </x:c>
      <x:c r="B2457" t="str" s="2">
        <x:v>Heritage Housing of Jennings</x:v>
      </x:c>
      <x:c r="C2457" t="str" s="2">
        <x:v/>
      </x:c>
      <x:c r="D2457" t="str" s="2">
        <x:v>3378499948</x:v>
      </x:c>
      <x:c r="E2457" t="str" s="2">
        <x:v>tippers_mommy92@yahoo.com</x:v>
      </x:c>
      <x:c r="F2457" t="str" s="2">
        <x:v>Landing_BPM</x:v>
      </x:c>
      <x:c r="G2457" t="str" s="2">
        <x:v>Mervin Leslie Smith</x:v>
      </x:c>
      <x:c r="H2457" s="6">
        <x:v>46281.23657650463</x:v>
      </x:c>
      <x:c r="I2457" s="0"/>
      <x:c r="J2457" s="0"/>
      <x:c r="K2457" s="6">
        <x:v>46283.83225339121</x:v>
      </x:c>
      <x:c r="L2457" t="str" s="2">
        <x:v>Lost</x:v>
      </x:c>
    </x:row>
    <x:row r="2458">
      <x:c r="A2458" t="str" s="2">
        <x:f>="testetstetststdttsdt eklwfmnwñjfknwefjhqwofjhqwo"</x:f>
      </x:c>
      <x:c r="B2458" t="str" s="2">
        <x:v>Heritage Housing Mt Pleasant</x:v>
      </x:c>
      <x:c r="C2458" t="str" s="2">
        <x:v/>
      </x:c>
      <x:c r="D2458" t="str" s="2">
        <x:v>254987451521</x:v>
      </x:c>
      <x:c r="E2458" t="str" s="2">
        <x:v>lbwfqgoqvfwoeqw@jnqwfoh3.com</x:v>
      </x:c>
      <x:c r="F2458" t="str" s="2">
        <x:v>Workforce - Meta</x:v>
      </x:c>
      <x:c r="G2458" t="str" s="2">
        <x:v>Elias Gallardo</x:v>
      </x:c>
      <x:c r="H2458" s="6">
        <x:v>46281.66086898148</x:v>
      </x:c>
      <x:c r="I2458" s="0"/>
      <x:c r="J2458" s="0"/>
      <x:c r="K2458" s="0"/>
      <x:c r="L2458" t="str" s="2">
        <x:v>Lost</x:v>
      </x:c>
    </x:row>
    <x:row r="2459">
      <x:c r="A2459" t="str" s="2">
        <x:f>="Jesus Ramirez"</x:f>
      </x:c>
      <x:c r="B2459" t="str" s="2">
        <x:v>Heritage Housing of Athens</x:v>
      </x:c>
      <x:c r="C2459" t="str" s="2">
        <x:v/>
      </x:c>
      <x:c r="D2459" t="str" s="2">
        <x:v>7623147958</x:v>
      </x:c>
      <x:c r="E2459" t="str" s="2">
        <x:v>o45devil45o@gmail.com</x:v>
      </x:c>
      <x:c r="F2459" t="str" s="2">
        <x:v>Bing - Search</x:v>
      </x:c>
      <x:c r="G2459" t="str" s="2">
        <x:v>Nathan Bishop</x:v>
      </x:c>
      <x:c r="H2459" s="6">
        <x:v>46281.8810346875</x:v>
      </x:c>
      <x:c r="I2459" s="0"/>
      <x:c r="J2459" s="0"/>
      <x:c r="K2459" s="6">
        <x:v>46281</x:v>
      </x:c>
      <x:c r="L2459" t="str" s="2">
        <x:v>Lost</x:v>
      </x:c>
    </x:row>
    <x:row r="2460">
      <x:c r="A2460" t="str" s="2">
        <x:f>="Tammie Jones"</x:f>
      </x:c>
      <x:c r="B2460" t="str" s="2">
        <x:v>Heritage Housing of Asheboro</x:v>
      </x:c>
      <x:c r="C2460" t="str" s="2">
        <x:v/>
      </x:c>
      <x:c r="D2460" t="str" s="2">
        <x:v>7049637510</x:v>
      </x:c>
      <x:c r="E2460" t="str" s="2">
        <x:v>pygmom@gmail.com</x:v>
      </x:c>
      <x:c r="F2460" t="str" s="2">
        <x:v>Youtube</x:v>
      </x:c>
      <x:c r="G2460" t="str" s="2">
        <x:v>Maria Lopez</x:v>
      </x:c>
      <x:c r="H2460" s="6">
        <x:v>46281.899542824074</x:v>
      </x:c>
      <x:c r="I2460" s="0"/>
      <x:c r="J2460" s="0"/>
      <x:c r="K2460" s="6">
        <x:v>46288</x:v>
      </x:c>
      <x:c r="L2460" t="str" s="2">
        <x:v>Lost</x:v>
      </x:c>
    </x:row>
    <x:row r="2461">
      <x:c r="A2461" t="str" s="2">
        <x:f>="Hilda Brown"</x:f>
      </x:c>
      <x:c r="B2461" t="str" s="2">
        <x:v>Heritage Housing of Albany</x:v>
      </x:c>
      <x:c r="C2461" t="str" s="2">
        <x:v/>
      </x:c>
      <x:c r="D2461" t="str" s="2">
        <x:v>7692328884</x:v>
      </x:c>
      <x:c r="E2461" t="str" s="2">
        <x:v>hildamarciabrown@gmail.com</x:v>
      </x:c>
      <x:c r="F2461" t="str" s="2">
        <x:v>Youtube</x:v>
      </x:c>
      <x:c r="G2461" t="str" s="2">
        <x:v>Justin Johnson</x:v>
      </x:c>
      <x:c r="H2461" s="6">
        <x:v>46282.08532334491</x:v>
      </x:c>
      <x:c r="I2461" s="0"/>
      <x:c r="J2461" s="0"/>
      <x:c r="K2461" s="6">
        <x:v>46282.67571836805</x:v>
      </x:c>
      <x:c r="L2461" t="str" s="2">
        <x:v>Lost</x:v>
      </x:c>
    </x:row>
    <x:row r="2462">
      <x:c r="A2462" t="str" s="2">
        <x:f>="Virginia Mair"</x:f>
      </x:c>
      <x:c r="B2462" t="str" s="2">
        <x:v>Heritage Housing Marble Falls</x:v>
      </x:c>
      <x:c r="C2462" t="str" s="2">
        <x:v/>
      </x:c>
      <x:c r="D2462" t="str" s="2">
        <x:v>3254233685</x:v>
      </x:c>
      <x:c r="E2462" t="str" s="2">
        <x:v>virginiamair61@gmail.com</x:v>
      </x:c>
      <x:c r="F2462" t="str" s="2">
        <x:v>LandingPage</x:v>
      </x:c>
      <x:c r="G2462" t="str" s="2">
        <x:v>Stephen Sanders</x:v>
      </x:c>
      <x:c r="H2462" s="6">
        <x:v>46282.319418402774</x:v>
      </x:c>
      <x:c r="I2462" s="0"/>
      <x:c r="J2462" s="0"/>
      <x:c r="K2462" s="6">
        <x:v>46282.92596774305</x:v>
      </x:c>
      <x:c r="L2462" t="str" s="2">
        <x:v>Lost</x:v>
      </x:c>
    </x:row>
    <x:row r="2463">
      <x:c r="A2463" t="str" s="2">
        <x:f>="BRITTENY BUTLER"</x:f>
      </x:c>
      <x:c r="B2463" t="str" s="2">
        <x:v>Heritage Housing of Asheboro</x:v>
      </x:c>
      <x:c r="C2463" t="str" s="2">
        <x:v/>
      </x:c>
      <x:c r="D2463" t="str" s="2">
        <x:v>7042911317</x:v>
      </x:c>
      <x:c r="E2463" t="str" s="2">
        <x:v>brittsimone704@gmail.com</x:v>
      </x:c>
      <x:c r="F2463" t="str" s="2">
        <x:v>Youtube</x:v>
      </x:c>
      <x:c r="G2463" t="str" s="2">
        <x:v>Kate Gutierrez</x:v>
      </x:c>
      <x:c r="H2463" s="6">
        <x:v>46282.63052931713</x:v>
      </x:c>
      <x:c r="I2463" s="0"/>
      <x:c r="J2463" s="0"/>
      <x:c r="K2463" s="6">
        <x:v>46282.648646064816</x:v>
      </x:c>
      <x:c r="L2463" t="str" s="2">
        <x:v>Lost</x:v>
      </x:c>
    </x:row>
    <x:row r="2464">
      <x:c r="A2464" t="str" s="2">
        <x:f>="Felipe Herrera Jr."</x:f>
      </x:c>
      <x:c r="B2464" t="str" s="2">
        <x:v>Heritage Housing Marble Falls</x:v>
      </x:c>
      <x:c r="C2464" t="str" s="2">
        <x:v/>
      </x:c>
      <x:c r="D2464" t="str" s="2">
        <x:v>3615103647</x:v>
      </x:c>
      <x:c r="E2464" t="str" s="2">
        <x:v>herrerajrf@gmail.com</x:v>
      </x:c>
      <x:c r="F2464" t="str" s="2">
        <x:v>Financing Form</x:v>
      </x:c>
      <x:c r="G2464" t="str" s="2">
        <x:v>Stephen Sanders</x:v>
      </x:c>
      <x:c r="H2464" s="6">
        <x:v>46282.69601103009</x:v>
      </x:c>
      <x:c r="I2464" s="0"/>
      <x:c r="J2464" s="0"/>
      <x:c r="K2464" s="6">
        <x:v>46282.75189791666</x:v>
      </x:c>
      <x:c r="L2464" t="str" s="2">
        <x:v>Lost</x:v>
      </x:c>
    </x:row>
    <x:row r="2465">
      <x:c r="A2465" t="str" s="2">
        <x:f>="Chrishanda Cole"</x:f>
      </x:c>
      <x:c r="B2465" t="str" s="2">
        <x:v>Heritage Housing of Jennings</x:v>
      </x:c>
      <x:c r="C2465" t="str" s="2">
        <x:v/>
      </x:c>
      <x:c r="D2465" t="str" s="2">
        <x:v>2107483126</x:v>
      </x:c>
      <x:c r="E2465" t="str" s="2">
        <x:v>chrishandacole@gmail.com</x:v>
      </x:c>
      <x:c r="F2465" t="str" s="2">
        <x:v>Financing Form</x:v>
      </x:c>
      <x:c r="G2465" t="str" s="2">
        <x:v>Mervin Leslie Smith</x:v>
      </x:c>
      <x:c r="H2465" s="6">
        <x:v>46282.943970914355</x:v>
      </x:c>
      <x:c r="I2465" s="0"/>
      <x:c r="J2465" s="0"/>
      <x:c r="K2465" s="6">
        <x:v>46287.73390216435</x:v>
      </x:c>
      <x:c r="L2465" t="str" s="2">
        <x:v>Lost</x:v>
      </x:c>
    </x:row>
    <x:row r="2466">
      <x:c r="A2466" t="str" s="2">
        <x:f>="Monica LeBlanc"</x:f>
      </x:c>
      <x:c r="B2466" t="str" s="2">
        <x:v>Heritage Housing of Jennings</x:v>
      </x:c>
      <x:c r="C2466" t="str" s="2">
        <x:v/>
      </x:c>
      <x:c r="D2466" t="str" s="2">
        <x:v>9854671632</x:v>
      </x:c>
      <x:c r="E2466" t="str" s="2">
        <x:v>prettypenny71185@gmail.com</x:v>
      </x:c>
      <x:c r="F2466" t="str" s="2">
        <x:v>Youtube</x:v>
      </x:c>
      <x:c r="G2466" t="str" s="2">
        <x:v>Clint O'Neal</x:v>
      </x:c>
      <x:c r="H2466" s="6">
        <x:v>46283.03877190972</x:v>
      </x:c>
      <x:c r="I2466" s="0"/>
      <x:c r="J2466" s="0"/>
      <x:c r="K2466" s="6">
        <x:v>46283.56197021991</x:v>
      </x:c>
      <x:c r="L2466" t="str" s="2">
        <x:v>Lost</x:v>
      </x:c>
    </x:row>
    <x:row r="2467">
      <x:c r="A2467" t="str" s="2">
        <x:f>="Damian Lowry Lowry"</x:f>
      </x:c>
      <x:c r="B2467" t="str" s="2">
        <x:v>Heritage Housing of Albany</x:v>
      </x:c>
      <x:c r="C2467" t="str" s="2">
        <x:v>0/2</x:v>
      </x:c>
      <x:c r="D2467" t="str" s="2">
        <x:v>4789784405</x:v>
      </x:c>
      <x:c r="E2467" t="str" s="2">
        <x:v>damianlowry34@gmail.com</x:v>
      </x:c>
      <x:c r="F2467" t="str" s="2">
        <x:v>Landing_BPM</x:v>
      </x:c>
      <x:c r="G2467" t="str" s="2">
        <x:v>Yanet Alvarez</x:v>
      </x:c>
      <x:c r="H2467" s="6">
        <x:v>46283.170563541666</x:v>
      </x:c>
      <x:c r="I2467" s="0"/>
      <x:c r="J2467" s="0"/>
      <x:c r="K2467" s="6">
        <x:v>46283.590610150466</x:v>
      </x:c>
      <x:c r="L2467" t="str" s="2">
        <x:v>Lost</x:v>
      </x:c>
    </x:row>
    <x:row r="2468">
      <x:c r="A2468" t="str" s="2">
        <x:f>="Amanda Sturgis"</x:f>
      </x:c>
      <x:c r="B2468" t="str" s="2">
        <x:v>Heritage Housing of Asheboro</x:v>
      </x:c>
      <x:c r="C2468" t="str" s="2">
        <x:v/>
      </x:c>
      <x:c r="D2468" t="str" s="2">
        <x:v>7048538532</x:v>
      </x:c>
      <x:c r="E2468" t="str" s="2">
        <x:v>choosen14ever@gmail.com</x:v>
      </x:c>
      <x:c r="F2468" t="str" s="2">
        <x:v>Youtube</x:v>
      </x:c>
      <x:c r="G2468" t="str" s="2">
        <x:v>Kate Gutierrez</x:v>
      </x:c>
      <x:c r="H2468" s="6">
        <x:v>46283.45207126158</x:v>
      </x:c>
      <x:c r="I2468" s="0"/>
      <x:c r="J2468" s="0"/>
      <x:c r="K2468" s="6">
        <x:v>46283.74015509259</x:v>
      </x:c>
      <x:c r="L2468" t="str" s="2">
        <x:v>Lost</x:v>
      </x:c>
    </x:row>
    <x:row r="2469">
      <x:c r="A2469" t="str" s="2">
        <x:f>="Dawnysa Joubert"</x:f>
      </x:c>
      <x:c r="B2469" t="str" s="2">
        <x:v>Heritage Housing of Jennings</x:v>
      </x:c>
      <x:c r="C2469" t="str" s="2">
        <x:v/>
      </x:c>
      <x:c r="D2469" t="str" s="2">
        <x:v>3373023628</x:v>
      </x:c>
      <x:c r="E2469" t="str" s="2">
        <x:v>mizd93@gmail.com</x:v>
      </x:c>
      <x:c r="F2469" t="str" s="2">
        <x:v>Landing_BPM</x:v>
      </x:c>
      <x:c r="G2469" t="str" s="2">
        <x:v>Mervin Leslie Smith</x:v>
      </x:c>
      <x:c r="H2469" s="6">
        <x:v>46283.506592858794</x:v>
      </x:c>
      <x:c r="I2469" s="0"/>
      <x:c r="J2469" s="0"/>
      <x:c r="K2469" s="6">
        <x:v>46283.59361863426</x:v>
      </x:c>
      <x:c r="L2469" t="str" s="2">
        <x:v>Lost</x:v>
      </x:c>
    </x:row>
    <x:row r="2470">
      <x:c r="A2470" t="str" s="2">
        <x:f>="Samantha McMurtury"</x:f>
      </x:c>
      <x:c r="B2470" t="str" s="2">
        <x:v>Heritage Housing of Augusta</x:v>
      </x:c>
      <x:c r="C2470" t="str" s="2">
        <x:v>0/1</x:v>
      </x:c>
      <x:c r="D2470" t="str" s="2">
        <x:v>+8645197027</x:v>
      </x:c>
      <x:c r="E2470" t="str" s="2">
        <x:v>sammcsaladin@icloud.com</x:v>
      </x:c>
      <x:c r="F2470" t="str" s="2">
        <x:v>Landing_BPM</x:v>
      </x:c>
      <x:c r="G2470" t="str" s="2">
        <x:v>Jose Chavez</x:v>
      </x:c>
      <x:c r="H2470" s="6">
        <x:v>46283.56761709491</x:v>
      </x:c>
      <x:c r="I2470" s="0"/>
      <x:c r="J2470" s="0"/>
      <x:c r="K2470" s="6">
        <x:v>46288.81081484954</x:v>
      </x:c>
      <x:c r="L2470" t="str" s="2">
        <x:v>Lost</x:v>
      </x:c>
    </x:row>
    <x:row r="2471">
      <x:c r="A2471" t="str" s="2">
        <x:f>="Holly Eubanks"</x:f>
      </x:c>
      <x:c r="B2471" t="str" s="2">
        <x:v>Heritage Housing of Athens</x:v>
      </x:c>
      <x:c r="C2471" t="str" s="2">
        <x:v/>
      </x:c>
      <x:c r="D2471" t="str" s="2">
        <x:v>7722895433</x:v>
      </x:c>
      <x:c r="E2471" t="str" s="2">
        <x:v>hollyeubanks50@gmail.com</x:v>
      </x:c>
      <x:c r="F2471" t="str" s="2">
        <x:v>Bing - Search</x:v>
      </x:c>
      <x:c r="G2471" t="str" s="2">
        <x:v>Nathan Bishop</x:v>
      </x:c>
      <x:c r="H2471" s="6">
        <x:v>46283.722512962966</x:v>
      </x:c>
      <x:c r="I2471" s="0"/>
      <x:c r="J2471" s="0"/>
      <x:c r="K2471" s="6">
        <x:v>46283</x:v>
      </x:c>
      <x:c r="L2471" t="str" s="2">
        <x:v>Lost</x:v>
      </x:c>
    </x:row>
    <x:row r="2472">
      <x:c r="A2472" t="str" s="2">
        <x:f>="Larryguict LarryguictPA"</x:f>
      </x:c>
      <x:c r="B2472" t="str" s="2">
        <x:v>Heritage Housing of Greenville</x:v>
      </x:c>
      <x:c r="C2472" t="str" s="2">
        <x:v/>
      </x:c>
      <x:c r="D2472" t="str" s="2">
        <x:v>81371685831</x:v>
      </x:c>
      <x:c r="E2472" t="str" s="2">
        <x:v>ntvohvp@ovbrsak.qno</x:v>
      </x:c>
      <x:c r="F2472" t="str" s="2">
        <x:v>Website</x:v>
      </x:c>
      <x:c r="G2472" t="str" s="2">
        <x:v>Greg Christman</x:v>
      </x:c>
      <x:c r="H2472" s="6">
        <x:v>46284.34761276621</x:v>
      </x:c>
      <x:c r="I2472" s="0"/>
      <x:c r="J2472" s="0"/>
      <x:c r="K2472" s="0"/>
      <x:c r="L2472" t="str" s="2">
        <x:v>Lost</x:v>
      </x:c>
    </x:row>
    <x:row r="2473">
      <x:c r="A2473" t="str" s="2">
        <x:f>="Richard Henry"</x:f>
      </x:c>
      <x:c r="B2473" t="str" s="2">
        <x:v>Heritage Housing of Jennings</x:v>
      </x:c>
      <x:c r="C2473" t="str" s="2">
        <x:v/>
      </x:c>
      <x:c r="D2473" t="str" s="2">
        <x:v>318-838-4456</x:v>
      </x:c>
      <x:c r="E2473" t="str" s="2">
        <x:v>henrystoyz1965@gmail.com</x:v>
      </x:c>
      <x:c r="F2473" t="str" s="2">
        <x:v>Landing_BPM</x:v>
      </x:c>
      <x:c r="G2473" t="str" s="2">
        <x:v>Mervin Leslie Smith</x:v>
      </x:c>
      <x:c r="H2473" s="6">
        <x:v>46284.8482153125</x:v>
      </x:c>
      <x:c r="I2473" s="0"/>
      <x:c r="J2473" s="0"/>
      <x:c r="K2473" s="6">
        <x:v>46297.822774189815</x:v>
      </x:c>
      <x:c r="L2473" t="str" s="2">
        <x:v>Lost</x:v>
      </x:c>
    </x:row>
    <x:row r="2474">
      <x:c r="A2474" t="str" s="2">
        <x:f>="Terry Pate"</x:f>
      </x:c>
      <x:c r="B2474" t="str" s="2">
        <x:v>Heritage Housing of Albany</x:v>
      </x:c>
      <x:c r="C2474" t="str" s="2">
        <x:v>1/2</x:v>
      </x:c>
      <x:c r="D2474" t="str" s="2">
        <x:v>7064643163</x:v>
      </x:c>
      <x:c r="E2474" t="str" s="2">
        <x:v>tmpate61@gmail.com</x:v>
      </x:c>
      <x:c r="F2474" t="str" s="2">
        <x:v>Youtube</x:v>
      </x:c>
      <x:c r="G2474" t="str" s="2">
        <x:v>Yanet Alvarez</x:v>
      </x:c>
      <x:c r="H2474" s="6">
        <x:v>46285.096674340275</x:v>
      </x:c>
      <x:c r="I2474" s="0"/>
      <x:c r="J2474" s="0"/>
      <x:c r="K2474" s="6">
        <x:v>46285</x:v>
      </x:c>
      <x:c r="L2474" t="str" s="2">
        <x:v>Lost</x:v>
      </x:c>
    </x:row>
    <x:row r="2475">
      <x:c r="A2475" t="str" s="2">
        <x:f>="Michael Rathbun"</x:f>
      </x:c>
      <x:c r="B2475" t="str" s="2">
        <x:v>Heritage Housing of Asheboro</x:v>
      </x:c>
      <x:c r="C2475" t="str" s="2">
        <x:v/>
      </x:c>
      <x:c r="D2475" t="str" s="2">
        <x:v>7048080872</x:v>
      </x:c>
      <x:c r="E2475" t="str" s="2">
        <x:v>krathbun35@gmail.com</x:v>
      </x:c>
      <x:c r="F2475" t="str" s="2">
        <x:v>Youtube</x:v>
      </x:c>
      <x:c r="G2475" t="str" s="2">
        <x:v>Kate Gutierrez</x:v>
      </x:c>
      <x:c r="H2475" s="6">
        <x:v>46285.50789383102</x:v>
      </x:c>
      <x:c r="I2475" s="0"/>
      <x:c r="J2475" s="0"/>
      <x:c r="K2475" s="6">
        <x:v>46286.55747890046</x:v>
      </x:c>
      <x:c r="L2475" t="str" s="2">
        <x:v>Lost</x:v>
      </x:c>
    </x:row>
    <x:row r="2476">
      <x:c r="A2476" t="str" s="2">
        <x:f>="Nancy Brown"</x:f>
      </x:c>
      <x:c r="B2476" t="str" s="2">
        <x:v>Heritage Housing of Jennings</x:v>
      </x:c>
      <x:c r="C2476" t="str" s="2">
        <x:v/>
      </x:c>
      <x:c r="D2476" t="str" s="2">
        <x:v>5047840019</x:v>
      </x:c>
      <x:c r="E2476" t="str" s="2">
        <x:v>themanshacks121@gmail.com</x:v>
      </x:c>
      <x:c r="F2476" t="str" s="2">
        <x:v>Youtube</x:v>
      </x:c>
      <x:c r="G2476" t="str" s="2">
        <x:v>Mervin Leslie Smith</x:v>
      </x:c>
      <x:c r="H2476" s="6">
        <x:v>46285.84593746528</x:v>
      </x:c>
      <x:c r="I2476" s="0"/>
      <x:c r="J2476" s="0"/>
      <x:c r="K2476" s="6">
        <x:v>46286.762064814815</x:v>
      </x:c>
      <x:c r="L2476" t="str" s="2">
        <x:v>Lost</x:v>
      </x:c>
    </x:row>
    <x:row r="2477">
      <x:c r="A2477" t="str" s="2">
        <x:f>="Hailey Daniel"</x:f>
      </x:c>
      <x:c r="B2477" t="str" s="2">
        <x:v>Heritage Housing of Jennings</x:v>
      </x:c>
      <x:c r="C2477" t="str" s="2">
        <x:v/>
      </x:c>
      <x:c r="D2477" t="str" s="2">
        <x:v>2253259008</x:v>
      </x:c>
      <x:c r="E2477" t="str" s="2">
        <x:v>haileybrookedan@gmail.com</x:v>
      </x:c>
      <x:c r="F2477" t="str" s="2">
        <x:v>Youtube</x:v>
      </x:c>
      <x:c r="G2477" t="str" s="2">
        <x:v>Mervin Leslie Smith</x:v>
      </x:c>
      <x:c r="H2477" s="6">
        <x:v>46285.98615428241</x:v>
      </x:c>
      <x:c r="I2477" s="0"/>
      <x:c r="J2477" s="0"/>
      <x:c r="K2477" s="6">
        <x:v>46290.738541782404</x:v>
      </x:c>
      <x:c r="L2477" t="str" s="2">
        <x:v>Lost</x:v>
      </x:c>
    </x:row>
    <x:row r="2478">
      <x:c r="A2478" t="str" s="2">
        <x:f>="Shayla Johnson"</x:f>
      </x:c>
      <x:c r="B2478" t="str" s="2">
        <x:v>Heritage Housing Mt Pleasant</x:v>
      </x:c>
      <x:c r="C2478" t="str" s="2">
        <x:v/>
      </x:c>
      <x:c r="D2478" t="str" s="2">
        <x:v>9034837238</x:v>
      </x:c>
      <x:c r="E2478" t="str" s="2">
        <x:v>msroyae593@gmail.com</x:v>
      </x:c>
      <x:c r="F2478" t="str" s="2">
        <x:v>Website</x:v>
      </x:c>
      <x:c r="G2478" t="str" s="2">
        <x:v>Yarelis Torres</x:v>
      </x:c>
      <x:c r="H2478" s="6">
        <x:v>46285.99999788195</x:v>
      </x:c>
      <x:c r="I2478" s="0"/>
      <x:c r="J2478" s="0"/>
      <x:c r="K2478" s="6">
        <x:v>46290.74463896991</x:v>
      </x:c>
      <x:c r="L2478" t="str" s="2">
        <x:v>Lost</x:v>
      </x:c>
    </x:row>
    <x:row r="2479">
      <x:c r="A2479" t="str" s="2">
        <x:f>="Jamie McMiller"</x:f>
      </x:c>
      <x:c r="B2479" t="str" s="2">
        <x:v>Heritage Housing of Asheboro</x:v>
      </x:c>
      <x:c r="C2479" t="str" s="2">
        <x:v/>
      </x:c>
      <x:c r="D2479" t="str" s="2">
        <x:v>9042900198</x:v>
      </x:c>
      <x:c r="E2479" t="str" s="2">
        <x:v>mcmiller619@gmail.com</x:v>
      </x:c>
      <x:c r="F2479" t="str" s="2">
        <x:v>Website</x:v>
      </x:c>
      <x:c r="G2479" t="str" s="2">
        <x:v>Maria Lopez</x:v>
      </x:c>
      <x:c r="H2479" s="6">
        <x:v>46286.50345679398</x:v>
      </x:c>
      <x:c r="I2479" s="0"/>
      <x:c r="J2479" s="0"/>
      <x:c r="K2479" s="6">
        <x:v>46286.56607079861</x:v>
      </x:c>
      <x:c r="L2479" t="str" s="2">
        <x:v>Lost</x:v>
      </x:c>
    </x:row>
    <x:row r="2480">
      <x:c r="A2480" t="str" s="2">
        <x:f>="Ethelda Dyer Major"</x:f>
      </x:c>
      <x:c r="B2480" t="str" s="2">
        <x:v>Heritage Housing of Asheboro</x:v>
      </x:c>
      <x:c r="C2480" t="str" s="2">
        <x:v/>
      </x:c>
      <x:c r="D2480" t="str" s="2">
        <x:v>9196980033</x:v>
      </x:c>
      <x:c r="E2480" t="str" s="2">
        <x:v>boed422@gmail.com</x:v>
      </x:c>
      <x:c r="F2480" t="str" s="2">
        <x:v>Youtube</x:v>
      </x:c>
      <x:c r="G2480" t="str" s="2">
        <x:v>Kate Gutierrez</x:v>
      </x:c>
      <x:c r="H2480" s="6">
        <x:v>46286.52323460648</x:v>
      </x:c>
      <x:c r="I2480" s="0"/>
      <x:c r="J2480" s="0"/>
      <x:c r="K2480" s="6">
        <x:v>46288.660159224535</x:v>
      </x:c>
      <x:c r="L2480" t="str" s="2">
        <x:v>Lost</x:v>
      </x:c>
    </x:row>
    <x:row r="2481">
      <x:c r="A2481" t="str" s="2">
        <x:f>="Bryan Park"</x:f>
      </x:c>
      <x:c r="B2481" t="str" s="2">
        <x:v>Heritage Housing of Asheboro</x:v>
      </x:c>
      <x:c r="C2481" t="str" s="2">
        <x:v/>
      </x:c>
      <x:c r="D2481" t="str" s="2">
        <x:v>2272973543</x:v>
      </x:c>
      <x:c r="E2481" t="str" s="2">
        <x:v>bryanpark1215@gmail.com</x:v>
      </x:c>
      <x:c r="F2481" t="str" s="2">
        <x:v>Landing_BPM</x:v>
      </x:c>
      <x:c r="G2481" t="str" s="2">
        <x:v>Kate Gutierrez</x:v>
      </x:c>
      <x:c r="H2481" s="6">
        <x:v>46286.57206168982</x:v>
      </x:c>
      <x:c r="I2481" s="0"/>
      <x:c r="J2481" s="0"/>
      <x:c r="K2481" s="6">
        <x:v>46288.662848148146</x:v>
      </x:c>
      <x:c r="L2481" t="str" s="2">
        <x:v>Lost</x:v>
      </x:c>
    </x:row>
    <x:row r="2482">
      <x:c r="A2482" t="str" s="2">
        <x:f>="Charnell Burford"</x:f>
      </x:c>
      <x:c r="B2482" t="str" s="2">
        <x:v>Heritage Housing of Asheboro</x:v>
      </x:c>
      <x:c r="C2482" t="str" s="2">
        <x:v/>
      </x:c>
      <x:c r="D2482" t="str" s="2">
        <x:v>4342388586</x:v>
      </x:c>
      <x:c r="E2482" t="str" s="2">
        <x:v>Playgal40@gmail.com</x:v>
      </x:c>
      <x:c r="F2482" t="str" s="2">
        <x:v>Youtube</x:v>
      </x:c>
      <x:c r="G2482" t="str" s="2">
        <x:v>Maria Lopez</x:v>
      </x:c>
      <x:c r="H2482" s="6">
        <x:v>46286.58895188657</x:v>
      </x:c>
      <x:c r="I2482" s="0"/>
      <x:c r="J2482" s="0"/>
      <x:c r="K2482" s="6">
        <x:v>46286</x:v>
      </x:c>
      <x:c r="L2482" t="str" s="2">
        <x:v>Lost</x:v>
      </x:c>
    </x:row>
    <x:row r="2483">
      <x:c r="A2483" t="str" s="2">
        <x:f>="Christopher Williams"</x:f>
      </x:c>
      <x:c r="B2483" t="str" s="2">
        <x:v>Heritage Housing Mt Pleasant</x:v>
      </x:c>
      <x:c r="C2483" t="str" s="2">
        <x:v/>
      </x:c>
      <x:c r="D2483" t="str" s="2">
        <x:v>2144669214</x:v>
      </x:c>
      <x:c r="E2483" t="str" s="2">
        <x:v>crisdubb51@gmail.com</x:v>
      </x:c>
      <x:c r="F2483" t="str" s="2">
        <x:v>Youtube</x:v>
      </x:c>
      <x:c r="G2483" t="str" s="2">
        <x:v>Sandra Saldana</x:v>
      </x:c>
      <x:c r="H2483" s="6">
        <x:v>46286.628482210646</x:v>
      </x:c>
      <x:c r="I2483" s="0"/>
      <x:c r="J2483" s="0"/>
      <x:c r="K2483" s="6">
        <x:v>46286</x:v>
      </x:c>
      <x:c r="L2483" t="str" s="2">
        <x:v>Lost</x:v>
      </x:c>
    </x:row>
    <x:row r="2484">
      <x:c r="A2484" t="str" s="2">
        <x:f>="Lovett Ichu"</x:f>
      </x:c>
      <x:c r="B2484" t="str" s="2">
        <x:v>Heritage Housing of Asheboro</x:v>
      </x:c>
      <x:c r="C2484" t="str" s="2">
        <x:v/>
      </x:c>
      <x:c r="D2484" t="str" s="2">
        <x:v>6782759079</x:v>
      </x:c>
      <x:c r="E2484" t="str" s="2">
        <x:v>lovelylovett101@gmail.com</x:v>
      </x:c>
      <x:c r="F2484" t="str" s="2">
        <x:v>Financing Form</x:v>
      </x:c>
      <x:c r="G2484" t="str" s="2">
        <x:v>Kate Gutierrez</x:v>
      </x:c>
      <x:c r="H2484" s="6">
        <x:v>46286.73477916667</x:v>
      </x:c>
      <x:c r="I2484" s="0"/>
      <x:c r="J2484" s="0"/>
      <x:c r="K2484" s="6">
        <x:v>46286.73824363426</x:v>
      </x:c>
      <x:c r="L2484" t="str" s="2">
        <x:v>Lost</x:v>
      </x:c>
    </x:row>
    <x:row r="2485">
      <x:c r="A2485" t="str" s="2">
        <x:f>="Elizabeth McDonald"</x:f>
      </x:c>
      <x:c r="B2485" t="str" s="2">
        <x:v>Heritage Housing of Jennings</x:v>
      </x:c>
      <x:c r="C2485" t="str" s="2">
        <x:v/>
      </x:c>
      <x:c r="D2485" t="str" s="2">
        <x:v>3184401431</x:v>
      </x:c>
      <x:c r="E2485" t="str" s="2">
        <x:v>elizabeth25katiee@gmail.com</x:v>
      </x:c>
      <x:c r="F2485" t="str" s="2">
        <x:v>Landing_BPM</x:v>
      </x:c>
      <x:c r="G2485" t="str" s="2">
        <x:v>Mervin Leslie Smith</x:v>
      </x:c>
      <x:c r="H2485" s="6">
        <x:v>46286.741859988426</x:v>
      </x:c>
      <x:c r="I2485" s="0"/>
      <x:c r="J2485" s="0"/>
      <x:c r="K2485" s="6">
        <x:v>46286.76573564815</x:v>
      </x:c>
      <x:c r="L2485" t="str" s="2">
        <x:v>Lost</x:v>
      </x:c>
    </x:row>
    <x:row r="2486">
      <x:c r="A2486" t="str" s="2">
        <x:f>="Qwerty Qwert"</x:f>
      </x:c>
      <x:c r="B2486" t="str" s="2">
        <x:v>Heritage Housing of Oklahoma City</x:v>
      </x:c>
      <x:c r="C2486" t="str" s="2">
        <x:v/>
      </x:c>
      <x:c r="D2486" t="str" s="2">
        <x:v>4055557398</x:v>
      </x:c>
      <x:c r="E2486" t="str" s="2">
        <x:v>qwertyqwert@gmail.com</x:v>
      </x:c>
      <x:c r="F2486" t="str" s="2">
        <x:v>Website</x:v>
      </x:c>
      <x:c r="G2486" t="str" s="2">
        <x:v>Steve Castell</x:v>
      </x:c>
      <x:c r="H2486" s="6">
        <x:v>46286.78003587963</x:v>
      </x:c>
      <x:c r="I2486" s="0"/>
      <x:c r="J2486" s="0"/>
      <x:c r="K2486" s="0"/>
      <x:c r="L2486" t="str" s="2">
        <x:v>Lost</x:v>
      </x:c>
    </x:row>
    <x:row r="2487">
      <x:c r="A2487" t="str" s="2">
        <x:f>="Willie Green"</x:f>
      </x:c>
      <x:c r="B2487" t="str" s="2">
        <x:v>Heritage Housing of Athens</x:v>
      </x:c>
      <x:c r="C2487" t="str" s="2">
        <x:v/>
      </x:c>
      <x:c r="D2487" t="str" s="2">
        <x:v>2295319141</x:v>
      </x:c>
      <x:c r="E2487" t="str" s="2">
        <x:v>williegreen311@gmail.com</x:v>
      </x:c>
      <x:c r="F2487" t="str" s="2">
        <x:v>Landing_BPM</x:v>
      </x:c>
      <x:c r="G2487" t="str" s="2">
        <x:v>Ethan Fossett</x:v>
      </x:c>
      <x:c r="H2487" s="6">
        <x:v>46286.806138391206</x:v>
      </x:c>
      <x:c r="I2487" s="0"/>
      <x:c r="J2487" s="0"/>
      <x:c r="K2487" s="6">
        <x:v>46290.6381897338</x:v>
      </x:c>
      <x:c r="L2487" t="str" s="2">
        <x:v>Lost</x:v>
      </x:c>
    </x:row>
    <x:row r="2488">
      <x:c r="A2488" t="str" s="2">
        <x:f>="Adah Hight"</x:f>
      </x:c>
      <x:c r="B2488" t="str" s="2">
        <x:v>Heritage Housing of Asheboro</x:v>
      </x:c>
      <x:c r="C2488" t="str" s="2">
        <x:v/>
      </x:c>
      <x:c r="D2488" t="str" s="2">
        <x:v>8289626319</x:v>
      </x:c>
      <x:c r="E2488" t="str" s="2">
        <x:v>hightadah7@gmail.com</x:v>
      </x:c>
      <x:c r="F2488" t="str" s="2">
        <x:v>Website</x:v>
      </x:c>
      <x:c r="G2488" t="str" s="2">
        <x:v>Maria Lopez</x:v>
      </x:c>
      <x:c r="H2488" s="6">
        <x:v>46286.9054196412</x:v>
      </x:c>
      <x:c r="I2488" s="0"/>
      <x:c r="J2488" s="0"/>
      <x:c r="K2488" s="6">
        <x:v>46286.92206099537</x:v>
      </x:c>
      <x:c r="L2488" t="str" s="2">
        <x:v>Lost</x:v>
      </x:c>
    </x:row>
    <x:row r="2489">
      <x:c r="A2489" t="str" s="2">
        <x:f>="Josephine Kernahan"</x:f>
      </x:c>
      <x:c r="B2489" t="str" s="2">
        <x:v>Heritage Housing of Asheboro</x:v>
      </x:c>
      <x:c r="C2489" t="str" s="2">
        <x:v/>
      </x:c>
      <x:c r="D2489" t="str" s="2">
        <x:v>9102290982</x:v>
      </x:c>
      <x:c r="E2489" t="str" s="2">
        <x:v>jmkernahan@gmail.com</x:v>
      </x:c>
      <x:c r="F2489" t="str" s="2">
        <x:v>Youtube</x:v>
      </x:c>
      <x:c r="G2489" t="str" s="2">
        <x:v>Kate Gutierrez</x:v>
      </x:c>
      <x:c r="H2489" s="6">
        <x:v>46286.93592943287</x:v>
      </x:c>
      <x:c r="I2489" s="0"/>
      <x:c r="J2489" s="0"/>
      <x:c r="K2489" s="6">
        <x:v>46300.77429204861</x:v>
      </x:c>
      <x:c r="L2489" t="str" s="2">
        <x:v>Lost</x:v>
      </x:c>
    </x:row>
    <x:row r="2490">
      <x:c r="A2490" t="str" s="2">
        <x:f>="Tyrone VanDyke"</x:f>
      </x:c>
      <x:c r="B2490" t="str" s="2">
        <x:v>Heritage Housing of Asheboro</x:v>
      </x:c>
      <x:c r="C2490" t="str" s="2">
        <x:v/>
      </x:c>
      <x:c r="D2490" t="str" s="2">
        <x:v>2525085979</x:v>
      </x:c>
      <x:c r="E2490" t="str" s="2">
        <x:v>tyrones3kids@yahoo.com</x:v>
      </x:c>
      <x:c r="F2490" t="str" s="2">
        <x:v>Youtube</x:v>
      </x:c>
      <x:c r="G2490" t="str" s="2">
        <x:v>Kate Gutierrez</x:v>
      </x:c>
      <x:c r="H2490" s="6">
        <x:v>46287.526803472225</x:v>
      </x:c>
      <x:c r="I2490" s="0"/>
      <x:c r="J2490" s="0"/>
      <x:c r="K2490" s="6">
        <x:v>46287.54116342593</x:v>
      </x:c>
      <x:c r="L2490" t="str" s="2">
        <x:v>Lost</x:v>
      </x:c>
    </x:row>
    <x:row r="2491">
      <x:c r="A2491" t="str" s="2">
        <x:f>="Eric Crawford"</x:f>
      </x:c>
      <x:c r="B2491" t="str" s="2">
        <x:v>Heritage Housing of Greenville</x:v>
      </x:c>
      <x:c r="C2491" t="str" s="2">
        <x:v/>
      </x:c>
      <x:c r="D2491" t="str" s="2">
        <x:v>2144298663</x:v>
      </x:c>
      <x:c r="E2491" t="str" s="2">
        <x:v>ericcrawford259@gmail.com</x:v>
      </x:c>
      <x:c r="F2491" t="str" s="2">
        <x:v>Landing_BPM</x:v>
      </x:c>
      <x:c r="G2491" t="str" s="2">
        <x:v>Brooklynn Allen</x:v>
      </x:c>
      <x:c r="H2491" s="6">
        <x:v>46287.92081041667</x:v>
      </x:c>
      <x:c r="I2491" s="0"/>
      <x:c r="J2491" s="0"/>
      <x:c r="K2491" s="6">
        <x:v>46288.612399074074</x:v>
      </x:c>
      <x:c r="L2491" t="str" s="2">
        <x:v>Lost</x:v>
      </x:c>
    </x:row>
    <x:row r="2492">
      <x:c r="A2492" t="str" s="2">
        <x:f>="NoahJard Noah Miller"</x:f>
      </x:c>
      <x:c r="B2492" t="str" s="2">
        <x:v>Heritage Housing of Greenville</x:v>
      </x:c>
      <x:c r="C2492" t="str" s="2">
        <x:v/>
      </x:c>
      <x:c r="D2492" t="str" s="2">
        <x:v>85246378653</x:v>
      </x:c>
      <x:c r="E2492" t="str" s="2">
        <x:v>fkiuhuk@vebtmkm.qse</x:v>
      </x:c>
      <x:c r="F2492" t="str" s="2">
        <x:v>Website</x:v>
      </x:c>
      <x:c r="G2492" t="str" s="2">
        <x:v>Greg Christman</x:v>
      </x:c>
      <x:c r="H2492" s="6">
        <x:v>46288.31004247685</x:v>
      </x:c>
      <x:c r="I2492" s="0"/>
      <x:c r="J2492" s="0"/>
      <x:c r="K2492" s="0"/>
      <x:c r="L2492" t="str" s="2">
        <x:v>Lost</x:v>
      </x:c>
    </x:row>
    <x:row r="2493">
      <x:c r="A2493" t="str" s="2">
        <x:f>="Tiye McAllister"</x:f>
      </x:c>
      <x:c r="B2493" t="str" s="2">
        <x:v>Heritage Housing of Asheboro</x:v>
      </x:c>
      <x:c r="C2493" t="str" s="2">
        <x:v/>
      </x:c>
      <x:c r="D2493" t="str" s="2">
        <x:v>9177727031</x:v>
      </x:c>
      <x:c r="E2493" t="str" s="2">
        <x:v>kleanedbyye@gmail.com</x:v>
      </x:c>
      <x:c r="F2493" t="str" s="2">
        <x:v>Landing_BPM</x:v>
      </x:c>
      <x:c r="G2493" t="str" s="2">
        <x:v>Kate Gutierrez</x:v>
      </x:c>
      <x:c r="H2493" s="6">
        <x:v>46288.640047256944</x:v>
      </x:c>
      <x:c r="I2493" s="0"/>
      <x:c r="J2493" s="0"/>
      <x:c r="K2493" s="6">
        <x:v>46304.758206597224</x:v>
      </x:c>
      <x:c r="L2493" t="str" s="2">
        <x:v>Lost</x:v>
      </x:c>
    </x:row>
    <x:row r="2494">
      <x:c r="A2494" t="str" s="2">
        <x:f>="Robert Gant"</x:f>
      </x:c>
      <x:c r="B2494" t="str" s="2">
        <x:v>Heritage Housing of Jennings</x:v>
      </x:c>
      <x:c r="C2494" t="str" s="2">
        <x:v/>
      </x:c>
      <x:c r="D2494" t="str" s="2">
        <x:v>2254800297</x:v>
      </x:c>
      <x:c r="E2494" t="str" s="2">
        <x:v>loyaltyneverends04@gmail.com</x:v>
      </x:c>
      <x:c r="F2494" t="str" s="2">
        <x:v>Landing_BPM</x:v>
      </x:c>
      <x:c r="G2494" t="str" s="2">
        <x:v>Mervin Leslie Smith</x:v>
      </x:c>
      <x:c r="H2494" s="6">
        <x:v>46288.69404050926</x:v>
      </x:c>
      <x:c r="I2494" s="0"/>
      <x:c r="J2494" s="0"/>
      <x:c r="K2494" s="6">
        <x:v>46289</x:v>
      </x:c>
      <x:c r="L2494" t="str" s="2">
        <x:v>Lost</x:v>
      </x:c>
    </x:row>
    <x:row r="2495">
      <x:c r="A2495" t="str" s="2">
        <x:f>="Robert Hernandez"</x:f>
      </x:c>
      <x:c r="B2495" t="str" s="2">
        <x:v>Heritage Housing of Augusta</x:v>
      </x:c>
      <x:c r="C2495" t="str" s="2">
        <x:v/>
      </x:c>
      <x:c r="D2495" t="str" s="2">
        <x:v>4073610910</x:v>
      </x:c>
      <x:c r="E2495" t="str" s="2">
        <x:v>rherna4484@aol.com</x:v>
      </x:c>
      <x:c r="F2495" t="str" s="2">
        <x:v>LandingPage</x:v>
      </x:c>
      <x:c r="G2495" t="str" s="2">
        <x:v>Jennifer Johnson</x:v>
      </x:c>
      <x:c r="H2495" s="6">
        <x:v>46288.766303159726</x:v>
      </x:c>
      <x:c r="I2495" s="0"/>
      <x:c r="J2495" s="0"/>
      <x:c r="K2495" s="6">
        <x:v>46300</x:v>
      </x:c>
      <x:c r="L2495" t="str" s="2">
        <x:v>Lost</x:v>
      </x:c>
    </x:row>
    <x:row r="2496">
      <x:c r="A2496" t="str" s="2">
        <x:f>="Virginia Medina"</x:f>
      </x:c>
      <x:c r="B2496" t="str" s="2">
        <x:v>Heritage Housing of Jennings</x:v>
      </x:c>
      <x:c r="C2496" t="str" s="2">
        <x:v/>
      </x:c>
      <x:c r="D2496" t="str" s="2">
        <x:v>3378528841</x:v>
      </x:c>
      <x:c r="E2496" t="str" s="2">
        <x:v>vmedina1125@gmail.com</x:v>
      </x:c>
      <x:c r="F2496" t="str" s="2">
        <x:v>Landing_BPM</x:v>
      </x:c>
      <x:c r="G2496" t="str" s="2">
        <x:v>Clint O'Neal</x:v>
      </x:c>
      <x:c r="H2496" s="6">
        <x:v>46288.86208422454</x:v>
      </x:c>
      <x:c r="I2496" s="0"/>
      <x:c r="J2496" s="0"/>
      <x:c r="K2496" s="6">
        <x:v>46288.86584741898</x:v>
      </x:c>
      <x:c r="L2496" t="str" s="2">
        <x:v>Lost</x:v>
      </x:c>
    </x:row>
    <x:row r="2497">
      <x:c r="A2497" t="str" s="2">
        <x:f>="Rebecca Gunter"</x:f>
      </x:c>
      <x:c r="B2497" t="str" s="2">
        <x:v>Heritage Housing of Minden</x:v>
      </x:c>
      <x:c r="C2497" t="str" s="2">
        <x:v/>
      </x:c>
      <x:c r="D2497" t="str" s="2">
        <x:v>6013457258</x:v>
      </x:c>
      <x:c r="E2497" t="str" s="2">
        <x:v>Rebeccagunter2003@icloud.com</x:v>
      </x:c>
      <x:c r="F2497" t="str" s="2">
        <x:v>Financing Form</x:v>
      </x:c>
      <x:c r="G2497" t="str" s="2">
        <x:v>Patrick Schuchart</x:v>
      </x:c>
      <x:c r="H2497" s="6">
        <x:v>46289.23085717593</x:v>
      </x:c>
      <x:c r="I2497" s="0"/>
      <x:c r="J2497" s="0"/>
      <x:c r="K2497" s="6">
        <x:v>46289.6846678588</x:v>
      </x:c>
      <x:c r="L2497" t="str" s="2">
        <x:v>Lost</x:v>
      </x:c>
    </x:row>
    <x:row r="2498">
      <x:c r="A2498" t="str" s="2">
        <x:f>="Mandi Lee"</x:f>
      </x:c>
      <x:c r="B2498" t="str" s="2">
        <x:v>Heritage Housing of Minden</x:v>
      </x:c>
      <x:c r="C2498" t="str" s="2">
        <x:v/>
      </x:c>
      <x:c r="D2498" t="str" s="2">
        <x:v>3184538235</x:v>
      </x:c>
      <x:c r="E2498" t="str" s="2">
        <x:v>mandilee935@gmail.com</x:v>
      </x:c>
      <x:c r="F2498" t="str" s="2">
        <x:v>Landing_BPM</x:v>
      </x:c>
      <x:c r="G2498" t="str" s="2">
        <x:v>Patrick Schuchart</x:v>
      </x:c>
      <x:c r="H2498" s="6">
        <x:v>46289.87367152778</x:v>
      </x:c>
      <x:c r="I2498" s="0"/>
      <x:c r="J2498" s="0"/>
      <x:c r="K2498" s="6">
        <x:v>46289.926878356484</x:v>
      </x:c>
      <x:c r="L2498" t="str" s="2">
        <x:v>Lost</x:v>
      </x:c>
    </x:row>
    <x:row r="2499">
      <x:c r="A2499" t="str" s="2">
        <x:f>="Irvin Cook III"</x:f>
      </x:c>
      <x:c r="B2499" t="str" s="2">
        <x:v>Heritage Housing of Augusta</x:v>
      </x:c>
      <x:c r="C2499" t="str" s="2">
        <x:v>1/1</x:v>
      </x:c>
      <x:c r="D2499" t="str" s="2">
        <x:v>4706221400</x:v>
      </x:c>
      <x:c r="E2499" t="str" s="2">
        <x:v>iamirvv@yahoo.com</x:v>
      </x:c>
      <x:c r="F2499" t="str" s="2">
        <x:v>Landing_BPM</x:v>
      </x:c>
      <x:c r="G2499" t="str" s="2">
        <x:v>Jose Chavez</x:v>
      </x:c>
      <x:c r="H2499" s="6">
        <x:v>46290.39834447917</x:v>
      </x:c>
      <x:c r="I2499" s="0"/>
      <x:c r="J2499" s="0"/>
      <x:c r="K2499" s="6">
        <x:v>46291</x:v>
      </x:c>
      <x:c r="L2499" t="str" s="2">
        <x:v>Lost</x:v>
      </x:c>
    </x:row>
    <x:row r="2500">
      <x:c r="A2500" t="str" s="2">
        <x:f>="aesdf wrssv"</x:f>
      </x:c>
      <x:c r="B2500" t="str" s="2">
        <x:v>Heritage Housing of Greenville</x:v>
      </x:c>
      <x:c r="C2500" t="str" s="2">
        <x:v/>
      </x:c>
      <x:c r="D2500" t="str" s="2">
        <x:v>24512563256</x:v>
      </x:c>
      <x:c r="E2500" t="str" s="2">
        <x:v>asf@gmail.com</x:v>
      </x:c>
      <x:c r="F2500" t="str" s="2">
        <x:v>TikTok Ads - Traffic</x:v>
      </x:c>
      <x:c r="G2500" t="str" s="2">
        <x:v>Oscar Osorio</x:v>
      </x:c>
      <x:c r="H2500" s="6">
        <x:v>46290.87305239584</x:v>
      </x:c>
      <x:c r="I2500" s="0"/>
      <x:c r="J2500" s="0"/>
      <x:c r="K2500" s="0"/>
      <x:c r="L2500" t="str" s="2">
        <x:v>Lost</x:v>
      </x:c>
    </x:row>
    <x:row r="2501">
      <x:c r="A2501" t="str" s="2">
        <x:f>="Bianca Davis"</x:f>
      </x:c>
      <x:c r="B2501" t="str" s="2">
        <x:v>Heritage Housing of Jennings</x:v>
      </x:c>
      <x:c r="C2501" t="str" s="2">
        <x:v/>
      </x:c>
      <x:c r="D2501" t="str" s="2">
        <x:v>3372751820</x:v>
      </x:c>
      <x:c r="E2501" t="str" s="2">
        <x:v>biancaruth2024@gmail.com</x:v>
      </x:c>
      <x:c r="F2501" t="str" s="2">
        <x:v>Landing_BPM</x:v>
      </x:c>
      <x:c r="G2501" t="str" s="2">
        <x:v>Mervin Leslie Smith</x:v>
      </x:c>
      <x:c r="H2501" s="6">
        <x:v>46291.39079105324</x:v>
      </x:c>
      <x:c r="I2501" s="0"/>
      <x:c r="J2501" s="0"/>
      <x:c r="K2501" s="6">
        <x:v>46297.78086883102</x:v>
      </x:c>
      <x:c r="L2501" t="str" s="2">
        <x:v>Lost</x:v>
      </x:c>
    </x:row>
    <x:row r="2502">
      <x:c r="A2502" t="str" s="2">
        <x:f>="Alisha Jason"</x:f>
      </x:c>
      <x:c r="B2502" t="str" s="2">
        <x:v>Heritage Housing Mt Pleasant</x:v>
      </x:c>
      <x:c r="C2502" t="str" s="2">
        <x:v/>
      </x:c>
      <x:c r="D2502" t="str" s="2">
        <x:v>9039440118</x:v>
      </x:c>
      <x:c r="E2502" t="str" s="2">
        <x:v>alishaloveyou26@gmail.com</x:v>
      </x:c>
      <x:c r="F2502" t="str" s="2">
        <x:v>Landing_BPM</x:v>
      </x:c>
      <x:c r="G2502" t="str" s="2">
        <x:v>Sandra Saldana</x:v>
      </x:c>
      <x:c r="H2502" s="6">
        <x:v>46292.716691354166</x:v>
      </x:c>
      <x:c r="I2502" s="0"/>
      <x:c r="J2502" s="0"/>
      <x:c r="K2502" s="6">
        <x:v>46293</x:v>
      </x:c>
      <x:c r="L2502" t="str" s="2">
        <x:v>Lost</x:v>
      </x:c>
    </x:row>
    <x:row r="2503">
      <x:c r="A2503" t="str" s="2">
        <x:f>="Sydnee Newby"</x:f>
      </x:c>
      <x:c r="B2503" t="str" s="2">
        <x:v>Heritage Housing of Jennings</x:v>
      </x:c>
      <x:c r="C2503" t="str" s="2">
        <x:v/>
      </x:c>
      <x:c r="D2503" t="str" s="2">
        <x:v>3372076060</x:v>
      </x:c>
      <x:c r="E2503" t="str" s="2">
        <x:v>ssydnee11@outlook.com</x:v>
      </x:c>
      <x:c r="F2503" t="str" s="2">
        <x:v>Landing_BPM</x:v>
      </x:c>
      <x:c r="G2503" t="str" s="2">
        <x:v>Mervin Leslie Smith</x:v>
      </x:c>
      <x:c r="H2503" s="6">
        <x:v>46293.71130778935</x:v>
      </x:c>
      <x:c r="I2503" s="0"/>
      <x:c r="J2503" s="0"/>
      <x:c r="K2503" s="6">
        <x:v>46293.837161840274</x:v>
      </x:c>
      <x:c r="L2503" t="str" s="2">
        <x:v>Lost</x:v>
      </x:c>
    </x:row>
    <x:row r="2504">
      <x:c r="A2504" t="str" s="2">
        <x:f>="Larryguict LarryguictPA"</x:f>
      </x:c>
      <x:c r="B2504" t="str" s="2">
        <x:v>Heritage Housing of Greenville</x:v>
      </x:c>
      <x:c r="C2504" t="str" s="2">
        <x:v/>
      </x:c>
      <x:c r="D2504" t="str" s="2">
        <x:v>83756912558</x:v>
      </x:c>
      <x:c r="E2504" t="str" s="2">
        <x:v>rbhhntq@bwwuhtt.jpa</x:v>
      </x:c>
      <x:c r="F2504" t="str" s="2">
        <x:v>Website</x:v>
      </x:c>
      <x:c r="G2504" t="str" s="2">
        <x:v>Greg Christman</x:v>
      </x:c>
      <x:c r="H2504" s="6">
        <x:v>46294.83271188657</x:v>
      </x:c>
      <x:c r="I2504" s="0"/>
      <x:c r="J2504" s="0"/>
      <x:c r="K2504" s="0"/>
      <x:c r="L2504" t="str" s="2">
        <x:v>Lost</x:v>
      </x:c>
    </x:row>
    <x:row r="2505">
      <x:c r="A2505" t="str" s="2">
        <x:f>="ghfgh ghg"</x:f>
      </x:c>
      <x:c r="B2505" t="str" s="2">
        <x:v>Heritage Housing of Albany</x:v>
      </x:c>
      <x:c r="C2505" t="str" s="2">
        <x:v/>
      </x:c>
      <x:c r="D2505" t="str" s="2">
        <x:v>229636363</x:v>
      </x:c>
      <x:c r="E2505" t="str" s="2">
        <x:v>hggf@gmail.com</x:v>
      </x:c>
      <x:c r="F2505" t="str" s="2">
        <x:v>Website</x:v>
      </x:c>
      <x:c r="G2505" t="str" s="2">
        <x:v>Yanet Alvarez</x:v>
      </x:c>
      <x:c r="H2505" s="6">
        <x:v>46295.88408653935</x:v>
      </x:c>
      <x:c r="I2505" s="0"/>
      <x:c r="J2505" s="0"/>
      <x:c r="K2505" s="6">
        <x:v>46295.884367673614</x:v>
      </x:c>
      <x:c r="L2505" t="str" s="2">
        <x:v>Lost</x:v>
      </x:c>
    </x:row>
    <x:row r="2506">
      <x:c r="A2506" t="str" s="2">
        <x:f>="Michael Harris"</x:f>
      </x:c>
      <x:c r="B2506" t="str" s="2">
        <x:v>Heritage Housing of Augusta</x:v>
      </x:c>
      <x:c r="C2506" t="str" s="2">
        <x:v/>
      </x:c>
      <x:c r="D2506" t="str" s="2">
        <x:v>8392731275</x:v>
      </x:c>
      <x:c r="E2506" t="str" s="2">
        <x:v>harriscmd@gmail.com</x:v>
      </x:c>
      <x:c r="F2506" t="str" s="2">
        <x:v>Landing_BPM</x:v>
      </x:c>
      <x:c r="G2506" t="str" s="2">
        <x:v>Jennifer Johnson</x:v>
      </x:c>
      <x:c r="H2506" s="6">
        <x:v>46296.42975081019</x:v>
      </x:c>
      <x:c r="I2506" s="0"/>
      <x:c r="J2506" s="0"/>
      <x:c r="K2506" s="6">
        <x:v>46297</x:v>
      </x:c>
      <x:c r="L2506" t="str" s="2">
        <x:v>Lost</x:v>
      </x:c>
    </x:row>
    <x:row r="2507">
      <x:c r="A2507" t="str" s="2">
        <x:f>="pin_wvMi P_tmMiO"</x:f>
      </x:c>
      <x:c r="B2507" t="str" s="2">
        <x:v>Heritage Housing of Greenville</x:v>
      </x:c>
      <x:c r="C2507" t="str" s="2">
        <x:v/>
      </x:c>
      <x:c r="D2507" t="str" s="2">
        <x:v>5776895</x:v>
      </x:c>
      <x:c r="E2507" t="str" s="2">
        <x:v>fixqwtv@rnpcsws.hnh</x:v>
      </x:c>
      <x:c r="F2507" t="str" s="2">
        <x:v>Website</x:v>
      </x:c>
      <x:c r="G2507" t="str" s="2">
        <x:v>Greg Christman</x:v>
      </x:c>
      <x:c r="H2507" s="6">
        <x:v>46297.84775998843</x:v>
      </x:c>
      <x:c r="I2507" s="0"/>
      <x:c r="J2507" s="0"/>
      <x:c r="K2507" s="0"/>
      <x:c r="L2507" t="str" s="2">
        <x:v>Lost</x:v>
      </x:c>
    </x:row>
    <x:row r="2508">
      <x:c r="A2508" t="str" s="2">
        <x:f>="Robertrer BrucererGM"</x:f>
      </x:c>
      <x:c r="B2508" t="str" s="2">
        <x:v>Heritage Housing of Greenville</x:v>
      </x:c>
      <x:c r="C2508" t="str" s="2">
        <x:v/>
      </x:c>
      <x:c r="D2508" t="str" s="2">
        <x:v>85557544256</x:v>
      </x:c>
      <x:c r="E2508" t="str" s="2">
        <x:v>manbubk@manxrej.cfm</x:v>
      </x:c>
      <x:c r="F2508" t="str" s="2">
        <x:v>Website</x:v>
      </x:c>
      <x:c r="G2508" t="str" s="2">
        <x:v>Greg Christman</x:v>
      </x:c>
      <x:c r="H2508" s="6">
        <x:v>46297.90074082176</x:v>
      </x:c>
      <x:c r="I2508" s="0"/>
      <x:c r="J2508" s="0"/>
      <x:c r="K2508" s="0"/>
      <x:c r="L2508" t="str" s="2">
        <x:v>Lost</x:v>
      </x:c>
    </x:row>
    <x:row r="2509">
      <x:c r="A2509" t="str" s="2">
        <x:f>="Justin Bazen"</x:f>
      </x:c>
      <x:c r="B2509" t="str" s="2">
        <x:v>Heritage Housing of Asheboro</x:v>
      </x:c>
      <x:c r="C2509" t="str" s="2">
        <x:v/>
      </x:c>
      <x:c r="D2509" t="str" s="2">
        <x:v>3365393463</x:v>
      </x:c>
      <x:c r="E2509" t="str" s="2">
        <x:v>justinandangebazen@gmail.com</x:v>
      </x:c>
      <x:c r="F2509" t="str" s="2">
        <x:v>Financing Form</x:v>
      </x:c>
      <x:c r="G2509" t="str" s="2">
        <x:v>Kate Gutierrez</x:v>
      </x:c>
      <x:c r="H2509" s="6">
        <x:v>46298.26976103009</x:v>
      </x:c>
      <x:c r="I2509" s="0"/>
      <x:c r="J2509" s="0"/>
      <x:c r="K2509" s="6">
        <x:v>46303.54323700231</x:v>
      </x:c>
      <x:c r="L2509" t="str" s="2">
        <x:v>Lost</x:v>
      </x:c>
    </x:row>
    <x:row r="2510">
      <x:c r="A2510" t="str" s="2">
        <x:f>="Laylla McDaniel"</x:f>
      </x:c>
      <x:c r="B2510" t="str" s="2">
        <x:v>Heritage Housing of Jennings</x:v>
      </x:c>
      <x:c r="C2510" t="str" s="2">
        <x:v/>
      </x:c>
      <x:c r="D2510" t="str" s="2">
        <x:v>3374665837</x:v>
      </x:c>
      <x:c r="E2510" t="str" s="2">
        <x:v>ldmcdaniel25@gmail.com</x:v>
      </x:c>
      <x:c r="F2510" t="str" s="2">
        <x:v>Website</x:v>
      </x:c>
      <x:c r="G2510" t="str" s="2">
        <x:v>Mervin Leslie Smith</x:v>
      </x:c>
      <x:c r="H2510" s="6">
        <x:v>46298.74260269676</x:v>
      </x:c>
      <x:c r="I2510" s="0"/>
      <x:c r="J2510" s="0"/>
      <x:c r="K2510" s="6">
        <x:v>46300</x:v>
      </x:c>
      <x:c r="L2510" t="str" s="2">
        <x:v>Lost</x:v>
      </x:c>
    </x:row>
    <x:row r="2511">
      <x:c r="A2511" t="str" s="2">
        <x:f>="Staceymus +161456213001"</x:f>
      </x:c>
      <x:c r="B2511" t="str" s="2">
        <x:v>Heritage Housing of Albany</x:v>
      </x:c>
      <x:c r="C2511" t="str" s="2">
        <x:v/>
      </x:c>
      <x:c r="D2511" t="str" s="2">
        <x:v>82786692343</x:v>
      </x:c>
      <x:c r="E2511" t="str" s="2">
        <x:v>ncxmrnj@knxbkwa.qck</x:v>
      </x:c>
      <x:c r="F2511" t="str" s="2">
        <x:v>Website</x:v>
      </x:c>
      <x:c r="G2511" t="str" s="2">
        <x:v>Yanet Alvarez</x:v>
      </x:c>
      <x:c r="H2511" s="6">
        <x:v>46299.0692900463</x:v>
      </x:c>
      <x:c r="I2511" s="0"/>
      <x:c r="J2511" s="0"/>
      <x:c r="K2511" s="6">
        <x:v>46303.874708414354</x:v>
      </x:c>
      <x:c r="L2511" t="str" s="2">
        <x:v>Lost</x:v>
      </x:c>
    </x:row>
    <x:row r="2512">
      <x:c r="A2512" t="str" s="2">
        <x:f>="Eric Head"</x:f>
      </x:c>
      <x:c r="B2512" t="str" s="2">
        <x:v>Heritage Housing of Athens</x:v>
      </x:c>
      <x:c r="C2512" t="str" s="2">
        <x:v/>
      </x:c>
      <x:c r="D2512" t="str" s="2">
        <x:v>6788630216</x:v>
      </x:c>
      <x:c r="E2512" t="str" s="2">
        <x:v>eh748937@gmail.com</x:v>
      </x:c>
      <x:c r="F2512" t="str" s="2">
        <x:v>Landing_BPM</x:v>
      </x:c>
      <x:c r="G2512" t="str" s="2">
        <x:v>Ethan Fossett</x:v>
      </x:c>
      <x:c r="H2512" s="6">
        <x:v>46299.84691712963</x:v>
      </x:c>
      <x:c r="I2512" s="0"/>
      <x:c r="J2512" s="0"/>
      <x:c r="K2512" s="6">
        <x:v>46304.82451640046</x:v>
      </x:c>
      <x:c r="L2512" t="str" s="2">
        <x:v>Lost</x:v>
      </x:c>
    </x:row>
    <x:row r="2513">
      <x:c r="A2513" t="str" s="2">
        <x:f>="GAVIN SMITH"</x:f>
      </x:c>
      <x:c r="B2513" t="str" s="2">
        <x:v>Heritage Housing of Asheboro</x:v>
      </x:c>
      <x:c r="C2513" t="str" s="2">
        <x:v/>
      </x:c>
      <x:c r="D2513" t="str" s="2">
        <x:v>7326821141</x:v>
      </x:c>
      <x:c r="E2513" t="str" s="2">
        <x:v>njtechexec@gmail.com</x:v>
      </x:c>
      <x:c r="F2513" t="str" s="2">
        <x:v>Landing_BPM</x:v>
      </x:c>
      <x:c r="G2513" t="str" s="2">
        <x:v>Kate Gutierrez</x:v>
      </x:c>
      <x:c r="H2513" s="6">
        <x:v>46300.81255274305</x:v>
      </x:c>
      <x:c r="I2513" s="0"/>
      <x:c r="J2513" s="0"/>
      <x:c r="K2513" s="6">
        <x:v>46303.54059545139</x:v>
      </x:c>
      <x:c r="L2513" t="str" s="2">
        <x:v>Lost</x:v>
      </x:c>
    </x:row>
    <x:row r="2514">
      <x:c r="A2514" t="str" s="2">
        <x:f>="Cynthia Deshotel"</x:f>
      </x:c>
      <x:c r="B2514" t="str" s="2">
        <x:v>Heritage Housing of Jennings</x:v>
      </x:c>
      <x:c r="C2514" t="str" s="2">
        <x:v/>
      </x:c>
      <x:c r="D2514" t="str" s="2">
        <x:v>3374520198</x:v>
      </x:c>
      <x:c r="E2514" t="str" s="2">
        <x:v>deshotelcynthia44@gmail.com</x:v>
      </x:c>
      <x:c r="F2514" t="str" s="2">
        <x:v>Landing_BPM</x:v>
      </x:c>
      <x:c r="G2514" t="str" s="2">
        <x:v>Mervin Leslie Smith</x:v>
      </x:c>
      <x:c r="H2514" s="6">
        <x:v>46300.827701539354</x:v>
      </x:c>
      <x:c r="I2514" s="0"/>
      <x:c r="J2514" s="0"/>
      <x:c r="K2514" s="6">
        <x:v>46300.830982025465</x:v>
      </x:c>
      <x:c r="L2514" t="str" s="2">
        <x:v>Lost</x:v>
      </x:c>
    </x:row>
    <x:row r="2515">
      <x:c r="A2515" t="str" s="2">
        <x:f>="Merci DarDar"</x:f>
      </x:c>
      <x:c r="B2515" t="str" s="2">
        <x:v>Heritage Housing of Jennings</x:v>
      </x:c>
      <x:c r="C2515" t="str" s="2">
        <x:v/>
      </x:c>
      <x:c r="D2515" t="str" s="2">
        <x:v>9857740512</x:v>
      </x:c>
      <x:c r="E2515" t="str" s="2">
        <x:v>mercidardar0@gmail.com</x:v>
      </x:c>
      <x:c r="F2515" t="str" s="2">
        <x:v>Landing_BPM</x:v>
      </x:c>
      <x:c r="G2515" t="str" s="2">
        <x:v>Mervin Leslie Smith</x:v>
      </x:c>
      <x:c r="H2515" s="6">
        <x:v>46301.132447951386</x:v>
      </x:c>
      <x:c r="I2515" s="0"/>
      <x:c r="J2515" s="0"/>
      <x:c r="K2515" s="0"/>
      <x:c r="L2515" t="str" s="2">
        <x:v>Lost</x:v>
      </x:c>
    </x:row>
    <x:row r="2516">
      <x:c r="A2516" t="str" s="2">
        <x:f>="palmslots_ttsl P_maslO"</x:f>
      </x:c>
      <x:c r="B2516" t="str" s="2">
        <x:v>Heritage Housing of Greenville</x:v>
      </x:c>
      <x:c r="C2516" t="str" s="2">
        <x:v/>
      </x:c>
      <x:c r="D2516" t="str" s="2">
        <x:v>4315573</x:v>
      </x:c>
      <x:c r="E2516" t="str" s="2">
        <x:v>sponvuo@fwnpbki.tis</x:v>
      </x:c>
      <x:c r="F2516" t="str" s="2">
        <x:v>Website</x:v>
      </x:c>
      <x:c r="G2516" t="str" s="2">
        <x:v>Greg Christman</x:v>
      </x:c>
      <x:c r="H2516" s="6">
        <x:v>46303.91736412037</x:v>
      </x:c>
      <x:c r="I2516" s="0"/>
      <x:c r="J2516" s="0"/>
      <x:c r="K2516" s="0"/>
      <x:c r="L2516" t="str" s="2">
        <x:v>Lost</x:v>
      </x:c>
    </x:row>
    <x:row r="2517">
      <x:c r="A2517" t="str" s="2">
        <x:f>="Charlesalutt CharlesaluttNZ"</x:f>
      </x:c>
      <x:c r="B2517" t="str" s="2">
        <x:v>Heritage Housing of Greenville</x:v>
      </x:c>
      <x:c r="C2517" t="str" s="2">
        <x:v/>
      </x:c>
      <x:c r="D2517" t="str" s="2">
        <x:v>89669193286</x:v>
      </x:c>
      <x:c r="E2517" t="str" s="2">
        <x:v>frheeux@cqekdqb.bqd</x:v>
      </x:c>
      <x:c r="F2517" t="str" s="2">
        <x:v>Website</x:v>
      </x:c>
      <x:c r="G2517" t="str" s="2">
        <x:v>Greg Christman</x:v>
      </x:c>
      <x:c r="H2517" s="6">
        <x:v>46304.162475613426</x:v>
      </x:c>
      <x:c r="I2517" s="0"/>
      <x:c r="J2517" s="0"/>
      <x:c r="K2517" s="0"/>
      <x:c r="L2517" t="str" s="2">
        <x:v>Lost</x:v>
      </x:c>
    </x:row>
    <x:row r="2518">
      <x:c r="A2518" t="str" s="2">
        <x:f>="Jennifer O'brien"</x:f>
      </x:c>
      <x:c r="B2518" t="str" s="2">
        <x:v>Heritage Housing of Minden</x:v>
      </x:c>
      <x:c r="C2518" t="str" s="2">
        <x:v/>
      </x:c>
      <x:c r="D2518" t="str" s="2">
        <x:v>3188409044</x:v>
      </x:c>
      <x:c r="E2518" t="str" s="2">
        <x:v>jenniferobrien918@yahoo.com</x:v>
      </x:c>
      <x:c r="F2518" t="str" s="2">
        <x:v>LandingPage</x:v>
      </x:c>
      <x:c r="G2518" t="str" s="2">
        <x:v>Kyla Brown</x:v>
      </x:c>
      <x:c r="H2518" s="6">
        <x:v>46304.80804621528</x:v>
      </x:c>
      <x:c r="I2518" s="0"/>
      <x:c r="J2518" s="0"/>
      <x:c r="K2518" s="6">
        <x:v>46305.756427858796</x:v>
      </x:c>
      <x:c r="L2518" t="str" s="2">
        <x:v>Lost</x:v>
      </x:c>
    </x:row>
    <x:row r="2519">
      <x:c r="A2519" t="str" s="2">
        <x:f>="Rebecca Aman"</x:f>
      </x:c>
      <x:c r="B2519" t="str" s="2">
        <x:v>Heritage Housing of Jennings</x:v>
      </x:c>
      <x:c r="C2519" t="str" s="2">
        <x:v/>
      </x:c>
      <x:c r="D2519" t="str" s="2">
        <x:v>5043175206</x:v>
      </x:c>
      <x:c r="E2519" t="str" s="2">
        <x:v>rebeccaaman09@gmail.com</x:v>
      </x:c>
      <x:c r="F2519" t="str" s="2">
        <x:v>Landing_BPM</x:v>
      </x:c>
      <x:c r="G2519" t="str" s="2">
        <x:v>Mervin Leslie Smith</x:v>
      </x:c>
      <x:c r="H2519" s="6">
        <x:v>46304.979168715276</x:v>
      </x:c>
      <x:c r="I2519" s="0"/>
      <x:c r="J2519" s="0"/>
      <x:c r="K2519" s="6">
        <x:v>46305.61750795139</x:v>
      </x:c>
      <x:c r="L2519" t="str" s="2">
        <x:v>Lost</x:v>
      </x:c>
    </x:row>
    <x:row r="2520">
      <x:c r="A2520" t="str" s="2">
        <x:f>="Eric Pete"</x:f>
      </x:c>
      <x:c r="B2520" t="str" s="2">
        <x:v>Heritage Housing of Augusta</x:v>
      </x:c>
      <x:c r="C2520" t="str" s="2">
        <x:v/>
      </x:c>
      <x:c r="D2520" t="str" s="2">
        <x:v>7065133892</x:v>
      </x:c>
      <x:c r="E2520" t="str" s="2">
        <x:v>ericpete1984@yahoo.com</x:v>
      </x:c>
      <x:c r="F2520" t="str" s="2">
        <x:v>Website</x:v>
      </x:c>
      <x:c r="G2520" t="str" s="2">
        <x:v>Jennifer Johnson</x:v>
      </x:c>
      <x:c r="H2520" s="6">
        <x:v>46204.075848761575</x:v>
      </x:c>
      <x:c r="I2520" s="0"/>
      <x:c r="J2520" s="0"/>
      <x:c r="K2520" s="6">
        <x:v>46233.65952971065</x:v>
      </x:c>
      <x:c r="L2520" t="str" s="2">
        <x:v>Message Sent</x:v>
      </x:c>
    </x:row>
    <x:row r="2521">
      <x:c r="A2521" t="str" s="2">
        <x:f>="Michael Paden"</x:f>
      </x:c>
      <x:c r="B2521" t="str" s="2">
        <x:v>Heritage Housing of Tulsa</x:v>
      </x:c>
      <x:c r="C2521" t="str" s="2">
        <x:v>0/1</x:v>
      </x:c>
      <x:c r="D2521" t="str" s="2">
        <x:v>9184576306</x:v>
      </x:c>
      <x:c r="E2521" t="str" s="2">
        <x:v>michaeldpadensr@icloud.com</x:v>
      </x:c>
      <x:c r="F2521" t="str" s="2">
        <x:v>Meta Ads - Forms</x:v>
      </x:c>
      <x:c r="G2521" t="str" s="2">
        <x:v>Jenna Fransisco</x:v>
      </x:c>
      <x:c r="H2521" s="6">
        <x:v>46204.08347971065</x:v>
      </x:c>
      <x:c r="I2521" s="0"/>
      <x:c r="J2521" s="0"/>
      <x:c r="K2521" s="6">
        <x:v>46251</x:v>
      </x:c>
      <x:c r="L2521" t="str" s="2">
        <x:v>Message Sent</x:v>
      </x:c>
    </x:row>
    <x:row r="2522">
      <x:c r="A2522" t="str" s="2">
        <x:f>="Jayla Drake"</x:f>
      </x:c>
      <x:c r="B2522" t="str" s="2">
        <x:v>Heritage Housing of Asheboro</x:v>
      </x:c>
      <x:c r="C2522" t="str" s="2">
        <x:v/>
      </x:c>
      <x:c r="D2522" t="str" s="2">
        <x:v>3369258240</x:v>
      </x:c>
      <x:c r="E2522" t="str" s="2">
        <x:v>jayladrake12@gmail.com</x:v>
      </x:c>
      <x:c r="F2522" t="str" s="2">
        <x:v>Website</x:v>
      </x:c>
      <x:c r="G2522" t="str" s="2">
        <x:v>Maria Lopez</x:v>
      </x:c>
      <x:c r="H2522" s="6">
        <x:v>46204.08633391204</x:v>
      </x:c>
      <x:c r="I2522" s="0"/>
      <x:c r="J2522" s="0"/>
      <x:c r="K2522" s="6">
        <x:v>46307</x:v>
      </x:c>
      <x:c r="L2522" t="str" s="2">
        <x:v>Message Sent</x:v>
      </x:c>
    </x:row>
    <x:row r="2523">
      <x:c r="A2523" t="str" s="2">
        <x:f>="Ronda Martin"</x:f>
      </x:c>
      <x:c r="B2523" t="str" s="2">
        <x:v>Heritage Housing of Greenville</x:v>
      </x:c>
      <x:c r="C2523" t="str" s="2">
        <x:v>0/1</x:v>
      </x:c>
      <x:c r="D2523" t="str" s="2">
        <x:v>9032432320</x:v>
      </x:c>
      <x:c r="E2523" t="str" s="2">
        <x:v>rondambarnes@gmail.com</x:v>
      </x:c>
      <x:c r="F2523" t="str" s="2">
        <x:v>LandingPage</x:v>
      </x:c>
      <x:c r="G2523" t="str" s="2">
        <x:v>Greg Christman</x:v>
      </x:c>
      <x:c r="H2523" s="6">
        <x:v>46204.08781420139</x:v>
      </x:c>
      <x:c r="I2523" s="0"/>
      <x:c r="J2523" s="0"/>
      <x:c r="K2523" s="6">
        <x:v>46221</x:v>
      </x:c>
      <x:c r="L2523" t="str" s="2">
        <x:v>Message Sent</x:v>
      </x:c>
    </x:row>
    <x:row r="2524">
      <x:c r="A2524" t="str" s="2">
        <x:f>="Sara Jones"</x:f>
      </x:c>
      <x:c r="B2524" t="str" s="2">
        <x:v>Heritage Housing of Asheboro</x:v>
      </x:c>
      <x:c r="C2524" t="str" s="2">
        <x:v/>
      </x:c>
      <x:c r="D2524" t="str" s="2">
        <x:v>9105045766</x:v>
      </x:c>
      <x:c r="E2524" t="str" s="2">
        <x:v>saraleessj@gmail.com</x:v>
      </x:c>
      <x:c r="F2524" t="str" s="2">
        <x:v>Financing Form</x:v>
      </x:c>
      <x:c r="G2524" t="str" s="2">
        <x:v>Maria Lopez</x:v>
      </x:c>
      <x:c r="H2524" s="6">
        <x:v>46204.09773695602</x:v>
      </x:c>
      <x:c r="I2524" s="0"/>
      <x:c r="J2524" s="0"/>
      <x:c r="K2524" s="6">
        <x:v>46256</x:v>
      </x:c>
      <x:c r="L2524" t="str" s="2">
        <x:v>Message Sent</x:v>
      </x:c>
    </x:row>
    <x:row r="2525">
      <x:c r="A2525" t="str" s="2">
        <x:f>="bonnie Arnold"</x:f>
      </x:c>
      <x:c r="B2525" t="str" s="2">
        <x:v>Heritage Housing of Canton</x:v>
      </x:c>
      <x:c r="C2525" t="str" s="2">
        <x:v/>
      </x:c>
      <x:c r="D2525" t="str" s="2">
        <x:v>6827011163</x:v>
      </x:c>
      <x:c r="E2525" t="str" s="2">
        <x:v>blarnold512@gmail.com</x:v>
      </x:c>
      <x:c r="F2525" t="str" s="2">
        <x:v>Meta Ads - Forms</x:v>
      </x:c>
      <x:c r="G2525" t="str" s="2">
        <x:v>Maira Garcia</x:v>
      </x:c>
      <x:c r="H2525" s="6">
        <x:v>46204.105611956016</x:v>
      </x:c>
      <x:c r="I2525" s="0"/>
      <x:c r="J2525" s="0"/>
      <x:c r="K2525" s="6">
        <x:v>46245</x:v>
      </x:c>
      <x:c r="L2525" t="str" s="2">
        <x:v>Message Sent</x:v>
      </x:c>
    </x:row>
    <x:row r="2526">
      <x:c r="A2526" t="str" s="2">
        <x:f>="Lisa Marrali-Picone"</x:f>
      </x:c>
      <x:c r="B2526" t="str" s="2">
        <x:v>Heritage Housing of Canton</x:v>
      </x:c>
      <x:c r="C2526" t="str" s="2">
        <x:v/>
      </x:c>
      <x:c r="D2526" t="str" s="2">
        <x:v>6262011319</x:v>
      </x:c>
      <x:c r="E2526" t="str" s="2">
        <x:v>Mickeylover0529@aol.com</x:v>
      </x:c>
      <x:c r="F2526" t="str" s="2">
        <x:v>Meta Ads - Forms</x:v>
      </x:c>
      <x:c r="G2526" t="str" s="2">
        <x:v>Jacob Hatten</x:v>
      </x:c>
      <x:c r="H2526" s="6">
        <x:v>46204.116756331015</x:v>
      </x:c>
      <x:c r="I2526" s="0"/>
      <x:c r="J2526" s="0"/>
      <x:c r="K2526" s="6">
        <x:v>46228</x:v>
      </x:c>
      <x:c r="L2526" t="str" s="2">
        <x:v>Message Sent</x:v>
      </x:c>
    </x:row>
    <x:row r="2527">
      <x:c r="A2527" t="str" s="2">
        <x:f>="Brenda Sloan"</x:f>
      </x:c>
      <x:c r="B2527" t="str" s="2">
        <x:v>Heritage Housing Mt Pleasant</x:v>
      </x:c>
      <x:c r="C2527" t="str" s="2">
        <x:v/>
      </x:c>
      <x:c r="D2527" t="str" s="2" xml:space="preserve">
        <x:v> 2142991478    </x:v>
      </x:c>
      <x:c r="E2527" t="str" s="2">
        <x:v>sloanb235@gmail.com</x:v>
      </x:c>
      <x:c r="F2527" t="str" s="2">
        <x:v>Website</x:v>
      </x:c>
      <x:c r="G2527" t="str" s="2">
        <x:v>Yarelis Torres</x:v>
      </x:c>
      <x:c r="H2527" s="6">
        <x:v>46204.16158472222</x:v>
      </x:c>
      <x:c r="I2527" s="0"/>
      <x:c r="J2527" s="0"/>
      <x:c r="K2527" s="6">
        <x:v>46255</x:v>
      </x:c>
      <x:c r="L2527" t="str" s="2">
        <x:v>Message Sent</x:v>
      </x:c>
    </x:row>
    <x:row r="2528">
      <x:c r="A2528" t="str" s="2">
        <x:f>="Ingrid Rice"</x:f>
      </x:c>
      <x:c r="B2528" t="str" s="2">
        <x:v>Heritage Housing of Asheboro</x:v>
      </x:c>
      <x:c r="C2528" t="str" s="2">
        <x:v/>
      </x:c>
      <x:c r="D2528" t="str" s="2">
        <x:v>3366957433</x:v>
      </x:c>
      <x:c r="E2528" t="str" s="2">
        <x:v>lolagirl0917@mail.com</x:v>
      </x:c>
      <x:c r="F2528" t="str" s="2">
        <x:v>Meta Ads - Forms</x:v>
      </x:c>
      <x:c r="G2528" t="str" s="2">
        <x:v>Maria Lopez</x:v>
      </x:c>
      <x:c r="H2528" s="6">
        <x:v>46204.1729974537</x:v>
      </x:c>
      <x:c r="I2528" s="0"/>
      <x:c r="J2528" s="0"/>
      <x:c r="K2528" s="6">
        <x:v>46255</x:v>
      </x:c>
      <x:c r="L2528" t="str" s="2">
        <x:v>Message Sent</x:v>
      </x:c>
    </x:row>
    <x:row r="2529">
      <x:c r="A2529" t="str" s="2">
        <x:f>="Nathan Atkinson"</x:f>
      </x:c>
      <x:c r="B2529" t="str" s="2">
        <x:v>Heritage Housing of Tulsa</x:v>
      </x:c>
      <x:c r="C2529" t="str" s="2">
        <x:v/>
      </x:c>
      <x:c r="D2529" t="str" s="2">
        <x:v>3165581987</x:v>
      </x:c>
      <x:c r="E2529" t="str" s="2">
        <x:v>nathanatkinsonn68@gmail.com</x:v>
      </x:c>
      <x:c r="F2529" t="str" s="2">
        <x:v>Meta Ads - Forms</x:v>
      </x:c>
      <x:c r="G2529" t="str" s="2">
        <x:v>Jenna Fransisco</x:v>
      </x:c>
      <x:c r="H2529" s="6">
        <x:v>46204.23561982639</x:v>
      </x:c>
      <x:c r="I2529" s="0"/>
      <x:c r="J2529" s="0"/>
      <x:c r="K2529" s="6">
        <x:v>46238</x:v>
      </x:c>
      <x:c r="L2529" t="str" s="2">
        <x:v>Message Sent</x:v>
      </x:c>
    </x:row>
    <x:row r="2530">
      <x:c r="A2530" t="str" s="2">
        <x:f>="Karen Covalt"</x:f>
      </x:c>
      <x:c r="B2530" t="str" s="2">
        <x:v>Heritage Housing of Oklahoma City</x:v>
      </x:c>
      <x:c r="C2530" t="str" s="2">
        <x:v/>
      </x:c>
      <x:c r="D2530" t="str" s="2">
        <x:v>4057195250</x:v>
      </x:c>
      <x:c r="E2530" t="str" s="2">
        <x:v>karenscovalt1956@gmail.com</x:v>
      </x:c>
      <x:c r="F2530" t="str" s="2">
        <x:v>LandingPage</x:v>
      </x:c>
      <x:c r="G2530" t="str" s="2">
        <x:v>Trey Rixleben</x:v>
      </x:c>
      <x:c r="H2530" s="6">
        <x:v>46204.28709667824</x:v>
      </x:c>
      <x:c r="I2530" s="0"/>
      <x:c r="J2530" s="0"/>
      <x:c r="K2530" s="6">
        <x:v>46204.61467349537</x:v>
      </x:c>
      <x:c r="L2530" t="str" s="2">
        <x:v>Message Sent</x:v>
      </x:c>
    </x:row>
    <x:row r="2531">
      <x:c r="A2531" t="str" s="2">
        <x:f>="Jasmine Fuller"</x:f>
      </x:c>
      <x:c r="B2531" t="str" s="2">
        <x:v>Heritage Housing of Asheboro</x:v>
      </x:c>
      <x:c r="C2531" t="str" s="2">
        <x:v/>
      </x:c>
      <x:c r="D2531" t="str" s="2">
        <x:v>9197807631</x:v>
      </x:c>
      <x:c r="E2531" t="str" s="2">
        <x:v>Jasmine.fuller65@yahoo.com</x:v>
      </x:c>
      <x:c r="F2531" t="str" s="2">
        <x:v>Meta Ads - Forms</x:v>
      </x:c>
      <x:c r="G2531" t="str" s="2">
        <x:v>Maria Lopez</x:v>
      </x:c>
      <x:c r="H2531" s="6">
        <x:v>46204.47547538194</x:v>
      </x:c>
      <x:c r="I2531" s="0"/>
      <x:c r="J2531" s="0"/>
      <x:c r="K2531" s="6">
        <x:v>46255</x:v>
      </x:c>
      <x:c r="L2531" t="str" s="2">
        <x:v>Message Sent</x:v>
      </x:c>
    </x:row>
    <x:row r="2532">
      <x:c r="A2532" t="str" s="2">
        <x:f>="Michael Hammons"</x:f>
      </x:c>
      <x:c r="B2532" t="str" s="2">
        <x:v>Heritage Housing of Asheboro</x:v>
      </x:c>
      <x:c r="C2532" t="str" s="2">
        <x:v/>
      </x:c>
      <x:c r="D2532" t="str" s="2">
        <x:v>3365902880</x:v>
      </x:c>
      <x:c r="E2532" t="str" s="2">
        <x:v>mhammons928@gmail.com</x:v>
      </x:c>
      <x:c r="F2532" t="str" s="2">
        <x:v>Meta Ads - Forms</x:v>
      </x:c>
      <x:c r="G2532" t="str" s="2">
        <x:v>Maria Lopez</x:v>
      </x:c>
      <x:c r="H2532" s="6">
        <x:v>46204.485610613425</x:v>
      </x:c>
      <x:c r="I2532" s="0"/>
      <x:c r="J2532" s="0"/>
      <x:c r="K2532" s="6">
        <x:v>46256</x:v>
      </x:c>
      <x:c r="L2532" t="str" s="2">
        <x:v>Message Sent</x:v>
      </x:c>
    </x:row>
    <x:row r="2533">
      <x:c r="A2533" t="str" s="2">
        <x:f>="Franklin Hernandez"</x:f>
      </x:c>
      <x:c r="B2533" t="str" s="2">
        <x:v>Heritage Housing of Athens</x:v>
      </x:c>
      <x:c r="C2533" t="str" s="2">
        <x:v/>
      </x:c>
      <x:c r="D2533" t="str" s="2">
        <x:v>2295390645</x:v>
      </x:c>
      <x:c r="E2533" t="str" s="2">
        <x:v>pherji@outlook.com</x:v>
      </x:c>
      <x:c r="F2533" t="str" s="2">
        <x:v>Google Ads</x:v>
      </x:c>
      <x:c r="G2533" t="str" s="2">
        <x:v>Ethan Fossett</x:v>
      </x:c>
      <x:c r="H2533" s="6">
        <x:v>46204.59345663194</x:v>
      </x:c>
      <x:c r="I2533" s="0"/>
      <x:c r="J2533" s="0"/>
      <x:c r="K2533" s="6">
        <x:v>46252</x:v>
      </x:c>
      <x:c r="L2533" t="str" s="2">
        <x:v>Message Sent</x:v>
      </x:c>
    </x:row>
    <x:row r="2534">
      <x:c r="A2534" t="str" s="2">
        <x:f>="Alberto Gonzalez"</x:f>
      </x:c>
      <x:c r="B2534" t="str" s="2">
        <x:v>Legacy Housing Corp. DBA Americasa</x:v>
      </x:c>
      <x:c r="C2534" t="str" s="2">
        <x:v/>
      </x:c>
      <x:c r="D2534" t="str" s="2">
        <x:v>8324231144</x:v>
      </x:c>
      <x:c r="E2534" t="str" s="2">
        <x:v>ramgonzalez1978@gmail.com</x:v>
      </x:c>
      <x:c r="F2534" t="str" s="2">
        <x:v>Meta Ads - Forms</x:v>
      </x:c>
      <x:c r="G2534" t="str" s="2">
        <x:v>Jose Parada</x:v>
      </x:c>
      <x:c r="H2534" s="6">
        <x:v>46204.708393946756</x:v>
      </x:c>
      <x:c r="I2534" s="0"/>
      <x:c r="J2534" s="0"/>
      <x:c r="K2534" s="6">
        <x:v>46232</x:v>
      </x:c>
      <x:c r="L2534" t="str" s="2">
        <x:v>Message Sent</x:v>
      </x:c>
    </x:row>
    <x:row r="2535">
      <x:c r="A2535" t="str" s="2">
        <x:f>="Ashlie Arnett"</x:f>
      </x:c>
      <x:c r="B2535" t="str" s="2">
        <x:v>Heritage Housing of Albany</x:v>
      </x:c>
      <x:c r="C2535" t="str" s="2">
        <x:v>0/2</x:v>
      </x:c>
      <x:c r="D2535" t="str" s="2">
        <x:v>2295290234</x:v>
      </x:c>
      <x:c r="E2535" t="str" s="2">
        <x:v>arnettashlie0@gmail.com</x:v>
      </x:c>
      <x:c r="F2535" t="str" s="2">
        <x:v>Meta Ads - Forms</x:v>
      </x:c>
      <x:c r="G2535" t="str" s="2">
        <x:v>Yanet Alvarez</x:v>
      </x:c>
      <x:c r="H2535" s="6">
        <x:v>46204.761236921295</x:v>
      </x:c>
      <x:c r="I2535" s="0"/>
      <x:c r="J2535" s="0"/>
      <x:c r="K2535" s="6">
        <x:v>46303</x:v>
      </x:c>
      <x:c r="L2535" t="str" s="2">
        <x:v>Message Sent</x:v>
      </x:c>
    </x:row>
    <x:row r="2536">
      <x:c r="A2536" t="str" s="2">
        <x:f>="Big Sterl"</x:f>
      </x:c>
      <x:c r="B2536" t="str" s="2">
        <x:v>Heritage Housing of Augusta</x:v>
      </x:c>
      <x:c r="C2536" t="str" s="2">
        <x:v>0/1</x:v>
      </x:c>
      <x:c r="D2536" t="str" s="2">
        <x:v>6782557031</x:v>
      </x:c>
      <x:c r="E2536" t="str" s="2">
        <x:v>sterlingwertz67@gmail.com</x:v>
      </x:c>
      <x:c r="F2536" t="str" s="2">
        <x:v>Meta Ads - Forms</x:v>
      </x:c>
      <x:c r="G2536" t="str" s="2">
        <x:v>Jennifer Johnson</x:v>
      </x:c>
      <x:c r="H2536" s="6">
        <x:v>46204.84269957176</x:v>
      </x:c>
      <x:c r="I2536" s="0"/>
      <x:c r="J2536" s="0"/>
      <x:c r="K2536" s="6">
        <x:v>46242</x:v>
      </x:c>
      <x:c r="L2536" t="str" s="2">
        <x:v>Message Sent</x:v>
      </x:c>
    </x:row>
    <x:row r="2537">
      <x:c r="A2537" t="str" s="2">
        <x:f>="Dawn Bradford"</x:f>
      </x:c>
      <x:c r="B2537" t="str" s="2">
        <x:v>Heritage Housing of Asheboro</x:v>
      </x:c>
      <x:c r="C2537" t="str" s="2">
        <x:v/>
      </x:c>
      <x:c r="D2537" t="str" s="2">
        <x:v>8644201178</x:v>
      </x:c>
      <x:c r="E2537" t="str" s="2">
        <x:v>bdawn5052@gmail.com</x:v>
      </x:c>
      <x:c r="F2537" t="str" s="2">
        <x:v>Meta Ads - Forms</x:v>
      </x:c>
      <x:c r="G2537" t="str" s="2">
        <x:v>Maria Lopez</x:v>
      </x:c>
      <x:c r="H2537" s="6">
        <x:v>46204.93200170139</x:v>
      </x:c>
      <x:c r="I2537" s="0"/>
      <x:c r="J2537" s="0"/>
      <x:c r="K2537" s="6">
        <x:v>46255</x:v>
      </x:c>
      <x:c r="L2537" t="str" s="2">
        <x:v>Message Sent</x:v>
      </x:c>
    </x:row>
    <x:row r="2538">
      <x:c r="A2538" t="str" s="2">
        <x:f>="Veronica Sanchez"</x:f>
      </x:c>
      <x:c r="B2538" t="str" s="2">
        <x:v>Heritage Housing of Canton</x:v>
      </x:c>
      <x:c r="C2538" t="str" s="2">
        <x:v/>
      </x:c>
      <x:c r="D2538" t="str" s="2">
        <x:v>2149001234</x:v>
      </x:c>
      <x:c r="E2538" t="str" s="2">
        <x:v>veonicasanchez1974@gmail.com</x:v>
      </x:c>
      <x:c r="F2538" t="str" s="2">
        <x:v>Meta Ads - Forms</x:v>
      </x:c>
      <x:c r="G2538" t="str" s="2">
        <x:v>Maira Garcia</x:v>
      </x:c>
      <x:c r="H2538" s="6">
        <x:v>46204.986090625</x:v>
      </x:c>
      <x:c r="I2538" s="0"/>
      <x:c r="J2538" s="0"/>
      <x:c r="K2538" s="6">
        <x:v>46245</x:v>
      </x:c>
      <x:c r="L2538" t="str" s="2">
        <x:v>Message Sent</x:v>
      </x:c>
    </x:row>
    <x:row r="2539">
      <x:c r="A2539" t="str" s="2">
        <x:f>="Heather Parker"</x:f>
      </x:c>
      <x:c r="B2539" t="str" s="2">
        <x:v>Heritage Housing of Tulsa</x:v>
      </x:c>
      <x:c r="C2539" t="str" s="2">
        <x:v/>
      </x:c>
      <x:c r="D2539" t="str" s="2">
        <x:v>9182100443</x:v>
      </x:c>
      <x:c r="E2539" t="str" s="2">
        <x:v>parkerheather108@gmail.com</x:v>
      </x:c>
      <x:c r="F2539" t="str" s="2">
        <x:v>Meta Ads - Forms</x:v>
      </x:c>
      <x:c r="G2539" t="str" s="2">
        <x:v>Jenna Fransisco</x:v>
      </x:c>
      <x:c r="H2539" s="6">
        <x:v>46205.01501875</x:v>
      </x:c>
      <x:c r="I2539" s="0"/>
      <x:c r="J2539" s="0"/>
      <x:c r="K2539" s="6">
        <x:v>46251</x:v>
      </x:c>
      <x:c r="L2539" t="str" s="2">
        <x:v>Message Sent</x:v>
      </x:c>
    </x:row>
    <x:row r="2540">
      <x:c r="A2540" t="str" s="2">
        <x:f>="Burnett Oglesby"</x:f>
      </x:c>
      <x:c r="B2540" t="str" s="2">
        <x:v>Heritage Housing of Asheboro</x:v>
      </x:c>
      <x:c r="C2540" t="str" s="2">
        <x:v/>
      </x:c>
      <x:c r="D2540" t="str" s="2">
        <x:v>9103220228</x:v>
      </x:c>
      <x:c r="E2540" t="str" s="2">
        <x:v>pectiwita@gmail.com</x:v>
      </x:c>
      <x:c r="F2540" t="str" s="2">
        <x:v>Financing Form</x:v>
      </x:c>
      <x:c r="G2540" t="str" s="2">
        <x:v>Maria Lopez</x:v>
      </x:c>
      <x:c r="H2540" s="6">
        <x:v>46205.03222450231</x:v>
      </x:c>
      <x:c r="I2540" s="0"/>
      <x:c r="J2540" s="0"/>
      <x:c r="K2540" s="6">
        <x:v>46258</x:v>
      </x:c>
      <x:c r="L2540" t="str" s="2">
        <x:v>Message Sent</x:v>
      </x:c>
    </x:row>
    <x:row r="2541">
      <x:c r="A2541" t="str" s="2">
        <x:f>=HYPERLINK("https://rsms.futurehomex.com/lead/38234", "Francisco Hernandez")</x:f>
      </x:c>
      <x:c r="B2541" t="str" s="2">
        <x:v>Legacy Housing Corp. DBA Americasa</x:v>
      </x:c>
      <x:c r="C2541" t="str" s="2">
        <x:v/>
      </x:c>
      <x:c r="D2541" t="str" s="2">
        <x:v>4199219243</x:v>
      </x:c>
      <x:c r="E2541" t="str" s="2">
        <x:v>chefpelonhtx@gmail.com</x:v>
      </x:c>
      <x:c r="F2541" t="str" s="2">
        <x:v>Meta Ads - Forms</x:v>
      </x:c>
      <x:c r="G2541" t="str" s="2">
        <x:v>Rodrigo Ramirez</x:v>
      </x:c>
      <x:c r="H2541" s="6">
        <x:v>46205.03272268519</x:v>
      </x:c>
      <x:c r="I2541" t="str" s="2">
        <x:v>Joey Marquez</x:v>
      </x:c>
      <x:c r="J2541" s="0"/>
      <x:c r="K2541" s="6">
        <x:v>46287</x:v>
      </x:c>
      <x:c r="L2541" t="str" s="2">
        <x:v>Message Sent</x:v>
      </x:c>
    </x:row>
    <x:row r="2542">
      <x:c r="A2542" t="str" s="2">
        <x:f>="James Bordelon"</x:f>
      </x:c>
      <x:c r="B2542" t="str" s="2">
        <x:v>Heritage Housing of Jennings</x:v>
      </x:c>
      <x:c r="C2542" t="str" s="2">
        <x:v>0/15</x:v>
      </x:c>
      <x:c r="D2542" t="str" s="2">
        <x:v>3183598497</x:v>
      </x:c>
      <x:c r="E2542" t="str" s="2">
        <x:v>jtbord@gmail.com</x:v>
      </x:c>
      <x:c r="F2542" t="str" s="2">
        <x:v>Meta Ads - Forms</x:v>
      </x:c>
      <x:c r="G2542" t="str" s="2">
        <x:v>Mervin Leslie Smith</x:v>
      </x:c>
      <x:c r="H2542" s="6">
        <x:v>46205.08923726852</x:v>
      </x:c>
      <x:c r="I2542" s="0"/>
      <x:c r="J2542" s="0"/>
      <x:c r="K2542" s="6">
        <x:v>46294</x:v>
      </x:c>
      <x:c r="L2542" t="str" s="2">
        <x:v>Message Sent</x:v>
      </x:c>
    </x:row>
    <x:row r="2543">
      <x:c r="A2543" t="str" s="2">
        <x:f>="Patrick Brady"</x:f>
      </x:c>
      <x:c r="B2543" t="str" s="2">
        <x:v>Heritage Housing of Asheboro</x:v>
      </x:c>
      <x:c r="C2543" t="str" s="2">
        <x:v/>
      </x:c>
      <x:c r="D2543" t="str" s="2">
        <x:v>9193565955</x:v>
      </x:c>
      <x:c r="E2543" t="str" s="2">
        <x:v>vtecpb@gmail.com</x:v>
      </x:c>
      <x:c r="F2543" t="str" s="2">
        <x:v>Google Ads</x:v>
      </x:c>
      <x:c r="G2543" t="str" s="2">
        <x:v>Maria Lopez</x:v>
      </x:c>
      <x:c r="H2543" s="6">
        <x:v>46205.130043206016</x:v>
      </x:c>
      <x:c r="I2543" s="0"/>
      <x:c r="J2543" s="0"/>
      <x:c r="K2543" s="6">
        <x:v>46255</x:v>
      </x:c>
      <x:c r="L2543" t="str" s="2">
        <x:v>Message Sent</x:v>
      </x:c>
    </x:row>
    <x:row r="2544">
      <x:c r="A2544" t="str" s="2">
        <x:f>="Vickie Wilkerson"</x:f>
      </x:c>
      <x:c r="B2544" t="str" s="2">
        <x:v>Heritage Housing of Canton</x:v>
      </x:c>
      <x:c r="C2544" t="str" s="2">
        <x:v/>
      </x:c>
      <x:c r="D2544" t="str" s="2">
        <x:v>2142811103</x:v>
      </x:c>
      <x:c r="E2544" t="str" s="2">
        <x:v>vickiewilkerson27@gmail.com</x:v>
      </x:c>
      <x:c r="F2544" t="str" s="2">
        <x:v>Meta Ads - Forms</x:v>
      </x:c>
      <x:c r="G2544" t="str" s="2">
        <x:v>Jacob Hatten</x:v>
      </x:c>
      <x:c r="H2544" s="6">
        <x:v>46205.13685127315</x:v>
      </x:c>
      <x:c r="I2544" s="0"/>
      <x:c r="J2544" s="0"/>
      <x:c r="K2544" s="6">
        <x:v>46228</x:v>
      </x:c>
      <x:c r="L2544" t="str" s="2">
        <x:v>Message Sent</x:v>
      </x:c>
    </x:row>
    <x:row r="2545">
      <x:c r="A2545" t="str" s="2">
        <x:f>="Jacqueline Sanchez"</x:f>
      </x:c>
      <x:c r="B2545" t="str" s="2">
        <x:v>Heritage Housing of Canton</x:v>
      </x:c>
      <x:c r="C2545" t="str" s="2">
        <x:v/>
      </x:c>
      <x:c r="D2545" t="str" s="2">
        <x:v>4694743992</x:v>
      </x:c>
      <x:c r="E2545" t="str" s="2">
        <x:v>reinaxjackey@gmail.com</x:v>
      </x:c>
      <x:c r="F2545" t="str" s="2">
        <x:v>LandingPage</x:v>
      </x:c>
      <x:c r="G2545" t="str" s="2">
        <x:v>Maira Garcia</x:v>
      </x:c>
      <x:c r="H2545" s="6">
        <x:v>46205.171363043984</x:v>
      </x:c>
      <x:c r="I2545" s="0"/>
      <x:c r="J2545" s="0"/>
      <x:c r="K2545" s="6">
        <x:v>46245</x:v>
      </x:c>
      <x:c r="L2545" t="str" s="2">
        <x:v>Message Sent</x:v>
      </x:c>
    </x:row>
    <x:row r="2546">
      <x:c r="A2546" t="str" s="2">
        <x:f>="Lg Tezeno"</x:f>
      </x:c>
      <x:c r="B2546" t="str" s="2">
        <x:v>Heritage Housing Mt Pleasant</x:v>
      </x:c>
      <x:c r="C2546" t="str" s="2">
        <x:v/>
      </x:c>
      <x:c r="D2546" t="str" s="2" xml:space="preserve">
        <x:v> 3379454221    </x:v>
      </x:c>
      <x:c r="E2546" t="str" s="2">
        <x:v>lgtezeno@gmail.com</x:v>
      </x:c>
      <x:c r="F2546" t="str" s="2">
        <x:v>Financing Form</x:v>
      </x:c>
      <x:c r="G2546" t="str" s="2">
        <x:v>Yarelis Torres</x:v>
      </x:c>
      <x:c r="H2546" s="6">
        <x:v>46205.31978695602</x:v>
      </x:c>
      <x:c r="I2546" s="0"/>
      <x:c r="J2546" s="0"/>
      <x:c r="K2546" s="6">
        <x:v>46248</x:v>
      </x:c>
      <x:c r="L2546" t="str" s="2">
        <x:v>Message Sent</x:v>
      </x:c>
    </x:row>
    <x:row r="2547">
      <x:c r="A2547" t="str" s="2">
        <x:f>="Steffanie Edwards"</x:f>
      </x:c>
      <x:c r="B2547" t="str" s="2">
        <x:v>Heritage Housing of Tulsa</x:v>
      </x:c>
      <x:c r="C2547" t="str" s="2">
        <x:v/>
      </x:c>
      <x:c r="D2547" t="str" s="2">
        <x:v>9187101500</x:v>
      </x:c>
      <x:c r="E2547" t="str" s="2">
        <x:v>steffanieedwards69@gmail.com</x:v>
      </x:c>
      <x:c r="F2547" t="str" s="2">
        <x:v>Website</x:v>
      </x:c>
      <x:c r="G2547" t="str" s="2">
        <x:v>Jenna Fransisco</x:v>
      </x:c>
      <x:c r="H2547" s="6">
        <x:v>46205.45166388889</x:v>
      </x:c>
      <x:c r="I2547" s="0"/>
      <x:c r="J2547" s="0"/>
      <x:c r="K2547" s="6">
        <x:v>46245</x:v>
      </x:c>
      <x:c r="L2547" t="str" s="2">
        <x:v>Message Sent</x:v>
      </x:c>
    </x:row>
    <x:row r="2548">
      <x:c r="A2548" t="str" s="2">
        <x:f>="Leah Troen"</x:f>
      </x:c>
      <x:c r="B2548" t="str" s="2">
        <x:v>Heritage Housing Gainesville</x:v>
      </x:c>
      <x:c r="C2548" t="str" s="2">
        <x:v/>
      </x:c>
      <x:c r="D2548" t="str" s="2">
        <x:v>5033197675</x:v>
      </x:c>
      <x:c r="E2548" t="str" s="2">
        <x:v>Troenleah@gmail.com</x:v>
      </x:c>
      <x:c r="F2548" t="str" s="2">
        <x:v>Financing Form</x:v>
      </x:c>
      <x:c r="G2548" t="str" s="2">
        <x:v>Kelly Ford</x:v>
      </x:c>
      <x:c r="H2548" s="6">
        <x:v>46205.58734945602</x:v>
      </x:c>
      <x:c r="I2548" s="0"/>
      <x:c r="J2548" s="0"/>
      <x:c r="K2548" s="6">
        <x:v>46260</x:v>
      </x:c>
      <x:c r="L2548" t="str" s="2">
        <x:v>Message Sent</x:v>
      </x:c>
    </x:row>
    <x:row r="2549">
      <x:c r="A2549" t="str" s="2">
        <x:f>=HYPERLINK("https://rsms.futurehomex.com/lead/39041", "Kevin Samuel")</x:f>
      </x:c>
      <x:c r="B2549" t="str" s="2">
        <x:v>Legacy Housing Corp. DBA Americasa</x:v>
      </x:c>
      <x:c r="C2549" t="str" s="2">
        <x:v/>
      </x:c>
      <x:c r="D2549" t="str" s="2">
        <x:v>3463898511</x:v>
      </x:c>
      <x:c r="E2549" t="str" s="2">
        <x:v>p2010ksm198715@gmail.com</x:v>
      </x:c>
      <x:c r="F2549" t="str" s="2">
        <x:v>Meta Ads - Forms</x:v>
      </x:c>
      <x:c r="G2549" t="str" s="2">
        <x:v>Rodrigo Ramirez</x:v>
      </x:c>
      <x:c r="H2549" s="6">
        <x:v>46205.58886253472</x:v>
      </x:c>
      <x:c r="I2549" t="str" s="2">
        <x:v>Joey Marquez</x:v>
      </x:c>
      <x:c r="J2549" s="6">
        <x:v>46242.6875</x:v>
      </x:c>
      <x:c r="K2549" s="6">
        <x:v>46287</x:v>
      </x:c>
      <x:c r="L2549" t="str" s="2">
        <x:v>Message Sent</x:v>
      </x:c>
    </x:row>
    <x:row r="2550">
      <x:c r="A2550" t="str" s="2">
        <x:f>="Amy Pebey"</x:f>
      </x:c>
      <x:c r="B2550" t="str" s="2">
        <x:v>Heritage Housing of Augusta</x:v>
      </x:c>
      <x:c r="C2550" t="str" s="2">
        <x:v/>
      </x:c>
      <x:c r="D2550" t="str" s="2">
        <x:v>9126564040</x:v>
      </x:c>
      <x:c r="E2550" t="str" s="2">
        <x:v>spevey16@gmail.com</x:v>
      </x:c>
      <x:c r="F2550" t="str" s="2">
        <x:v>Website</x:v>
      </x:c>
      <x:c r="G2550" t="str" s="2">
        <x:v>Jennifer Johnson</x:v>
      </x:c>
      <x:c r="H2550" s="6">
        <x:v>46205.597176585645</x:v>
      </x:c>
      <x:c r="I2550" s="0"/>
      <x:c r="J2550" s="0"/>
      <x:c r="K2550" s="6">
        <x:v>46277</x:v>
      </x:c>
      <x:c r="L2550" t="str" s="2">
        <x:v>Message Sent</x:v>
      </x:c>
    </x:row>
    <x:row r="2551">
      <x:c r="A2551" t="str" s="2">
        <x:f>="Aliah Drake"</x:f>
      </x:c>
      <x:c r="B2551" t="str" s="2">
        <x:v>Heritage Housing of Tulsa</x:v>
      </x:c>
      <x:c r="C2551" t="str" s="2">
        <x:v/>
      </x:c>
      <x:c r="D2551" t="str" s="2">
        <x:v>9185814421</x:v>
      </x:c>
      <x:c r="E2551" t="str" s="2">
        <x:v>aliahdrake@outlook.com</x:v>
      </x:c>
      <x:c r="F2551" t="str" s="2">
        <x:v>Financing Form</x:v>
      </x:c>
      <x:c r="G2551" t="str" s="2">
        <x:v>Jenna Fransisco</x:v>
      </x:c>
      <x:c r="H2551" s="6">
        <x:v>46205.678496493056</x:v>
      </x:c>
      <x:c r="I2551" s="0"/>
      <x:c r="J2551" s="0"/>
      <x:c r="K2551" s="6">
        <x:v>46251</x:v>
      </x:c>
      <x:c r="L2551" t="str" s="2">
        <x:v>Message Sent</x:v>
      </x:c>
    </x:row>
    <x:row r="2552">
      <x:c r="A2552" t="str" s="2">
        <x:f>="Tonya Thompson"</x:f>
      </x:c>
      <x:c r="B2552" t="str" s="2">
        <x:v>Heritage Housing of Asheboro</x:v>
      </x:c>
      <x:c r="C2552" t="str" s="2">
        <x:v/>
      </x:c>
      <x:c r="D2552" t="str" s="2">
        <x:v>3364608237</x:v>
      </x:c>
      <x:c r="E2552" t="str" s="2">
        <x:v>tonya_headen@yahoo.com</x:v>
      </x:c>
      <x:c r="F2552" t="str" s="2">
        <x:v>Website</x:v>
      </x:c>
      <x:c r="G2552" t="str" s="2">
        <x:v>Maria Lopez</x:v>
      </x:c>
      <x:c r="H2552" s="6">
        <x:v>46205.68325798611</x:v>
      </x:c>
      <x:c r="I2552" s="0"/>
      <x:c r="J2552" s="0"/>
      <x:c r="K2552" s="6">
        <x:v>46253</x:v>
      </x:c>
      <x:c r="L2552" t="str" s="2">
        <x:v>Message Sent</x:v>
      </x:c>
    </x:row>
    <x:row r="2553">
      <x:c r="A2553" t="str" s="2">
        <x:f>="Alex Morataya"</x:f>
      </x:c>
      <x:c r="B2553" t="str" s="2">
        <x:v>Legacy Housing Corp. DBA Americasa</x:v>
      </x:c>
      <x:c r="C2553" t="str" s="2">
        <x:v/>
      </x:c>
      <x:c r="D2553" t="str" s="2">
        <x:v>3465575403</x:v>
      </x:c>
      <x:c r="E2553" t="str" s="2">
        <x:v>lanaam249@gmail.com</x:v>
      </x:c>
      <x:c r="F2553" t="str" s="2">
        <x:v>Financing Form</x:v>
      </x:c>
      <x:c r="G2553" t="str" s="2">
        <x:v>Jose Parada</x:v>
      </x:c>
      <x:c r="H2553" s="6">
        <x:v>46205.771999108794</x:v>
      </x:c>
      <x:c r="I2553" s="0"/>
      <x:c r="J2553" s="0"/>
      <x:c r="K2553" s="6">
        <x:v>46232</x:v>
      </x:c>
      <x:c r="L2553" t="str" s="2">
        <x:v>Message Sent</x:v>
      </x:c>
    </x:row>
    <x:row r="2554">
      <x:c r="A2554" t="str" s="2">
        <x:f>=HYPERLINK("https://rsms.futurehomex.com/lead/38843", "Sharice Jordan")</x:f>
      </x:c>
      <x:c r="B2554" t="str" s="2">
        <x:v>Heritage Housing of Augusta</x:v>
      </x:c>
      <x:c r="C2554" t="str" s="2">
        <x:v/>
      </x:c>
      <x:c r="D2554" t="str" s="2">
        <x:v>7067555896</x:v>
      </x:c>
      <x:c r="E2554" t="str" s="2">
        <x:v>sharice1999@gmail.com</x:v>
      </x:c>
      <x:c r="F2554" t="str" s="2">
        <x:v>LandingPage</x:v>
      </x:c>
      <x:c r="G2554" t="str" s="2">
        <x:v>Jennifer Johnson</x:v>
      </x:c>
      <x:c r="H2554" s="6">
        <x:v>46205.77482855324</x:v>
      </x:c>
      <x:c r="I2554" t="str" s="2">
        <x:v>Jennifer Johnson</x:v>
      </x:c>
      <x:c r="J2554" s="0"/>
      <x:c r="K2554" s="6">
        <x:v>46277</x:v>
      </x:c>
      <x:c r="L2554" t="str" s="2">
        <x:v>Message Sent</x:v>
      </x:c>
    </x:row>
    <x:row r="2555">
      <x:c r="A2555" t="str" s="2">
        <x:f>=HYPERLINK("https://rsms.futurehomex.com/lead/38236", "Jose Llamas")</x:f>
      </x:c>
      <x:c r="B2555" t="str" s="2">
        <x:v>Legacy Housing Corp. DBA Americasa</x:v>
      </x:c>
      <x:c r="C2555" t="str" s="2">
        <x:v/>
      </x:c>
      <x:c r="D2555" t="str" s="2">
        <x:v>8326569446</x:v>
      </x:c>
      <x:c r="E2555" t="str" s="2">
        <x:v>8326569446</x:v>
      </x:c>
      <x:c r="F2555" t="str" s="2">
        <x:v>Walk-in</x:v>
      </x:c>
      <x:c r="G2555" t="str" s="2">
        <x:v>Rodrigo Ramirez</x:v>
      </x:c>
      <x:c r="H2555" s="6">
        <x:v>46205.78296134259</x:v>
      </x:c>
      <x:c r="I2555" t="str" s="2">
        <x:v>Angelica Mendoza </x:v>
      </x:c>
      <x:c r="J2555" s="0"/>
      <x:c r="K2555" s="6">
        <x:v>46247</x:v>
      </x:c>
      <x:c r="L2555" t="str" s="2">
        <x:v>Message Sent</x:v>
      </x:c>
    </x:row>
    <x:row r="2556">
      <x:c r="A2556" t="str" s="2">
        <x:f>=HYPERLINK("https://rsms.futurehomex.com/lead/38242", "Marylou Ingram")</x:f>
      </x:c>
      <x:c r="B2556" t="str" s="2">
        <x:v>Heritage Housing of Oklahoma City</x:v>
      </x:c>
      <x:c r="C2556" t="str" s="2">
        <x:v/>
      </x:c>
      <x:c r="D2556" t="str" s="2">
        <x:v>5174749826</x:v>
      </x:c>
      <x:c r="E2556" t="str" s="2">
        <x:v>Ingrammary523@gmail.com</x:v>
      </x:c>
      <x:c r="F2556" t="str" s="2">
        <x:v>Meta Ads - Forms</x:v>
      </x:c>
      <x:c r="G2556" t="str" s="2">
        <x:v>Trey Rixleben</x:v>
      </x:c>
      <x:c r="H2556" s="6">
        <x:v>46205.80568869213</x:v>
      </x:c>
      <x:c r="I2556" t="str" s="2">
        <x:v>Trey Rixleben</x:v>
      </x:c>
      <x:c r="J2556" s="0"/>
      <x:c r="K2556" s="6">
        <x:v>46211</x:v>
      </x:c>
      <x:c r="L2556" t="str" s="2">
        <x:v>Message Sent</x:v>
      </x:c>
    </x:row>
    <x:row r="2557">
      <x:c r="A2557" t="str" s="2">
        <x:f>="Charmia Pearson"</x:f>
      </x:c>
      <x:c r="B2557" t="str" s="2">
        <x:v>Heritage Housing of Tulsa</x:v>
      </x:c>
      <x:c r="C2557" t="str" s="2">
        <x:v/>
      </x:c>
      <x:c r="D2557" t="str" s="2">
        <x:v>9185095081</x:v>
      </x:c>
      <x:c r="E2557" t="str" s="2">
        <x:v>charmiapearson9@gmail.com</x:v>
      </x:c>
      <x:c r="F2557" t="str" s="2">
        <x:v>Financing Form</x:v>
      </x:c>
      <x:c r="G2557" t="str" s="2">
        <x:v>Jenna Fransisco</x:v>
      </x:c>
      <x:c r="H2557" s="6">
        <x:v>46205.88490443287</x:v>
      </x:c>
      <x:c r="I2557" s="0"/>
      <x:c r="J2557" s="0"/>
      <x:c r="K2557" s="6">
        <x:v>46238</x:v>
      </x:c>
      <x:c r="L2557" t="str" s="2">
        <x:v>Message Sent</x:v>
      </x:c>
    </x:row>
    <x:row r="2558">
      <x:c r="A2558" t="str" s="2">
        <x:f>=HYPERLINK("https://rsms.futurehomex.com/lead/38258", "Gary Meadows")</x:f>
      </x:c>
      <x:c r="B2558" t="str" s="2">
        <x:v>Heritage Housing of Oklahoma City</x:v>
      </x:c>
      <x:c r="C2558" t="str" s="2">
        <x:v>0/1</x:v>
      </x:c>
      <x:c r="D2558" t="str" s="2">
        <x:v>4792081186</x:v>
      </x:c>
      <x:c r="E2558" t="str" s="2">
        <x:v>garymeadows208@gmail.com</x:v>
      </x:c>
      <x:c r="F2558" t="str" s="2">
        <x:v>Meta Ads - Forms</x:v>
      </x:c>
      <x:c r="G2558" t="str" s="2">
        <x:v>Trey Rixleben</x:v>
      </x:c>
      <x:c r="H2558" s="6">
        <x:v>46205.88952361111</x:v>
      </x:c>
      <x:c r="I2558" t="str" s="2">
        <x:v>Trey Rixleben</x:v>
      </x:c>
      <x:c r="J2558" s="0"/>
      <x:c r="K2558" s="6">
        <x:v>46211</x:v>
      </x:c>
      <x:c r="L2558" t="str" s="2">
        <x:v>Message Sent</x:v>
      </x:c>
    </x:row>
    <x:row r="2559">
      <x:c r="A2559" t="str" s="2">
        <x:f>="Mona Meacham"</x:f>
      </x:c>
      <x:c r="B2559" t="str" s="2">
        <x:v>Heritage Housing of Oklahoma City</x:v>
      </x:c>
      <x:c r="C2559" t="str" s="2">
        <x:v>0/3</x:v>
      </x:c>
      <x:c r="D2559" t="str" s="2">
        <x:v>5803024424</x:v>
      </x:c>
      <x:c r="E2559" t="str" s="2">
        <x:v>monaw57@hotmail.com</x:v>
      </x:c>
      <x:c r="F2559" t="str" s="2">
        <x:v>Meta Ads - Forms</x:v>
      </x:c>
      <x:c r="G2559" t="str" s="2">
        <x:v>Steve Castell</x:v>
      </x:c>
      <x:c r="H2559" s="6">
        <x:v>46205.930586030096</x:v>
      </x:c>
      <x:c r="I2559" s="0"/>
      <x:c r="J2559" s="0"/>
      <x:c r="K2559" s="6">
        <x:v>46225</x:v>
      </x:c>
      <x:c r="L2559" t="str" s="2">
        <x:v>Message Sent</x:v>
      </x:c>
    </x:row>
    <x:row r="2560">
      <x:c r="A2560" t="str" s="2">
        <x:f>="JimmyKim Hutchinson"</x:f>
      </x:c>
      <x:c r="B2560" t="str" s="2">
        <x:v>Heritage Housing of Augusta</x:v>
      </x:c>
      <x:c r="C2560" t="str" s="2">
        <x:v/>
      </x:c>
      <x:c r="D2560" t="str" s="2">
        <x:v>7068256242</x:v>
      </x:c>
      <x:c r="E2560" t="str" s="2">
        <x:v>jimmykim1966@gmail.com</x:v>
      </x:c>
      <x:c r="F2560" t="str" s="2">
        <x:v>Meta Ads - Forms</x:v>
      </x:c>
      <x:c r="G2560" t="str" s="2">
        <x:v>Jennifer Johnson</x:v>
      </x:c>
      <x:c r="H2560" s="6">
        <x:v>46205.94536828704</x:v>
      </x:c>
      <x:c r="I2560" s="0"/>
      <x:c r="J2560" s="0"/>
      <x:c r="K2560" s="6">
        <x:v>46233.66231666667</x:v>
      </x:c>
      <x:c r="L2560" t="str" s="2">
        <x:v>Message Sent</x:v>
      </x:c>
    </x:row>
    <x:row r="2561">
      <x:c r="A2561" t="str" s="2">
        <x:f>="Isel Salazar"</x:f>
      </x:c>
      <x:c r="B2561" t="str" s="2">
        <x:v>Heritage Housing of Greenville</x:v>
      </x:c>
      <x:c r="C2561" t="str" s="2">
        <x:v>0/1</x:v>
      </x:c>
      <x:c r="D2561" t="str" s="2">
        <x:v>9728053305</x:v>
      </x:c>
      <x:c r="E2561" t="str" s="2">
        <x:v>barronflorisel08@gmail.com</x:v>
      </x:c>
      <x:c r="F2561" t="str" s="2">
        <x:v>Meta Ads - Forms</x:v>
      </x:c>
      <x:c r="G2561" t="str" s="2">
        <x:v>Greg Christman</x:v>
      </x:c>
      <x:c r="H2561" s="6">
        <x:v>46205.95404568287</x:v>
      </x:c>
      <x:c r="I2561" s="0"/>
      <x:c r="J2561" s="0"/>
      <x:c r="K2561" s="6">
        <x:v>46221</x:v>
      </x:c>
      <x:c r="L2561" t="str" s="2">
        <x:v>Message Sent</x:v>
      </x:c>
    </x:row>
    <x:row r="2562">
      <x:c r="A2562" t="str" s="2">
        <x:f>="Janice Gilder Gilder"</x:f>
      </x:c>
      <x:c r="B2562" t="str" s="2">
        <x:v>Heritage Housing Gainesville</x:v>
      </x:c>
      <x:c r="C2562" t="str" s="2">
        <x:v/>
      </x:c>
      <x:c r="D2562" t="str" s="2" xml:space="preserve">
        <x:v> 4694523396    </x:v>
      </x:c>
      <x:c r="E2562" t="str" s="2">
        <x:v>janicegilder80@gmail.com</x:v>
      </x:c>
      <x:c r="F2562" t="str" s="2">
        <x:v>Meta Ads - Forms</x:v>
      </x:c>
      <x:c r="G2562" t="str" s="2">
        <x:v>Kelly Ford</x:v>
      </x:c>
      <x:c r="H2562" s="6">
        <x:v>46206.02340648148</x:v>
      </x:c>
      <x:c r="I2562" s="0"/>
      <x:c r="J2562" s="0"/>
      <x:c r="K2562" s="6">
        <x:v>46260</x:v>
      </x:c>
      <x:c r="L2562" t="str" s="2">
        <x:v>Message Sent</x:v>
      </x:c>
    </x:row>
    <x:row r="2563">
      <x:c r="A2563" t="str" s="2">
        <x:f>="Michael Corron"</x:f>
      </x:c>
      <x:c r="B2563" t="str" s="2">
        <x:v>Heritage Housing of Asheboro</x:v>
      </x:c>
      <x:c r="C2563" t="str" s="2">
        <x:v/>
      </x:c>
      <x:c r="D2563" t="str" s="2">
        <x:v>5616024245</x:v>
      </x:c>
      <x:c r="E2563" t="str" s="2">
        <x:v>gatorgrind99@gmail.com</x:v>
      </x:c>
      <x:c r="F2563" t="str" s="2">
        <x:v>LandingPage</x:v>
      </x:c>
      <x:c r="G2563" t="str" s="2">
        <x:v>Maria Lopez</x:v>
      </x:c>
      <x:c r="H2563" s="6">
        <x:v>46206.026437534725</x:v>
      </x:c>
      <x:c r="I2563" s="0"/>
      <x:c r="J2563" s="0"/>
      <x:c r="K2563" s="6">
        <x:v>46256</x:v>
      </x:c>
      <x:c r="L2563" t="str" s="2">
        <x:v>Message Sent</x:v>
      </x:c>
    </x:row>
    <x:row r="2564">
      <x:c r="A2564" t="str" s="2">
        <x:f>="Jesus Alvarado"</x:f>
      </x:c>
      <x:c r="B2564" t="str" s="2">
        <x:v>Heritage Housing of Canton</x:v>
      </x:c>
      <x:c r="C2564" t="str" s="2">
        <x:v/>
      </x:c>
      <x:c r="D2564" t="str" s="2">
        <x:v>6025867119</x:v>
      </x:c>
      <x:c r="E2564" t="str" s="2">
        <x:v>alvaradojesus513@gmail.com</x:v>
      </x:c>
      <x:c r="F2564" t="str" s="2">
        <x:v>Meta Ads - Forms</x:v>
      </x:c>
      <x:c r="G2564" t="str" s="2">
        <x:v>Maira Garcia</x:v>
      </x:c>
      <x:c r="H2564" s="6">
        <x:v>46206.0347002662</x:v>
      </x:c>
      <x:c r="I2564" s="0"/>
      <x:c r="J2564" s="0"/>
      <x:c r="K2564" s="6">
        <x:v>46245</x:v>
      </x:c>
      <x:c r="L2564" t="str" s="2">
        <x:v>Message Sent</x:v>
      </x:c>
    </x:row>
    <x:row r="2565">
      <x:c r="A2565" t="str" s="2">
        <x:f>="Chante Yuban"</x:f>
      </x:c>
      <x:c r="B2565" t="str" s="2">
        <x:v>Legacy Housing Corp. DBA Americasa</x:v>
      </x:c>
      <x:c r="C2565" t="str" s="2">
        <x:v/>
      </x:c>
      <x:c r="D2565" t="str" s="2">
        <x:v>3464109966</x:v>
      </x:c>
      <x:c r="E2565" t="str" s="2">
        <x:v>chanteyuban@gmail.com</x:v>
      </x:c>
      <x:c r="F2565" t="str" s="2">
        <x:v>Meta Ads - Forms</x:v>
      </x:c>
      <x:c r="G2565" t="str" s="2">
        <x:v>Jose Parada</x:v>
      </x:c>
      <x:c r="H2565" s="6">
        <x:v>46206.036221724535</x:v>
      </x:c>
      <x:c r="I2565" s="0"/>
      <x:c r="J2565" s="0"/>
      <x:c r="K2565" s="6">
        <x:v>46232</x:v>
      </x:c>
      <x:c r="L2565" t="str" s="2">
        <x:v>Message Sent</x:v>
      </x:c>
    </x:row>
    <x:row r="2566">
      <x:c r="A2566" t="str" s="2">
        <x:f>="Vet Christopher"</x:f>
      </x:c>
      <x:c r="B2566" t="str" s="2">
        <x:v>Heritage Housing Mt Pleasant</x:v>
      </x:c>
      <x:c r="C2566" t="str" s="2">
        <x:v/>
      </x:c>
      <x:c r="D2566" t="str" s="2" xml:space="preserve">
        <x:v> 8708001097    </x:v>
      </x:c>
      <x:c r="E2566" t="str" s="2">
        <x:v>lamy22368@gmail.com</x:v>
      </x:c>
      <x:c r="F2566" t="str" s="2">
        <x:v>Meta Ads - Forms</x:v>
      </x:c>
      <x:c r="G2566" t="str" s="2">
        <x:v>Yarelis Torres</x:v>
      </x:c>
      <x:c r="H2566" s="6">
        <x:v>46206.122677858795</x:v>
      </x:c>
      <x:c r="I2566" s="0"/>
      <x:c r="J2566" s="0"/>
      <x:c r="K2566" s="6">
        <x:v>46255</x:v>
      </x:c>
      <x:c r="L2566" t="str" s="2">
        <x:v>Message Sent</x:v>
      </x:c>
    </x:row>
    <x:row r="2567">
      <x:c r="A2567" t="str" s="2">
        <x:f>="Justin Stiwinter"</x:f>
      </x:c>
      <x:c r="B2567" t="str" s="2">
        <x:v>Heritage Housing of Athens</x:v>
      </x:c>
      <x:c r="C2567" t="str" s="2">
        <x:v/>
      </x:c>
      <x:c r="D2567" t="str" s="2">
        <x:v>7624259444</x:v>
      </x:c>
      <x:c r="E2567" t="str" s="2">
        <x:v>jstiwinter27@gmail.com</x:v>
      </x:c>
      <x:c r="F2567" t="str" s="2">
        <x:v>Financing Form</x:v>
      </x:c>
      <x:c r="G2567" t="str" s="2">
        <x:v>Ethan Fossett</x:v>
      </x:c>
      <x:c r="H2567" s="6">
        <x:v>46206.12615</x:v>
      </x:c>
      <x:c r="I2567" s="0"/>
      <x:c r="J2567" s="0"/>
      <x:c r="K2567" s="6">
        <x:v>46252</x:v>
      </x:c>
      <x:c r="L2567" t="str" s="2">
        <x:v>Message Sent</x:v>
      </x:c>
    </x:row>
    <x:row r="2568">
      <x:c r="A2568" t="str" s="2">
        <x:f>=HYPERLINK("https://rsms.futurehomex.com/lead/38252", "Kenneth Rowan")</x:f>
      </x:c>
      <x:c r="B2568" t="str" s="2">
        <x:v>Heritage Housing of Oklahoma City</x:v>
      </x:c>
      <x:c r="C2568" t="str" s="2">
        <x:v/>
      </x:c>
      <x:c r="D2568" t="str" s="2">
        <x:v>9039189782</x:v>
      </x:c>
      <x:c r="E2568" t="str" s="2">
        <x:v>rowankenneth731@gmail.com</x:v>
      </x:c>
      <x:c r="F2568" t="str" s="2">
        <x:v>Meta Ads - Forms</x:v>
      </x:c>
      <x:c r="G2568" t="str" s="2">
        <x:v>Trey Rixleben</x:v>
      </x:c>
      <x:c r="H2568" s="6">
        <x:v>46206.12757561343</x:v>
      </x:c>
      <x:c r="I2568" t="str" s="2">
        <x:v>Trey Rixleben</x:v>
      </x:c>
      <x:c r="J2568" s="0"/>
      <x:c r="K2568" s="6">
        <x:v>46209</x:v>
      </x:c>
      <x:c r="L2568" t="str" s="2">
        <x:v>Message Sent</x:v>
      </x:c>
    </x:row>
    <x:row r="2569">
      <x:c r="A2569" t="str" s="2">
        <x:f>="Jason Cox"</x:f>
      </x:c>
      <x:c r="B2569" t="str" s="2">
        <x:v>Heritage Housing Mt Pleasant</x:v>
      </x:c>
      <x:c r="C2569" t="str" s="2">
        <x:v/>
      </x:c>
      <x:c r="D2569" t="str" s="2">
        <x:v>8703317937</x:v>
      </x:c>
      <x:c r="E2569" t="str" s="2">
        <x:v>jcox08499@gmail.com</x:v>
      </x:c>
      <x:c r="F2569" t="str" s="2">
        <x:v>Meta Ads - Forms</x:v>
      </x:c>
      <x:c r="G2569" t="str" s="2">
        <x:v>Yarelis Torres</x:v>
      </x:c>
      <x:c r="H2569" s="6">
        <x:v>46206.16264644676</x:v>
      </x:c>
      <x:c r="I2569" s="0"/>
      <x:c r="J2569" s="0"/>
      <x:c r="K2569" s="6">
        <x:v>46255</x:v>
      </x:c>
      <x:c r="L2569" t="str" s="2">
        <x:v>Message Sent</x:v>
      </x:c>
    </x:row>
    <x:row r="2570">
      <x:c r="A2570" t="str" s="2">
        <x:f>="Dylo Brite"</x:f>
      </x:c>
      <x:c r="B2570" t="str" s="2">
        <x:v>Heritage Housing of Asheboro</x:v>
      </x:c>
      <x:c r="C2570" t="str" s="2">
        <x:v/>
      </x:c>
      <x:c r="D2570" t="str" s="2">
        <x:v>2522410936</x:v>
      </x:c>
      <x:c r="E2570" t="str" s="2">
        <x:v>mariojones1218@icloud.com</x:v>
      </x:c>
      <x:c r="F2570" t="str" s="2">
        <x:v>Meta Ads - Forms</x:v>
      </x:c>
      <x:c r="G2570" t="str" s="2">
        <x:v>Maria Lopez</x:v>
      </x:c>
      <x:c r="H2570" s="6">
        <x:v>46206.19518113426</x:v>
      </x:c>
      <x:c r="I2570" s="0"/>
      <x:c r="J2570" s="0"/>
      <x:c r="K2570" s="6">
        <x:v>46256</x:v>
      </x:c>
      <x:c r="L2570" t="str" s="2">
        <x:v>Message Sent</x:v>
      </x:c>
    </x:row>
    <x:row r="2571">
      <x:c r="A2571" t="str" s="2">
        <x:f>="NaPorsha BEASON"</x:f>
      </x:c>
      <x:c r="B2571" t="str" s="2">
        <x:v>Heritage Housing of Greenville</x:v>
      </x:c>
      <x:c r="C2571" t="str" s="2">
        <x:v>0/1</x:v>
      </x:c>
      <x:c r="D2571" t="str" s="2">
        <x:v>2295919394</x:v>
      </x:c>
      <x:c r="E2571" t="str" s="2">
        <x:v>ladyloveporsha@yahoo.com</x:v>
      </x:c>
      <x:c r="F2571" t="str" s="2">
        <x:v>Financing Form</x:v>
      </x:c>
      <x:c r="G2571" t="str" s="2">
        <x:v>Justin Johnson</x:v>
      </x:c>
      <x:c r="H2571" s="6">
        <x:v>46206.218530590275</x:v>
      </x:c>
      <x:c r="I2571" s="0"/>
      <x:c r="J2571" s="0"/>
      <x:c r="K2571" s="6">
        <x:v>46220</x:v>
      </x:c>
      <x:c r="L2571" t="str" s="2">
        <x:v>Message Sent</x:v>
      </x:c>
    </x:row>
    <x:row r="2572">
      <x:c r="A2572" t="str" s="2">
        <x:f>="James Moss"</x:f>
      </x:c>
      <x:c r="B2572" t="str" s="2">
        <x:v>Heritage Housing of Augusta</x:v>
      </x:c>
      <x:c r="C2572" t="str" s="2">
        <x:v/>
      </x:c>
      <x:c r="D2572" t="str" s="2">
        <x:v>7064669640</x:v>
      </x:c>
      <x:c r="E2572" t="str" s="2">
        <x:v>jamaaaq975@gmail.com</x:v>
      </x:c>
      <x:c r="F2572" t="str" s="2">
        <x:v>Financing Form</x:v>
      </x:c>
      <x:c r="G2572" t="str" s="2">
        <x:v>Jose Chavez</x:v>
      </x:c>
      <x:c r="H2572" s="6">
        <x:v>46206.25578075231</x:v>
      </x:c>
      <x:c r="I2572" s="0"/>
      <x:c r="J2572" s="0"/>
      <x:c r="K2572" s="6">
        <x:v>46213</x:v>
      </x:c>
      <x:c r="L2572" t="str" s="2">
        <x:v>Message Sent</x:v>
      </x:c>
    </x:row>
    <x:row r="2573">
      <x:c r="A2573" t="str" s="2">
        <x:f>="Shirley Grant"</x:f>
      </x:c>
      <x:c r="B2573" t="str" s="2">
        <x:v>Heritage Housing of Asheboro</x:v>
      </x:c>
      <x:c r="C2573" t="str" s="2">
        <x:v/>
      </x:c>
      <x:c r="D2573" t="str" s="2">
        <x:v>8438343954</x:v>
      </x:c>
      <x:c r="E2573" t="str" s="2">
        <x:v>shirleybryant847@gmail.com</x:v>
      </x:c>
      <x:c r="F2573" t="str" s="2">
        <x:v>Meta Ads - Forms</x:v>
      </x:c>
      <x:c r="G2573" t="str" s="2">
        <x:v>Maria Lopez</x:v>
      </x:c>
      <x:c r="H2573" s="6">
        <x:v>46206.40470339121</x:v>
      </x:c>
      <x:c r="I2573" s="0"/>
      <x:c r="J2573" s="0"/>
      <x:c r="K2573" s="6">
        <x:v>46258</x:v>
      </x:c>
      <x:c r="L2573" t="str" s="2">
        <x:v>Message Sent</x:v>
      </x:c>
    </x:row>
    <x:row r="2574">
      <x:c r="A2574" t="str" s="2">
        <x:f>=HYPERLINK("https://rsms.futurehomex.com/lead/38251", "Richard Tilford")</x:f>
      </x:c>
      <x:c r="B2574" t="str" s="2">
        <x:v>Heritage Housing of Athens</x:v>
      </x:c>
      <x:c r="C2574" t="str" s="2">
        <x:v/>
      </x:c>
      <x:c r="D2574" t="str" s="2">
        <x:v>8505106584</x:v>
      </x:c>
      <x:c r="E2574" t="str" s="2">
        <x:v>tilfwear78@yahoo.com</x:v>
      </x:c>
      <x:c r="F2574" t="str" s="2">
        <x:v>Meta Ads - Messenger</x:v>
      </x:c>
      <x:c r="G2574" t="str" s="2">
        <x:v>Ethan Fossett</x:v>
      </x:c>
      <x:c r="H2574" s="6">
        <x:v>46206.61928237269</x:v>
      </x:c>
      <x:c r="I2574" t="str" s="2">
        <x:v>Nathan Bishop</x:v>
      </x:c>
      <x:c r="J2574" s="0"/>
      <x:c r="K2574" s="6">
        <x:v>46251</x:v>
      </x:c>
      <x:c r="L2574" t="str" s="2">
        <x:v>Message Sent</x:v>
      </x:c>
    </x:row>
    <x:row r="2575">
      <x:c r="A2575" t="str" s="2">
        <x:f>="Sharon Bennett"</x:f>
      </x:c>
      <x:c r="B2575" t="str" s="2">
        <x:v>Heritage Housing Gainesville</x:v>
      </x:c>
      <x:c r="C2575" t="str" s="2">
        <x:v>0/1</x:v>
      </x:c>
      <x:c r="D2575" t="str" s="2">
        <x:v>8173236416</x:v>
      </x:c>
      <x:c r="E2575" t="str" s="2">
        <x:v>bennettsharon973@gmail.com</x:v>
      </x:c>
      <x:c r="F2575" t="str" s="2">
        <x:v>Meta Ads - Forms</x:v>
      </x:c>
      <x:c r="G2575" t="str" s="2">
        <x:v>Kelly Ford</x:v>
      </x:c>
      <x:c r="H2575" s="6">
        <x:v>46206.67870940972</x:v>
      </x:c>
      <x:c r="I2575" s="0"/>
      <x:c r="J2575" s="0"/>
      <x:c r="K2575" s="6">
        <x:v>46260</x:v>
      </x:c>
      <x:c r="L2575" t="str" s="2">
        <x:v>Message Sent</x:v>
      </x:c>
    </x:row>
    <x:row r="2576">
      <x:c r="A2576" t="str" s="2">
        <x:f>=HYPERLINK("https://rsms.futurehomex.com/lead/38255", "Rodney Winkler")</x:f>
      </x:c>
      <x:c r="B2576" t="str" s="2">
        <x:v>Heritage Housing of Minden</x:v>
      </x:c>
      <x:c r="C2576" t="str" s="2">
        <x:v>0/1</x:v>
      </x:c>
      <x:c r="D2576" t="str" s="2">
        <x:v>3185177558</x:v>
      </x:c>
      <x:c r="E2576" t="str" s="2">
        <x:v>shellywinkler1971@gmail.com</x:v>
      </x:c>
      <x:c r="F2576" t="str" s="2">
        <x:v>Walk-in</x:v>
      </x:c>
      <x:c r="G2576" t="str" s="2">
        <x:v>Patrick Schuchart</x:v>
      </x:c>
      <x:c r="H2576" s="6">
        <x:v>46206.686838657406</x:v>
      </x:c>
      <x:c r="I2576" t="str" s="2">
        <x:v>Alescia Ridgdell</x:v>
      </x:c>
      <x:c r="J2576" s="0"/>
      <x:c r="K2576" s="6">
        <x:v>46214</x:v>
      </x:c>
      <x:c r="L2576" t="str" s="2">
        <x:v>Message Sent</x:v>
      </x:c>
    </x:row>
    <x:row r="2577">
      <x:c r="A2577" t="str" s="2">
        <x:f>="greg simonson"</x:f>
      </x:c>
      <x:c r="B2577" t="str" s="2">
        <x:v>Heritage Housing of Asheboro</x:v>
      </x:c>
      <x:c r="C2577" t="str" s="2">
        <x:v/>
      </x:c>
      <x:c r="D2577" t="str" s="2">
        <x:v>9198970370</x:v>
      </x:c>
      <x:c r="E2577" t="str" s="2">
        <x:v>foreveranangel2092@outlook.com</x:v>
      </x:c>
      <x:c r="F2577" t="str" s="2">
        <x:v>Website</x:v>
      </x:c>
      <x:c r="G2577" t="str" s="2">
        <x:v>Maria Lopez</x:v>
      </x:c>
      <x:c r="H2577" s="6">
        <x:v>46206.69496883102</x:v>
      </x:c>
      <x:c r="I2577" s="0"/>
      <x:c r="J2577" s="0"/>
      <x:c r="K2577" s="6">
        <x:v>46256</x:v>
      </x:c>
      <x:c r="L2577" t="str" s="2">
        <x:v>Message Sent</x:v>
      </x:c>
    </x:row>
    <x:row r="2578">
      <x:c r="A2578" t="str" s="2">
        <x:f>="Suzy Thompson"</x:f>
      </x:c>
      <x:c r="B2578" t="str" s="2">
        <x:v>Heritage Housing Marble Falls</x:v>
      </x:c>
      <x:c r="C2578" t="str" s="2">
        <x:v/>
      </x:c>
      <x:c r="D2578" t="str" s="2" xml:space="preserve">
        <x:v> 2547222419    </x:v>
      </x:c>
      <x:c r="E2578" t="str" s="2">
        <x:v>Thompsonsuzy287@gmail.com</x:v>
      </x:c>
      <x:c r="F2578" t="str" s="2">
        <x:v>Meta Ads - Forms</x:v>
      </x:c>
      <x:c r="G2578" t="str" s="2">
        <x:v>Stephen Sanders</x:v>
      </x:c>
      <x:c r="H2578" s="6">
        <x:v>46206.72457508102</x:v>
      </x:c>
      <x:c r="I2578" s="0"/>
      <x:c r="J2578" s="0"/>
      <x:c r="K2578" s="6">
        <x:v>46210</x:v>
      </x:c>
      <x:c r="L2578" t="str" s="2">
        <x:v>Message Sent</x:v>
      </x:c>
    </x:row>
    <x:row r="2579">
      <x:c r="A2579" t="str" s="2">
        <x:f>="Yecica Alberto"</x:f>
      </x:c>
      <x:c r="B2579" t="str" s="2">
        <x:v>Legacy Housing Corp. DBA Americasa</x:v>
      </x:c>
      <x:c r="C2579" t="str" s="2">
        <x:v/>
      </x:c>
      <x:c r="D2579" t="str" s="2">
        <x:v>3468102575</x:v>
      </x:c>
      <x:c r="E2579" t="str" s="2">
        <x:v>yecica.alberto19@gmail.com</x:v>
      </x:c>
      <x:c r="F2579" t="str" s="2">
        <x:v>Meta Ads - Forms</x:v>
      </x:c>
      <x:c r="G2579" t="str" s="2">
        <x:v>Jose Parada</x:v>
      </x:c>
      <x:c r="H2579" s="6">
        <x:v>46206.73300431713</x:v>
      </x:c>
      <x:c r="I2579" s="0"/>
      <x:c r="J2579" s="0"/>
      <x:c r="K2579" s="6">
        <x:v>46232</x:v>
      </x:c>
      <x:c r="L2579" t="str" s="2">
        <x:v>Message Sent</x:v>
      </x:c>
    </x:row>
    <x:row r="2580">
      <x:c r="A2580" t="str" s="2">
        <x:f>="San Juanita Castro"</x:f>
      </x:c>
      <x:c r="B2580" t="str" s="2">
        <x:v>Legacy Housing Corp. DBA Americasa</x:v>
      </x:c>
      <x:c r="C2580" t="str" s="2">
        <x:v/>
      </x:c>
      <x:c r="D2580" t="str" s="2">
        <x:v>2106298555</x:v>
      </x:c>
      <x:c r="E2580" t="str" s="2">
        <x:v>janieSJ1103@gmail.com</x:v>
      </x:c>
      <x:c r="F2580" t="str" s="2">
        <x:v>Meta Ads - Forms</x:v>
      </x:c>
      <x:c r="G2580" t="str" s="2">
        <x:v>Rodrigo Ramirez</x:v>
      </x:c>
      <x:c r="H2580" s="6">
        <x:v>46206.75108194444</x:v>
      </x:c>
      <x:c r="I2580" s="0"/>
      <x:c r="J2580" s="0"/>
      <x:c r="K2580" s="6">
        <x:v>46246</x:v>
      </x:c>
      <x:c r="L2580" t="str" s="2">
        <x:v>Message Sent</x:v>
      </x:c>
    </x:row>
    <x:row r="2581">
      <x:c r="A2581" t="str" s="2">
        <x:f>="Maryanna Burden Burden"</x:f>
      </x:c>
      <x:c r="B2581" t="str" s="2">
        <x:v>Heritage Housing of Athens</x:v>
      </x:c>
      <x:c r="C2581" t="str" s="2">
        <x:v/>
      </x:c>
      <x:c r="D2581" t="str" s="2">
        <x:v>70888928</x:v>
      </x:c>
      <x:c r="E2581" t="str" s="2">
        <x:v>mae.bee94@gmail.com</x:v>
      </x:c>
      <x:c r="F2581" t="str" s="2">
        <x:v>Financing Form</x:v>
      </x:c>
      <x:c r="G2581" t="str" s="2">
        <x:v>Ethan Fossett</x:v>
      </x:c>
      <x:c r="H2581" s="6">
        <x:v>46206.8944871875</x:v>
      </x:c>
      <x:c r="I2581" s="0"/>
      <x:c r="J2581" s="0"/>
      <x:c r="K2581" s="6">
        <x:v>46252</x:v>
      </x:c>
      <x:c r="L2581" t="str" s="2">
        <x:v>Message Sent</x:v>
      </x:c>
    </x:row>
    <x:row r="2582">
      <x:c r="A2582" t="str" s="2">
        <x:f>=HYPERLINK("https://rsms.futurehomex.com/lead/38261", "Jesus T Hernandez Infante")</x:f>
      </x:c>
      <x:c r="B2582" t="str" s="2">
        <x:v>Legacy Housing Corp. DBA Americasa</x:v>
      </x:c>
      <x:c r="C2582" t="str" s="2">
        <x:v/>
      </x:c>
      <x:c r="D2582" t="str" s="2">
        <x:v>3463456061</x:v>
      </x:c>
      <x:c r="E2582" t="str" s="2">
        <x:v>jthi1024@icloud.com</x:v>
      </x:c>
      <x:c r="F2582" t="str" s="2">
        <x:v>Walk-in</x:v>
      </x:c>
      <x:c r="G2582" t="str" s="2">
        <x:v>Rodrigo Ramirez</x:v>
      </x:c>
      <x:c r="H2582" s="6">
        <x:v>46206.89602445602</x:v>
      </x:c>
      <x:c r="I2582" t="str" s="2">
        <x:v>Jose Parada</x:v>
      </x:c>
      <x:c r="J2582" s="0"/>
      <x:c r="K2582" s="6">
        <x:v>46300</x:v>
      </x:c>
      <x:c r="L2582" t="str" s="2">
        <x:v>Message Sent</x:v>
      </x:c>
    </x:row>
    <x:row r="2583">
      <x:c r="A2583" t="str" s="2">
        <x:f>="Lindsey Shaffett"</x:f>
      </x:c>
      <x:c r="B2583" t="str" s="2">
        <x:v>Heritage Housing of Tulsa</x:v>
      </x:c>
      <x:c r="C2583" t="str" s="2">
        <x:v/>
      </x:c>
      <x:c r="D2583" t="str" s="2">
        <x:v>9184485732</x:v>
      </x:c>
      <x:c r="E2583" t="str" s="2">
        <x:v>lindseyashaffett@gmail.com</x:v>
      </x:c>
      <x:c r="F2583" t="str" s="2">
        <x:v>Financing Form</x:v>
      </x:c>
      <x:c r="G2583" t="str" s="2">
        <x:v>Jenna Fransisco</x:v>
      </x:c>
      <x:c r="H2583" s="6">
        <x:v>46206.91802554398</x:v>
      </x:c>
      <x:c r="I2583" s="0"/>
      <x:c r="J2583" s="0"/>
      <x:c r="K2583" s="6">
        <x:v>46237</x:v>
      </x:c>
      <x:c r="L2583" t="str" s="2">
        <x:v>Message Sent</x:v>
      </x:c>
    </x:row>
    <x:row r="2584">
      <x:c r="A2584" t="str" s="2">
        <x:f>=HYPERLINK("https://rsms.futurehomex.com/lead/38262", "Kim Niec")</x:f>
      </x:c>
      <x:c r="B2584" t="str" s="2">
        <x:v>Heritage Housing Mt Pleasant</x:v>
      </x:c>
      <x:c r="C2584" t="str" s="2">
        <x:v/>
      </x:c>
      <x:c r="D2584" t="str" s="2">
        <x:v>6063690407</x:v>
      </x:c>
      <x:c r="E2584" t="str" s="2">
        <x:v>6063690407</x:v>
      </x:c>
      <x:c r="F2584" t="str" s="2">
        <x:v>Walk-in</x:v>
      </x:c>
      <x:c r="G2584" t="str" s="2">
        <x:v>Yarelis Torres</x:v>
      </x:c>
      <x:c r="H2584" s="6">
        <x:v>46206.963903703705</x:v>
      </x:c>
      <x:c r="I2584" t="str" s="2">
        <x:v>Yarelis Torres</x:v>
      </x:c>
      <x:c r="J2584" s="0"/>
      <x:c r="K2584" s="6">
        <x:v>46248</x:v>
      </x:c>
      <x:c r="L2584" t="str" s="2">
        <x:v>Message Sent</x:v>
      </x:c>
    </x:row>
    <x:row r="2585">
      <x:c r="A2585" t="str" s="2">
        <x:f>="Monica Castrejon"</x:f>
      </x:c>
      <x:c r="B2585" t="str" s="2">
        <x:v>Heritage Housing of Canton</x:v>
      </x:c>
      <x:c r="C2585" t="str" s="2">
        <x:v/>
      </x:c>
      <x:c r="D2585" t="str" s="2">
        <x:v>8312989875</x:v>
      </x:c>
      <x:c r="E2585" t="str" s="2">
        <x:v>85allruiz7@gmail.com</x:v>
      </x:c>
      <x:c r="F2585" t="str" s="2">
        <x:v>Meta Ads - Forms</x:v>
      </x:c>
      <x:c r="G2585" t="str" s="2">
        <x:v>Jacob Hatten</x:v>
      </x:c>
      <x:c r="H2585" s="6">
        <x:v>46207.021443784724</x:v>
      </x:c>
      <x:c r="I2585" s="0"/>
      <x:c r="J2585" s="0"/>
      <x:c r="K2585" s="6">
        <x:v>46228</x:v>
      </x:c>
      <x:c r="L2585" t="str" s="2">
        <x:v>Message Sent</x:v>
      </x:c>
    </x:row>
    <x:row r="2586">
      <x:c r="A2586" t="str" s="2">
        <x:f>="Evelyn Patterson"</x:f>
      </x:c>
      <x:c r="B2586" t="str" s="2">
        <x:v>Heritage Housing Mt Pleasant</x:v>
      </x:c>
      <x:c r="C2586" t="str" s="2">
        <x:v/>
      </x:c>
      <x:c r="D2586" t="str" s="2">
        <x:v>3187162595</x:v>
      </x:c>
      <x:c r="E2586" t="str" s="2">
        <x:v>evelynpatterson12152@gmail.com</x:v>
      </x:c>
      <x:c r="F2586" t="str" s="2">
        <x:v>Meta Ads - Forms</x:v>
      </x:c>
      <x:c r="G2586" t="str" s="2">
        <x:v>Yarelis Torres</x:v>
      </x:c>
      <x:c r="H2586" s="6">
        <x:v>46207.03781484954</x:v>
      </x:c>
      <x:c r="I2586" s="0"/>
      <x:c r="J2586" s="0"/>
      <x:c r="K2586" s="6">
        <x:v>46255</x:v>
      </x:c>
      <x:c r="L2586" t="str" s="2">
        <x:v>Message Sent</x:v>
      </x:c>
    </x:row>
    <x:row r="2587">
      <x:c r="A2587" t="str" s="2">
        <x:f>="12.23 Davis"</x:f>
      </x:c>
      <x:c r="B2587" t="str" s="2">
        <x:v>Heritage Housing Mt Pleasant</x:v>
      </x:c>
      <x:c r="C2587" t="str" s="2">
        <x:v/>
      </x:c>
      <x:c r="D2587" t="str" s="2">
        <x:v>6822614099</x:v>
      </x:c>
      <x:c r="E2587" t="str" s="2">
        <x:v>nevaeh.d1223@icloud.com</x:v>
      </x:c>
      <x:c r="F2587" t="str" s="2">
        <x:v>Meta Ads - Forms</x:v>
      </x:c>
      <x:c r="G2587" t="str" s="2">
        <x:v>Yarelis Torres</x:v>
      </x:c>
      <x:c r="H2587" s="6">
        <x:v>46207.063487465275</x:v>
      </x:c>
      <x:c r="I2587" s="0"/>
      <x:c r="J2587" s="0"/>
      <x:c r="K2587" s="6">
        <x:v>46248</x:v>
      </x:c>
      <x:c r="L2587" t="str" s="2">
        <x:v>Message Sent</x:v>
      </x:c>
    </x:row>
    <x:row r="2588">
      <x:c r="A2588" t="str" s="2">
        <x:f>="Shay Johnson"</x:f>
      </x:c>
      <x:c r="B2588" t="str" s="2">
        <x:v>Heritage Housing of Asheboro</x:v>
      </x:c>
      <x:c r="C2588" t="str" s="2">
        <x:v/>
      </x:c>
      <x:c r="D2588" t="str" s="2">
        <x:v>3365241831</x:v>
      </x:c>
      <x:c r="E2588" t="str" s="2">
        <x:v>shaydaqt@yahoo.com</x:v>
      </x:c>
      <x:c r="F2588" t="str" s="2">
        <x:v>Meta Ads - Forms</x:v>
      </x:c>
      <x:c r="G2588" t="str" s="2">
        <x:v>Maria Lopez</x:v>
      </x:c>
      <x:c r="H2588" s="6">
        <x:v>46207.10818966435</x:v>
      </x:c>
      <x:c r="I2588" s="0"/>
      <x:c r="J2588" s="0"/>
      <x:c r="K2588" s="6">
        <x:v>46256</x:v>
      </x:c>
      <x:c r="L2588" t="str" s="2">
        <x:v>Message Sent</x:v>
      </x:c>
    </x:row>
    <x:row r="2589">
      <x:c r="A2589" t="str" s="2">
        <x:f>="valerie Brooks"</x:f>
      </x:c>
      <x:c r="B2589" t="str" s="2">
        <x:v>Heritage Housing of Athens</x:v>
      </x:c>
      <x:c r="C2589" t="str" s="2">
        <x:v>0/1</x:v>
      </x:c>
      <x:c r="D2589" t="str" s="2">
        <x:v>7069844193</x:v>
      </x:c>
      <x:c r="E2589" t="str" s="2">
        <x:v>valeriebrooks57@yahoo.com</x:v>
      </x:c>
      <x:c r="F2589" t="str" s="2">
        <x:v>Meta Ads - Forms</x:v>
      </x:c>
      <x:c r="G2589" t="str" s="2">
        <x:v>Ethan Fossett</x:v>
      </x:c>
      <x:c r="H2589" s="6">
        <x:v>46207.14498040509</x:v>
      </x:c>
      <x:c r="I2589" s="0"/>
      <x:c r="J2589" s="0"/>
      <x:c r="K2589" s="6">
        <x:v>46279</x:v>
      </x:c>
      <x:c r="L2589" t="str" s="2">
        <x:v>Message Sent</x:v>
      </x:c>
    </x:row>
    <x:row r="2590">
      <x:c r="A2590" t="str" s="2">
        <x:f>="Kelly Lazo"</x:f>
      </x:c>
      <x:c r="B2590" t="str" s="2">
        <x:v>Legacy Housing Corp. DBA Americasa</x:v>
      </x:c>
      <x:c r="C2590" t="str" s="2">
        <x:v/>
      </x:c>
      <x:c r="D2590" t="str" s="2">
        <x:v>8573465117</x:v>
      </x:c>
      <x:c r="E2590" t="str" s="2">
        <x:v>steven.nelson199615@gmail.com</x:v>
      </x:c>
      <x:c r="F2590" t="str" s="2">
        <x:v>Meta Ads - Forms</x:v>
      </x:c>
      <x:c r="G2590" t="str" s="2">
        <x:v>Jose Parada</x:v>
      </x:c>
      <x:c r="H2590" s="6">
        <x:v>46207.196211145834</x:v>
      </x:c>
      <x:c r="I2590" s="0"/>
      <x:c r="J2590" s="0"/>
      <x:c r="K2590" s="6">
        <x:v>46232</x:v>
      </x:c>
      <x:c r="L2590" t="str" s="2">
        <x:v>Message Sent</x:v>
      </x:c>
    </x:row>
    <x:row r="2591">
      <x:c r="A2591" t="str" s="2">
        <x:f>="Brian Highsmith"</x:f>
      </x:c>
      <x:c r="B2591" t="str" s="2">
        <x:v>Heritage Housing of Oklahoma City</x:v>
      </x:c>
      <x:c r="C2591" t="str" s="2">
        <x:v>0/1</x:v>
      </x:c>
      <x:c r="D2591" t="str" s="2">
        <x:v>4052551975</x:v>
      </x:c>
      <x:c r="E2591" t="str" s="2">
        <x:v>brianhighsmith59@gmail.com</x:v>
      </x:c>
      <x:c r="F2591" t="str" s="2">
        <x:v>Meta Ads - Forms</x:v>
      </x:c>
      <x:c r="G2591" t="str" s="2">
        <x:v>Steve Castell</x:v>
      </x:c>
      <x:c r="H2591" s="6">
        <x:v>46207.23039822916</x:v>
      </x:c>
      <x:c r="I2591" s="0"/>
      <x:c r="J2591" s="0"/>
      <x:c r="K2591" s="6">
        <x:v>46212</x:v>
      </x:c>
      <x:c r="L2591" t="str" s="2">
        <x:v>Message Sent</x:v>
      </x:c>
    </x:row>
    <x:row r="2592">
      <x:c r="A2592" t="str" s="2">
        <x:f>="Ricky Cheatwood"</x:f>
      </x:c>
      <x:c r="B2592" t="str" s="2">
        <x:v>Heritage Housing of Greenville</x:v>
      </x:c>
      <x:c r="C2592" t="str" s="2">
        <x:v>0/1</x:v>
      </x:c>
      <x:c r="D2592" t="str" s="2">
        <x:v>9036474093</x:v>
      </x:c>
      <x:c r="E2592" t="str" s="2">
        <x:v>rcheatwood@yahoo.com</x:v>
      </x:c>
      <x:c r="F2592" t="str" s="2">
        <x:v>Meta Ads - Forms</x:v>
      </x:c>
      <x:c r="G2592" t="str" s="2">
        <x:v>Greg Christman</x:v>
      </x:c>
      <x:c r="H2592" s="6">
        <x:v>46207.270557407406</x:v>
      </x:c>
      <x:c r="I2592" s="0"/>
      <x:c r="J2592" s="0"/>
      <x:c r="K2592" s="6">
        <x:v>46221</x:v>
      </x:c>
      <x:c r="L2592" t="str" s="2">
        <x:v>Message Sent</x:v>
      </x:c>
    </x:row>
    <x:row r="2593">
      <x:c r="A2593" t="str" s="2">
        <x:f>="Shelvy McDonald"</x:f>
      </x:c>
      <x:c r="B2593" t="str" s="2">
        <x:v>Heritage Housing of Asheboro</x:v>
      </x:c>
      <x:c r="C2593" t="str" s="2">
        <x:v/>
      </x:c>
      <x:c r="D2593" t="str" s="2">
        <x:v>3045528845</x:v>
      </x:c>
      <x:c r="E2593" t="str" s="2">
        <x:v>shelvie2665@netzero.net</x:v>
      </x:c>
      <x:c r="F2593" t="str" s="2">
        <x:v>Website</x:v>
      </x:c>
      <x:c r="G2593" t="str" s="2">
        <x:v>Maria Lopez</x:v>
      </x:c>
      <x:c r="H2593" s="6">
        <x:v>46207.55329247685</x:v>
      </x:c>
      <x:c r="I2593" s="0"/>
      <x:c r="J2593" s="0"/>
      <x:c r="K2593" s="6">
        <x:v>46256</x:v>
      </x:c>
      <x:c r="L2593" t="str" s="2">
        <x:v>Message Sent</x:v>
      </x:c>
    </x:row>
    <x:row r="2594">
      <x:c r="A2594" t="str" s="2">
        <x:f>=HYPERLINK("https://rsms.futurehomex.com/lead/38345", "Abigail Harrod")</x:f>
      </x:c>
      <x:c r="B2594" t="str" s="2">
        <x:v>Heritage Housing of Oklahoma City</x:v>
      </x:c>
      <x:c r="C2594" t="str" s="2">
        <x:v>0/1</x:v>
      </x:c>
      <x:c r="D2594" t="str" s="2">
        <x:v>5804187787</x:v>
      </x:c>
      <x:c r="E2594" t="str" s="2">
        <x:v>abbyjharrod@gmail.com</x:v>
      </x:c>
      <x:c r="F2594" t="str" s="2">
        <x:v>Website</x:v>
      </x:c>
      <x:c r="G2594" t="str" s="2">
        <x:v>Trey Rixleben</x:v>
      </x:c>
      <x:c r="H2594" s="6">
        <x:v>46207.57713680556</x:v>
      </x:c>
      <x:c r="I2594" t="str" s="2">
        <x:v>Trey Rixleben</x:v>
      </x:c>
      <x:c r="J2594" s="0"/>
      <x:c r="K2594" s="6">
        <x:v>46209.58870940972</x:v>
      </x:c>
      <x:c r="L2594" t="str" s="2">
        <x:v>Message Sent</x:v>
      </x:c>
    </x:row>
    <x:row r="2595">
      <x:c r="A2595" t="str" s="2">
        <x:f>="Kimberly Butler Harris"</x:f>
      </x:c>
      <x:c r="B2595" t="str" s="2">
        <x:v>Heritage Housing of Canton</x:v>
      </x:c>
      <x:c r="C2595" t="str" s="2">
        <x:v/>
      </x:c>
      <x:c r="D2595" t="str" s="2">
        <x:v>4696607568</x:v>
      </x:c>
      <x:c r="E2595" t="str" s="2">
        <x:v>butlerkimberly908@gmail.com</x:v>
      </x:c>
      <x:c r="F2595" t="str" s="2">
        <x:v>Meta Ads - Forms</x:v>
      </x:c>
      <x:c r="G2595" t="str" s="2">
        <x:v>Jacob Hatten</x:v>
      </x:c>
      <x:c r="H2595" s="6">
        <x:v>46207.583751273145</x:v>
      </x:c>
      <x:c r="I2595" s="0"/>
      <x:c r="J2595" s="0"/>
      <x:c r="K2595" s="6">
        <x:v>46228</x:v>
      </x:c>
      <x:c r="L2595" t="str" s="2">
        <x:v>Message Sent</x:v>
      </x:c>
    </x:row>
    <x:row r="2596">
      <x:c r="A2596" t="str" s="2">
        <x:f>="Darlena Kerns"</x:f>
      </x:c>
      <x:c r="B2596" t="str" s="2">
        <x:v>Heritage Housing of Asheboro</x:v>
      </x:c>
      <x:c r="C2596" t="str" s="2">
        <x:v/>
      </x:c>
      <x:c r="D2596" t="str" s="2">
        <x:v>2522682227</x:v>
      </x:c>
      <x:c r="E2596" t="str" s="2">
        <x:v>kernsdarlena53@gmail.com</x:v>
      </x:c>
      <x:c r="F2596" t="str" s="2">
        <x:v>Meta Ads - Forms</x:v>
      </x:c>
      <x:c r="G2596" t="str" s="2">
        <x:v>Maria Lopez</x:v>
      </x:c>
      <x:c r="H2596" s="6">
        <x:v>46207.64280219907</x:v>
      </x:c>
      <x:c r="I2596" s="0"/>
      <x:c r="J2596" s="0"/>
      <x:c r="K2596" s="6">
        <x:v>46256</x:v>
      </x:c>
      <x:c r="L2596" t="str" s="2">
        <x:v>Message Sent</x:v>
      </x:c>
    </x:row>
    <x:row r="2597">
      <x:c r="A2597" t="str" s="2">
        <x:f>="Kimberly Horstmeyer"</x:f>
      </x:c>
      <x:c r="B2597" t="str" s="2">
        <x:v>Heritage Housing of Tulsa</x:v>
      </x:c>
      <x:c r="C2597" t="str" s="2">
        <x:v/>
      </x:c>
      <x:c r="D2597" t="str" s="2">
        <x:v>8064407065</x:v>
      </x:c>
      <x:c r="E2597" t="str" s="2">
        <x:v>horstmeyerkimmy@gmail.com</x:v>
      </x:c>
      <x:c r="F2597" t="str" s="2">
        <x:v>LandingPage</x:v>
      </x:c>
      <x:c r="G2597" t="str" s="2">
        <x:v>Jenna Fransisco</x:v>
      </x:c>
      <x:c r="H2597" s="6">
        <x:v>46207.78580119213</x:v>
      </x:c>
      <x:c r="I2597" s="0"/>
      <x:c r="J2597" s="0"/>
      <x:c r="K2597" s="6">
        <x:v>46251</x:v>
      </x:c>
      <x:c r="L2597" t="str" s="2">
        <x:v>Message Sent</x:v>
      </x:c>
    </x:row>
    <x:row r="2598">
      <x:c r="A2598" t="str" s="2">
        <x:f>=HYPERLINK("https://rsms.futurehomex.com/lead/38554", "sunni Mcleod")</x:f>
      </x:c>
      <x:c r="B2598" t="str" s="2">
        <x:v>Heritage Housing of Albany</x:v>
      </x:c>
      <x:c r="C2598" t="str" s="2">
        <x:v>0/2</x:v>
      </x:c>
      <x:c r="D2598" t="str" s="2">
        <x:v>4786624624</x:v>
      </x:c>
      <x:c r="E2598" t="str" s="2">
        <x:v>sunnikasonspics@gmail.com</x:v>
      </x:c>
      <x:c r="F2598" t="str" s="2">
        <x:v>Meta Ads - Forms</x:v>
      </x:c>
      <x:c r="G2598" t="str" s="2">
        <x:v>Yanet Alvarez</x:v>
      </x:c>
      <x:c r="H2598" s="6">
        <x:v>46207.78873530093</x:v>
      </x:c>
      <x:c r="I2598" t="str" s="2">
        <x:v>Justin Johnson</x:v>
      </x:c>
      <x:c r="J2598" s="0"/>
      <x:c r="K2598" s="6">
        <x:v>46295</x:v>
      </x:c>
      <x:c r="L2598" t="str" s="2">
        <x:v>Message Sent</x:v>
      </x:c>
    </x:row>
    <x:row r="2599">
      <x:c r="A2599" t="str" s="2">
        <x:f>="Kristal Wilks"</x:f>
      </x:c>
      <x:c r="B2599" t="str" s="2">
        <x:v>Heritage Housing Gainesville</x:v>
      </x:c>
      <x:c r="C2599" t="str" s="2">
        <x:v/>
      </x:c>
      <x:c r="D2599" t="str" s="2">
        <x:v>9037183237</x:v>
      </x:c>
      <x:c r="E2599" t="str" s="2">
        <x:v>kijay88@hotmail.com</x:v>
      </x:c>
      <x:c r="F2599" t="str" s="2">
        <x:v>Meta Ads - Forms</x:v>
      </x:c>
      <x:c r="G2599" t="str" s="2">
        <x:v>Kelly Ford</x:v>
      </x:c>
      <x:c r="H2599" s="6">
        <x:v>46207.79621883102</x:v>
      </x:c>
      <x:c r="I2599" s="0"/>
      <x:c r="J2599" s="0"/>
      <x:c r="K2599" s="6">
        <x:v>46260</x:v>
      </x:c>
      <x:c r="L2599" t="str" s="2">
        <x:v>Message Sent</x:v>
      </x:c>
    </x:row>
    <x:row r="2600">
      <x:c r="A2600" t="str" s="2">
        <x:f>="Mark Rodriguez"</x:f>
      </x:c>
      <x:c r="B2600" t="str" s="2">
        <x:v>Heritage Housing of Tulsa</x:v>
      </x:c>
      <x:c r="C2600" t="str" s="2">
        <x:v/>
      </x:c>
      <x:c r="D2600" t="str" s="2">
        <x:v>9187189045</x:v>
      </x:c>
      <x:c r="E2600" t="str" s="2">
        <x:v>Markrodriguez45@icloud.com</x:v>
      </x:c>
      <x:c r="F2600" t="str" s="2">
        <x:v>Meta Ads - Forms</x:v>
      </x:c>
      <x:c r="G2600" t="str" s="2">
        <x:v>Jenna Fransisco</x:v>
      </x:c>
      <x:c r="H2600" s="6">
        <x:v>46207.8755744213</x:v>
      </x:c>
      <x:c r="I2600" s="0"/>
      <x:c r="J2600" s="0"/>
      <x:c r="K2600" s="6">
        <x:v>46251</x:v>
      </x:c>
      <x:c r="L2600" t="str" s="2">
        <x:v>Message Sent</x:v>
      </x:c>
    </x:row>
    <x:row r="2601">
      <x:c r="A2601" t="str" s="2">
        <x:f>="Crystal wingate"</x:f>
      </x:c>
      <x:c r="B2601" t="str" s="2">
        <x:v>Heritage Housing of Augusta</x:v>
      </x:c>
      <x:c r="C2601" t="str" s="2">
        <x:v>0/1</x:v>
      </x:c>
      <x:c r="D2601" t="str" s="2">
        <x:v>7068046704</x:v>
      </x:c>
      <x:c r="E2601" t="str" s="2">
        <x:v>makendoeh@gmail.com</x:v>
      </x:c>
      <x:c r="F2601" t="str" s="2">
        <x:v>Meta Ads - Forms</x:v>
      </x:c>
      <x:c r="G2601" t="str" s="2">
        <x:v>Jose Chavez</x:v>
      </x:c>
      <x:c r="H2601" s="6">
        <x:v>46207.91197418982</x:v>
      </x:c>
      <x:c r="I2601" s="0"/>
      <x:c r="J2601" s="0"/>
      <x:c r="K2601" s="6">
        <x:v>46277.605916898145</x:v>
      </x:c>
      <x:c r="L2601" t="str" s="2">
        <x:v>Message Sent</x:v>
      </x:c>
    </x:row>
    <x:row r="2602">
      <x:c r="A2602" t="str" s="2">
        <x:f>="Willie Fuller"</x:f>
      </x:c>
      <x:c r="B2602" t="str" s="2">
        <x:v>Heritage Housing of Asheboro</x:v>
      </x:c>
      <x:c r="C2602" t="str" s="2">
        <x:v/>
      </x:c>
      <x:c r="D2602" t="str" s="2">
        <x:v>9196827161</x:v>
      </x:c>
      <x:c r="E2602" t="str" s="2">
        <x:v>willfuller59@gmail.com</x:v>
      </x:c>
      <x:c r="F2602" t="str" s="2">
        <x:v>Meta Ads - Forms</x:v>
      </x:c>
      <x:c r="G2602" t="str" s="2">
        <x:v>Maria Lopez</x:v>
      </x:c>
      <x:c r="H2602" s="6">
        <x:v>46208.01977665509</x:v>
      </x:c>
      <x:c r="I2602" s="0"/>
      <x:c r="J2602" s="0"/>
      <x:c r="K2602" s="6">
        <x:v>46256</x:v>
      </x:c>
      <x:c r="L2602" t="str" s="2">
        <x:v>Message Sent</x:v>
      </x:c>
    </x:row>
    <x:row r="2603">
      <x:c r="A2603" t="str" s="2">
        <x:f>="rodolfo Aliva"</x:f>
      </x:c>
      <x:c r="B2603" t="str" s="2">
        <x:v>Heritage Housing of Canton</x:v>
      </x:c>
      <x:c r="C2603" t="str" s="2">
        <x:v/>
      </x:c>
      <x:c r="D2603" t="str" s="2">
        <x:v>6824719595</x:v>
      </x:c>
      <x:c r="E2603" t="str" s="2">
        <x:v>rodolfoavila.a83@gmail.com</x:v>
      </x:c>
      <x:c r="F2603" t="str" s="2">
        <x:v>Meta Ads - Forms</x:v>
      </x:c>
      <x:c r="G2603" t="str" s="2">
        <x:v>Jacob Hatten</x:v>
      </x:c>
      <x:c r="H2603" s="6">
        <x:v>46208.03756982639</x:v>
      </x:c>
      <x:c r="I2603" s="0"/>
      <x:c r="J2603" s="0"/>
      <x:c r="K2603" s="6">
        <x:v>46228</x:v>
      </x:c>
      <x:c r="L2603" t="str" s="2">
        <x:v>Message Sent</x:v>
      </x:c>
    </x:row>
    <x:row r="2604">
      <x:c r="A2604" t="str" s="2">
        <x:f>="Dorothy Hunter"</x:f>
      </x:c>
      <x:c r="B2604" t="str" s="2">
        <x:v>Heritage Housing of Greenville</x:v>
      </x:c>
      <x:c r="C2604" t="str" s="2">
        <x:v>0/1</x:v>
      </x:c>
      <x:c r="D2604" t="str" s="2">
        <x:v>2695692779</x:v>
      </x:c>
      <x:c r="E2604" t="str" s="2">
        <x:v>Dothunter68@yahoo.com</x:v>
      </x:c>
      <x:c r="F2604" t="str" s="2">
        <x:v>Meta Ads - Forms</x:v>
      </x:c>
      <x:c r="G2604" t="str" s="2">
        <x:v>Greg Christman</x:v>
      </x:c>
      <x:c r="H2604" s="6">
        <x:v>46208.05445185185</x:v>
      </x:c>
      <x:c r="I2604" s="0"/>
      <x:c r="J2604" s="0"/>
      <x:c r="K2604" s="6">
        <x:v>46221</x:v>
      </x:c>
      <x:c r="L2604" t="str" s="2">
        <x:v>Message Sent</x:v>
      </x:c>
    </x:row>
    <x:row r="2605">
      <x:c r="A2605" t="str" s="2">
        <x:f>=HYPERLINK("https://rsms.futurehomex.com/lead/38263", "Nancy Herring")</x:f>
      </x:c>
      <x:c r="B2605" t="str" s="2">
        <x:v>Heritage Housing of Augusta</x:v>
      </x:c>
      <x:c r="C2605" t="str" s="2">
        <x:v/>
      </x:c>
      <x:c r="D2605" t="str" s="2">
        <x:v>9513480058</x:v>
      </x:c>
      <x:c r="E2605" t="str" s="2">
        <x:v>nancy.herring@icloud.com</x:v>
      </x:c>
      <x:c r="F2605" t="str" s="2">
        <x:v>Website</x:v>
      </x:c>
      <x:c r="G2605" t="str" s="2">
        <x:v>Jose Chavez</x:v>
      </x:c>
      <x:c r="H2605" s="6">
        <x:v>46208.10440621528</x:v>
      </x:c>
      <x:c r="I2605" t="str" s="2">
        <x:v>Brian Amato</x:v>
      </x:c>
      <x:c r="J2605" s="0"/>
      <x:c r="K2605" s="6">
        <x:v>46273</x:v>
      </x:c>
      <x:c r="L2605" t="str" s="2">
        <x:v>Message Sent</x:v>
      </x:c>
    </x:row>
    <x:row r="2606">
      <x:c r="A2606" t="str" s="2">
        <x:f>="Jonathan Corbett"</x:f>
      </x:c>
      <x:c r="B2606" t="str" s="2">
        <x:v>Heritage Housing of Oklahoma City</x:v>
      </x:c>
      <x:c r="C2606" t="str" s="2">
        <x:v/>
      </x:c>
      <x:c r="D2606" t="str" s="2">
        <x:v>9185710063</x:v>
      </x:c>
      <x:c r="E2606" t="str" s="2">
        <x:v>Jonathancorbett33@gmail.com</x:v>
      </x:c>
      <x:c r="F2606" t="str" s="2">
        <x:v>Meta Ads - Forms</x:v>
      </x:c>
      <x:c r="G2606" t="str" s="2">
        <x:v>Steve Castell</x:v>
      </x:c>
      <x:c r="H2606" s="6">
        <x:v>46208.24125917824</x:v>
      </x:c>
      <x:c r="I2606" s="0"/>
      <x:c r="J2606" s="0"/>
      <x:c r="K2606" s="6">
        <x:v>46212</x:v>
      </x:c>
      <x:c r="L2606" t="str" s="2">
        <x:v>Message Sent</x:v>
      </x:c>
    </x:row>
    <x:row r="2607">
      <x:c r="A2607" t="str" s="2">
        <x:f>=HYPERLINK("https://rsms.futurehomex.com/lead/38343", "Christina Shilling")</x:f>
      </x:c>
      <x:c r="B2607" t="str" s="2">
        <x:v>Heritage Housing of Oklahoma City</x:v>
      </x:c>
      <x:c r="C2607" t="str" s="2">
        <x:v>0/1</x:v>
      </x:c>
      <x:c r="D2607" t="str" s="2">
        <x:v>3162108442</x:v>
      </x:c>
      <x:c r="E2607" t="str" s="2">
        <x:v>christinaschilling59@gmail.com</x:v>
      </x:c>
      <x:c r="F2607" t="str" s="2">
        <x:v>Meta Ads - Forms</x:v>
      </x:c>
      <x:c r="G2607" t="str" s="2">
        <x:v>Trey Rixleben</x:v>
      </x:c>
      <x:c r="H2607" s="6">
        <x:v>46208.241933530095</x:v>
      </x:c>
      <x:c r="I2607" t="str" s="2">
        <x:v>Trey Rixleben</x:v>
      </x:c>
      <x:c r="J2607" s="0"/>
      <x:c r="K2607" s="6">
        <x:v>46211</x:v>
      </x:c>
      <x:c r="L2607" t="str" s="2">
        <x:v>Message Sent</x:v>
      </x:c>
    </x:row>
    <x:row r="2608">
      <x:c r="A2608" t="str" s="2">
        <x:f>="Cheyanne Shaw"</x:f>
      </x:c>
      <x:c r="B2608" t="str" s="2">
        <x:v>Heritage Housing of Asheboro</x:v>
      </x:c>
      <x:c r="C2608" t="str" s="2">
        <x:v>0/1</x:v>
      </x:c>
      <x:c r="D2608" t="str" s="2">
        <x:v>3366533913</x:v>
      </x:c>
      <x:c r="E2608" t="str" s="2">
        <x:v>ctaylor0304@icloud.com</x:v>
      </x:c>
      <x:c r="F2608" t="str" s="2">
        <x:v>Google Ads</x:v>
      </x:c>
      <x:c r="G2608" t="str" s="2">
        <x:v>Maria Lopez</x:v>
      </x:c>
      <x:c r="H2608" s="6">
        <x:v>46208.41511111111</x:v>
      </x:c>
      <x:c r="I2608" s="0"/>
      <x:c r="J2608" s="0"/>
      <x:c r="K2608" s="6">
        <x:v>46258</x:v>
      </x:c>
      <x:c r="L2608" t="str" s="2">
        <x:v>Message Sent</x:v>
      </x:c>
    </x:row>
    <x:row r="2609">
      <x:c r="A2609" t="str" s="2">
        <x:f>="Donna Greeson"</x:f>
      </x:c>
      <x:c r="B2609" t="str" s="2">
        <x:v>Heritage Housing of Asheboro</x:v>
      </x:c>
      <x:c r="C2609" t="str" s="2">
        <x:v/>
      </x:c>
      <x:c r="D2609" t="str" s="2">
        <x:v>3365245706</x:v>
      </x:c>
      <x:c r="E2609" t="str" s="2">
        <x:v>greesondonna9@gmail.com</x:v>
      </x:c>
      <x:c r="F2609" t="str" s="2">
        <x:v>Meta Ads - Forms</x:v>
      </x:c>
      <x:c r="G2609" t="str" s="2">
        <x:v>Maria Lopez</x:v>
      </x:c>
      <x:c r="H2609" s="6">
        <x:v>46208.425901041664</x:v>
      </x:c>
      <x:c r="I2609" s="0"/>
      <x:c r="J2609" s="0"/>
      <x:c r="K2609" s="6">
        <x:v>46256</x:v>
      </x:c>
      <x:c r="L2609" t="str" s="2">
        <x:v>Message Sent</x:v>
      </x:c>
    </x:row>
    <x:row r="2610">
      <x:c r="A2610" t="str" s="2">
        <x:f>="lisa Williams"</x:f>
      </x:c>
      <x:c r="B2610" t="str" s="2">
        <x:v>Heritage Housing of Asheboro</x:v>
      </x:c>
      <x:c r="C2610" t="str" s="2">
        <x:v/>
      </x:c>
      <x:c r="D2610" t="str" s="2">
        <x:v>3364539575</x:v>
      </x:c>
      <x:c r="E2610" t="str" s="2">
        <x:v>lisaatkins03@yahoo.com</x:v>
      </x:c>
      <x:c r="F2610" t="str" s="2">
        <x:v>Meta Ads - Forms</x:v>
      </x:c>
      <x:c r="G2610" t="str" s="2">
        <x:v>Maria Lopez</x:v>
      </x:c>
      <x:c r="H2610" s="6">
        <x:v>46208.517024849534</x:v>
      </x:c>
      <x:c r="I2610" s="0"/>
      <x:c r="J2610" s="0"/>
      <x:c r="K2610" s="6">
        <x:v>46256</x:v>
      </x:c>
      <x:c r="L2610" t="str" s="2">
        <x:v>Message Sent</x:v>
      </x:c>
    </x:row>
    <x:row r="2611">
      <x:c r="A2611" t="str" s="2">
        <x:f>="Luz Villegas"</x:f>
      </x:c>
      <x:c r="B2611" t="str" s="2">
        <x:v>Legacy Housing Corp. DBA Americasa</x:v>
      </x:c>
      <x:c r="C2611" t="str" s="2">
        <x:v/>
      </x:c>
      <x:c r="D2611" t="str" s="2">
        <x:v>8329670878</x:v>
      </x:c>
      <x:c r="E2611" t="str" s="2">
        <x:v>luzvillegasggarcia@gmail.com</x:v>
      </x:c>
      <x:c r="F2611" t="str" s="2">
        <x:v>Meta Ads - Forms</x:v>
      </x:c>
      <x:c r="G2611" t="str" s="2">
        <x:v>Jose Parada</x:v>
      </x:c>
      <x:c r="H2611" s="6">
        <x:v>46208.561977777776</x:v>
      </x:c>
      <x:c r="I2611" s="0"/>
      <x:c r="J2611" s="0"/>
      <x:c r="K2611" s="6">
        <x:v>46232</x:v>
      </x:c>
      <x:c r="L2611" t="str" s="2">
        <x:v>Message Sent</x:v>
      </x:c>
    </x:row>
    <x:row r="2612">
      <x:c r="A2612" t="str" s="2">
        <x:f>="Julie Portillo"</x:f>
      </x:c>
      <x:c r="B2612" t="str" s="2">
        <x:v>Legacy Housing Corp. DBA Americasa</x:v>
      </x:c>
      <x:c r="C2612" t="str" s="2">
        <x:v/>
      </x:c>
      <x:c r="D2612" t="str" s="2">
        <x:v>8328720621</x:v>
      </x:c>
      <x:c r="E2612" t="str" s="2">
        <x:v>mia_angelirdz@yahoo.com</x:v>
      </x:c>
      <x:c r="F2612" t="str" s="2">
        <x:v>Meta Ads - Forms</x:v>
      </x:c>
      <x:c r="G2612" t="str" s="2">
        <x:v>Rodrigo Ramirez</x:v>
      </x:c>
      <x:c r="H2612" s="6">
        <x:v>46208.637854085646</x:v>
      </x:c>
      <x:c r="I2612" s="0"/>
      <x:c r="J2612" s="0"/>
      <x:c r="K2612" s="6">
        <x:v>46246</x:v>
      </x:c>
      <x:c r="L2612" t="str" s="2">
        <x:v>Message Sent</x:v>
      </x:c>
    </x:row>
    <x:row r="2613">
      <x:c r="A2613" t="str" s="2">
        <x:f>=HYPERLINK("https://rsms.futurehomex.com/lead/38793", "Phoebe Moore")</x:f>
      </x:c>
      <x:c r="B2613" t="str" s="2">
        <x:v>Heritage Housing of Tulsa</x:v>
      </x:c>
      <x:c r="C2613" t="str" s="2">
        <x:v/>
      </x:c>
      <x:c r="D2613" t="str" s="2">
        <x:v>5412279151</x:v>
      </x:c>
      <x:c r="E2613" t="str" s="2">
        <x:v>phoebe.moore1992@gmail.com</x:v>
      </x:c>
      <x:c r="F2613" t="str" s="2">
        <x:v>LandingPage</x:v>
      </x:c>
      <x:c r="G2613" t="str" s="2">
        <x:v>Jenna Fransisco</x:v>
      </x:c>
      <x:c r="H2613" s="6">
        <x:v>46208.67286119213</x:v>
      </x:c>
      <x:c r="I2613" t="str" s="2">
        <x:v>Jenna Fransisco</x:v>
      </x:c>
      <x:c r="J2613" s="0"/>
      <x:c r="K2613" s="6">
        <x:v>46253</x:v>
      </x:c>
      <x:c r="L2613" t="str" s="2">
        <x:v>Message Sent</x:v>
      </x:c>
    </x:row>
    <x:row r="2614">
      <x:c r="A2614" t="str" s="2">
        <x:f>="Sheena FLETCHER"</x:f>
      </x:c>
      <x:c r="B2614" t="str" s="2">
        <x:v>Heritage Housing Gainesville</x:v>
      </x:c>
      <x:c r="C2614" t="str" s="2">
        <x:v/>
      </x:c>
      <x:c r="D2614" t="str" s="2" xml:space="preserve">
        <x:v> 5805040362    </x:v>
      </x:c>
      <x:c r="E2614" t="str" s="2">
        <x:v>Cowgirlup8642@gmail.com</x:v>
      </x:c>
      <x:c r="F2614" t="str" s="2">
        <x:v>Financing Form</x:v>
      </x:c>
      <x:c r="G2614" t="str" s="2">
        <x:v>Kelly Ford</x:v>
      </x:c>
      <x:c r="H2614" s="6">
        <x:v>46208.79574421296</x:v>
      </x:c>
      <x:c r="I2614" s="0"/>
      <x:c r="J2614" s="0"/>
      <x:c r="K2614" s="6">
        <x:v>46225</x:v>
      </x:c>
      <x:c r="L2614" t="str" s="2">
        <x:v>Message Sent</x:v>
      </x:c>
    </x:row>
    <x:row r="2615">
      <x:c r="A2615" t="str" s="2">
        <x:f>=HYPERLINK("https://rsms.futurehomex.com/lead/38264", "JORGE BENITEZ")</x:f>
      </x:c>
      <x:c r="B2615" t="str" s="2">
        <x:v>Heritage Housing of Augusta</x:v>
      </x:c>
      <x:c r="C2615" t="str" s="2">
        <x:v>0/1</x:v>
      </x:c>
      <x:c r="D2615" t="str" s="2">
        <x:v>8035968683</x:v>
      </x:c>
      <x:c r="E2615" t="str" s="2">
        <x:v>josieq49@gmail.com</x:v>
      </x:c>
      <x:c r="F2615" t="str" s="2">
        <x:v>Walk-in</x:v>
      </x:c>
      <x:c r="G2615" t="str" s="2">
        <x:v>Jose Chavez</x:v>
      </x:c>
      <x:c r="H2615" s="6">
        <x:v>46208.797337233795</x:v>
      </x:c>
      <x:c r="I2615" t="str" s="2">
        <x:v>Brian Amato</x:v>
      </x:c>
      <x:c r="J2615" s="0"/>
      <x:c r="K2615" s="6">
        <x:v>46273</x:v>
      </x:c>
      <x:c r="L2615" t="str" s="2">
        <x:v>Message Sent</x:v>
      </x:c>
    </x:row>
    <x:row r="2616">
      <x:c r="A2616" t="str" s="2">
        <x:f>=HYPERLINK("https://rsms.futurehomex.com/lead/38288", "JORGE BENITEZ")</x:f>
      </x:c>
      <x:c r="B2616" t="str" s="2">
        <x:v>Heritage Housing of Augusta</x:v>
      </x:c>
      <x:c r="C2616" t="str" s="2">
        <x:v>0/1</x:v>
      </x:c>
      <x:c r="D2616" t="str" s="2">
        <x:v>8035968683</x:v>
      </x:c>
      <x:c r="E2616" t="str" s="2">
        <x:v>josieq49@gmail.com</x:v>
      </x:c>
      <x:c r="F2616" t="str" s="2">
        <x:v>Walk-in</x:v>
      </x:c>
      <x:c r="G2616" t="str" s="2">
        <x:v>Jose Chavez</x:v>
      </x:c>
      <x:c r="H2616" s="6">
        <x:v>46208.797337233795</x:v>
      </x:c>
      <x:c r="I2616" t="str" s="2">
        <x:v>Faye Lively</x:v>
      </x:c>
      <x:c r="J2616" s="0"/>
      <x:c r="K2616" s="6">
        <x:v>46273</x:v>
      </x:c>
      <x:c r="L2616" t="str" s="2">
        <x:v>Message Sent</x:v>
      </x:c>
    </x:row>
    <x:row r="2617">
      <x:c r="A2617" t="str" s="2">
        <x:f>="Harley Coile"</x:f>
      </x:c>
      <x:c r="B2617" t="str" s="2">
        <x:v>Heritage Housing of Athens</x:v>
      </x:c>
      <x:c r="C2617" t="str" s="2">
        <x:v/>
      </x:c>
      <x:c r="D2617" t="str" s="2">
        <x:v>7062485642</x:v>
      </x:c>
      <x:c r="E2617" t="str" s="2">
        <x:v>harleypcoile02@gmail.com</x:v>
      </x:c>
      <x:c r="F2617" t="str" s="2">
        <x:v>LandingPage</x:v>
      </x:c>
      <x:c r="G2617" t="str" s="2">
        <x:v>Ethan Fossett</x:v>
      </x:c>
      <x:c r="H2617" s="6">
        <x:v>46208.80403584491</x:v>
      </x:c>
      <x:c r="I2617" s="0"/>
      <x:c r="J2617" s="0"/>
      <x:c r="K2617" s="6">
        <x:v>46267</x:v>
      </x:c>
      <x:c r="L2617" t="str" s="2">
        <x:v>Message Sent</x:v>
      </x:c>
    </x:row>
    <x:row r="2618">
      <x:c r="A2618" t="str" s="2">
        <x:f>="Alberto Romero"</x:f>
      </x:c>
      <x:c r="B2618" t="str" s="2">
        <x:v>Heritage Housing of Canton</x:v>
      </x:c>
      <x:c r="C2618" t="str" s="2">
        <x:v/>
      </x:c>
      <x:c r="D2618" t="str" s="2">
        <x:v>9453066424</x:v>
      </x:c>
      <x:c r="E2618" t="str" s="2">
        <x:v>romeroautodetails@gmail.com</x:v>
      </x:c>
      <x:c r="F2618" t="str" s="2">
        <x:v>Meta Ads - Forms</x:v>
      </x:c>
      <x:c r="G2618" t="str" s="2">
        <x:v>Jacob Hatten</x:v>
      </x:c>
      <x:c r="H2618" s="6">
        <x:v>46208.82683931713</x:v>
      </x:c>
      <x:c r="I2618" s="0"/>
      <x:c r="J2618" s="0"/>
      <x:c r="K2618" s="6">
        <x:v>46244</x:v>
      </x:c>
      <x:c r="L2618" t="str" s="2">
        <x:v>Message Sent</x:v>
      </x:c>
    </x:row>
    <x:row r="2619">
      <x:c r="A2619" t="str" s="2">
        <x:f>="Leonard Martin"</x:f>
      </x:c>
      <x:c r="B2619" t="str" s="2">
        <x:v>Heritage Housing of Tulsa</x:v>
      </x:c>
      <x:c r="C2619" t="str" s="2">
        <x:v/>
      </x:c>
      <x:c r="D2619" t="str" s="2">
        <x:v>5807715135</x:v>
      </x:c>
      <x:c r="E2619" t="str" s="2">
        <x:v>choogiem1970@gmail.com</x:v>
      </x:c>
      <x:c r="F2619" t="str" s="2">
        <x:v>Website</x:v>
      </x:c>
      <x:c r="G2619" t="str" s="2">
        <x:v>Jenna Fransisco</x:v>
      </x:c>
      <x:c r="H2619" s="6">
        <x:v>46208.852620798614</x:v>
      </x:c>
      <x:c r="I2619" s="0"/>
      <x:c r="J2619" s="0"/>
      <x:c r="K2619" s="6">
        <x:v>46251</x:v>
      </x:c>
      <x:c r="L2619" t="str" s="2">
        <x:v>Message Sent</x:v>
      </x:c>
    </x:row>
    <x:row r="2620">
      <x:c r="A2620" t="str" s="2">
        <x:f>="Darren Brown Sr."</x:f>
      </x:c>
      <x:c r="B2620" t="str" s="2">
        <x:v>Heritage Housing of Asheboro</x:v>
      </x:c>
      <x:c r="C2620" t="str" s="2">
        <x:v>0/1</x:v>
      </x:c>
      <x:c r="D2620" t="str" s="2">
        <x:v>9193570955</x:v>
      </x:c>
      <x:c r="E2620" t="str" s="2">
        <x:v>centhiabrown54@gmail.com</x:v>
      </x:c>
      <x:c r="F2620" t="str" s="2">
        <x:v>LandingPage</x:v>
      </x:c>
      <x:c r="G2620" t="str" s="2">
        <x:v>Maria Lopez</x:v>
      </x:c>
      <x:c r="H2620" s="6">
        <x:v>46208.90625208333</x:v>
      </x:c>
      <x:c r="I2620" s="0"/>
      <x:c r="J2620" s="0"/>
      <x:c r="K2620" s="6">
        <x:v>46256</x:v>
      </x:c>
      <x:c r="L2620" t="str" s="2">
        <x:v>Message Sent</x:v>
      </x:c>
    </x:row>
    <x:row r="2621">
      <x:c r="A2621" t="str" s="2">
        <x:f>="harrison denetso"</x:f>
      </x:c>
      <x:c r="B2621" t="str" s="2">
        <x:v>Heritage Housing Marble Falls</x:v>
      </x:c>
      <x:c r="C2621" t="str" s="2">
        <x:v/>
      </x:c>
      <x:c r="D2621" t="str" s="2" xml:space="preserve">
        <x:v> 9286374648    </x:v>
      </x:c>
      <x:c r="E2621" t="str" s="2">
        <x:v>h.denetso56@gmail.com</x:v>
      </x:c>
      <x:c r="F2621" t="str" s="2">
        <x:v>Meta Ads - Forms</x:v>
      </x:c>
      <x:c r="G2621" t="str" s="2">
        <x:v>Stephen Sanders</x:v>
      </x:c>
      <x:c r="H2621" s="6">
        <x:v>46208.952535648146</x:v>
      </x:c>
      <x:c r="I2621" s="0"/>
      <x:c r="J2621" s="0"/>
      <x:c r="K2621" s="6">
        <x:v>46210</x:v>
      </x:c>
      <x:c r="L2621" t="str" s="2">
        <x:v>Message Sent</x:v>
      </x:c>
    </x:row>
    <x:row r="2622">
      <x:c r="A2622" t="str" s="2">
        <x:f>="Boudhsabady Lounnarath"</x:f>
      </x:c>
      <x:c r="B2622" t="str" s="2">
        <x:v>Heritage Housing of Athens</x:v>
      </x:c>
      <x:c r="C2622" t="str" s="2">
        <x:v/>
      </x:c>
      <x:c r="D2622" t="str" s="2">
        <x:v>2392594805</x:v>
      </x:c>
      <x:c r="E2622" t="str" s="2">
        <x:v>l.victoria0210@gmail.com</x:v>
      </x:c>
      <x:c r="F2622" t="str" s="2">
        <x:v>Meta Ads - Forms</x:v>
      </x:c>
      <x:c r="G2622" t="str" s="2">
        <x:v>Ethan Fossett</x:v>
      </x:c>
      <x:c r="H2622" s="6">
        <x:v>46208.97508553241</x:v>
      </x:c>
      <x:c r="I2622" s="0"/>
      <x:c r="J2622" s="0"/>
      <x:c r="K2622" s="6">
        <x:v>46251</x:v>
      </x:c>
      <x:c r="L2622" t="str" s="2">
        <x:v>Message Sent</x:v>
      </x:c>
    </x:row>
    <x:row r="2623">
      <x:c r="A2623" t="str" s="2">
        <x:f>="Harrison Denetso"</x:f>
      </x:c>
      <x:c r="B2623" t="str" s="2">
        <x:v>Heritage Housing of Augusta</x:v>
      </x:c>
      <x:c r="C2623" t="str" s="2">
        <x:v/>
      </x:c>
      <x:c r="D2623" t="str" s="2">
        <x:v>9286374648</x:v>
      </x:c>
      <x:c r="E2623" t="str" s="2">
        <x:v>h.denetso56@gmail.com</x:v>
      </x:c>
      <x:c r="F2623" t="str" s="2">
        <x:v>LandingPage</x:v>
      </x:c>
      <x:c r="G2623" t="str" s="2">
        <x:v>Jose Chavez</x:v>
      </x:c>
      <x:c r="H2623" s="6">
        <x:v>46208.98263711805</x:v>
      </x:c>
      <x:c r="I2623" s="0"/>
      <x:c r="J2623" s="0"/>
      <x:c r="K2623" s="6">
        <x:v>46273</x:v>
      </x:c>
      <x:c r="L2623" t="str" s="2">
        <x:v>Message Sent</x:v>
      </x:c>
    </x:row>
    <x:row r="2624">
      <x:c r="A2624" t="str" s="2">
        <x:f>="Cinthia Martinez"</x:f>
      </x:c>
      <x:c r="B2624" t="str" s="2">
        <x:v>Heritage Housing of Asheboro</x:v>
      </x:c>
      <x:c r="C2624" t="str" s="2">
        <x:v/>
      </x:c>
      <x:c r="D2624" t="str" s="2">
        <x:v>3365618432</x:v>
      </x:c>
      <x:c r="E2624" t="str" s="2">
        <x:v>cinthiaroldan29@gmail.com</x:v>
      </x:c>
      <x:c r="F2624" t="str" s="2">
        <x:v>Meta Ads - Forms</x:v>
      </x:c>
      <x:c r="G2624" t="str" s="2">
        <x:v>Maria Lopez</x:v>
      </x:c>
      <x:c r="H2624" s="6">
        <x:v>46208.9869440625</x:v>
      </x:c>
      <x:c r="I2624" s="0"/>
      <x:c r="J2624" s="0"/>
      <x:c r="K2624" s="6">
        <x:v>46256</x:v>
      </x:c>
      <x:c r="L2624" t="str" s="2">
        <x:v>Message Sent</x:v>
      </x:c>
    </x:row>
    <x:row r="2625">
      <x:c r="A2625" t="str" s="2">
        <x:f>="Mary Rios Rios"</x:f>
      </x:c>
      <x:c r="B2625" t="str" s="2">
        <x:v>Heritage Housing of Greenville</x:v>
      </x:c>
      <x:c r="C2625" t="str" s="2">
        <x:v>0/1</x:v>
      </x:c>
      <x:c r="D2625" t="str" s="2">
        <x:v>4692741555</x:v>
      </x:c>
      <x:c r="E2625" t="str" s="2">
        <x:v>riosmay56@gmail.com</x:v>
      </x:c>
      <x:c r="F2625" t="str" s="2">
        <x:v>Meta Ads - Forms</x:v>
      </x:c>
      <x:c r="G2625" t="str" s="2">
        <x:v>Greg Christman</x:v>
      </x:c>
      <x:c r="H2625" s="6">
        <x:v>46209.00300621528</x:v>
      </x:c>
      <x:c r="I2625" s="0"/>
      <x:c r="J2625" s="0"/>
      <x:c r="K2625" s="6">
        <x:v>46221</x:v>
      </x:c>
      <x:c r="L2625" t="str" s="2">
        <x:v>Message Sent</x:v>
      </x:c>
    </x:row>
    <x:row r="2626">
      <x:c r="A2626" t="str" s="2">
        <x:f>="Frances Henley"</x:f>
      </x:c>
      <x:c r="B2626" t="str" s="2">
        <x:v>Heritage Housing of Asheboro</x:v>
      </x:c>
      <x:c r="C2626" t="str" s="2">
        <x:v>0/2</x:v>
      </x:c>
      <x:c r="D2626" t="str" s="2">
        <x:v>9102202142</x:v>
      </x:c>
      <x:c r="E2626" t="str" s="2">
        <x:v>Fhenley258@gmail.com</x:v>
      </x:c>
      <x:c r="F2626" t="str" s="2">
        <x:v>Meta Ads - Forms</x:v>
      </x:c>
      <x:c r="G2626" t="str" s="2">
        <x:v>Maria Lopez</x:v>
      </x:c>
      <x:c r="H2626" s="6">
        <x:v>46209.019878900464</x:v>
      </x:c>
      <x:c r="I2626" s="0"/>
      <x:c r="J2626" s="0"/>
      <x:c r="K2626" s="6">
        <x:v>46256</x:v>
      </x:c>
      <x:c r="L2626" t="str" s="2">
        <x:v>Message Sent</x:v>
      </x:c>
    </x:row>
    <x:row r="2627">
      <x:c r="A2627" t="str" s="2">
        <x:f>="Melody Gavina"</x:f>
      </x:c>
      <x:c r="B2627" t="str" s="2">
        <x:v>Heritage Housing Gainesville</x:v>
      </x:c>
      <x:c r="C2627" t="str" s="2">
        <x:v/>
      </x:c>
      <x:c r="D2627" t="str" s="2" xml:space="preserve">
        <x:v> 6824349876    </x:v>
      </x:c>
      <x:c r="E2627" t="str" s="2">
        <x:v>melodygavina873@gmail.com</x:v>
      </x:c>
      <x:c r="F2627" t="str" s="2">
        <x:v>Meta Ads - Forms</x:v>
      </x:c>
      <x:c r="G2627" t="str" s="2">
        <x:v>Kelly Ford</x:v>
      </x:c>
      <x:c r="H2627" s="6">
        <x:v>46209.065431944444</x:v>
      </x:c>
      <x:c r="I2627" s="0"/>
      <x:c r="J2627" s="0"/>
      <x:c r="K2627" s="6">
        <x:v>46269</x:v>
      </x:c>
      <x:c r="L2627" t="str" s="2">
        <x:v>Message Sent</x:v>
      </x:c>
    </x:row>
    <x:row r="2628">
      <x:c r="A2628" t="str" s="2">
        <x:f>="Renda Summers"</x:f>
      </x:c>
      <x:c r="B2628" t="str" s="2">
        <x:v>Legacy Housing Corp. DBA Americasa</x:v>
      </x:c>
      <x:c r="C2628" t="str" s="2">
        <x:v/>
      </x:c>
      <x:c r="D2628" t="str" s="2">
        <x:v>8327999005</x:v>
      </x:c>
      <x:c r="E2628" t="str" s="2">
        <x:v>rmwilliams91@icloud.com</x:v>
      </x:c>
      <x:c r="F2628" t="str" s="2">
        <x:v>Website</x:v>
      </x:c>
      <x:c r="G2628" t="str" s="2">
        <x:v>Jose Parada</x:v>
      </x:c>
      <x:c r="H2628" s="6">
        <x:v>46209.077241087965</x:v>
      </x:c>
      <x:c r="I2628" s="0"/>
      <x:c r="J2628" s="0"/>
      <x:c r="K2628" s="6">
        <x:v>46232</x:v>
      </x:c>
      <x:c r="L2628" t="str" s="2">
        <x:v>Message Sent</x:v>
      </x:c>
    </x:row>
    <x:row r="2629">
      <x:c r="A2629" t="str" s="2">
        <x:f>="Sylvia Belinda Kutch"</x:f>
      </x:c>
      <x:c r="B2629" t="str" s="2">
        <x:v>Heritage Housing of Canton</x:v>
      </x:c>
      <x:c r="C2629" t="str" s="2">
        <x:v/>
      </x:c>
      <x:c r="D2629" t="str" s="2">
        <x:v>9564573961</x:v>
      </x:c>
      <x:c r="E2629" t="str" s="2">
        <x:v>sylviahinojosa52@gmail.com</x:v>
      </x:c>
      <x:c r="F2629" t="str" s="2">
        <x:v>Meta Ads - Forms</x:v>
      </x:c>
      <x:c r="G2629" t="str" s="2">
        <x:v>Jacob Hatten</x:v>
      </x:c>
      <x:c r="H2629" s="6">
        <x:v>46209.11130269676</x:v>
      </x:c>
      <x:c r="I2629" s="0"/>
      <x:c r="J2629" s="0"/>
      <x:c r="K2629" s="6">
        <x:v>46244</x:v>
      </x:c>
      <x:c r="L2629" t="str" s="2">
        <x:v>Message Sent</x:v>
      </x:c>
    </x:row>
    <x:row r="2630">
      <x:c r="A2630" t="str" s="2">
        <x:f>="Tammy R"</x:f>
      </x:c>
      <x:c r="B2630" t="str" s="2">
        <x:v>Heritage Housing of Asheboro</x:v>
      </x:c>
      <x:c r="C2630" t="str" s="2">
        <x:v/>
      </x:c>
      <x:c r="D2630" t="str" s="2">
        <x:v>9105282954</x:v>
      </x:c>
      <x:c r="E2630" t="str" s="2">
        <x:v>spirithorse05@yahoo.com</x:v>
      </x:c>
      <x:c r="F2630" t="str" s="2">
        <x:v>Meta Ads - Forms</x:v>
      </x:c>
      <x:c r="G2630" t="str" s="2">
        <x:v>Maria Lopez</x:v>
      </x:c>
      <x:c r="H2630" s="6">
        <x:v>46209.55087461806</x:v>
      </x:c>
      <x:c r="I2630" s="0"/>
      <x:c r="J2630" s="0"/>
      <x:c r="K2630" s="6">
        <x:v>46256</x:v>
      </x:c>
      <x:c r="L2630" t="str" s="2">
        <x:v>Message Sent</x:v>
      </x:c>
    </x:row>
    <x:row r="2631">
      <x:c r="A2631" t="str" s="2">
        <x:f>=HYPERLINK("https://rsms.futurehomex.com/lead/38271", "Sundee Strickland")</x:f>
      </x:c>
      <x:c r="B2631" t="str" s="2">
        <x:v>Heritage Housing Gainesville</x:v>
      </x:c>
      <x:c r="C2631" t="str" s="2">
        <x:v/>
      </x:c>
      <x:c r="D2631" t="str" s="2">
        <x:v>9407824162</x:v>
      </x:c>
      <x:c r="E2631" t="str" s="2">
        <x:v>sundeestrickland125@gmail.com</x:v>
      </x:c>
      <x:c r="F2631" t="str" s="2">
        <x:v>Walk-in</x:v>
      </x:c>
      <x:c r="G2631" t="str" s="2">
        <x:v>Kelly Ford</x:v>
      </x:c>
      <x:c r="H2631" s="6">
        <x:v>46209.61793518518</x:v>
      </x:c>
      <x:c r="I2631" t="str" s="2">
        <x:v>Kelly Ford</x:v>
      </x:c>
      <x:c r="J2631" s="0"/>
      <x:c r="K2631" s="6">
        <x:v>46290</x:v>
      </x:c>
      <x:c r="L2631" t="str" s="2">
        <x:v>Message Sent</x:v>
      </x:c>
    </x:row>
    <x:row r="2632">
      <x:c r="A2632" t="str" s="2">
        <x:f>="Talyssa McCall"</x:f>
      </x:c>
      <x:c r="B2632" t="str" s="2">
        <x:v>Heritage Housing of Asheboro</x:v>
      </x:c>
      <x:c r="C2632" t="str" s="2">
        <x:v/>
      </x:c>
      <x:c r="D2632" t="str" s="2">
        <x:v>9107513885</x:v>
      </x:c>
      <x:c r="E2632" t="str" s="2">
        <x:v>tkyasen00@gmail.com</x:v>
      </x:c>
      <x:c r="F2632" t="str" s="2">
        <x:v>Website</x:v>
      </x:c>
      <x:c r="G2632" t="str" s="2">
        <x:v>Maria Lopez</x:v>
      </x:c>
      <x:c r="H2632" s="6">
        <x:v>46209.63135563657</x:v>
      </x:c>
      <x:c r="I2632" s="0"/>
      <x:c r="J2632" s="0"/>
      <x:c r="K2632" s="6">
        <x:v>46256</x:v>
      </x:c>
      <x:c r="L2632" t="str" s="2">
        <x:v>Message Sent</x:v>
      </x:c>
    </x:row>
    <x:row r="2633">
      <x:c r="A2633" t="str" s="2">
        <x:f>="carolina perez perez"</x:f>
      </x:c>
      <x:c r="B2633" t="str" s="2">
        <x:v>Heritage Housing Mt Pleasant</x:v>
      </x:c>
      <x:c r="C2633" t="str" s="2">
        <x:v/>
      </x:c>
      <x:c r="D2633" t="str" s="2">
        <x:v>3222587445</x:v>
      </x:c>
      <x:c r="E2633" t="str" s="2">
        <x:v>carolinita.perez@hotmail.com</x:v>
      </x:c>
      <x:c r="F2633" t="str" s="2">
        <x:v>Meta Ads - Traffic</x:v>
      </x:c>
      <x:c r="G2633" t="str" s="2">
        <x:v>Sandra Saldana</x:v>
      </x:c>
      <x:c r="H2633" s="6">
        <x:v>46209.64026975694</x:v>
      </x:c>
      <x:c r="I2633" s="0"/>
      <x:c r="J2633" s="0"/>
      <x:c r="K2633" s="6">
        <x:v>46265</x:v>
      </x:c>
      <x:c r="L2633" t="str" s="2">
        <x:v>Message Sent</x:v>
      </x:c>
    </x:row>
    <x:row r="2634">
      <x:c r="A2634" t="str" s="2">
        <x:f>="Don Bailey"</x:f>
      </x:c>
      <x:c r="B2634" t="str" s="2">
        <x:v>Heritage Housing of Athens</x:v>
      </x:c>
      <x:c r="C2634" t="str" s="2">
        <x:v/>
      </x:c>
      <x:c r="D2634" t="str" s="2">
        <x:v>6782469760</x:v>
      </x:c>
      <x:c r="E2634" t="str" s="2">
        <x:v>donbailey351@gmail.com</x:v>
      </x:c>
      <x:c r="F2634" t="str" s="2">
        <x:v>Meta Ads - Forms</x:v>
      </x:c>
      <x:c r="G2634" t="str" s="2">
        <x:v>Ethan Fossett</x:v>
      </x:c>
      <x:c r="H2634" s="6">
        <x:v>46209.68293275463</x:v>
      </x:c>
      <x:c r="I2634" s="0"/>
      <x:c r="J2634" s="0"/>
      <x:c r="K2634" s="6">
        <x:v>46266</x:v>
      </x:c>
      <x:c r="L2634" t="str" s="2">
        <x:v>Message Sent</x:v>
      </x:c>
    </x:row>
    <x:row r="2635">
      <x:c r="A2635" t="str" s="2">
        <x:f>="Justin Owens"</x:f>
      </x:c>
      <x:c r="B2635" t="str" s="2">
        <x:v>Heritage Housing of Augusta</x:v>
      </x:c>
      <x:c r="C2635" t="str" s="2">
        <x:v/>
      </x:c>
      <x:c r="D2635" t="str" s="2">
        <x:v>8035144249</x:v>
      </x:c>
      <x:c r="E2635" t="str" s="2">
        <x:v>owensjustins0313@gmail.com</x:v>
      </x:c>
      <x:c r="F2635" t="str" s="2">
        <x:v>Financing Form</x:v>
      </x:c>
      <x:c r="G2635" t="str" s="2">
        <x:v>Jose Chavez</x:v>
      </x:c>
      <x:c r="H2635" s="6">
        <x:v>46209.697054826385</x:v>
      </x:c>
      <x:c r="I2635" s="0"/>
      <x:c r="J2635" s="0"/>
      <x:c r="K2635" s="6">
        <x:v>46273</x:v>
      </x:c>
      <x:c r="L2635" t="str" s="2">
        <x:v>Message Sent</x:v>
      </x:c>
    </x:row>
    <x:row r="2636">
      <x:c r="A2636" t="str" s="2">
        <x:f>="William Dunn"</x:f>
      </x:c>
      <x:c r="B2636" t="str" s="2">
        <x:v>Heritage Housing of Athens</x:v>
      </x:c>
      <x:c r="C2636" t="str" s="2">
        <x:v>0/1</x:v>
      </x:c>
      <x:c r="D2636" t="str" s="2">
        <x:v>7623478565</x:v>
      </x:c>
      <x:c r="E2636" t="str" s="2">
        <x:v>wdunn5834@gmail.com</x:v>
      </x:c>
      <x:c r="F2636" t="str" s="2">
        <x:v>Website</x:v>
      </x:c>
      <x:c r="G2636" t="str" s="2">
        <x:v>Ethan Fossett</x:v>
      </x:c>
      <x:c r="H2636" s="6">
        <x:v>46209.700635416666</x:v>
      </x:c>
      <x:c r="I2636" s="0"/>
      <x:c r="J2636" s="0"/>
      <x:c r="K2636" s="6">
        <x:v>46217</x:v>
      </x:c>
      <x:c r="L2636" t="str" s="2">
        <x:v>Message Sent</x:v>
      </x:c>
    </x:row>
    <x:row r="2637">
      <x:c r="A2637" t="str" s="2">
        <x:f>=HYPERLINK("https://rsms.futurehomex.com/lead/38278", "Alfredo Garcia")</x:f>
      </x:c>
      <x:c r="B2637" t="str" s="2">
        <x:v>Legacy Housing Corp. DBA Americasa</x:v>
      </x:c>
      <x:c r="C2637" t="str" s="2">
        <x:v/>
      </x:c>
      <x:c r="D2637" t="str" s="2">
        <x:v>8328944885</x:v>
      </x:c>
      <x:c r="E2637" t="str" s="2">
        <x:v>8328944885</x:v>
      </x:c>
      <x:c r="F2637" t="str" s="2">
        <x:v>WhatsApp</x:v>
      </x:c>
      <x:c r="G2637" t="str" s="2">
        <x:v>Rodrigo Ramirez</x:v>
      </x:c>
      <x:c r="H2637" s="6">
        <x:v>46209.70440332176</x:v>
      </x:c>
      <x:c r="I2637" t="str" s="2">
        <x:v>Joey Marquez</x:v>
      </x:c>
      <x:c r="J2637" s="0"/>
      <x:c r="K2637" s="6">
        <x:v>46289</x:v>
      </x:c>
      <x:c r="L2637" t="str" s="2">
        <x:v>Message Sent</x:v>
      </x:c>
    </x:row>
    <x:row r="2638">
      <x:c r="A2638" t="str" s="2">
        <x:f>="Maria Segura"</x:f>
      </x:c>
      <x:c r="B2638" t="str" s="2">
        <x:v>Heritage Housing Marble Falls</x:v>
      </x:c>
      <x:c r="C2638" t="str" s="2">
        <x:v/>
      </x:c>
      <x:c r="D2638" t="str" s="2">
        <x:v>2106729974</x:v>
      </x:c>
      <x:c r="E2638" t="str" s="2">
        <x:v>mseguragomez77@gmail.com</x:v>
      </x:c>
      <x:c r="F2638" t="str" s="2">
        <x:v>Meta Ads - Forms</x:v>
      </x:c>
      <x:c r="G2638" t="str" s="2">
        <x:v>Stephen Sanders</x:v>
      </x:c>
      <x:c r="H2638" s="6">
        <x:v>46209.713619675924</x:v>
      </x:c>
      <x:c r="I2638" s="0"/>
      <x:c r="J2638" s="0"/>
      <x:c r="K2638" s="6">
        <x:v>46210</x:v>
      </x:c>
      <x:c r="L2638" t="str" s="2">
        <x:v>Message Sent</x:v>
      </x:c>
    </x:row>
    <x:row r="2639">
      <x:c r="A2639" t="str" s="2">
        <x:f>="April Williams"</x:f>
      </x:c>
      <x:c r="B2639" t="str" s="2">
        <x:v>Heritage Housing of Asheboro</x:v>
      </x:c>
      <x:c r="C2639" t="str" s="2">
        <x:v/>
      </x:c>
      <x:c r="D2639" t="str" s="2">
        <x:v>3365018306</x:v>
      </x:c>
      <x:c r="E2639" t="str" s="2">
        <x:v>Aprluvdav49@gmail.com</x:v>
      </x:c>
      <x:c r="F2639" t="str" s="2">
        <x:v>Financing Form</x:v>
      </x:c>
      <x:c r="G2639" t="str" s="2">
        <x:v>Maria Lopez</x:v>
      </x:c>
      <x:c r="H2639" s="6">
        <x:v>46209.76253561342</x:v>
      </x:c>
      <x:c r="I2639" s="0"/>
      <x:c r="J2639" s="0"/>
      <x:c r="K2639" s="6">
        <x:v>46256</x:v>
      </x:c>
      <x:c r="L2639" t="str" s="2">
        <x:v>Message Sent</x:v>
      </x:c>
    </x:row>
    <x:row r="2640">
      <x:c r="A2640" t="str" s="2">
        <x:f>="Clifton Massey"</x:f>
      </x:c>
      <x:c r="B2640" t="str" s="2">
        <x:v>Heritage Housing of Augusta</x:v>
      </x:c>
      <x:c r="C2640" t="str" s="2">
        <x:v/>
      </x:c>
      <x:c r="D2640" t="str" s="2">
        <x:v>9124259459</x:v>
      </x:c>
      <x:c r="E2640" t="str" s="2">
        <x:v>cmasseyjr@gmail.com</x:v>
      </x:c>
      <x:c r="F2640" t="str" s="2">
        <x:v>Website</x:v>
      </x:c>
      <x:c r="G2640" t="str" s="2">
        <x:v>Jose Chavez</x:v>
      </x:c>
      <x:c r="H2640" s="6">
        <x:v>46209.7693934375</x:v>
      </x:c>
      <x:c r="I2640" s="0"/>
      <x:c r="J2640" s="0"/>
      <x:c r="K2640" s="6">
        <x:v>46210</x:v>
      </x:c>
      <x:c r="L2640" t="str" s="2">
        <x:v>Message Sent</x:v>
      </x:c>
    </x:row>
    <x:row r="2641">
      <x:c r="A2641" t="str" s="2">
        <x:f>="Vickie Neal"</x:f>
      </x:c>
      <x:c r="B2641" t="str" s="2">
        <x:v>Heritage Housing of Tulsa</x:v>
      </x:c>
      <x:c r="C2641" t="str" s="2">
        <x:v/>
      </x:c>
      <x:c r="D2641" t="str" s="2">
        <x:v>4058756406</x:v>
      </x:c>
      <x:c r="E2641" t="str" s="2">
        <x:v>bobandersonbanks90@gmail.com</x:v>
      </x:c>
      <x:c r="F2641" t="str" s="2">
        <x:v>Meta Ads - Forms</x:v>
      </x:c>
      <x:c r="G2641" t="str" s="2">
        <x:v>Jenna Fransisco</x:v>
      </x:c>
      <x:c r="H2641" s="6">
        <x:v>46209.77584459491</x:v>
      </x:c>
      <x:c r="I2641" s="0"/>
      <x:c r="J2641" s="0"/>
      <x:c r="K2641" s="6">
        <x:v>46251</x:v>
      </x:c>
      <x:c r="L2641" t="str" s="2">
        <x:v>Message Sent</x:v>
      </x:c>
    </x:row>
    <x:row r="2642">
      <x:c r="A2642" t="str" s="2">
        <x:f>="abi Rochac"</x:f>
      </x:c>
      <x:c r="B2642" t="str" s="2">
        <x:v>Legacy Housing Corp. DBA Americasa</x:v>
      </x:c>
      <x:c r="C2642" t="str" s="2">
        <x:v/>
      </x:c>
      <x:c r="D2642" t="str" s="2">
        <x:v>8328990349</x:v>
      </x:c>
      <x:c r="E2642" t="str" s="2">
        <x:v>andrearochac.94@gmail.com</x:v>
      </x:c>
      <x:c r="F2642" t="str" s="2">
        <x:v>Meta Ads - Forms</x:v>
      </x:c>
      <x:c r="G2642" t="str" s="2">
        <x:v>Rodrigo Ramirez</x:v>
      </x:c>
      <x:c r="H2642" s="6">
        <x:v>46209.80776137731</x:v>
      </x:c>
      <x:c r="I2642" s="0"/>
      <x:c r="J2642" s="0"/>
      <x:c r="K2642" s="6">
        <x:v>46246</x:v>
      </x:c>
      <x:c r="L2642" t="str" s="2">
        <x:v>Message Sent</x:v>
      </x:c>
    </x:row>
    <x:row r="2643">
      <x:c r="A2643" t="str" s="2">
        <x:f>=HYPERLINK("https://rsms.futurehomex.com/lead/38285", "Shambria Hand")</x:f>
      </x:c>
      <x:c r="B2643" t="str" s="2">
        <x:v>Heritage Housing of Athens</x:v>
      </x:c>
      <x:c r="C2643" t="str" s="2">
        <x:v/>
      </x:c>
      <x:c r="D2643" t="str" s="2">
        <x:v>7622803476</x:v>
      </x:c>
      <x:c r="E2643" t="str" s="2">
        <x:v>briahand@icloud.com</x:v>
      </x:c>
      <x:c r="F2643" t="str" s="2">
        <x:v>Facebook Messenger</x:v>
      </x:c>
      <x:c r="G2643" t="str" s="2">
        <x:v>Ethan Fossett</x:v>
      </x:c>
      <x:c r="H2643" s="6">
        <x:v>46209.8401746875</x:v>
      </x:c>
      <x:c r="I2643" t="str" s="2">
        <x:v>Nathan Bishop</x:v>
      </x:c>
      <x:c r="J2643" s="0"/>
      <x:c r="K2643" s="6">
        <x:v>46213</x:v>
      </x:c>
      <x:c r="L2643" t="str" s="2">
        <x:v>Message Sent</x:v>
      </x:c>
    </x:row>
    <x:row r="2644">
      <x:c r="A2644" t="str" s="2">
        <x:f>="Shani Brown"</x:f>
      </x:c>
      <x:c r="B2644" t="str" s="2">
        <x:v>Heritage Housing of Asheboro</x:v>
      </x:c>
      <x:c r="C2644" t="str" s="2">
        <x:v/>
      </x:c>
      <x:c r="D2644" t="str" s="2">
        <x:v>3364605303</x:v>
      </x:c>
      <x:c r="E2644" t="str" s="2">
        <x:v>snicolebrown.1980@gmail.com</x:v>
      </x:c>
      <x:c r="F2644" t="str" s="2">
        <x:v>Google Ads</x:v>
      </x:c>
      <x:c r="G2644" t="str" s="2">
        <x:v>Maria Lopez</x:v>
      </x:c>
      <x:c r="H2644" s="6">
        <x:v>46209.854130555555</x:v>
      </x:c>
      <x:c r="I2644" s="0"/>
      <x:c r="J2644" s="0"/>
      <x:c r="K2644" s="6">
        <x:v>46256</x:v>
      </x:c>
      <x:c r="L2644" t="str" s="2">
        <x:v>Message Sent</x:v>
      </x:c>
    </x:row>
    <x:row r="2645">
      <x:c r="A2645" t="str" s="2">
        <x:f>="Julie Griffin"</x:f>
      </x:c>
      <x:c r="B2645" t="str" s="2">
        <x:v>Heritage Housing Gainesville</x:v>
      </x:c>
      <x:c r="C2645" t="str" s="2">
        <x:v/>
      </x:c>
      <x:c r="D2645" t="str" s="2">
        <x:v>8177714472</x:v>
      </x:c>
      <x:c r="E2645" t="str" s="2">
        <x:v>jagriffinpaulson@gmail.com</x:v>
      </x:c>
      <x:c r="F2645" t="str" s="2">
        <x:v>Meta Ads - Forms</x:v>
      </x:c>
      <x:c r="G2645" t="str" s="2">
        <x:v>Kelly Ford</x:v>
      </x:c>
      <x:c r="H2645" s="6">
        <x:v>46209.87706443287</x:v>
      </x:c>
      <x:c r="I2645" s="0"/>
      <x:c r="J2645" s="0"/>
      <x:c r="K2645" s="6">
        <x:v>46269</x:v>
      </x:c>
      <x:c r="L2645" t="str" s="2">
        <x:v>Message Sent</x:v>
      </x:c>
    </x:row>
    <x:row r="2646">
      <x:c r="A2646" t="str" s="2">
        <x:f>="Laura Goddard"</x:f>
      </x:c>
      <x:c r="B2646" t="str" s="2">
        <x:v>Heritage Housing of Tulsa</x:v>
      </x:c>
      <x:c r="C2646" t="str" s="2">
        <x:v/>
      </x:c>
      <x:c r="D2646" t="str" s="2">
        <x:v>5804912079</x:v>
      </x:c>
      <x:c r="E2646" t="str" s="2">
        <x:v>lauraclaire468@gmail.com</x:v>
      </x:c>
      <x:c r="F2646" t="str" s="2">
        <x:v>Meta Ads - Forms</x:v>
      </x:c>
      <x:c r="G2646" t="str" s="2">
        <x:v>Jenna Fransisco</x:v>
      </x:c>
      <x:c r="H2646" s="6">
        <x:v>46209.88661559028</x:v>
      </x:c>
      <x:c r="I2646" s="0"/>
      <x:c r="J2646" s="0"/>
      <x:c r="K2646" s="6">
        <x:v>46245</x:v>
      </x:c>
      <x:c r="L2646" t="str" s="2">
        <x:v>Message Sent</x:v>
      </x:c>
    </x:row>
    <x:row r="2647">
      <x:c r="A2647" t="str" s="2">
        <x:f>="Rodney Patterson"</x:f>
      </x:c>
      <x:c r="B2647" t="str" s="2">
        <x:v>Heritage Housing of Albany</x:v>
      </x:c>
      <x:c r="C2647" t="str" s="2">
        <x:v>0/1</x:v>
      </x:c>
      <x:c r="D2647" t="str" s="2">
        <x:v>7622570945</x:v>
      </x:c>
      <x:c r="E2647" t="str" s="2">
        <x:v>pattersonrodney843@gmail.com</x:v>
      </x:c>
      <x:c r="F2647" t="str" s="2">
        <x:v>Meta Ads - Forms</x:v>
      </x:c>
      <x:c r="G2647" t="str" s="2">
        <x:v>Yanet Alvarez</x:v>
      </x:c>
      <x:c r="H2647" s="6">
        <x:v>46209.88875586806</x:v>
      </x:c>
      <x:c r="I2647" s="0"/>
      <x:c r="J2647" s="0"/>
      <x:c r="K2647" s="6">
        <x:v>46303.92495555556</x:v>
      </x:c>
      <x:c r="L2647" t="str" s="2">
        <x:v>Message Sent</x:v>
      </x:c>
    </x:row>
    <x:row r="2648">
      <x:c r="A2648" t="str" s="2">
        <x:f>=HYPERLINK("https://rsms.futurehomex.com/lead/38291", "Mark Turner")</x:f>
      </x:c>
      <x:c r="B2648" t="str" s="2">
        <x:v>Heritage Housing of Oklahoma City</x:v>
      </x:c>
      <x:c r="C2648" t="str" s="2">
        <x:v>0/2</x:v>
      </x:c>
      <x:c r="D2648" t="str" s="2">
        <x:v>4055352387</x:v>
      </x:c>
      <x:c r="E2648" t="str" s="2">
        <x:v>mtnest3713@gmail.com</x:v>
      </x:c>
      <x:c r="F2648" t="str" s="2">
        <x:v>Walk-in</x:v>
      </x:c>
      <x:c r="G2648" t="str" s="2">
        <x:v>Steve Castell</x:v>
      </x:c>
      <x:c r="H2648" s="6">
        <x:v>46209.893098726854</x:v>
      </x:c>
      <x:c r="I2648" t="str" s="2">
        <x:v>Steve Castell</x:v>
      </x:c>
      <x:c r="J2648" s="0"/>
      <x:c r="K2648" s="6">
        <x:v>46233</x:v>
      </x:c>
      <x:c r="L2648" t="str" s="2">
        <x:v>Message Sent</x:v>
      </x:c>
    </x:row>
    <x:row r="2649">
      <x:c r="A2649" t="str" s="2">
        <x:f>="Teri Kannady"</x:f>
      </x:c>
      <x:c r="B2649" t="str" s="2">
        <x:v>Heritage Housing of Canton</x:v>
      </x:c>
      <x:c r="C2649" t="str" s="2">
        <x:v/>
      </x:c>
      <x:c r="D2649" t="str" s="2">
        <x:v>9725151148</x:v>
      </x:c>
      <x:c r="E2649" t="str" s="2">
        <x:v>terirene92@gmail.com</x:v>
      </x:c>
      <x:c r="F2649" t="str" s="2">
        <x:v>Website</x:v>
      </x:c>
      <x:c r="G2649" t="str" s="2">
        <x:v>Jacob Hatten</x:v>
      </x:c>
      <x:c r="H2649" s="6">
        <x:v>46209.904234525464</x:v>
      </x:c>
      <x:c r="I2649" s="0"/>
      <x:c r="J2649" s="0"/>
      <x:c r="K2649" s="6">
        <x:v>46228</x:v>
      </x:c>
      <x:c r="L2649" t="str" s="2">
        <x:v>Message Sent</x:v>
      </x:c>
    </x:row>
    <x:row r="2650">
      <x:c r="A2650" t="str" s="2">
        <x:f>="Kelly Baker"</x:f>
      </x:c>
      <x:c r="B2650" t="str" s="2">
        <x:v>Heritage Housing of Augusta</x:v>
      </x:c>
      <x:c r="C2650" t="str" s="2">
        <x:v/>
      </x:c>
      <x:c r="D2650" t="str" s="2">
        <x:v>2292000377</x:v>
      </x:c>
      <x:c r="E2650" t="str" s="2">
        <x:v>kellybaker0915@gmail.com</x:v>
      </x:c>
      <x:c r="F2650" t="str" s="2">
        <x:v>LandingPage</x:v>
      </x:c>
      <x:c r="G2650" t="str" s="2">
        <x:v>Jose Chavez</x:v>
      </x:c>
      <x:c r="H2650" s="6">
        <x:v>46209.926329201386</x:v>
      </x:c>
      <x:c r="I2650" s="0"/>
      <x:c r="J2650" s="0"/>
      <x:c r="K2650" s="6">
        <x:v>46231</x:v>
      </x:c>
      <x:c r="L2650" t="str" s="2">
        <x:v>Message Sent</x:v>
      </x:c>
    </x:row>
    <x:row r="2651">
      <x:c r="A2651" t="str" s="2">
        <x:f>="Lisa Oxendine"</x:f>
      </x:c>
      <x:c r="B2651" t="str" s="2">
        <x:v>Heritage Housing of Asheboro</x:v>
      </x:c>
      <x:c r="C2651" t="str" s="2">
        <x:v/>
      </x:c>
      <x:c r="D2651" t="str" s="2">
        <x:v>9102808286</x:v>
      </x:c>
      <x:c r="E2651" t="str" s="2">
        <x:v>lisaoxendine43@icloud.com</x:v>
      </x:c>
      <x:c r="F2651" t="str" s="2">
        <x:v>Meta Ads - Forms</x:v>
      </x:c>
      <x:c r="G2651" t="str" s="2">
        <x:v>Maria Lopez</x:v>
      </x:c>
      <x:c r="H2651" s="6">
        <x:v>46209.94770130787</x:v>
      </x:c>
      <x:c r="I2651" s="0"/>
      <x:c r="J2651" s="0"/>
      <x:c r="K2651" s="6">
        <x:v>46258</x:v>
      </x:c>
      <x:c r="L2651" t="str" s="2">
        <x:v>Message Sent</x:v>
      </x:c>
    </x:row>
    <x:row r="2652">
      <x:c r="A2652" t="str" s="2">
        <x:f>="Brolexia Climons"</x:f>
      </x:c>
      <x:c r="B2652" t="str" s="2">
        <x:v>Heritage Housing of Augusta</x:v>
      </x:c>
      <x:c r="C2652" t="str" s="2">
        <x:v/>
      </x:c>
      <x:c r="D2652" t="str" s="2">
        <x:v>7066900981</x:v>
      </x:c>
      <x:c r="E2652" t="str" s="2">
        <x:v>miiaries21@gmail.com</x:v>
      </x:c>
      <x:c r="F2652" t="str" s="2">
        <x:v>Financing Form</x:v>
      </x:c>
      <x:c r="G2652" t="str" s="2">
        <x:v>Jose Chavez</x:v>
      </x:c>
      <x:c r="H2652" s="6">
        <x:v>46209.9581503125</x:v>
      </x:c>
      <x:c r="I2652" s="0"/>
      <x:c r="J2652" s="0"/>
      <x:c r="K2652" s="6">
        <x:v>46213</x:v>
      </x:c>
      <x:c r="L2652" t="str" s="2">
        <x:v>Message Sent</x:v>
      </x:c>
    </x:row>
    <x:row r="2653">
      <x:c r="A2653" t="str" s="2">
        <x:f>="Tony Mitchon"</x:f>
      </x:c>
      <x:c r="B2653" t="str" s="2">
        <x:v>Heritage Housing of Oklahoma City</x:v>
      </x:c>
      <x:c r="C2653" t="str" s="2">
        <x:v>0/1</x:v>
      </x:c>
      <x:c r="D2653" t="str" s="2">
        <x:v>4053805935</x:v>
      </x:c>
      <x:c r="E2653" t="str" s="2">
        <x:v>tojomitch@gmail.com</x:v>
      </x:c>
      <x:c r="F2653" t="str" s="2">
        <x:v>Meta Ads - Forms</x:v>
      </x:c>
      <x:c r="G2653" t="str" s="2">
        <x:v>Steve Castell</x:v>
      </x:c>
      <x:c r="H2653" s="6">
        <x:v>46209.96833179398</x:v>
      </x:c>
      <x:c r="I2653" s="0"/>
      <x:c r="J2653" s="0"/>
      <x:c r="K2653" s="6">
        <x:v>46212</x:v>
      </x:c>
      <x:c r="L2653" t="str" s="2">
        <x:v>Message Sent</x:v>
      </x:c>
    </x:row>
    <x:row r="2654">
      <x:c r="A2654" t="str" s="2">
        <x:f>="Kerry Almy"</x:f>
      </x:c>
      <x:c r="B2654" t="str" s="2">
        <x:v>Heritage Housing of Tulsa</x:v>
      </x:c>
      <x:c r="C2654" t="str" s="2">
        <x:v/>
      </x:c>
      <x:c r="D2654" t="str" s="2">
        <x:v>2083202179</x:v>
      </x:c>
      <x:c r="E2654" t="str" s="2">
        <x:v>kfalmy@aol.com</x:v>
      </x:c>
      <x:c r="F2654" t="str" s="2">
        <x:v>Meta Ads - Forms</x:v>
      </x:c>
      <x:c r="G2654" t="str" s="2">
        <x:v>Jenna Fransisco</x:v>
      </x:c>
      <x:c r="H2654" s="6">
        <x:v>46210.02949274306</x:v>
      </x:c>
      <x:c r="I2654" s="0"/>
      <x:c r="J2654" s="0"/>
      <x:c r="K2654" s="6">
        <x:v>46245</x:v>
      </x:c>
      <x:c r="L2654" t="str" s="2">
        <x:v>Message Sent</x:v>
      </x:c>
    </x:row>
    <x:row r="2655">
      <x:c r="A2655" t="str" s="2">
        <x:f>="Charese Cobb"</x:f>
      </x:c>
      <x:c r="B2655" t="str" s="2">
        <x:v>Heritage Housing of Oklahoma City</x:v>
      </x:c>
      <x:c r="C2655" t="str" s="2">
        <x:v>0/1</x:v>
      </x:c>
      <x:c r="D2655" t="str" s="2">
        <x:v>405-400-3359</x:v>
      </x:c>
      <x:c r="E2655" t="str" s="2">
        <x:v>cobbcharese158@gmail.com</x:v>
      </x:c>
      <x:c r="F2655" t="str" s="2">
        <x:v>Website</x:v>
      </x:c>
      <x:c r="G2655" t="str" s="2">
        <x:v>Steve Castell</x:v>
      </x:c>
      <x:c r="H2655" s="6">
        <x:v>46210.05983009259</x:v>
      </x:c>
      <x:c r="I2655" s="0"/>
      <x:c r="J2655" s="0"/>
      <x:c r="K2655" s="6">
        <x:v>46212</x:v>
      </x:c>
      <x:c r="L2655" t="str" s="2">
        <x:v>Message Sent</x:v>
      </x:c>
    </x:row>
    <x:row r="2656">
      <x:c r="A2656" t="str" s="2">
        <x:f>="Tracy Kuhn"</x:f>
      </x:c>
      <x:c r="B2656" t="str" s="2">
        <x:v>Heritage Housing of Tulsa</x:v>
      </x:c>
      <x:c r="C2656" t="str" s="2">
        <x:v/>
      </x:c>
      <x:c r="D2656" t="str" s="2">
        <x:v>9188647596</x:v>
      </x:c>
      <x:c r="E2656" t="str" s="2">
        <x:v>tkuhn1001@gmail.com</x:v>
      </x:c>
      <x:c r="F2656" t="str" s="2">
        <x:v>Meta Ads - Traffic</x:v>
      </x:c>
      <x:c r="G2656" t="str" s="2">
        <x:v>Jenna Fransisco</x:v>
      </x:c>
      <x:c r="H2656" s="6">
        <x:v>46210.06058611111</x:v>
      </x:c>
      <x:c r="I2656" s="0"/>
      <x:c r="J2656" s="0"/>
      <x:c r="K2656" s="6">
        <x:v>46251</x:v>
      </x:c>
      <x:c r="L2656" t="str" s="2">
        <x:v>Message Sent</x:v>
      </x:c>
    </x:row>
    <x:row r="2657">
      <x:c r="A2657" t="str" s="2">
        <x:f>="Cory Johnson"</x:f>
      </x:c>
      <x:c r="B2657" t="str" s="2">
        <x:v>Heritage Housing of Athens</x:v>
      </x:c>
      <x:c r="C2657" t="str" s="2">
        <x:v/>
      </x:c>
      <x:c r="D2657" t="str" s="2">
        <x:v>4702621357</x:v>
      </x:c>
      <x:c r="E2657" t="str" s="2">
        <x:v>co42ry@gmail.com</x:v>
      </x:c>
      <x:c r="F2657" t="str" s="2">
        <x:v>Meta Ads - Forms</x:v>
      </x:c>
      <x:c r="G2657" t="str" s="2">
        <x:v>Nathan Bishop</x:v>
      </x:c>
      <x:c r="H2657" s="6">
        <x:v>46210.07147322917</x:v>
      </x:c>
      <x:c r="I2657" s="0"/>
      <x:c r="J2657" s="0"/>
      <x:c r="K2657" s="6">
        <x:v>46268</x:v>
      </x:c>
      <x:c r="L2657" t="str" s="2">
        <x:v>Message Sent</x:v>
      </x:c>
    </x:row>
    <x:row r="2658">
      <x:c r="A2658" t="str" s="2">
        <x:f>="Christy Bradford"</x:f>
      </x:c>
      <x:c r="B2658" t="str" s="2">
        <x:v>Heritage Housing of Canton</x:v>
      </x:c>
      <x:c r="C2658" t="str" s="2">
        <x:v/>
      </x:c>
      <x:c r="D2658" t="str" s="2">
        <x:v>3252128744</x:v>
      </x:c>
      <x:c r="E2658" t="str" s="2">
        <x:v>christymgilbert55@gmail.com</x:v>
      </x:c>
      <x:c r="F2658" t="str" s="2">
        <x:v>Meta Ads - Forms</x:v>
      </x:c>
      <x:c r="G2658" t="str" s="2">
        <x:v>Jacob Hatten</x:v>
      </x:c>
      <x:c r="H2658" s="6">
        <x:v>46210.078028206015</x:v>
      </x:c>
      <x:c r="I2658" s="0"/>
      <x:c r="J2658" s="0"/>
      <x:c r="K2658" s="6">
        <x:v>46228</x:v>
      </x:c>
      <x:c r="L2658" t="str" s="2">
        <x:v>Message Sent</x:v>
      </x:c>
    </x:row>
    <x:row r="2659">
      <x:c r="A2659" t="str" s="2">
        <x:f>="Marquez Williams"</x:f>
      </x:c>
      <x:c r="B2659" t="str" s="2">
        <x:v>Heritage Housing of Canton</x:v>
      </x:c>
      <x:c r="C2659" t="str" s="2">
        <x:v/>
      </x:c>
      <x:c r="D2659" t="str" s="2">
        <x:v>4096988345</x:v>
      </x:c>
      <x:c r="E2659" t="str" s="2">
        <x:v>marquezwilliams960@gmail.com</x:v>
      </x:c>
      <x:c r="F2659" t="str" s="2">
        <x:v>Meta Ads - Forms</x:v>
      </x:c>
      <x:c r="G2659" t="str" s="2">
        <x:v>Jacob Hatten</x:v>
      </x:c>
      <x:c r="H2659" s="6">
        <x:v>46210.17880162037</x:v>
      </x:c>
      <x:c r="I2659" s="0"/>
      <x:c r="J2659" s="0"/>
      <x:c r="K2659" s="6">
        <x:v>46244</x:v>
      </x:c>
      <x:c r="L2659" t="str" s="2">
        <x:v>Message Sent</x:v>
      </x:c>
    </x:row>
    <x:row r="2660">
      <x:c r="A2660" t="str" s="2">
        <x:f>="Noah Burk"</x:f>
      </x:c>
      <x:c r="B2660" t="str" s="2">
        <x:v>Heritage Housing of Tulsa</x:v>
      </x:c>
      <x:c r="C2660" t="str" s="2">
        <x:v/>
      </x:c>
      <x:c r="D2660" t="str" s="2">
        <x:v>6203061596</x:v>
      </x:c>
      <x:c r="E2660" t="str" s="2">
        <x:v>noahburk1999@gmail.com</x:v>
      </x:c>
      <x:c r="F2660" t="str" s="2">
        <x:v>LandingPage</x:v>
      </x:c>
      <x:c r="G2660" t="str" s="2">
        <x:v>Jenna Fransisco</x:v>
      </x:c>
      <x:c r="H2660" s="6">
        <x:v>46210.18950864583</x:v>
      </x:c>
      <x:c r="I2660" s="0"/>
      <x:c r="J2660" s="0"/>
      <x:c r="K2660" s="6">
        <x:v>46238</x:v>
      </x:c>
      <x:c r="L2660" t="str" s="2">
        <x:v>Message Sent</x:v>
      </x:c>
    </x:row>
    <x:row r="2661">
      <x:c r="A2661" t="str" s="2">
        <x:f>="Bobby Smith"</x:f>
      </x:c>
      <x:c r="B2661" t="str" s="2">
        <x:v>Heritage Housing of Canton</x:v>
      </x:c>
      <x:c r="C2661" t="str" s="2">
        <x:v/>
      </x:c>
      <x:c r="D2661" t="str" s="2">
        <x:v>9726792373</x:v>
      </x:c>
      <x:c r="E2661" t="str" s="2">
        <x:v>dsmi6020@yahoo.com</x:v>
      </x:c>
      <x:c r="F2661" t="str" s="2">
        <x:v>Meta Ads - Forms</x:v>
      </x:c>
      <x:c r="G2661" t="str" s="2">
        <x:v>Jacob Hatten</x:v>
      </x:c>
      <x:c r="H2661" s="6">
        <x:v>46210.19821392361</x:v>
      </x:c>
      <x:c r="I2661" s="0"/>
      <x:c r="J2661" s="0"/>
      <x:c r="K2661" s="6">
        <x:v>46228</x:v>
      </x:c>
      <x:c r="L2661" t="str" s="2">
        <x:v>Message Sent</x:v>
      </x:c>
    </x:row>
    <x:row r="2662">
      <x:c r="A2662" t="str" s="2">
        <x:f>="Sandra Jones"</x:f>
      </x:c>
      <x:c r="B2662" t="str" s="2">
        <x:v>Heritage Housing of Augusta</x:v>
      </x:c>
      <x:c r="C2662" t="str" s="2">
        <x:v/>
      </x:c>
      <x:c r="D2662" t="str" s="2">
        <x:v>7069516917</x:v>
      </x:c>
      <x:c r="E2662" t="str" s="2">
        <x:v>sjones4949@gmail.com</x:v>
      </x:c>
      <x:c r="F2662" t="str" s="2">
        <x:v>Meta Ads - Forms</x:v>
      </x:c>
      <x:c r="G2662" t="str" s="2">
        <x:v>Jose Chavez</x:v>
      </x:c>
      <x:c r="H2662" s="6">
        <x:v>46210.2901900463</x:v>
      </x:c>
      <x:c r="I2662" s="0"/>
      <x:c r="J2662" s="0"/>
      <x:c r="K2662" s="6">
        <x:v>46273</x:v>
      </x:c>
      <x:c r="L2662" t="str" s="2">
        <x:v>Message Sent</x:v>
      </x:c>
    </x:row>
    <x:row r="2663">
      <x:c r="A2663" t="str" s="2">
        <x:f>="Susan Jordan"</x:f>
      </x:c>
      <x:c r="B2663" t="str" s="2">
        <x:v>Heritage Housing Marble Falls</x:v>
      </x:c>
      <x:c r="C2663" t="str" s="2">
        <x:v/>
      </x:c>
      <x:c r="D2663" t="str" s="2" xml:space="preserve">
        <x:v> 8704069933    </x:v>
      </x:c>
      <x:c r="E2663" t="str" s="2">
        <x:v>jordan.susan451@yahoo.com</x:v>
      </x:c>
      <x:c r="F2663" t="str" s="2">
        <x:v>Meta Ads - Forms</x:v>
      </x:c>
      <x:c r="G2663" t="str" s="2">
        <x:v>Stephen Sanders</x:v>
      </x:c>
      <x:c r="H2663" s="6">
        <x:v>46210.3393321412</x:v>
      </x:c>
      <x:c r="I2663" s="0"/>
      <x:c r="J2663" s="0"/>
      <x:c r="K2663" s="6">
        <x:v>46210</x:v>
      </x:c>
      <x:c r="L2663" t="str" s="2">
        <x:v>Message Sent</x:v>
      </x:c>
    </x:row>
    <x:row r="2664">
      <x:c r="A2664" t="str" s="2">
        <x:f>="Bobby Boening"</x:f>
      </x:c>
      <x:c r="B2664" t="str" s="2">
        <x:v>Heritage Housing of Asheboro</x:v>
      </x:c>
      <x:c r="C2664" t="str" s="2">
        <x:v>0/1</x:v>
      </x:c>
      <x:c r="D2664" t="str" s="2">
        <x:v>9199246369</x:v>
      </x:c>
      <x:c r="E2664" t="str" s="2">
        <x:v>Bobbyboening@yahoo.com</x:v>
      </x:c>
      <x:c r="F2664" t="str" s="2">
        <x:v>Meta Ads - Forms</x:v>
      </x:c>
      <x:c r="G2664" t="str" s="2">
        <x:v>Maria Lopez</x:v>
      </x:c>
      <x:c r="H2664" s="6">
        <x:v>46210.50400775463</x:v>
      </x:c>
      <x:c r="I2664" s="0"/>
      <x:c r="J2664" s="0"/>
      <x:c r="K2664" s="6">
        <x:v>46255</x:v>
      </x:c>
      <x:c r="L2664" t="str" s="2">
        <x:v>Message Sent</x:v>
      </x:c>
    </x:row>
    <x:row r="2665">
      <x:c r="A2665" t="str" s="2">
        <x:f>=HYPERLINK("https://rsms.futurehomex.com/lead/38306", "Angie Bryant")</x:f>
      </x:c>
      <x:c r="B2665" t="str" s="2">
        <x:v>Heritage Housing of Tulsa</x:v>
      </x:c>
      <x:c r="C2665" t="str" s="2">
        <x:v/>
      </x:c>
      <x:c r="D2665" t="str" s="2">
        <x:v>9189132712</x:v>
      </x:c>
      <x:c r="E2665" t="str" s="2">
        <x:v>9189132712</x:v>
      </x:c>
      <x:c r="F2665" t="str" s="2">
        <x:v>Walk-in</x:v>
      </x:c>
      <x:c r="G2665" t="str" s="2">
        <x:v>Jenna Fransisco</x:v>
      </x:c>
      <x:c r="H2665" s="6">
        <x:v>46210.580175034724</x:v>
      </x:c>
      <x:c r="I2665" t="str" s="2">
        <x:v>Derek Searcy</x:v>
      </x:c>
      <x:c r="J2665" s="0"/>
      <x:c r="K2665" s="6">
        <x:v>46241</x:v>
      </x:c>
      <x:c r="L2665" t="str" s="2">
        <x:v>Message Sent</x:v>
      </x:c>
    </x:row>
    <x:row r="2666">
      <x:c r="A2666" t="str" s="2">
        <x:f>=HYPERLINK("https://rsms.futurehomex.com/lead/38307", "Zach Childress")</x:f>
      </x:c>
      <x:c r="B2666" t="str" s="2">
        <x:v>Heritage Housing of Tulsa</x:v>
      </x:c>
      <x:c r="C2666" t="str" s="2">
        <x:v/>
      </x:c>
      <x:c r="D2666" t="str" s="2">
        <x:v>9183704493</x:v>
      </x:c>
      <x:c r="E2666" t="str" s="2">
        <x:v>9183704493</x:v>
      </x:c>
      <x:c r="F2666" t="str" s="2">
        <x:v>Walk-in</x:v>
      </x:c>
      <x:c r="G2666" t="str" s="2">
        <x:v>Jenna Fransisco</x:v>
      </x:c>
      <x:c r="H2666" s="6">
        <x:v>46210.581066631945</x:v>
      </x:c>
      <x:c r="I2666" t="str" s="2">
        <x:v>Derek Searcy</x:v>
      </x:c>
      <x:c r="J2666" s="0"/>
      <x:c r="K2666" s="6">
        <x:v>46241</x:v>
      </x:c>
      <x:c r="L2666" t="str" s="2">
        <x:v>Message Sent</x:v>
      </x:c>
    </x:row>
    <x:row r="2667">
      <x:c r="A2667" t="str" s="2">
        <x:f>=HYPERLINK("https://rsms.futurehomex.com/lead/38308", "Latresha Love")</x:f>
      </x:c>
      <x:c r="B2667" t="str" s="2">
        <x:v>Heritage Housing of Athens</x:v>
      </x:c>
      <x:c r="C2667" t="str" s="2">
        <x:v/>
      </x:c>
      <x:c r="D2667" t="str" s="2">
        <x:v>7063510607</x:v>
      </x:c>
      <x:c r="E2667" t="str" s="2">
        <x:v>Alatresha@gmail.com</x:v>
      </x:c>
      <x:c r="F2667" t="str" s="2">
        <x:v>Walk-in</x:v>
      </x:c>
      <x:c r="G2667" t="str" s="2">
        <x:v>Ethan Fossett</x:v>
      </x:c>
      <x:c r="H2667" s="6">
        <x:v>46210.58117175926</x:v>
      </x:c>
      <x:c r="I2667" t="str" s="2">
        <x:v>Nathan Bishop</x:v>
      </x:c>
      <x:c r="J2667" s="0"/>
      <x:c r="K2667" s="6">
        <x:v>46253</x:v>
      </x:c>
      <x:c r="L2667" t="str" s="2">
        <x:v>Message Sent</x:v>
      </x:c>
    </x:row>
    <x:row r="2668">
      <x:c r="A2668" t="str" s="2">
        <x:f>="Katie Day"</x:f>
      </x:c>
      <x:c r="B2668" t="str" s="2">
        <x:v>Heritage Housing of Albany</x:v>
      </x:c>
      <x:c r="C2668" t="str" s="2">
        <x:v>0/1</x:v>
      </x:c>
      <x:c r="D2668" t="str" s="2">
        <x:v>2295916730</x:v>
      </x:c>
      <x:c r="E2668" t="str" s="2">
        <x:v>daykaysweet@gmail.com</x:v>
      </x:c>
      <x:c r="F2668" t="str" s="2">
        <x:v>Financing Form</x:v>
      </x:c>
      <x:c r="G2668" t="str" s="2">
        <x:v>Yanet Alvarez</x:v>
      </x:c>
      <x:c r="H2668" s="6">
        <x:v>46210.60800170139</x:v>
      </x:c>
      <x:c r="I2668" s="0"/>
      <x:c r="J2668" s="0"/>
      <x:c r="K2668" s="6">
        <x:v>46303</x:v>
      </x:c>
      <x:c r="L2668" t="str" s="2">
        <x:v>Message Sent</x:v>
      </x:c>
    </x:row>
    <x:row r="2669">
      <x:c r="A2669" t="str" s="2">
        <x:f>=HYPERLINK("https://rsms.futurehomex.com/lead/38314", "Daniel Guerrero")</x:f>
      </x:c>
      <x:c r="B2669" t="str" s="2">
        <x:v>Legacy Housing Corp. DBA Americasa</x:v>
      </x:c>
      <x:c r="C2669" t="str" s="2">
        <x:v/>
      </x:c>
      <x:c r="D2669" t="str" s="2">
        <x:v>8327266220</x:v>
      </x:c>
      <x:c r="E2669" t="str" s="2">
        <x:v>8327266223</x:v>
      </x:c>
      <x:c r="F2669" t="str" s="2">
        <x:v>Walk-in</x:v>
      </x:c>
      <x:c r="G2669" t="str" s="2">
        <x:v>Rodrigo Ramirez</x:v>
      </x:c>
      <x:c r="H2669" s="6">
        <x:v>46210.666160266206</x:v>
      </x:c>
      <x:c r="I2669" t="str" s="2">
        <x:v>Jose Parada</x:v>
      </x:c>
      <x:c r="J2669" s="0"/>
      <x:c r="K2669" s="6">
        <x:v>46288</x:v>
      </x:c>
      <x:c r="L2669" t="str" s="2">
        <x:v>Message Sent</x:v>
      </x:c>
    </x:row>
    <x:row r="2670">
      <x:c r="A2670" t="str" s="2">
        <x:f>="Harvey Thomas"</x:f>
      </x:c>
      <x:c r="B2670" t="str" s="2">
        <x:v>Heritage Housing of Asheboro</x:v>
      </x:c>
      <x:c r="C2670" t="str" s="2">
        <x:v/>
      </x:c>
      <x:c r="D2670" t="str" s="2">
        <x:v>864-245-8352</x:v>
      </x:c>
      <x:c r="E2670" t="str" s="2">
        <x:v>joe342942@gmail.com</x:v>
      </x:c>
      <x:c r="F2670" t="str" s="2">
        <x:v>Meta Ads - Traffic</x:v>
      </x:c>
      <x:c r="G2670" t="str" s="2">
        <x:v>Maria Lopez</x:v>
      </x:c>
      <x:c r="H2670" s="6">
        <x:v>46210.72958769676</x:v>
      </x:c>
      <x:c r="I2670" s="0"/>
      <x:c r="J2670" s="0"/>
      <x:c r="K2670" s="6">
        <x:v>46255</x:v>
      </x:c>
      <x:c r="L2670" t="str" s="2">
        <x:v>Message Sent</x:v>
      </x:c>
    </x:row>
    <x:row r="2671">
      <x:c r="A2671" t="str" s="2">
        <x:f>=HYPERLINK("https://rsms.futurehomex.com/lead/38338", "Lisa Whitmire")</x:f>
      </x:c>
      <x:c r="B2671" t="str" s="2">
        <x:v>Heritage Housing of Oklahoma City</x:v>
      </x:c>
      <x:c r="C2671" t="str" s="2">
        <x:v/>
      </x:c>
      <x:c r="D2671" t="str" s="2">
        <x:v>4056378650</x:v>
      </x:c>
      <x:c r="E2671" t="str" s="2">
        <x:v>Lisa.lippoldt@cox.net</x:v>
      </x:c>
      <x:c r="F2671" t="str" s="2">
        <x:v>LandingPage</x:v>
      </x:c>
      <x:c r="G2671" t="str" s="2">
        <x:v>Trey Rixleben</x:v>
      </x:c>
      <x:c r="H2671" s="6">
        <x:v>46210.76128850695</x:v>
      </x:c>
      <x:c r="I2671" t="str" s="2">
        <x:v>Trey Rixleben</x:v>
      </x:c>
      <x:c r="J2671" s="0"/>
      <x:c r="K2671" s="6">
        <x:v>46211</x:v>
      </x:c>
      <x:c r="L2671" t="str" s="2">
        <x:v>Message Sent</x:v>
      </x:c>
    </x:row>
    <x:row r="2672">
      <x:c r="A2672" t="str" s="2">
        <x:f>=HYPERLINK("https://rsms.futurehomex.com/lead/38319", "Johana Ivette Razo")</x:f>
      </x:c>
      <x:c r="B2672" t="str" s="2">
        <x:v>Legacy Housing Corp. DBA Americasa</x:v>
      </x:c>
      <x:c r="C2672" t="str" s="2">
        <x:v/>
      </x:c>
      <x:c r="D2672" t="str" s="2">
        <x:v>3468462596</x:v>
      </x:c>
      <x:c r="E2672" t="str" s="2">
        <x:v>3468462596</x:v>
      </x:c>
      <x:c r="F2672" t="str" s="2">
        <x:v>Meta Marketplace</x:v>
      </x:c>
      <x:c r="G2672" t="str" s="2">
        <x:v>Rodrigo Ramirez</x:v>
      </x:c>
      <x:c r="H2672" s="6">
        <x:v>46210.788739386575</x:v>
      </x:c>
      <x:c r="I2672" t="str" s="2">
        <x:v>Jose Parada</x:v>
      </x:c>
      <x:c r="J2672" s="0"/>
      <x:c r="K2672" s="6">
        <x:v>46293</x:v>
      </x:c>
      <x:c r="L2672" t="str" s="2">
        <x:v>Message Sent</x:v>
      </x:c>
    </x:row>
    <x:row r="2673">
      <x:c r="A2673" t="str" s="2">
        <x:f>="Shanae Simmons"</x:f>
      </x:c>
      <x:c r="B2673" t="str" s="2">
        <x:v>Heritage Housing of Asheboro</x:v>
      </x:c>
      <x:c r="C2673" t="str" s="2">
        <x:v/>
      </x:c>
      <x:c r="D2673" t="str" s="2">
        <x:v>8035079615</x:v>
      </x:c>
      <x:c r="E2673" t="str" s="2">
        <x:v>shanaesimmons78@gmail.com</x:v>
      </x:c>
      <x:c r="F2673" t="str" s="2">
        <x:v>Meta Ads - Forms</x:v>
      </x:c>
      <x:c r="G2673" t="str" s="2">
        <x:v>Maria Lopez</x:v>
      </x:c>
      <x:c r="H2673" s="6">
        <x:v>46210.82807422454</x:v>
      </x:c>
      <x:c r="I2673" s="0"/>
      <x:c r="J2673" s="0"/>
      <x:c r="K2673" s="6">
        <x:v>46258</x:v>
      </x:c>
      <x:c r="L2673" t="str" s="2">
        <x:v>Message Sent</x:v>
      </x:c>
    </x:row>
    <x:row r="2674">
      <x:c r="A2674" t="str" s="2">
        <x:f>=HYPERLINK("https://rsms.futurehomex.com/lead/38337", "kevin moore")</x:f>
      </x:c>
      <x:c r="B2674" t="str" s="2">
        <x:v>Heritage Housing of Oklahoma City</x:v>
      </x:c>
      <x:c r="C2674" t="str" s="2">
        <x:v/>
      </x:c>
      <x:c r="D2674" t="str" s="2">
        <x:v>4057128753</x:v>
      </x:c>
      <x:c r="E2674" t="str" s="2">
        <x:v>k39567357@gmail.com</x:v>
      </x:c>
      <x:c r="F2674" t="str" s="2">
        <x:v>Meta Ads - Forms</x:v>
      </x:c>
      <x:c r="G2674" t="str" s="2">
        <x:v>Trey Rixleben</x:v>
      </x:c>
      <x:c r="H2674" s="6">
        <x:v>46210.830496030096</x:v>
      </x:c>
      <x:c r="I2674" t="str" s="2">
        <x:v>Trey Rixleben</x:v>
      </x:c>
      <x:c r="J2674" s="0"/>
      <x:c r="K2674" s="6">
        <x:v>46211</x:v>
      </x:c>
      <x:c r="L2674" t="str" s="2">
        <x:v>Message Sent</x:v>
      </x:c>
    </x:row>
    <x:row r="2675">
      <x:c r="A2675" t="str" s="2">
        <x:f>="Tamela Hancock"</x:f>
      </x:c>
      <x:c r="B2675" t="str" s="2">
        <x:v>Heritage Housing of Asheboro</x:v>
      </x:c>
      <x:c r="C2675" t="str" s="2">
        <x:v/>
      </x:c>
      <x:c r="D2675" t="str" s="2">
        <x:v>9106398528</x:v>
      </x:c>
      <x:c r="E2675" t="str" s="2">
        <x:v>tamelahancock30@gmail.com</x:v>
      </x:c>
      <x:c r="F2675" t="str" s="2">
        <x:v>Meta Ads - Forms</x:v>
      </x:c>
      <x:c r="G2675" t="str" s="2">
        <x:v>Maria Lopez</x:v>
      </x:c>
      <x:c r="H2675" s="6">
        <x:v>46210.85620659722</x:v>
      </x:c>
      <x:c r="I2675" s="0"/>
      <x:c r="J2675" s="0"/>
      <x:c r="K2675" s="6">
        <x:v>46255</x:v>
      </x:c>
      <x:c r="L2675" t="str" s="2">
        <x:v>Message Sent</x:v>
      </x:c>
    </x:row>
    <x:row r="2676">
      <x:c r="A2676" t="str" s="2">
        <x:f>="Shanequa Jones"</x:f>
      </x:c>
      <x:c r="B2676" t="str" s="2">
        <x:v>Heritage Housing of Canton</x:v>
      </x:c>
      <x:c r="C2676" t="str" s="2">
        <x:v/>
      </x:c>
      <x:c r="D2676" t="str" s="2">
        <x:v>4304136412</x:v>
      </x:c>
      <x:c r="E2676" t="str" s="2">
        <x:v>shanequajones2012@gmail.com</x:v>
      </x:c>
      <x:c r="F2676" t="str" s="2">
        <x:v>Financing Form</x:v>
      </x:c>
      <x:c r="G2676" t="str" s="2">
        <x:v>Jacob Hatten</x:v>
      </x:c>
      <x:c r="H2676" s="6">
        <x:v>46210.86255763889</x:v>
      </x:c>
      <x:c r="I2676" s="0"/>
      <x:c r="J2676" s="0"/>
      <x:c r="K2676" s="6">
        <x:v>46228</x:v>
      </x:c>
      <x:c r="L2676" t="str" s="2">
        <x:v>Message Sent</x:v>
      </x:c>
    </x:row>
    <x:row r="2677">
      <x:c r="A2677" t="str" s="2">
        <x:f>="Erika Vazquez"</x:f>
      </x:c>
      <x:c r="B2677" t="str" s="2">
        <x:v>Heritage Housing of Canton</x:v>
      </x:c>
      <x:c r="C2677" t="str" s="2">
        <x:v/>
      </x:c>
      <x:c r="D2677" t="str" s="2">
        <x:v>2543946403</x:v>
      </x:c>
      <x:c r="E2677" t="str" s="2">
        <x:v>erika.vazquez2309@gmail.com</x:v>
      </x:c>
      <x:c r="F2677" t="str" s="2">
        <x:v>Meta Ads - Forms</x:v>
      </x:c>
      <x:c r="G2677" t="str" s="2">
        <x:v>Jacob Hatten</x:v>
      </x:c>
      <x:c r="H2677" s="6">
        <x:v>46210.887150613424</x:v>
      </x:c>
      <x:c r="I2677" s="0"/>
      <x:c r="J2677" s="0"/>
      <x:c r="K2677" s="6">
        <x:v>46244</x:v>
      </x:c>
      <x:c r="L2677" t="str" s="2">
        <x:v>Message Sent</x:v>
      </x:c>
    </x:row>
    <x:row r="2678">
      <x:c r="A2678" t="str" s="2">
        <x:f>="Victoria Jimenez"</x:f>
      </x:c>
      <x:c r="B2678" t="str" s="2">
        <x:v>Heritage Housing of Albany</x:v>
      </x:c>
      <x:c r="C2678" t="str" s="2">
        <x:v/>
      </x:c>
      <x:c r="D2678" t="str" s="2">
        <x:v>9544153323</x:v>
      </x:c>
      <x:c r="E2678" t="str" s="2">
        <x:v>toriarizzi@gmail.com</x:v>
      </x:c>
      <x:c r="F2678" t="str" s="2">
        <x:v>Website</x:v>
      </x:c>
      <x:c r="G2678" t="str" s="2">
        <x:v>Yanet Alvarez</x:v>
      </x:c>
      <x:c r="H2678" s="6">
        <x:v>46210.89723773148</x:v>
      </x:c>
      <x:c r="I2678" s="0"/>
      <x:c r="J2678" s="0"/>
      <x:c r="K2678" s="6">
        <x:v>46303</x:v>
      </x:c>
      <x:c r="L2678" t="str" s="2">
        <x:v>Message Sent</x:v>
      </x:c>
    </x:row>
    <x:row r="2679">
      <x:c r="A2679" t="str" s="2">
        <x:f>="Buddy Simpson"</x:f>
      </x:c>
      <x:c r="B2679" t="str" s="2">
        <x:v>Heritage Housing Mt Pleasant</x:v>
      </x:c>
      <x:c r="C2679" t="str" s="2">
        <x:v/>
      </x:c>
      <x:c r="D2679" t="str" s="2">
        <x:v>9033376162</x:v>
      </x:c>
      <x:c r="E2679" t="str" s="2">
        <x:v>marcelliskalkreuth7@gmail.com</x:v>
      </x:c>
      <x:c r="F2679" t="str" s="2">
        <x:v>Meta Ads - Forms</x:v>
      </x:c>
      <x:c r="G2679" t="str" s="2">
        <x:v>Yarelis Torres</x:v>
      </x:c>
      <x:c r="H2679" s="6">
        <x:v>46210.923665856484</x:v>
      </x:c>
      <x:c r="I2679" s="0"/>
      <x:c r="J2679" s="0"/>
      <x:c r="K2679" s="6">
        <x:v>46248</x:v>
      </x:c>
      <x:c r="L2679" t="str" s="2">
        <x:v>Message Sent</x:v>
      </x:c>
    </x:row>
    <x:row r="2680">
      <x:c r="A2680" t="str" s="2">
        <x:f>="Darek Lawson"</x:f>
      </x:c>
      <x:c r="B2680" t="str" s="2">
        <x:v>Heritage Housing of Albany</x:v>
      </x:c>
      <x:c r="C2680" t="str" s="2">
        <x:v/>
      </x:c>
      <x:c r="D2680" t="str" s="2">
        <x:v>2293132944</x:v>
      </x:c>
      <x:c r="E2680" t="str" s="2">
        <x:v>lawsondarek2024@gmail.com</x:v>
      </x:c>
      <x:c r="F2680" t="str" s="2">
        <x:v>Meta Ads - Forms</x:v>
      </x:c>
      <x:c r="G2680" t="str" s="2">
        <x:v>Yanet Alvarez</x:v>
      </x:c>
      <x:c r="H2680" s="6">
        <x:v>46211.01022207176</x:v>
      </x:c>
      <x:c r="I2680" s="0"/>
      <x:c r="J2680" s="0"/>
      <x:c r="K2680" s="6">
        <x:v>46303</x:v>
      </x:c>
      <x:c r="L2680" t="str" s="2">
        <x:v>Message Sent</x:v>
      </x:c>
    </x:row>
    <x:row r="2681">
      <x:c r="A2681" t="str" s="2">
        <x:f>="Brenda Colclough"</x:f>
      </x:c>
      <x:c r="B2681" t="str" s="2">
        <x:v>Heritage Housing of Minden</x:v>
      </x:c>
      <x:c r="C2681" t="str" s="2">
        <x:v>0/1</x:v>
      </x:c>
      <x:c r="D2681" t="str" s="2">
        <x:v>8703081801</x:v>
      </x:c>
      <x:c r="E2681" t="str" s="2">
        <x:v>timothycolclougg2@gmail.com</x:v>
      </x:c>
      <x:c r="F2681" t="str" s="2">
        <x:v>Meta Ads - Forms</x:v>
      </x:c>
      <x:c r="G2681" t="str" s="2">
        <x:v>Kyla Brown</x:v>
      </x:c>
      <x:c r="H2681" s="6">
        <x:v>46211.073900613424</x:v>
      </x:c>
      <x:c r="I2681" s="0"/>
      <x:c r="J2681" s="6">
        <x:v>46211.833333333336</x:v>
      </x:c>
      <x:c r="K2681" s="6">
        <x:v>46211</x:v>
      </x:c>
      <x:c r="L2681" t="str" s="2">
        <x:v>Message Sent</x:v>
      </x:c>
    </x:row>
    <x:row r="2682">
      <x:c r="A2682" t="str" s="2">
        <x:f>="Dona Franklin"</x:f>
      </x:c>
      <x:c r="B2682" t="str" s="2">
        <x:v>Legacy Housing Corp. DBA Americasa</x:v>
      </x:c>
      <x:c r="C2682" t="str" s="2">
        <x:v/>
      </x:c>
      <x:c r="D2682" t="str" s="2">
        <x:v>2812293964</x:v>
      </x:c>
      <x:c r="E2682" t="str" s="2">
        <x:v>donascfranklin@yahoo.com</x:v>
      </x:c>
      <x:c r="F2682" t="str" s="2">
        <x:v>Financing Form</x:v>
      </x:c>
      <x:c r="G2682" t="str" s="2">
        <x:v>Rodrigo Ramirez</x:v>
      </x:c>
      <x:c r="H2682" s="6">
        <x:v>46211.07634409722</x:v>
      </x:c>
      <x:c r="I2682" s="0"/>
      <x:c r="J2682" s="0"/>
      <x:c r="K2682" s="6">
        <x:v>46211</x:v>
      </x:c>
      <x:c r="L2682" t="str" s="2">
        <x:v>Message Sent</x:v>
      </x:c>
    </x:row>
    <x:row r="2683">
      <x:c r="A2683" t="str" s="2">
        <x:f>="Leslie Duckworth"</x:f>
      </x:c>
      <x:c r="B2683" t="str" s="2">
        <x:v>Heritage Housing of Albany</x:v>
      </x:c>
      <x:c r="C2683" t="str" s="2">
        <x:v>0/1</x:v>
      </x:c>
      <x:c r="D2683" t="str" s="2">
        <x:v>2292720653</x:v>
      </x:c>
      <x:c r="E2683" t="str" s="2">
        <x:v>lesiedawn.lp@gmail.com</x:v>
      </x:c>
      <x:c r="F2683" t="str" s="2">
        <x:v>Meta Ads - Forms</x:v>
      </x:c>
      <x:c r="G2683" t="str" s="2">
        <x:v>Yanet Alvarez</x:v>
      </x:c>
      <x:c r="H2683" s="6">
        <x:v>46211.155781747686</x:v>
      </x:c>
      <x:c r="I2683" s="0"/>
      <x:c r="J2683" s="0"/>
      <x:c r="K2683" s="6">
        <x:v>46303</x:v>
      </x:c>
      <x:c r="L2683" t="str" s="2">
        <x:v>Message Sent</x:v>
      </x:c>
    </x:row>
    <x:row r="2684">
      <x:c r="A2684" t="str" s="2">
        <x:f>="Manuel Sales"</x:f>
      </x:c>
      <x:c r="B2684" t="str" s="2">
        <x:v>Legacy Housing Corp. DBA Americasa</x:v>
      </x:c>
      <x:c r="C2684" t="str" s="2">
        <x:v/>
      </x:c>
      <x:c r="D2684" t="str" s="2">
        <x:v>2813104004</x:v>
      </x:c>
      <x:c r="E2684" t="str" s="2">
        <x:v>mani0969@gmail.com</x:v>
      </x:c>
      <x:c r="F2684" t="str" s="2">
        <x:v>Meta Ads - Forms</x:v>
      </x:c>
      <x:c r="G2684" t="str" s="2">
        <x:v>Jose Parada</x:v>
      </x:c>
      <x:c r="H2684" s="6">
        <x:v>46211.1784508912</x:v>
      </x:c>
      <x:c r="I2684" s="0"/>
      <x:c r="J2684" s="0"/>
      <x:c r="K2684" s="6">
        <x:v>46232</x:v>
      </x:c>
      <x:c r="L2684" t="str" s="2">
        <x:v>Message Sent</x:v>
      </x:c>
    </x:row>
    <x:row r="2685">
      <x:c r="A2685" t="str" s="2">
        <x:f>="Robert Greenwood"</x:f>
      </x:c>
      <x:c r="B2685" t="str" s="2">
        <x:v>Heritage Housing of Greenville</x:v>
      </x:c>
      <x:c r="C2685" t="str" s="2">
        <x:v/>
      </x:c>
      <x:c r="D2685" t="str" s="2">
        <x:v>4697556277</x:v>
      </x:c>
      <x:c r="E2685" t="str" s="2">
        <x:v>64rg@gmail.com</x:v>
      </x:c>
      <x:c r="F2685" t="str" s="2">
        <x:v>Meta Ads - Forms</x:v>
      </x:c>
      <x:c r="G2685" t="str" s="2">
        <x:v>Greg Christman</x:v>
      </x:c>
      <x:c r="H2685" s="6">
        <x:v>46211.21950304398</x:v>
      </x:c>
      <x:c r="I2685" s="0"/>
      <x:c r="J2685" s="0"/>
      <x:c r="K2685" s="6">
        <x:v>46221</x:v>
      </x:c>
      <x:c r="L2685" t="str" s="2">
        <x:v>Message Sent</x:v>
      </x:c>
    </x:row>
    <x:row r="2686">
      <x:c r="A2686" t="str" s="2">
        <x:f>="Dominick Pritchett"</x:f>
      </x:c>
      <x:c r="B2686" t="str" s="2">
        <x:v>Heritage Housing of Athens</x:v>
      </x:c>
      <x:c r="C2686" t="str" s="2">
        <x:v/>
      </x:c>
      <x:c r="D2686" t="str" s="2">
        <x:v>4049133149</x:v>
      </x:c>
      <x:c r="E2686" t="str" s="2">
        <x:v>nickpritchett21190@gmail.com</x:v>
      </x:c>
      <x:c r="F2686" t="str" s="2">
        <x:v>Meta Ads - Forms</x:v>
      </x:c>
      <x:c r="G2686" t="str" s="2">
        <x:v>Nathan Bishop</x:v>
      </x:c>
      <x:c r="H2686" s="6">
        <x:v>46211.27895570602</x:v>
      </x:c>
      <x:c r="I2686" s="0"/>
      <x:c r="J2686" s="0"/>
      <x:c r="K2686" s="6">
        <x:v>46267</x:v>
      </x:c>
      <x:c r="L2686" t="str" s="2">
        <x:v>Message Sent</x:v>
      </x:c>
    </x:row>
    <x:row r="2687">
      <x:c r="A2687" t="str" s="2">
        <x:f>="Craig Smith"</x:f>
      </x:c>
      <x:c r="B2687" t="str" s="2">
        <x:v>Heritage Housing of Canton</x:v>
      </x:c>
      <x:c r="C2687" t="str" s="2">
        <x:v/>
      </x:c>
      <x:c r="D2687" t="str" s="2">
        <x:v>4694873162</x:v>
      </x:c>
      <x:c r="E2687" t="str" s="2">
        <x:v>craig9314@gmail.com</x:v>
      </x:c>
      <x:c r="F2687" t="str" s="2">
        <x:v>Meta Ads - Forms</x:v>
      </x:c>
      <x:c r="G2687" t="str" s="2">
        <x:v>Jacob Hatten</x:v>
      </x:c>
      <x:c r="H2687" s="6">
        <x:v>46211.44565740741</x:v>
      </x:c>
      <x:c r="I2687" s="0"/>
      <x:c r="J2687" s="0"/>
      <x:c r="K2687" s="6">
        <x:v>46244</x:v>
      </x:c>
      <x:c r="L2687" t="str" s="2">
        <x:v>Message Sent</x:v>
      </x:c>
    </x:row>
    <x:row r="2688">
      <x:c r="A2688" t="str" s="2">
        <x:f>="Joshua Dudley"</x:f>
      </x:c>
      <x:c r="B2688" t="str" s="2">
        <x:v>Heritage Housing of Asheboro</x:v>
      </x:c>
      <x:c r="C2688" t="str" s="2">
        <x:v>0/1</x:v>
      </x:c>
      <x:c r="D2688" t="str" s="2">
        <x:v>9102807672</x:v>
      </x:c>
      <x:c r="E2688" t="str" s="2">
        <x:v>joshuway43@gmail.com</x:v>
      </x:c>
      <x:c r="F2688" t="str" s="2">
        <x:v>Website</x:v>
      </x:c>
      <x:c r="G2688" t="str" s="2">
        <x:v>Maria Lopez</x:v>
      </x:c>
      <x:c r="H2688" s="6">
        <x:v>46211.47073984954</x:v>
      </x:c>
      <x:c r="I2688" s="0"/>
      <x:c r="J2688" s="6">
        <x:v>46222.708333333336</x:v>
      </x:c>
      <x:c r="K2688" s="6">
        <x:v>46259</x:v>
      </x:c>
      <x:c r="L2688" t="str" s="2">
        <x:v>Message Sent</x:v>
      </x:c>
    </x:row>
    <x:row r="2689">
      <x:c r="A2689" t="str" s="2">
        <x:f>="Kevin Conielle"</x:f>
      </x:c>
      <x:c r="B2689" t="str" s="2">
        <x:v>Legacy Housing Corp. DBA Americasa</x:v>
      </x:c>
      <x:c r="C2689" t="str" s="2">
        <x:v/>
      </x:c>
      <x:c r="D2689" t="str" s="2">
        <x:v>8324689321</x:v>
      </x:c>
      <x:c r="E2689" t="str" s="2">
        <x:v>tefinanciamo@gmail.com</x:v>
      </x:c>
      <x:c r="F2689" t="str" s="2">
        <x:v>Meta Ads - Forms</x:v>
      </x:c>
      <x:c r="G2689" t="str" s="2">
        <x:v>Rodrigo Ramirez</x:v>
      </x:c>
      <x:c r="H2689" s="6">
        <x:v>46211.48526408565</x:v>
      </x:c>
      <x:c r="I2689" s="0"/>
      <x:c r="J2689" s="0"/>
      <x:c r="K2689" s="6">
        <x:v>46246</x:v>
      </x:c>
      <x:c r="L2689" t="str" s="2">
        <x:v>Message Sent</x:v>
      </x:c>
    </x:row>
    <x:row r="2690">
      <x:c r="A2690" t="str" s="2">
        <x:f>="Cameron Barnes"</x:f>
      </x:c>
      <x:c r="B2690" t="str" s="2">
        <x:v>Heritage Housing of Tulsa</x:v>
      </x:c>
      <x:c r="C2690" t="str" s="2">
        <x:v/>
      </x:c>
      <x:c r="D2690" t="str" s="2">
        <x:v>9189988457</x:v>
      </x:c>
      <x:c r="E2690" t="str" s="2">
        <x:v>cameronbarnes1003@gmail.com</x:v>
      </x:c>
      <x:c r="F2690" t="str" s="2">
        <x:v>Financing Form</x:v>
      </x:c>
      <x:c r="G2690" t="str" s="2">
        <x:v>Jenna Fransisco</x:v>
      </x:c>
      <x:c r="H2690" s="6">
        <x:v>46211.582235567126</x:v>
      </x:c>
      <x:c r="I2690" s="0"/>
      <x:c r="J2690" s="0"/>
      <x:c r="K2690" s="6">
        <x:v>46238</x:v>
      </x:c>
      <x:c r="L2690" t="str" s="2">
        <x:v>Message Sent</x:v>
      </x:c>
    </x:row>
    <x:row r="2691">
      <x:c r="A2691" t="str" s="2">
        <x:f>="Eric Striblin"</x:f>
      </x:c>
      <x:c r="B2691" t="str" s="2">
        <x:v>Heritage Housing of Asheboro</x:v>
      </x:c>
      <x:c r="C2691" t="str" s="2">
        <x:v/>
      </x:c>
      <x:c r="D2691" t="str" s="2">
        <x:v>3362675648</x:v>
      </x:c>
      <x:c r="E2691" t="str" s="2">
        <x:v>striblineric@yahoo.com</x:v>
      </x:c>
      <x:c r="F2691" t="str" s="2">
        <x:v>Google Ads</x:v>
      </x:c>
      <x:c r="G2691" t="str" s="2">
        <x:v>Maria Lopez</x:v>
      </x:c>
      <x:c r="H2691" s="6">
        <x:v>46211.65214456018</x:v>
      </x:c>
      <x:c r="I2691" s="0"/>
      <x:c r="J2691" s="0"/>
      <x:c r="K2691" s="6">
        <x:v>46259</x:v>
      </x:c>
      <x:c r="L2691" t="str" s="2">
        <x:v>Message Sent</x:v>
      </x:c>
    </x:row>
    <x:row r="2692">
      <x:c r="A2692" t="str" s="2">
        <x:f>="Denise Valentine"</x:f>
      </x:c>
      <x:c r="B2692" t="str" s="2">
        <x:v>Heritage Housing of Athens</x:v>
      </x:c>
      <x:c r="C2692" t="str" s="2">
        <x:v/>
      </x:c>
      <x:c r="D2692" t="str" s="2">
        <x:v>7623169002</x:v>
      </x:c>
      <x:c r="E2692" t="str" s="2">
        <x:v>charlenebrown235@gmail.com</x:v>
      </x:c>
      <x:c r="F2692" t="str" s="2">
        <x:v>LandingPage</x:v>
      </x:c>
      <x:c r="G2692" t="str" s="2">
        <x:v>Nathan Bishop</x:v>
      </x:c>
      <x:c r="H2692" s="6">
        <x:v>46211.669067442126</x:v>
      </x:c>
      <x:c r="I2692" s="0"/>
      <x:c r="J2692" s="0"/>
      <x:c r="K2692" s="6">
        <x:v>46267</x:v>
      </x:c>
      <x:c r="L2692" t="str" s="2">
        <x:v>Message Sent</x:v>
      </x:c>
    </x:row>
    <x:row r="2693">
      <x:c r="A2693" t="str" s="2">
        <x:f>="Sherri Mckinnis"</x:f>
      </x:c>
      <x:c r="B2693" t="str" s="2">
        <x:v>Heritage Housing of Athens</x:v>
      </x:c>
      <x:c r="C2693" t="str" s="2">
        <x:v/>
      </x:c>
      <x:c r="D2693" t="str" s="2">
        <x:v>7622355556</x:v>
      </x:c>
      <x:c r="E2693" t="str" s="2">
        <x:v>nutinbutdatruth@gmail.com</x:v>
      </x:c>
      <x:c r="F2693" t="str" s="2">
        <x:v>Meta Ads - Forms</x:v>
      </x:c>
      <x:c r="G2693" t="str" s="2">
        <x:v>Nathan Bishop</x:v>
      </x:c>
      <x:c r="H2693" s="6">
        <x:v>46211.71038591435</x:v>
      </x:c>
      <x:c r="I2693" s="0"/>
      <x:c r="J2693" s="0"/>
      <x:c r="K2693" s="6">
        <x:v>46252</x:v>
      </x:c>
      <x:c r="L2693" t="str" s="2">
        <x:v>Message Sent</x:v>
      </x:c>
    </x:row>
    <x:row r="2694">
      <x:c r="A2694" t="str" s="2">
        <x:f>="Rocio Orozco"</x:f>
      </x:c>
      <x:c r="B2694" t="str" s="2">
        <x:v>Heritage Housing of Asheboro</x:v>
      </x:c>
      <x:c r="C2694" t="str" s="2">
        <x:v/>
      </x:c>
      <x:c r="D2694" t="str" s="2">
        <x:v>3364656171</x:v>
      </x:c>
      <x:c r="E2694" t="str" s="2">
        <x:v>orozco3088@gmail.com</x:v>
      </x:c>
      <x:c r="F2694" t="str" s="2">
        <x:v>Meta Ads - Traffic</x:v>
      </x:c>
      <x:c r="G2694" t="str" s="2">
        <x:v>Maria Lopez</x:v>
      </x:c>
      <x:c r="H2694" s="6">
        <x:v>46211.791475</x:v>
      </x:c>
      <x:c r="I2694" s="0"/>
      <x:c r="J2694" s="0"/>
      <x:c r="K2694" s="6">
        <x:v>46256</x:v>
      </x:c>
      <x:c r="L2694" t="str" s="2">
        <x:v>Message Sent</x:v>
      </x:c>
    </x:row>
    <x:row r="2695">
      <x:c r="A2695" t="str" s="2">
        <x:f>=HYPERLINK("https://rsms.futurehomex.com/lead/38349", "Johnathan Tovar")</x:f>
      </x:c>
      <x:c r="B2695" t="str" s="2">
        <x:v>Legacy Housing Corp. DBA Americasa</x:v>
      </x:c>
      <x:c r="C2695" t="str" s="2">
        <x:v/>
      </x:c>
      <x:c r="D2695" t="str" s="2">
        <x:v>2817233665</x:v>
      </x:c>
      <x:c r="E2695" t="str" s="2">
        <x:v>2817233665</x:v>
      </x:c>
      <x:c r="F2695" t="str" s="2">
        <x:v>Website</x:v>
      </x:c>
      <x:c r="G2695" t="str" s="2">
        <x:v>Rodrigo Ramirez</x:v>
      </x:c>
      <x:c r="H2695" s="6">
        <x:v>46211.85099849537</x:v>
      </x:c>
      <x:c r="I2695" t="str" s="2">
        <x:v>Angelica Mendoza </x:v>
      </x:c>
      <x:c r="J2695" s="0"/>
      <x:c r="K2695" s="6">
        <x:v>46287</x:v>
      </x:c>
      <x:c r="L2695" t="str" s="2">
        <x:v>Message Sent</x:v>
      </x:c>
    </x:row>
    <x:row r="2696">
      <x:c r="A2696" t="str" s="2">
        <x:f>="Darla Collins"</x:f>
      </x:c>
      <x:c r="B2696" t="str" s="2">
        <x:v>Heritage Housing Marble Falls</x:v>
      </x:c>
      <x:c r="C2696" t="str" s="2">
        <x:v/>
      </x:c>
      <x:c r="D2696" t="str" s="2">
        <x:v>8305073293</x:v>
      </x:c>
      <x:c r="E2696" t="str" s="2">
        <x:v>darlakc.1972.kc@gmail.com</x:v>
      </x:c>
      <x:c r="F2696" t="str" s="2">
        <x:v>Meta Ads - Forms</x:v>
      </x:c>
      <x:c r="G2696" t="str" s="2">
        <x:v>Stephen Sanders</x:v>
      </x:c>
      <x:c r="H2696" s="6">
        <x:v>46211.856719710646</x:v>
      </x:c>
      <x:c r="I2696" s="0"/>
      <x:c r="J2696" s="0"/>
      <x:c r="K2696" s="6">
        <x:v>46211.87185258102</x:v>
      </x:c>
      <x:c r="L2696" t="str" s="2">
        <x:v>Message Sent</x:v>
      </x:c>
    </x:row>
    <x:row r="2697">
      <x:c r="A2697" t="str" s="2">
        <x:f>="Shawn Summerlin"</x:f>
      </x:c>
      <x:c r="B2697" t="str" s="2">
        <x:v>Heritage Housing of Albany</x:v>
      </x:c>
      <x:c r="C2697" t="str" s="2">
        <x:v>0/1</x:v>
      </x:c>
      <x:c r="D2697" t="str" s="2">
        <x:v>4705101976</x:v>
      </x:c>
      <x:c r="E2697" t="str" s="2">
        <x:v>summerlin1336@gmail.com</x:v>
      </x:c>
      <x:c r="F2697" t="str" s="2">
        <x:v>Financing Form</x:v>
      </x:c>
      <x:c r="G2697" t="str" s="2">
        <x:v>Yanet Alvarez</x:v>
      </x:c>
      <x:c r="H2697" s="6">
        <x:v>46212.00329267361</x:v>
      </x:c>
      <x:c r="I2697" s="0"/>
      <x:c r="J2697" s="0"/>
      <x:c r="K2697" s="6">
        <x:v>46303</x:v>
      </x:c>
      <x:c r="L2697" t="str" s="2">
        <x:v>Message Sent</x:v>
      </x:c>
    </x:row>
    <x:row r="2698">
      <x:c r="A2698" t="str" s="2">
        <x:f>="Jorge Muniz"</x:f>
      </x:c>
      <x:c r="B2698" t="str" s="2">
        <x:v>Heritage Housing of Asheboro</x:v>
      </x:c>
      <x:c r="C2698" t="str" s="2">
        <x:v/>
      </x:c>
      <x:c r="D2698" t="str" s="2">
        <x:v>7046707076</x:v>
      </x:c>
      <x:c r="E2698" t="str" s="2">
        <x:v>vicmarfcovillas@gmail.com</x:v>
      </x:c>
      <x:c r="F2698" t="str" s="2">
        <x:v>Meta Ads - Forms</x:v>
      </x:c>
      <x:c r="G2698" t="str" s="2">
        <x:v>Maria Lopez</x:v>
      </x:c>
      <x:c r="H2698" s="6">
        <x:v>46212.00743579861</x:v>
      </x:c>
      <x:c r="I2698" s="0"/>
      <x:c r="J2698" s="0"/>
      <x:c r="K2698" s="6">
        <x:v>46256</x:v>
      </x:c>
      <x:c r="L2698" t="str" s="2">
        <x:v>Message Sent</x:v>
      </x:c>
    </x:row>
    <x:row r="2699">
      <x:c r="A2699" t="str" s="2">
        <x:f>="Jennifer Carranza"</x:f>
      </x:c>
      <x:c r="B2699" t="str" s="2">
        <x:v>Heritage Housing Mt Pleasant</x:v>
      </x:c>
      <x:c r="C2699" t="str" s="2">
        <x:v/>
      </x:c>
      <x:c r="D2699" t="str" s="2">
        <x:v>9035217451</x:v>
      </x:c>
      <x:c r="E2699" t="str" s="2">
        <x:v>9035217451</x:v>
      </x:c>
      <x:c r="F2699" t="str" s="2">
        <x:v>META Marketplace</x:v>
      </x:c>
      <x:c r="G2699" t="str" s="2">
        <x:v>Yarelis Torres</x:v>
      </x:c>
      <x:c r="H2699" s="6">
        <x:v>46212.01692207176</x:v>
      </x:c>
      <x:c r="I2699" s="0"/>
      <x:c r="J2699" s="6">
        <x:v>46219.833333333336</x:v>
      </x:c>
      <x:c r="K2699" s="6">
        <x:v>46248</x:v>
      </x:c>
      <x:c r="L2699" t="str" s="2">
        <x:v>Message Sent</x:v>
      </x:c>
    </x:row>
    <x:row r="2700">
      <x:c r="A2700" t="str" s="2">
        <x:f>="Adren Deas"</x:f>
      </x:c>
      <x:c r="B2700" t="str" s="2">
        <x:v>Heritage Housing Mt Pleasant</x:v>
      </x:c>
      <x:c r="C2700" t="str" s="2">
        <x:v/>
      </x:c>
      <x:c r="D2700" t="str" s="2" xml:space="preserve">
        <x:v> 9034232445    </x:v>
      </x:c>
      <x:c r="E2700" t="str" s="2">
        <x:v>adrendeas2205@gmail.com</x:v>
      </x:c>
      <x:c r="F2700" t="str" s="2">
        <x:v>Meta Ads - Forms</x:v>
      </x:c>
      <x:c r="G2700" t="str" s="2">
        <x:v>Yarelis Torres</x:v>
      </x:c>
      <x:c r="H2700" s="6">
        <x:v>46212.02915181713</x:v>
      </x:c>
      <x:c r="I2700" s="0"/>
      <x:c r="J2700" s="0"/>
      <x:c r="K2700" s="6">
        <x:v>46255</x:v>
      </x:c>
      <x:c r="L2700" t="str" s="2">
        <x:v>Message Sent</x:v>
      </x:c>
    </x:row>
    <x:row r="2701">
      <x:c r="A2701" t="str" s="2">
        <x:f>="JENNIFER Graham"</x:f>
      </x:c>
      <x:c r="B2701" t="str" s="2">
        <x:v>Heritage Housing of Athens</x:v>
      </x:c>
      <x:c r="C2701" t="str" s="2">
        <x:v/>
      </x:c>
      <x:c r="D2701" t="str" s="2">
        <x:v>7064360911</x:v>
      </x:c>
      <x:c r="E2701" t="str" s="2">
        <x:v>JGRAHAM790@GMAIL.COM</x:v>
      </x:c>
      <x:c r="F2701" t="str" s="2">
        <x:v>Website</x:v>
      </x:c>
      <x:c r="G2701" t="str" s="2">
        <x:v>Nathan Bishop</x:v>
      </x:c>
      <x:c r="H2701" s="6">
        <x:v>46212.03589293981</x:v>
      </x:c>
      <x:c r="I2701" s="0"/>
      <x:c r="J2701" s="0"/>
      <x:c r="K2701" s="6">
        <x:v>46267</x:v>
      </x:c>
      <x:c r="L2701" t="str" s="2">
        <x:v>Message Sent</x:v>
      </x:c>
    </x:row>
    <x:row r="2702">
      <x:c r="A2702" t="str" s="2">
        <x:f>="Porshia Burrows"</x:f>
      </x:c>
      <x:c r="B2702" t="str" s="2">
        <x:v>Heritage Housing of Albany</x:v>
      </x:c>
      <x:c r="C2702" t="str" s="2">
        <x:v/>
      </x:c>
      <x:c r="D2702" t="str" s="2">
        <x:v>2293087329</x:v>
      </x:c>
      <x:c r="E2702" t="str" s="2">
        <x:v>porshialove18@gmail.com</x:v>
      </x:c>
      <x:c r="F2702" t="str" s="2">
        <x:v>Financing Form</x:v>
      </x:c>
      <x:c r="G2702" t="str" s="2">
        <x:v>Yanet Alvarez</x:v>
      </x:c>
      <x:c r="H2702" s="6">
        <x:v>46212.05708475695</x:v>
      </x:c>
      <x:c r="I2702" s="0"/>
      <x:c r="J2702" s="0"/>
      <x:c r="K2702" s="6">
        <x:v>46303</x:v>
      </x:c>
      <x:c r="L2702" t="str" s="2">
        <x:v>Message Sent</x:v>
      </x:c>
    </x:row>
    <x:row r="2703">
      <x:c r="A2703" t="str" s="2">
        <x:f>="Brandee Felan"</x:f>
      </x:c>
      <x:c r="B2703" t="str" s="2">
        <x:v>Heritage Housing of Oklahoma City</x:v>
      </x:c>
      <x:c r="C2703" t="str" s="2">
        <x:v>0/4</x:v>
      </x:c>
      <x:c r="D2703" t="str" s="2">
        <x:v>4059010887</x:v>
      </x:c>
      <x:c r="E2703" t="str" s="2">
        <x:v>brandeemo1973@gmail.com</x:v>
      </x:c>
      <x:c r="F2703" t="str" s="2">
        <x:v>Website</x:v>
      </x:c>
      <x:c r="G2703" t="str" s="2">
        <x:v>Steve Castell</x:v>
      </x:c>
      <x:c r="H2703" s="6">
        <x:v>46212.05780633102</x:v>
      </x:c>
      <x:c r="I2703" s="0"/>
      <x:c r="J2703" s="6">
        <x:v>46237.833333333336</x:v>
      </x:c>
      <x:c r="K2703" s="6">
        <x:v>46241</x:v>
      </x:c>
      <x:c r="L2703" t="str" s="2">
        <x:v>Message Sent</x:v>
      </x:c>
    </x:row>
    <x:row r="2704">
      <x:c r="A2704" t="str" s="2">
        <x:f>="Scotty Mack"</x:f>
      </x:c>
      <x:c r="B2704" t="str" s="2">
        <x:v>Heritage Housing of Augusta</x:v>
      </x:c>
      <x:c r="C2704" t="str" s="2">
        <x:v/>
      </x:c>
      <x:c r="D2704" t="str" s="2">
        <x:v>7068312477</x:v>
      </x:c>
      <x:c r="E2704" t="str" s="2">
        <x:v>mackscotty6@gmail.com</x:v>
      </x:c>
      <x:c r="F2704" t="str" s="2">
        <x:v>Meta Ads - Forms</x:v>
      </x:c>
      <x:c r="G2704" t="str" s="2">
        <x:v>Jose Chavez</x:v>
      </x:c>
      <x:c r="H2704" s="6">
        <x:v>46212.06979872685</x:v>
      </x:c>
      <x:c r="I2704" s="0"/>
      <x:c r="J2704" s="0"/>
      <x:c r="K2704" s="6">
        <x:v>46213</x:v>
      </x:c>
      <x:c r="L2704" t="str" s="2">
        <x:v>Message Sent</x:v>
      </x:c>
    </x:row>
    <x:row r="2705">
      <x:c r="A2705" t="str" s="2">
        <x:f>="Steven Motley"</x:f>
      </x:c>
      <x:c r="B2705" t="str" s="2">
        <x:v>Heritage Housing of Asheboro</x:v>
      </x:c>
      <x:c r="C2705" t="str" s="2">
        <x:v/>
      </x:c>
      <x:c r="D2705" t="str" s="2">
        <x:v>3362662345</x:v>
      </x:c>
      <x:c r="E2705" t="str" s="2">
        <x:v>stevenmotley405@gmail.com</x:v>
      </x:c>
      <x:c r="F2705" t="str" s="2">
        <x:v>Financing Form</x:v>
      </x:c>
      <x:c r="G2705" t="str" s="2">
        <x:v>Maria Lopez</x:v>
      </x:c>
      <x:c r="H2705" s="6">
        <x:v>46212.09656369213</x:v>
      </x:c>
      <x:c r="I2705" s="0"/>
      <x:c r="J2705" s="0"/>
      <x:c r="K2705" s="6">
        <x:v>46259</x:v>
      </x:c>
      <x:c r="L2705" t="str" s="2">
        <x:v>Message Sent</x:v>
      </x:c>
    </x:row>
    <x:row r="2706">
      <x:c r="A2706" t="str" s="2">
        <x:f>="Andi Gles"</x:f>
      </x:c>
      <x:c r="B2706" t="str" s="2">
        <x:v>Heritage Housing Gainesville</x:v>
      </x:c>
      <x:c r="C2706" t="str" s="2">
        <x:v/>
      </x:c>
      <x:c r="D2706" t="str" s="2">
        <x:v>9405805861</x:v>
      </x:c>
      <x:c r="E2706" t="str" s="2">
        <x:v>ysel_1997@live.com</x:v>
      </x:c>
      <x:c r="F2706" t="str" s="2">
        <x:v>Meta Ads - Forms</x:v>
      </x:c>
      <x:c r="G2706" t="str" s="2">
        <x:v>Kelly Ford</x:v>
      </x:c>
      <x:c r="H2706" s="6">
        <x:v>46212.0965778125</x:v>
      </x:c>
      <x:c r="I2706" s="0"/>
      <x:c r="J2706" s="0"/>
      <x:c r="K2706" s="6">
        <x:v>46269</x:v>
      </x:c>
      <x:c r="L2706" t="str" s="2">
        <x:v>Message Sent</x:v>
      </x:c>
    </x:row>
    <x:row r="2707">
      <x:c r="A2707" t="str" s="2">
        <x:f>="Brenda Flores"</x:f>
      </x:c>
      <x:c r="B2707" t="str" s="2">
        <x:v>Legacy Housing Corp. DBA Americasa</x:v>
      </x:c>
      <x:c r="C2707" t="str" s="2">
        <x:v/>
      </x:c>
      <x:c r="D2707" t="str" s="2">
        <x:v>3464510477</x:v>
      </x:c>
      <x:c r="E2707" t="str" s="2">
        <x:v>brendat3534@icloud.com</x:v>
      </x:c>
      <x:c r="F2707" t="str" s="2">
        <x:v>Meta Ads - Forms</x:v>
      </x:c>
      <x:c r="G2707" t="str" s="2">
        <x:v>Jose Parada</x:v>
      </x:c>
      <x:c r="H2707" s="6">
        <x:v>46212.10157503472</x:v>
      </x:c>
      <x:c r="I2707" s="0"/>
      <x:c r="J2707" s="0"/>
      <x:c r="K2707" s="6">
        <x:v>46232</x:v>
      </x:c>
      <x:c r="L2707" t="str" s="2">
        <x:v>Message Sent</x:v>
      </x:c>
    </x:row>
    <x:row r="2708">
      <x:c r="A2708" t="str" s="2">
        <x:f>="Eduardo Barcenas"</x:f>
      </x:c>
      <x:c r="B2708" t="str" s="2">
        <x:v>Heritage Housing of Albany</x:v>
      </x:c>
      <x:c r="C2708" t="str" s="2">
        <x:v>0/1</x:v>
      </x:c>
      <x:c r="D2708" t="str" s="2">
        <x:v>4307759188</x:v>
      </x:c>
      <x:c r="E2708" t="str" s="2">
        <x:v>brendaramirez8493@gmail.com</x:v>
      </x:c>
      <x:c r="F2708" t="str" s="2">
        <x:v>Financing Form</x:v>
      </x:c>
      <x:c r="G2708" t="str" s="2">
        <x:v>Yanet Alvarez</x:v>
      </x:c>
      <x:c r="H2708" s="6">
        <x:v>46212.1353283912</x:v>
      </x:c>
      <x:c r="I2708" s="0"/>
      <x:c r="J2708" s="0"/>
      <x:c r="K2708" s="6">
        <x:v>46303</x:v>
      </x:c>
      <x:c r="L2708" t="str" s="2">
        <x:v>Message Sent</x:v>
      </x:c>
    </x:row>
    <x:row r="2709">
      <x:c r="A2709" t="str" s="2">
        <x:f>="Karen Griffin"</x:f>
      </x:c>
      <x:c r="B2709" t="str" s="2">
        <x:v>Heritage Housing of Asheboro</x:v>
      </x:c>
      <x:c r="C2709" t="str" s="2">
        <x:v/>
      </x:c>
      <x:c r="D2709" t="str" s="2">
        <x:v>9802542553</x:v>
      </x:c>
      <x:c r="E2709" t="str" s="2">
        <x:v>karengriffin646@gmail.com</x:v>
      </x:c>
      <x:c r="F2709" t="str" s="2">
        <x:v>Meta Ads - Forms</x:v>
      </x:c>
      <x:c r="G2709" t="str" s="2">
        <x:v>Maria Lopez</x:v>
      </x:c>
      <x:c r="H2709" s="6">
        <x:v>46212.2803866088</x:v>
      </x:c>
      <x:c r="I2709" s="0"/>
      <x:c r="J2709" s="0"/>
      <x:c r="K2709" s="6">
        <x:v>46255</x:v>
      </x:c>
      <x:c r="L2709" t="str" s="2">
        <x:v>Message Sent</x:v>
      </x:c>
    </x:row>
    <x:row r="2710">
      <x:c r="A2710" t="str" s="2">
        <x:f>="Lisa Rothman"</x:f>
      </x:c>
      <x:c r="B2710" t="str" s="2">
        <x:v>Heritage Housing of Tulsa</x:v>
      </x:c>
      <x:c r="C2710" t="str" s="2">
        <x:v/>
      </x:c>
      <x:c r="D2710" t="str" s="2">
        <x:v>9362326630</x:v>
      </x:c>
      <x:c r="E2710" t="str" s="2">
        <x:v>lmr1481@gmail.com</x:v>
      </x:c>
      <x:c r="F2710" t="str" s="2">
        <x:v>Website</x:v>
      </x:c>
      <x:c r="G2710" t="str" s="2">
        <x:v>Jenna Fransisco</x:v>
      </x:c>
      <x:c r="H2710" s="6">
        <x:v>46212.2820755787</x:v>
      </x:c>
      <x:c r="I2710" s="0"/>
      <x:c r="J2710" s="0"/>
      <x:c r="K2710" s="6">
        <x:v>46259</x:v>
      </x:c>
      <x:c r="L2710" t="str" s="2">
        <x:v>Message Sent</x:v>
      </x:c>
    </x:row>
    <x:row r="2711">
      <x:c r="A2711" t="str" s="2">
        <x:f>="Princess Bell"</x:f>
      </x:c>
      <x:c r="B2711" t="str" s="2">
        <x:v>Heritage Housing of Tulsa</x:v>
      </x:c>
      <x:c r="C2711" t="str" s="2">
        <x:v/>
      </x:c>
      <x:c r="D2711" t="str" s="2">
        <x:v>9183725638</x:v>
      </x:c>
      <x:c r="E2711" t="str" s="2">
        <x:v>princess.bell1984@gmail.com</x:v>
      </x:c>
      <x:c r="F2711" t="str" s="2">
        <x:v>Financing Form</x:v>
      </x:c>
      <x:c r="G2711" t="str" s="2">
        <x:v>Jenna Fransisco</x:v>
      </x:c>
      <x:c r="H2711" s="6">
        <x:v>46212.28965547454</x:v>
      </x:c>
      <x:c r="I2711" s="0"/>
      <x:c r="J2711" s="0"/>
      <x:c r="K2711" s="6">
        <x:v>46245</x:v>
      </x:c>
      <x:c r="L2711" t="str" s="2">
        <x:v>Message Sent</x:v>
      </x:c>
    </x:row>
    <x:row r="2712">
      <x:c r="A2712" t="str" s="2">
        <x:f>="Juan Francisco Otero"</x:f>
      </x:c>
      <x:c r="B2712" t="str" s="2">
        <x:v>Heritage Housing Gainesville</x:v>
      </x:c>
      <x:c r="C2712" t="str" s="2">
        <x:v/>
      </x:c>
      <x:c r="D2712" t="str" s="2">
        <x:v>8175001527</x:v>
      </x:c>
      <x:c r="E2712" t="str" s="2">
        <x:v>geegohard713@gmail.com</x:v>
      </x:c>
      <x:c r="F2712" t="str" s="2">
        <x:v>Meta Ads - Forms</x:v>
      </x:c>
      <x:c r="G2712" t="str" s="2">
        <x:v>Kelly Ford</x:v>
      </x:c>
      <x:c r="H2712" s="6">
        <x:v>46212.50612167824</x:v>
      </x:c>
      <x:c r="I2712" s="0"/>
      <x:c r="J2712" s="0"/>
      <x:c r="K2712" s="6">
        <x:v>46297</x:v>
      </x:c>
      <x:c r="L2712" t="str" s="2">
        <x:v>Message Sent</x:v>
      </x:c>
    </x:row>
    <x:row r="2713">
      <x:c r="A2713" t="str" s="2">
        <x:f>="Rachael Johnson"</x:f>
      </x:c>
      <x:c r="B2713" t="str" s="2">
        <x:v>Heritage Housing of Canton</x:v>
      </x:c>
      <x:c r="C2713" t="str" s="2">
        <x:v/>
      </x:c>
      <x:c r="D2713" t="str" s="2">
        <x:v>5042698960</x:v>
      </x:c>
      <x:c r="E2713" t="str" s="2">
        <x:v>rachaeljohnson50410@yahoo.com</x:v>
      </x:c>
      <x:c r="F2713" t="str" s="2">
        <x:v>Meta Ads - Forms</x:v>
      </x:c>
      <x:c r="G2713" t="str" s="2">
        <x:v>Jacob Hatten</x:v>
      </x:c>
      <x:c r="H2713" s="6">
        <x:v>46212.62507184028</x:v>
      </x:c>
      <x:c r="I2713" s="0"/>
      <x:c r="J2713" s="0"/>
      <x:c r="K2713" s="6">
        <x:v>46228</x:v>
      </x:c>
      <x:c r="L2713" t="str" s="2">
        <x:v>Message Sent</x:v>
      </x:c>
    </x:row>
    <x:row r="2714">
      <x:c r="A2714" t="str" s="2">
        <x:f>="Ernestina Harris"</x:f>
      </x:c>
      <x:c r="B2714" t="str" s="2">
        <x:v>Heritage Housing of Canton</x:v>
      </x:c>
      <x:c r="C2714" t="str" s="2">
        <x:v/>
      </x:c>
      <x:c r="D2714" t="str" s="2">
        <x:v>4328976464</x:v>
      </x:c>
      <x:c r="E2714" t="str" s="2">
        <x:v>ernestinaharris49@gmail.com</x:v>
      </x:c>
      <x:c r="F2714" t="str" s="2">
        <x:v>Meta Ads - Forms</x:v>
      </x:c>
      <x:c r="G2714" t="str" s="2">
        <x:v>Jacob Hatten</x:v>
      </x:c>
      <x:c r="H2714" s="6">
        <x:v>46212.630880474535</x:v>
      </x:c>
      <x:c r="I2714" s="0"/>
      <x:c r="J2714" s="0"/>
      <x:c r="K2714" s="6">
        <x:v>46244</x:v>
      </x:c>
      <x:c r="L2714" t="str" s="2">
        <x:v>Message Sent</x:v>
      </x:c>
    </x:row>
    <x:row r="2715">
      <x:c r="A2715" t="str" s="2">
        <x:f>=HYPERLINK("https://rsms.futurehomex.com/lead/38370", "Glenda Kitchens")</x:f>
      </x:c>
      <x:c r="B2715" t="str" s="2">
        <x:v>Heritage Housing of Oklahoma City</x:v>
      </x:c>
      <x:c r="C2715" t="str" s="2">
        <x:v/>
      </x:c>
      <x:c r="D2715" t="str" s="2">
        <x:v>4424561965</x:v>
      </x:c>
      <x:c r="E2715" t="str" s="2">
        <x:v>glendak760@gmail.com</x:v>
      </x:c>
      <x:c r="F2715" t="str" s="2">
        <x:v>Meta Ads - Forms</x:v>
      </x:c>
      <x:c r="G2715" t="str" s="2">
        <x:v>Trey Rixleben</x:v>
      </x:c>
      <x:c r="H2715" s="6">
        <x:v>46212.70773619213</x:v>
      </x:c>
      <x:c r="I2715" t="str" s="2">
        <x:v>Trey Rixleben</x:v>
      </x:c>
      <x:c r="J2715" s="0"/>
      <x:c r="K2715" s="6">
        <x:v>46212</x:v>
      </x:c>
      <x:c r="L2715" t="str" s="2">
        <x:v>Message Sent</x:v>
      </x:c>
    </x:row>
    <x:row r="2716">
      <x:c r="A2716" t="str" s="2">
        <x:f>="queenie Lee"</x:f>
      </x:c>
      <x:c r="B2716" t="str" s="2">
        <x:v>Heritage Housing of Asheboro</x:v>
      </x:c>
      <x:c r="C2716" t="str" s="2">
        <x:v/>
      </x:c>
      <x:c r="D2716" t="str" s="2">
        <x:v>3363545641</x:v>
      </x:c>
      <x:c r="E2716" t="str" s="2">
        <x:v>islizzy2331@gmail.com</x:v>
      </x:c>
      <x:c r="F2716" t="str" s="2">
        <x:v>Meta Ads - Forms</x:v>
      </x:c>
      <x:c r="G2716" t="str" s="2">
        <x:v>Maria Lopez</x:v>
      </x:c>
      <x:c r="H2716" s="6">
        <x:v>46212.78501056713</x:v>
      </x:c>
      <x:c r="I2716" s="0"/>
      <x:c r="J2716" s="0"/>
      <x:c r="K2716" s="6">
        <x:v>46255</x:v>
      </x:c>
      <x:c r="L2716" t="str" s="2">
        <x:v>Message Sent</x:v>
      </x:c>
    </x:row>
    <x:row r="2717">
      <x:c r="A2717" t="str" s="2">
        <x:f>="Shiron Biehunko"</x:f>
      </x:c>
      <x:c r="B2717" t="str" s="2">
        <x:v>Heritage Housing of Canton</x:v>
      </x:c>
      <x:c r="C2717" t="str" s="2">
        <x:v/>
      </x:c>
      <x:c r="D2717" t="str" s="2">
        <x:v>2544208786</x:v>
      </x:c>
      <x:c r="E2717" t="str" s="2">
        <x:v>doveshiron62@gmail.com</x:v>
      </x:c>
      <x:c r="F2717" t="str" s="2">
        <x:v>Meta Ads - Forms</x:v>
      </x:c>
      <x:c r="G2717" t="str" s="2">
        <x:v>Jacob Hatten</x:v>
      </x:c>
      <x:c r="H2717" s="6">
        <x:v>46212.79620520833</x:v>
      </x:c>
      <x:c r="I2717" s="0"/>
      <x:c r="J2717" s="0"/>
      <x:c r="K2717" s="6">
        <x:v>46244</x:v>
      </x:c>
      <x:c r="L2717" t="str" s="2">
        <x:v>Message Sent</x:v>
      </x:c>
    </x:row>
    <x:row r="2718">
      <x:c r="A2718" t="str" s="2">
        <x:f>="Granny's GrubHub"</x:f>
      </x:c>
      <x:c r="B2718" t="str" s="2">
        <x:v>Heritage Housing of Asheboro</x:v>
      </x:c>
      <x:c r="C2718" t="str" s="2">
        <x:v>0/1</x:v>
      </x:c>
      <x:c r="D2718" t="str" s="2">
        <x:v>9802001462</x:v>
      </x:c>
      <x:c r="E2718" t="str" s="2">
        <x:v>corettaorr124@gmail.com</x:v>
      </x:c>
      <x:c r="F2718" t="str" s="2">
        <x:v>Meta Ads - Forms</x:v>
      </x:c>
      <x:c r="G2718" t="str" s="2">
        <x:v>Maria Lopez</x:v>
      </x:c>
      <x:c r="H2718" s="6">
        <x:v>46212.79725494213</x:v>
      </x:c>
      <x:c r="I2718" s="0"/>
      <x:c r="J2718" s="0"/>
      <x:c r="K2718" s="6">
        <x:v>46256</x:v>
      </x:c>
      <x:c r="L2718" t="str" s="2">
        <x:v>Message Sent</x:v>
      </x:c>
    </x:row>
    <x:row r="2719">
      <x:c r="A2719" t="str" s="2">
        <x:f>="Misty Martinez"</x:f>
      </x:c>
      <x:c r="B2719" t="str" s="2">
        <x:v>Heritage Housing of Asheboro</x:v>
      </x:c>
      <x:c r="C2719" t="str" s="2">
        <x:v/>
      </x:c>
      <x:c r="D2719" t="str" s="2">
        <x:v>9107305252</x:v>
      </x:c>
      <x:c r="E2719" t="str" s="2">
        <x:v>miztyblaxk@gmail.com</x:v>
      </x:c>
      <x:c r="F2719" t="str" s="2">
        <x:v>Website</x:v>
      </x:c>
      <x:c r="G2719" t="str" s="2">
        <x:v>Maria Lopez</x:v>
      </x:c>
      <x:c r="H2719" s="6">
        <x:v>46212.80109050926</x:v>
      </x:c>
      <x:c r="I2719" s="0"/>
      <x:c r="J2719" s="0"/>
      <x:c r="K2719" s="6">
        <x:v>46273</x:v>
      </x:c>
      <x:c r="L2719" t="str" s="2">
        <x:v>Message Sent</x:v>
      </x:c>
    </x:row>
    <x:row r="2720">
      <x:c r="A2720" t="str" s="2">
        <x:f>="Linda Poplin"</x:f>
      </x:c>
      <x:c r="B2720" t="str" s="2">
        <x:v>Heritage Housing of Asheboro</x:v>
      </x:c>
      <x:c r="C2720" t="str" s="2">
        <x:v/>
      </x:c>
      <x:c r="D2720" t="str" s="2">
        <x:v>3366997823</x:v>
      </x:c>
      <x:c r="E2720" t="str" s="2">
        <x:v>lindap41258@gmail.com</x:v>
      </x:c>
      <x:c r="F2720" t="str" s="2">
        <x:v>Meta Ads - Traffic</x:v>
      </x:c>
      <x:c r="G2720" t="str" s="2">
        <x:v>Maria Lopez</x:v>
      </x:c>
      <x:c r="H2720" s="6">
        <x:v>46212.85711547454</x:v>
      </x:c>
      <x:c r="I2720" s="0"/>
      <x:c r="J2720" s="0"/>
      <x:c r="K2720" s="6">
        <x:v>46256</x:v>
      </x:c>
      <x:c r="L2720" t="str" s="2">
        <x:v>Message Sent</x:v>
      </x:c>
    </x:row>
    <x:row r="2721">
      <x:c r="A2721" t="str" s="2">
        <x:f>="Sherry Foster"</x:f>
      </x:c>
      <x:c r="B2721" t="str" s="2">
        <x:v>Heritage Housing of Asheboro</x:v>
      </x:c>
      <x:c r="C2721" t="str" s="2">
        <x:v/>
      </x:c>
      <x:c r="D2721" t="str" s="2">
        <x:v>9107299299</x:v>
      </x:c>
      <x:c r="E2721" t="str" s="2">
        <x:v>sshappie@gmail.com</x:v>
      </x:c>
      <x:c r="F2721" t="str" s="2">
        <x:v>Meta Ads - Forms</x:v>
      </x:c>
      <x:c r="G2721" t="str" s="2">
        <x:v>Maria Lopez</x:v>
      </x:c>
      <x:c r="H2721" s="6">
        <x:v>46212.939304548614</x:v>
      </x:c>
      <x:c r="I2721" s="0"/>
      <x:c r="J2721" s="0"/>
      <x:c r="K2721" s="6">
        <x:v>46258</x:v>
      </x:c>
      <x:c r="L2721" t="str" s="2">
        <x:v>Message Sent</x:v>
      </x:c>
    </x:row>
    <x:row r="2722">
      <x:c r="A2722" t="str" s="2">
        <x:f>="Maria Ramez"</x:f>
      </x:c>
      <x:c r="B2722" t="str" s="2">
        <x:v>Heritage Housing Gainesville</x:v>
      </x:c>
      <x:c r="C2722" t="str" s="2">
        <x:v/>
      </x:c>
      <x:c r="D2722" t="str" s="2" xml:space="preserve">
        <x:v> 2818505237    </x:v>
      </x:c>
      <x:c r="E2722" t="str" s="2">
        <x:v>ramez0466@gmail.com</x:v>
      </x:c>
      <x:c r="F2722" t="str" s="2">
        <x:v>Meta Ads - Traffic</x:v>
      </x:c>
      <x:c r="G2722" t="str" s="2">
        <x:v>Jeniffer Arellano</x:v>
      </x:c>
      <x:c r="H2722" s="6">
        <x:v>46212.97840478009</x:v>
      </x:c>
      <x:c r="I2722" s="0"/>
      <x:c r="J2722" s="0"/>
      <x:c r="K2722" s="6">
        <x:v>46269</x:v>
      </x:c>
      <x:c r="L2722" t="str" s="2">
        <x:v>Message Sent</x:v>
      </x:c>
    </x:row>
    <x:row r="2723">
      <x:c r="A2723" t="str" s="2">
        <x:f>="asiah Johnson"</x:f>
      </x:c>
      <x:c r="B2723" t="str" s="2">
        <x:v>Heritage Housing of Greenville</x:v>
      </x:c>
      <x:c r="C2723" t="str" s="2">
        <x:v>0/1</x:v>
      </x:c>
      <x:c r="D2723" t="str" s="2">
        <x:v>9855169861</x:v>
      </x:c>
      <x:c r="E2723" t="str" s="2">
        <x:v>asiahjohnson@icloud.com</x:v>
      </x:c>
      <x:c r="F2723" t="str" s="2">
        <x:v>Meta Ads - Forms</x:v>
      </x:c>
      <x:c r="G2723" t="str" s="2">
        <x:v>Greg Christman</x:v>
      </x:c>
      <x:c r="H2723" s="6">
        <x:v>46212.99263738426</x:v>
      </x:c>
      <x:c r="I2723" s="0"/>
      <x:c r="J2723" s="0"/>
      <x:c r="K2723" s="6">
        <x:v>46221</x:v>
      </x:c>
      <x:c r="L2723" t="str" s="2">
        <x:v>Message Sent</x:v>
      </x:c>
    </x:row>
    <x:row r="2724">
      <x:c r="A2724" t="str" s="2">
        <x:f>="Brian Joseph Wake"</x:f>
      </x:c>
      <x:c r="B2724" t="str" s="2">
        <x:v>Legacy Housing Corp. DBA Americasa</x:v>
      </x:c>
      <x:c r="C2724" t="str" s="2">
        <x:v/>
      </x:c>
      <x:c r="D2724" t="str" s="2">
        <x:v>8324235201</x:v>
      </x:c>
      <x:c r="E2724" t="str" s="2">
        <x:v>brianjosephwake@gmail.com</x:v>
      </x:c>
      <x:c r="F2724" t="str" s="2">
        <x:v>Cliengo Bot</x:v>
      </x:c>
      <x:c r="G2724" t="str" s="2">
        <x:v>Jose Parada</x:v>
      </x:c>
      <x:c r="H2724" s="6">
        <x:v>46212.99568063657</x:v>
      </x:c>
      <x:c r="I2724" s="0"/>
      <x:c r="J2724" s="0"/>
      <x:c r="K2724" s="6">
        <x:v>46232</x:v>
      </x:c>
      <x:c r="L2724" t="str" s="2">
        <x:v>Message Sent</x:v>
      </x:c>
    </x:row>
    <x:row r="2725">
      <x:c r="A2725" t="str" s="2">
        <x:f>="Cheryl Doram Effiom"</x:f>
      </x:c>
      <x:c r="B2725" t="str" s="2">
        <x:v>Heritage Housing of Greenville</x:v>
      </x:c>
      <x:c r="C2725" t="str" s="2">
        <x:v>0/2</x:v>
      </x:c>
      <x:c r="D2725" t="str" s="2">
        <x:v>5133254267</x:v>
      </x:c>
      <x:c r="E2725" t="str" s="2">
        <x:v>sunshineluvhair63@gmail.com</x:v>
      </x:c>
      <x:c r="F2725" t="str" s="2">
        <x:v>Meta Ads - Forms</x:v>
      </x:c>
      <x:c r="G2725" t="str" s="2">
        <x:v>Greg Christman</x:v>
      </x:c>
      <x:c r="H2725" s="6">
        <x:v>46213.074958136574</x:v>
      </x:c>
      <x:c r="I2725" s="0"/>
      <x:c r="J2725" s="0"/>
      <x:c r="K2725" s="6">
        <x:v>46221</x:v>
      </x:c>
      <x:c r="L2725" t="str" s="2">
        <x:v>Message Sent</x:v>
      </x:c>
    </x:row>
    <x:row r="2726">
      <x:c r="A2726" t="str" s="2">
        <x:f>="Caleb raffensperger"</x:f>
      </x:c>
      <x:c r="B2726" t="str" s="2">
        <x:v>Heritage Housing of Tulsa</x:v>
      </x:c>
      <x:c r="C2726" t="str" s="2">
        <x:v>0/1</x:v>
      </x:c>
      <x:c r="D2726" t="str" s="2">
        <x:v>9189860380</x:v>
      </x:c>
      <x:c r="E2726" t="str" s="2">
        <x:v>Calebcooldabe@gmail.com</x:v>
      </x:c>
      <x:c r="F2726" t="str" s="2">
        <x:v>Meta Ads - Forms</x:v>
      </x:c>
      <x:c r="G2726" t="str" s="2">
        <x:v>Jenna Fransisco</x:v>
      </x:c>
      <x:c r="H2726" s="6">
        <x:v>46213.11142681713</x:v>
      </x:c>
      <x:c r="I2726" s="0"/>
      <x:c r="J2726" s="0"/>
      <x:c r="K2726" s="6">
        <x:v>46238</x:v>
      </x:c>
      <x:c r="L2726" t="str" s="2">
        <x:v>Message Sent</x:v>
      </x:c>
    </x:row>
    <x:row r="2727">
      <x:c r="A2727" t="str" s="2">
        <x:f>="Danny Michael"</x:f>
      </x:c>
      <x:c r="B2727" t="str" s="2">
        <x:v>Heritage Housing of Tulsa</x:v>
      </x:c>
      <x:c r="C2727" t="str" s="2">
        <x:v/>
      </x:c>
      <x:c r="D2727" t="str" s="2">
        <x:v>9185576543</x:v>
      </x:c>
      <x:c r="E2727" t="str" s="2">
        <x:v>dannylee1060@gmail.com</x:v>
      </x:c>
      <x:c r="F2727" t="str" s="2">
        <x:v>Meta Ads - Forms</x:v>
      </x:c>
      <x:c r="G2727" t="str" s="2">
        <x:v>Jenna Fransisco</x:v>
      </x:c>
      <x:c r="H2727" s="6">
        <x:v>46213.161906678244</x:v>
      </x:c>
      <x:c r="I2727" s="0"/>
      <x:c r="J2727" s="0"/>
      <x:c r="K2727" s="6">
        <x:v>46251</x:v>
      </x:c>
      <x:c r="L2727" t="str" s="2">
        <x:v>Message Sent</x:v>
      </x:c>
    </x:row>
    <x:row r="2728">
      <x:c r="A2728" t="str" s="2">
        <x:f>="Natalia Leal"</x:f>
      </x:c>
      <x:c r="B2728" t="str" s="2">
        <x:v>Heritage Housing of Greenville</x:v>
      </x:c>
      <x:c r="C2728" t="str" s="2">
        <x:v/>
      </x:c>
      <x:c r="D2728" t="str" s="2">
        <x:v>4696709278</x:v>
      </x:c>
      <x:c r="E2728" t="str" s="2">
        <x:v>lola1959leal@gmail.com</x:v>
      </x:c>
      <x:c r="F2728" t="str" s="2">
        <x:v>Meta Ads - Forms</x:v>
      </x:c>
      <x:c r="G2728" t="str" s="2">
        <x:v>Greg Christman</x:v>
      </x:c>
      <x:c r="H2728" s="6">
        <x:v>46213.1657903125</x:v>
      </x:c>
      <x:c r="I2728" s="0"/>
      <x:c r="J2728" s="0"/>
      <x:c r="K2728" s="6">
        <x:v>46221</x:v>
      </x:c>
      <x:c r="L2728" t="str" s="2">
        <x:v>Message Sent</x:v>
      </x:c>
    </x:row>
    <x:row r="2729">
      <x:c r="A2729" t="str" s="2">
        <x:f>="Sharron Earle"</x:f>
      </x:c>
      <x:c r="B2729" t="str" s="2">
        <x:v>Heritage Housing of Asheboro</x:v>
      </x:c>
      <x:c r="C2729" t="str" s="2">
        <x:v/>
      </x:c>
      <x:c r="D2729" t="str" s="2">
        <x:v>8647238606</x:v>
      </x:c>
      <x:c r="E2729" t="str" s="2">
        <x:v>earlesharron163@gmail.com</x:v>
      </x:c>
      <x:c r="F2729" t="str" s="2">
        <x:v>Meta Ads - Forms</x:v>
      </x:c>
      <x:c r="G2729" t="str" s="2">
        <x:v>Maria Lopez</x:v>
      </x:c>
      <x:c r="H2729" s="6">
        <x:v>46213.30968070602</x:v>
      </x:c>
      <x:c r="I2729" s="0"/>
      <x:c r="J2729" s="0"/>
      <x:c r="K2729" s="6">
        <x:v>46256</x:v>
      </x:c>
      <x:c r="L2729" t="str" s="2">
        <x:v>Message Sent</x:v>
      </x:c>
    </x:row>
    <x:row r="2730">
      <x:c r="A2730" t="str" s="2">
        <x:f>="Angela Favors"</x:f>
      </x:c>
      <x:c r="B2730" t="str" s="2">
        <x:v>Heritage Housing of Canton</x:v>
      </x:c>
      <x:c r="C2730" t="str" s="2">
        <x:v/>
      </x:c>
      <x:c r="D2730" t="str" s="2">
        <x:v>2547471360</x:v>
      </x:c>
      <x:c r="E2730" t="str" s="2">
        <x:v>favors1996brent@gmail.com</x:v>
      </x:c>
      <x:c r="F2730" t="str" s="2">
        <x:v>Meta Ads - Forms</x:v>
      </x:c>
      <x:c r="G2730" t="str" s="2">
        <x:v>Jacob Hatten</x:v>
      </x:c>
      <x:c r="H2730" s="6">
        <x:v>46213.33506493056</x:v>
      </x:c>
      <x:c r="I2730" s="0"/>
      <x:c r="J2730" s="0"/>
      <x:c r="K2730" s="6">
        <x:v>46244</x:v>
      </x:c>
      <x:c r="L2730" t="str" s="2">
        <x:v>Message Sent</x:v>
      </x:c>
    </x:row>
    <x:row r="2731">
      <x:c r="A2731" t="str" s="2">
        <x:f>="Devin Reaves"</x:f>
      </x:c>
      <x:c r="B2731" t="str" s="2">
        <x:v>Heritage Housing of Greenville</x:v>
      </x:c>
      <x:c r="C2731" t="str" s="2">
        <x:v>0/2</x:v>
      </x:c>
      <x:c r="D2731" t="str" s="2">
        <x:v>9402052221</x:v>
      </x:c>
      <x:c r="E2731" t="str" s="2">
        <x:v>devin822446@gmail.com</x:v>
      </x:c>
      <x:c r="F2731" t="str" s="2">
        <x:v>Meta Ads - Forms</x:v>
      </x:c>
      <x:c r="G2731" t="str" s="2">
        <x:v>Greg Christman</x:v>
      </x:c>
      <x:c r="H2731" s="6">
        <x:v>46213.37398900463</x:v>
      </x:c>
      <x:c r="I2731" s="0"/>
      <x:c r="J2731" s="0"/>
      <x:c r="K2731" s="6">
        <x:v>46221</x:v>
      </x:c>
      <x:c r="L2731" t="str" s="2">
        <x:v>Message Sent</x:v>
      </x:c>
    </x:row>
    <x:row r="2732">
      <x:c r="A2732" t="str" s="2">
        <x:f>="andres Richey"</x:f>
      </x:c>
      <x:c r="B2732" t="str" s="2">
        <x:v>Heritage Housing of Augusta</x:v>
      </x:c>
      <x:c r="C2732" t="str" s="2">
        <x:v/>
      </x:c>
      <x:c r="D2732" t="str" s="2">
        <x:v>7065887216</x:v>
      </x:c>
      <x:c r="E2732" t="str" s="2">
        <x:v>andrearichy642@gmail.com</x:v>
      </x:c>
      <x:c r="F2732" t="str" s="2">
        <x:v>Meta Ads - Forms</x:v>
      </x:c>
      <x:c r="G2732" t="str" s="2">
        <x:v>Jose Chavez</x:v>
      </x:c>
      <x:c r="H2732" s="6">
        <x:v>46213.488720520836</x:v>
      </x:c>
      <x:c r="I2732" s="0"/>
      <x:c r="J2732" s="0"/>
      <x:c r="K2732" s="6">
        <x:v>46231</x:v>
      </x:c>
      <x:c r="L2732" t="str" s="2">
        <x:v>Message Sent</x:v>
      </x:c>
    </x:row>
    <x:row r="2733">
      <x:c r="A2733" t="str" s="2">
        <x:f>="Jacques Smith"</x:f>
      </x:c>
      <x:c r="B2733" t="str" s="2">
        <x:v>Heritage Housing of Augusta</x:v>
      </x:c>
      <x:c r="C2733" t="str" s="2">
        <x:v/>
      </x:c>
      <x:c r="D2733" t="str" s="2">
        <x:v>8036242165</x:v>
      </x:c>
      <x:c r="E2733" t="str" s="2">
        <x:v>jahsmith73@gmail.com</x:v>
      </x:c>
      <x:c r="F2733" t="str" s="2">
        <x:v>Meta Ads - Forms</x:v>
      </x:c>
      <x:c r="G2733" t="str" s="2">
        <x:v>Jose Chavez</x:v>
      </x:c>
      <x:c r="H2733" s="6">
        <x:v>46213.55168556713</x:v>
      </x:c>
      <x:c r="I2733" s="0"/>
      <x:c r="J2733" s="0"/>
      <x:c r="K2733" s="6">
        <x:v>46213</x:v>
      </x:c>
      <x:c r="L2733" t="str" s="2">
        <x:v>Message Sent</x:v>
      </x:c>
    </x:row>
    <x:row r="2734">
      <x:c r="A2734" t="str" s="2">
        <x:f>="carola line"</x:f>
      </x:c>
      <x:c r="B2734" t="str" s="2">
        <x:v>Heritage Housing of Augusta</x:v>
      </x:c>
      <x:c r="C2734" t="str" s="2">
        <x:v/>
      </x:c>
      <x:c r="D2734" t="str" s="2">
        <x:v>4588744452</x:v>
      </x:c>
      <x:c r="E2734" t="str" s="2">
        <x:v>carolinalinalina@hotmail.com</x:v>
      </x:c>
      <x:c r="F2734" t="str" s="2">
        <x:v>Financing Form</x:v>
      </x:c>
      <x:c r="G2734" t="str" s="2">
        <x:v>Jose Chavez</x:v>
      </x:c>
      <x:c r="H2734" s="6">
        <x:v>46213.62961315972</x:v>
      </x:c>
      <x:c r="I2734" s="0"/>
      <x:c r="J2734" s="0"/>
      <x:c r="K2734" s="6">
        <x:v>46213</x:v>
      </x:c>
      <x:c r="L2734" t="str" s="2">
        <x:v>Message Sent</x:v>
      </x:c>
    </x:row>
    <x:row r="2735">
      <x:c r="A2735" t="str" s="2">
        <x:f>="LEAH Tolbert"</x:f>
      </x:c>
      <x:c r="B2735" t="str" s="2">
        <x:v>Heritage Housing of Albany</x:v>
      </x:c>
      <x:c r="C2735" t="str" s="2">
        <x:v/>
      </x:c>
      <x:c r="D2735" t="str" s="2">
        <x:v>2293096091</x:v>
      </x:c>
      <x:c r="E2735" t="str" s="2">
        <x:v>tyleahtolbert10@gmail.com</x:v>
      </x:c>
      <x:c r="F2735" t="str" s="2">
        <x:v>Meta Ads - Forms</x:v>
      </x:c>
      <x:c r="G2735" t="str" s="2">
        <x:v>Yanet Alvarez</x:v>
      </x:c>
      <x:c r="H2735" s="6">
        <x:v>46213.63589938657</x:v>
      </x:c>
      <x:c r="I2735" s="0"/>
      <x:c r="J2735" s="0"/>
      <x:c r="K2735" s="6">
        <x:v>46307</x:v>
      </x:c>
      <x:c r="L2735" t="str" s="2">
        <x:v>Message Sent</x:v>
      </x:c>
    </x:row>
    <x:row r="2736">
      <x:c r="A2736" t="str" s="2">
        <x:f>="Shainna Lyman"</x:f>
      </x:c>
      <x:c r="B2736" t="str" s="2">
        <x:v>Heritage Housing Mt Pleasant</x:v>
      </x:c>
      <x:c r="C2736" t="str" s="2">
        <x:v/>
      </x:c>
      <x:c r="D2736" t="str" s="2">
        <x:v>3613637587</x:v>
      </x:c>
      <x:c r="E2736" t="str" s="2">
        <x:v>3613637587</x:v>
      </x:c>
      <x:c r="F2736" t="str" s="2">
        <x:v>META Marketplace</x:v>
      </x:c>
      <x:c r="G2736" t="str" s="2">
        <x:v>Yarelis Torres</x:v>
      </x:c>
      <x:c r="H2736" s="6">
        <x:v>46213.64039001158</x:v>
      </x:c>
      <x:c r="I2736" s="0"/>
      <x:c r="J2736" s="6">
        <x:v>46217.77777777778</x:v>
      </x:c>
      <x:c r="K2736" s="6">
        <x:v>46248</x:v>
      </x:c>
      <x:c r="L2736" t="str" s="2">
        <x:v>Message Sent</x:v>
      </x:c>
    </x:row>
    <x:row r="2737">
      <x:c r="A2737" t="str" s="2">
        <x:f>="Allen Wilson"</x:f>
      </x:c>
      <x:c r="B2737" t="str" s="2">
        <x:v>Heritage Housing of Asheboro</x:v>
      </x:c>
      <x:c r="C2737" t="str" s="2">
        <x:v/>
      </x:c>
      <x:c r="D2737" t="str" s="2">
        <x:v>3369897121</x:v>
      </x:c>
      <x:c r="E2737" t="str" s="2">
        <x:v>allenwilson944@yahoo.com</x:v>
      </x:c>
      <x:c r="F2737" t="str" s="2">
        <x:v>Meta Ads - Forms</x:v>
      </x:c>
      <x:c r="G2737" t="str" s="2">
        <x:v>Maria Lopez</x:v>
      </x:c>
      <x:c r="H2737" s="6">
        <x:v>46213.64751559028</x:v>
      </x:c>
      <x:c r="I2737" s="0"/>
      <x:c r="J2737" s="0"/>
      <x:c r="K2737" s="6">
        <x:v>46256</x:v>
      </x:c>
      <x:c r="L2737" t="str" s="2">
        <x:v>Message Sent</x:v>
      </x:c>
    </x:row>
    <x:row r="2738">
      <x:c r="A2738" t="str" s="2">
        <x:f>="Renita Williams"</x:f>
      </x:c>
      <x:c r="B2738" t="str" s="2">
        <x:v>Heritage Housing of Albany</x:v>
      </x:c>
      <x:c r="C2738" t="str" s="2">
        <x:v/>
      </x:c>
      <x:c r="D2738" t="str" s="2">
        <x:v>2295791119</x:v>
      </x:c>
      <x:c r="E2738" t="str" s="2">
        <x:v>msrwilliams1961@gmail.com</x:v>
      </x:c>
      <x:c r="F2738" t="str" s="2">
        <x:v>Meta Ads - Forms</x:v>
      </x:c>
      <x:c r="G2738" t="str" s="2">
        <x:v>Yanet Alvarez</x:v>
      </x:c>
      <x:c r="H2738" s="6">
        <x:v>46213.676035613425</x:v>
      </x:c>
      <x:c r="I2738" s="0"/>
      <x:c r="J2738" s="0"/>
      <x:c r="K2738" s="6">
        <x:v>46303</x:v>
      </x:c>
      <x:c r="L2738" t="str" s="2">
        <x:v>Message Sent</x:v>
      </x:c>
    </x:row>
    <x:row r="2739">
      <x:c r="A2739" t="str" s="2">
        <x:f>=HYPERLINK("https://rsms.futurehomex.com/lead/38389", "Martin Miller")</x:f>
      </x:c>
      <x:c r="B2739" t="str" s="2">
        <x:v>Heritage Housing of Augusta</x:v>
      </x:c>
      <x:c r="C2739" t="str" s="2">
        <x:v/>
      </x:c>
      <x:c r="D2739" t="str" s="2">
        <x:v>7154417497</x:v>
      </x:c>
      <x:c r="E2739" t="str" s="2">
        <x:v>7154417497</x:v>
      </x:c>
      <x:c r="F2739" t="str" s="2">
        <x:v>Other</x:v>
      </x:c>
      <x:c r="G2739" t="str" s="2">
        <x:v>Jose Chavez</x:v>
      </x:c>
      <x:c r="H2739" s="6">
        <x:v>46213.67892855324</x:v>
      </x:c>
      <x:c r="I2739" t="str" s="2">
        <x:v>Faye Lively</x:v>
      </x:c>
      <x:c r="J2739" s="0"/>
      <x:c r="K2739" s="6">
        <x:v>46273</x:v>
      </x:c>
      <x:c r="L2739" t="str" s="2">
        <x:v>Message Sent</x:v>
      </x:c>
    </x:row>
    <x:row r="2740">
      <x:c r="A2740" t="str" s="2">
        <x:f>=HYPERLINK("https://rsms.futurehomex.com/lead/38391", "Robert &amp; Czrena Watts")</x:f>
      </x:c>
      <x:c r="B2740" t="str" s="2">
        <x:v>Heritage Housing of Oklahoma City</x:v>
      </x:c>
      <x:c r="C2740" t="str" s="2">
        <x:v>0/1</x:v>
      </x:c>
      <x:c r="D2740" t="str" s="2">
        <x:v>8062050787</x:v>
      </x:c>
      <x:c r="E2740" t="str" s="2">
        <x:v>rclawatts@me.com</x:v>
      </x:c>
      <x:c r="F2740" t="str" s="2">
        <x:v>Walk-in</x:v>
      </x:c>
      <x:c r="G2740" t="str" s="2">
        <x:v>Steve Castell</x:v>
      </x:c>
      <x:c r="H2740" s="6">
        <x:v>46213.70676331018</x:v>
      </x:c>
      <x:c r="I2740" t="str" s="2">
        <x:v>Steve Castell</x:v>
      </x:c>
      <x:c r="J2740" s="0"/>
      <x:c r="K2740" s="6">
        <x:v>46233</x:v>
      </x:c>
      <x:c r="L2740" t="str" s="2">
        <x:v>Message Sent</x:v>
      </x:c>
    </x:row>
    <x:row r="2741">
      <x:c r="A2741" t="str" s="2">
        <x:f>=HYPERLINK("https://rsms.futurehomex.com/lead/38396", "Amy McCallister")</x:f>
      </x:c>
      <x:c r="B2741" t="str" s="2">
        <x:v>Heritage Housing of Athens</x:v>
      </x:c>
      <x:c r="C2741" t="str" s="2">
        <x:v/>
      </x:c>
      <x:c r="D2741" t="str" s="2">
        <x:v>7066330698</x:v>
      </x:c>
      <x:c r="E2741" t="str" s="2">
        <x:v>7066330698</x:v>
      </x:c>
      <x:c r="F2741" t="str" s="2">
        <x:v>Meta Marketplace</x:v>
      </x:c>
      <x:c r="G2741" t="str" s="2">
        <x:v>Nathan Bishop</x:v>
      </x:c>
      <x:c r="H2741" s="6">
        <x:v>46213.76876119213</x:v>
      </x:c>
      <x:c r="I2741" t="str" s="2">
        <x:v>Nathan Bishop</x:v>
      </x:c>
      <x:c r="J2741" s="0"/>
      <x:c r="K2741" s="6">
        <x:v>46252</x:v>
      </x:c>
      <x:c r="L2741" t="str" s="2">
        <x:v>Message Sent</x:v>
      </x:c>
    </x:row>
    <x:row r="2742">
      <x:c r="A2742" t="str" s="2">
        <x:f>=HYPERLINK("https://rsms.futurehomex.com/lead/38397", "Andrea Crenshaw")</x:f>
      </x:c>
      <x:c r="B2742" t="str" s="2">
        <x:v>Heritage Housing of Augusta</x:v>
      </x:c>
      <x:c r="C2742" t="str" s="2">
        <x:v/>
      </x:c>
      <x:c r="D2742" t="str" s="2">
        <x:v>7069627949</x:v>
      </x:c>
      <x:c r="E2742" t="str" s="2">
        <x:v>7069627949</x:v>
      </x:c>
      <x:c r="F2742" t="str" s="2">
        <x:v>Other</x:v>
      </x:c>
      <x:c r="G2742" t="str" s="2">
        <x:v>Jose Chavez</x:v>
      </x:c>
      <x:c r="H2742" s="6">
        <x:v>46213.77966739584</x:v>
      </x:c>
      <x:c r="I2742" t="str" s="2">
        <x:v>Faye Lively</x:v>
      </x:c>
      <x:c r="J2742" s="0"/>
      <x:c r="K2742" s="6">
        <x:v>46213</x:v>
      </x:c>
      <x:c r="L2742" t="str" s="2">
        <x:v>Message Sent</x:v>
      </x:c>
    </x:row>
    <x:row r="2743">
      <x:c r="A2743" t="str" s="2">
        <x:f>=HYPERLINK("https://rsms.futurehomex.com/lead/38551", "Matthew Reid")</x:f>
      </x:c>
      <x:c r="B2743" t="str" s="2">
        <x:v>Heritage Housing of Augusta</x:v>
      </x:c>
      <x:c r="C2743" t="str" s="2">
        <x:v/>
      </x:c>
      <x:c r="D2743" t="str" s="2">
        <x:v>7064660089</x:v>
      </x:c>
      <x:c r="E2743" t="str" s="2">
        <x:v>Matthew7014@Gmail.com</x:v>
      </x:c>
      <x:c r="F2743" t="str" s="2">
        <x:v>Website</x:v>
      </x:c>
      <x:c r="G2743" t="str" s="2">
        <x:v>Jose Chavez</x:v>
      </x:c>
      <x:c r="H2743" s="6">
        <x:v>46213.78506724537</x:v>
      </x:c>
      <x:c r="I2743" t="str" s="2">
        <x:v>Faye Lively</x:v>
      </x:c>
      <x:c r="J2743" s="0"/>
      <x:c r="K2743" s="6">
        <x:v>46273</x:v>
      </x:c>
      <x:c r="L2743" t="str" s="2">
        <x:v>Message Sent</x:v>
      </x:c>
    </x:row>
    <x:row r="2744">
      <x:c r="A2744" t="str" s="2">
        <x:f>=HYPERLINK("https://rsms.futurehomex.com/lead/38402", "Brittney Johnson")</x:f>
      </x:c>
      <x:c r="B2744" t="str" s="2">
        <x:v>Heritage Housing of Augusta</x:v>
      </x:c>
      <x:c r="C2744" t="str" s="2">
        <x:v/>
      </x:c>
      <x:c r="D2744" t="str" s="2">
        <x:v>7069937939</x:v>
      </x:c>
      <x:c r="E2744" t="str" s="2">
        <x:v>7069937939</x:v>
      </x:c>
      <x:c r="F2744" t="str" s="2">
        <x:v>Walk-in</x:v>
      </x:c>
      <x:c r="G2744" t="str" s="2">
        <x:v>Jose Chavez</x:v>
      </x:c>
      <x:c r="H2744" s="6">
        <x:v>46213.82446701389</x:v>
      </x:c>
      <x:c r="I2744" t="str" s="2">
        <x:v>Faye Lively</x:v>
      </x:c>
      <x:c r="J2744" s="0"/>
      <x:c r="K2744" s="6">
        <x:v>46213</x:v>
      </x:c>
      <x:c r="L2744" t="str" s="2">
        <x:v>Message Sent</x:v>
      </x:c>
    </x:row>
    <x:row r="2745">
      <x:c r="A2745" t="str" s="2">
        <x:f>="Luis Meza"</x:f>
      </x:c>
      <x:c r="B2745" t="str" s="2">
        <x:v>Legacy Housing Corp. DBA Americasa</x:v>
      </x:c>
      <x:c r="C2745" t="str" s="2">
        <x:v/>
      </x:c>
      <x:c r="D2745" t="str" s="2">
        <x:v>3464310458</x:v>
      </x:c>
      <x:c r="E2745" t="str" s="2">
        <x:v>jlmch1@hotmail.com</x:v>
      </x:c>
      <x:c r="F2745" t="str" s="2">
        <x:v>Meta Ads - Forms</x:v>
      </x:c>
      <x:c r="G2745" t="str" s="2">
        <x:v>Jose Parada</x:v>
      </x:c>
      <x:c r="H2745" s="6">
        <x:v>46213.84417480324</x:v>
      </x:c>
      <x:c r="I2745" s="0"/>
      <x:c r="J2745" s="0"/>
      <x:c r="K2745" s="6">
        <x:v>46232</x:v>
      </x:c>
      <x:c r="L2745" t="str" s="2">
        <x:v>Message Sent</x:v>
      </x:c>
    </x:row>
    <x:row r="2746">
      <x:c r="A2746" t="str" s="2">
        <x:f>="Casey Sellers"</x:f>
      </x:c>
      <x:c r="B2746" t="str" s="2">
        <x:v>Heritage Housing of Athens</x:v>
      </x:c>
      <x:c r="C2746" t="str" s="2">
        <x:v/>
      </x:c>
      <x:c r="D2746" t="str" s="2">
        <x:v>8648838974</x:v>
      </x:c>
      <x:c r="E2746" t="str" s="2">
        <x:v>caseysellers3@gmail.com</x:v>
      </x:c>
      <x:c r="F2746" t="str" s="2">
        <x:v>Meta Ads - Forms</x:v>
      </x:c>
      <x:c r="G2746" t="str" s="2">
        <x:v>Nathan Bishop</x:v>
      </x:c>
      <x:c r="H2746" s="6">
        <x:v>46213.932087037036</x:v>
      </x:c>
      <x:c r="I2746" s="0"/>
      <x:c r="J2746" s="0"/>
      <x:c r="K2746" s="6">
        <x:v>46267</x:v>
      </x:c>
      <x:c r="L2746" t="str" s="2">
        <x:v>Message Sent</x:v>
      </x:c>
    </x:row>
    <x:row r="2747">
      <x:c r="A2747" t="str" s="2">
        <x:f>="Victoria Hernandez"</x:f>
      </x:c>
      <x:c r="B2747" t="str" s="2">
        <x:v>Heritage Housing of Tulsa</x:v>
      </x:c>
      <x:c r="C2747" t="str" s="2">
        <x:v/>
      </x:c>
      <x:c r="D2747" t="str" s="2">
        <x:v>9189028734</x:v>
      </x:c>
      <x:c r="E2747" t="str" s="2">
        <x:v>hernandez.victoria36@yahoo.com</x:v>
      </x:c>
      <x:c r="F2747" t="str" s="2">
        <x:v>Website</x:v>
      </x:c>
      <x:c r="G2747" t="str" s="2">
        <x:v>Jenna Fransisco</x:v>
      </x:c>
      <x:c r="H2747" s="6">
        <x:v>46213.95121377315</x:v>
      </x:c>
      <x:c r="I2747" s="0"/>
      <x:c r="J2747" s="0"/>
      <x:c r="K2747" s="6">
        <x:v>46238</x:v>
      </x:c>
      <x:c r="L2747" t="str" s="2">
        <x:v>Message Sent</x:v>
      </x:c>
    </x:row>
    <x:row r="2748">
      <x:c r="A2748" t="str" s="2">
        <x:f>="Lee Whittenburg"</x:f>
      </x:c>
      <x:c r="B2748" t="str" s="2">
        <x:v>Heritage Housing of Albany</x:v>
      </x:c>
      <x:c r="C2748" t="str" s="2">
        <x:v/>
      </x:c>
      <x:c r="D2748" t="str" s="2">
        <x:v>7068878691</x:v>
      </x:c>
      <x:c r="E2748" t="str" s="2">
        <x:v>73nightstalkers@gmail.com</x:v>
      </x:c>
      <x:c r="F2748" t="str" s="2">
        <x:v>LandingPage</x:v>
      </x:c>
      <x:c r="G2748" t="str" s="2">
        <x:v>Yanet Alvarez</x:v>
      </x:c>
      <x:c r="H2748" s="6">
        <x:v>46213.97693938657</x:v>
      </x:c>
      <x:c r="I2748" s="0"/>
      <x:c r="J2748" s="0"/>
      <x:c r="K2748" s="6">
        <x:v>46303.92685451389</x:v>
      </x:c>
      <x:c r="L2748" t="str" s="2">
        <x:v>Message Sent</x:v>
      </x:c>
    </x:row>
    <x:row r="2749">
      <x:c r="A2749" t="str" s="2">
        <x:f>="Eugenio Vega"</x:f>
      </x:c>
      <x:c r="B2749" t="str" s="2">
        <x:v>Legacy Housing Corp. DBA Americasa</x:v>
      </x:c>
      <x:c r="C2749" t="str" s="2">
        <x:v/>
      </x:c>
      <x:c r="D2749" t="str" s="2">
        <x:v>9793306047</x:v>
      </x:c>
      <x:c r="E2749" t="str" s="2">
        <x:v>eugeniovega05@gemeo.com</x:v>
      </x:c>
      <x:c r="F2749" t="str" s="2">
        <x:v>Meta Ads - Forms</x:v>
      </x:c>
      <x:c r="G2749" t="str" s="2">
        <x:v>Rodrigo Ramirez</x:v>
      </x:c>
      <x:c r="H2749" s="6">
        <x:v>46214.59500868055</x:v>
      </x:c>
      <x:c r="I2749" s="0"/>
      <x:c r="J2749" s="0"/>
      <x:c r="K2749" s="6">
        <x:v>46246</x:v>
      </x:c>
      <x:c r="L2749" t="str" s="2">
        <x:v>Message Sent</x:v>
      </x:c>
    </x:row>
    <x:row r="2750">
      <x:c r="A2750" t="str" s="2">
        <x:f>=HYPERLINK("https://rsms.futurehomex.com/lead/38411", "Sky Clark")</x:f>
      </x:c>
      <x:c r="B2750" t="str" s="2">
        <x:v>Heritage Housing of Tulsa</x:v>
      </x:c>
      <x:c r="C2750" t="str" s="2">
        <x:v/>
      </x:c>
      <x:c r="D2750" t="str" s="2">
        <x:v>4059022382</x:v>
      </x:c>
      <x:c r="E2750" t="str" s="2">
        <x:v>4059022382</x:v>
      </x:c>
      <x:c r="F2750" t="str" s="2">
        <x:v>Walk-in</x:v>
      </x:c>
      <x:c r="G2750" t="str" s="2">
        <x:v>Jenna Fransisco</x:v>
      </x:c>
      <x:c r="H2750" s="6">
        <x:v>46214.61328121528</x:v>
      </x:c>
      <x:c r="I2750" t="str" s="2">
        <x:v>Derek Searcy</x:v>
      </x:c>
      <x:c r="J2750" s="0"/>
      <x:c r="K2750" s="6">
        <x:v>46261</x:v>
      </x:c>
      <x:c r="L2750" t="str" s="2">
        <x:v>Message Sent</x:v>
      </x:c>
    </x:row>
    <x:row r="2751">
      <x:c r="A2751" t="str" s="2">
        <x:f>=HYPERLINK("https://rsms.futurehomex.com/lead/39706", "Marty Wise")</x:f>
      </x:c>
      <x:c r="B2751" t="str" s="2">
        <x:v>Heritage Housing of Athens</x:v>
      </x:c>
      <x:c r="C2751" t="str" s="2">
        <x:v>0/1</x:v>
      </x:c>
      <x:c r="D2751" t="str" s="2">
        <x:v>7064107709</x:v>
      </x:c>
      <x:c r="E2751" t="str" s="2">
        <x:v>martyrice1956@gmail.com</x:v>
      </x:c>
      <x:c r="F2751" t="str" s="2">
        <x:v>Meta Ads - Forms</x:v>
      </x:c>
      <x:c r="G2751" t="str" s="2">
        <x:v>Nathan Bishop</x:v>
      </x:c>
      <x:c r="H2751" s="6">
        <x:v>46214.62179965278</x:v>
      </x:c>
      <x:c r="I2751" t="str" s="2">
        <x:v>Nathan Bishop</x:v>
      </x:c>
      <x:c r="J2751" s="0"/>
      <x:c r="K2751" s="6">
        <x:v>46280</x:v>
      </x:c>
      <x:c r="L2751" t="str" s="2">
        <x:v>Message Sent</x:v>
      </x:c>
    </x:row>
    <x:row r="2752">
      <x:c r="A2752" t="str" s="2">
        <x:f>=HYPERLINK("https://rsms.futurehomex.com/lead/38425", "Aaron Stoneboner")</x:f>
      </x:c>
      <x:c r="B2752" t="str" s="2">
        <x:v>Heritage Housing of Tulsa</x:v>
      </x:c>
      <x:c r="C2752" t="str" s="2">
        <x:v/>
      </x:c>
      <x:c r="D2752" t="str" s="2">
        <x:v>5127791631</x:v>
      </x:c>
      <x:c r="E2752" t="str" s="2">
        <x:v>5127791631</x:v>
      </x:c>
      <x:c r="F2752" t="str" s="2">
        <x:v>Walk-in</x:v>
      </x:c>
      <x:c r="G2752" t="str" s="2">
        <x:v>Jenna Fransisco</x:v>
      </x:c>
      <x:c r="H2752" s="6">
        <x:v>46214.711308067126</x:v>
      </x:c>
      <x:c r="I2752" t="str" s="2">
        <x:v>Jenna Fransisco</x:v>
      </x:c>
      <x:c r="J2752" s="0"/>
      <x:c r="K2752" s="6">
        <x:v>46253</x:v>
      </x:c>
      <x:c r="L2752" t="str" s="2">
        <x:v>Message Sent</x:v>
      </x:c>
    </x:row>
    <x:row r="2753">
      <x:c r="A2753" t="str" s="2">
        <x:f>=HYPERLINK("https://rsms.futurehomex.com/lead/38428", "Nicole Allmondjoy")</x:f>
      </x:c>
      <x:c r="B2753" t="str" s="2">
        <x:v>Heritage Housing of Augusta</x:v>
      </x:c>
      <x:c r="C2753" t="str" s="2">
        <x:v/>
      </x:c>
      <x:c r="D2753" t="str" s="2">
        <x:v>7049414224</x:v>
      </x:c>
      <x:c r="E2753" t="str" s="2">
        <x:v>nrallmondjoy@gmail.com</x:v>
      </x:c>
      <x:c r="F2753" t="str" s="2">
        <x:v>Walk-in</x:v>
      </x:c>
      <x:c r="G2753" t="str" s="2">
        <x:v>Jose Chavez</x:v>
      </x:c>
      <x:c r="H2753" s="6">
        <x:v>46214.7548909375</x:v>
      </x:c>
      <x:c r="I2753" t="str" s="2">
        <x:v>Faye Lively</x:v>
      </x:c>
      <x:c r="J2753" s="0"/>
      <x:c r="K2753" s="6">
        <x:v>46218</x:v>
      </x:c>
      <x:c r="L2753" t="str" s="2">
        <x:v>Message Sent</x:v>
      </x:c>
    </x:row>
    <x:row r="2754">
      <x:c r="A2754" t="str" s="2">
        <x:f>="Victor Rosas Suarez"</x:f>
      </x:c>
      <x:c r="B2754" t="str" s="2">
        <x:v>Heritage Housing of Asheboro</x:v>
      </x:c>
      <x:c r="C2754" t="str" s="2">
        <x:v/>
      </x:c>
      <x:c r="D2754" t="str" s="2">
        <x:v>2103059435</x:v>
      </x:c>
      <x:c r="E2754" t="str" s="2">
        <x:v>Victor.suarez42@icloud.com</x:v>
      </x:c>
      <x:c r="F2754" t="str" s="2">
        <x:v>Financing Form</x:v>
      </x:c>
      <x:c r="G2754" t="str" s="2">
        <x:v>Maria Lopez</x:v>
      </x:c>
      <x:c r="H2754" s="6">
        <x:v>46214.75541982639</x:v>
      </x:c>
      <x:c r="I2754" s="0"/>
      <x:c r="J2754" s="0"/>
      <x:c r="K2754" s="6">
        <x:v>46258</x:v>
      </x:c>
      <x:c r="L2754" t="str" s="2">
        <x:v>Message Sent</x:v>
      </x:c>
    </x:row>
    <x:row r="2755">
      <x:c r="A2755" t="str" s="2">
        <x:f>="Hand Rashiem"</x:f>
      </x:c>
      <x:c r="B2755" t="str" s="2">
        <x:v>Heritage Housing of Asheboro</x:v>
      </x:c>
      <x:c r="C2755" t="str" s="2">
        <x:v/>
      </x:c>
      <x:c r="D2755" t="str" s="2">
        <x:v>9178562061</x:v>
      </x:c>
      <x:c r="E2755" t="str" s="2">
        <x:v>handrashiem44@gmail.com</x:v>
      </x:c>
      <x:c r="F2755" t="str" s="2">
        <x:v>Meta Ads - Forms</x:v>
      </x:c>
      <x:c r="G2755" t="str" s="2">
        <x:v>Maria Lopez</x:v>
      </x:c>
      <x:c r="H2755" s="6">
        <x:v>46214.76011809028</x:v>
      </x:c>
      <x:c r="I2755" s="0"/>
      <x:c r="J2755" s="0"/>
      <x:c r="K2755" s="6">
        <x:v>46258</x:v>
      </x:c>
      <x:c r="L2755" t="str" s="2">
        <x:v>Message Sent</x:v>
      </x:c>
    </x:row>
    <x:row r="2756">
      <x:c r="A2756" t="str" s="2">
        <x:f>="Beverly Kelley"</x:f>
      </x:c>
      <x:c r="B2756" t="str" s="2">
        <x:v>Heritage Housing Mt Pleasant</x:v>
      </x:c>
      <x:c r="C2756" t="str" s="2">
        <x:v/>
      </x:c>
      <x:c r="D2756" t="str" s="2">
        <x:v>9032624075</x:v>
      </x:c>
      <x:c r="E2756" t="str" s="2">
        <x:v>chocolatecity47@icloud.com</x:v>
      </x:c>
      <x:c r="F2756" t="str" s="2">
        <x:v>Meta Ads - Forms</x:v>
      </x:c>
      <x:c r="G2756" t="str" s="2">
        <x:v>Yarelis Torres</x:v>
      </x:c>
      <x:c r="H2756" s="6">
        <x:v>46214.780375381946</x:v>
      </x:c>
      <x:c r="I2756" s="0"/>
      <x:c r="J2756" s="0"/>
      <x:c r="K2756" s="6">
        <x:v>46255</x:v>
      </x:c>
      <x:c r="L2756" t="str" s="2">
        <x:v>Message Sent</x:v>
      </x:c>
    </x:row>
    <x:row r="2757">
      <x:c r="A2757" t="str" s="2">
        <x:f>="Jason Miller"</x:f>
      </x:c>
      <x:c r="B2757" t="str" s="2">
        <x:v>Heritage Housing of Asheboro</x:v>
      </x:c>
      <x:c r="C2757" t="str" s="2">
        <x:v/>
      </x:c>
      <x:c r="D2757" t="str" s="2">
        <x:v>336-620-2617</x:v>
      </x:c>
      <x:c r="E2757" t="str" s="2">
        <x:v>jasonmiller12985@gmail.com</x:v>
      </x:c>
      <x:c r="F2757" t="str" s="2">
        <x:v>Financing Form</x:v>
      </x:c>
      <x:c r="G2757" t="str" s="2">
        <x:v>Maria Lopez</x:v>
      </x:c>
      <x:c r="H2757" s="6">
        <x:v>46214.78061565972</x:v>
      </x:c>
      <x:c r="I2757" s="0"/>
      <x:c r="J2757" s="0"/>
      <x:c r="K2757" s="6">
        <x:v>46256</x:v>
      </x:c>
      <x:c r="L2757" t="str" s="2">
        <x:v>Message Sent</x:v>
      </x:c>
    </x:row>
    <x:row r="2758">
      <x:c r="A2758" t="str" s="2">
        <x:f>=HYPERLINK("https://rsms.futurehomex.com/lead/38435", "Melvin Green")</x:f>
      </x:c>
      <x:c r="B2758" t="str" s="2">
        <x:v>Heritage Housing of Augusta</x:v>
      </x:c>
      <x:c r="C2758" t="str" s="2">
        <x:v/>
      </x:c>
      <x:c r="D2758" t="str" s="2">
        <x:v>7062850586</x:v>
      </x:c>
      <x:c r="E2758" t="str" s="2">
        <x:v>feevag@gmail.com</x:v>
      </x:c>
      <x:c r="F2758" t="str" s="2">
        <x:v>Walk-in</x:v>
      </x:c>
      <x:c r="G2758" t="str" s="2">
        <x:v>Jose Chavez</x:v>
      </x:c>
      <x:c r="H2758" s="6">
        <x:v>46214.82874733796</x:v>
      </x:c>
      <x:c r="I2758" t="str" s="2">
        <x:v>Faye Lively</x:v>
      </x:c>
      <x:c r="J2758" s="0"/>
      <x:c r="K2758" s="6">
        <x:v>46273</x:v>
      </x:c>
      <x:c r="L2758" t="str" s="2">
        <x:v>Message Sent</x:v>
      </x:c>
    </x:row>
    <x:row r="2759">
      <x:c r="A2759" t="str" s="2">
        <x:f>=HYPERLINK("https://rsms.futurehomex.com/lead/38437", "Jasmine Young")</x:f>
      </x:c>
      <x:c r="B2759" t="str" s="2">
        <x:v>Heritage Housing of Augusta</x:v>
      </x:c>
      <x:c r="C2759" t="str" s="2">
        <x:v/>
      </x:c>
      <x:c r="D2759" t="str" s="2">
        <x:v>7063942167</x:v>
      </x:c>
      <x:c r="E2759" t="str" s="2">
        <x:v>7063942167</x:v>
      </x:c>
      <x:c r="F2759" t="str" s="2">
        <x:v>Walk-in</x:v>
      </x:c>
      <x:c r="G2759" t="str" s="2">
        <x:v>Jose Chavez</x:v>
      </x:c>
      <x:c r="H2759" s="6">
        <x:v>46214.83693255787</x:v>
      </x:c>
      <x:c r="I2759" t="str" s="2">
        <x:v>Faye Lively</x:v>
      </x:c>
      <x:c r="J2759" s="0"/>
      <x:c r="K2759" s="6">
        <x:v>46231</x:v>
      </x:c>
      <x:c r="L2759" t="str" s="2">
        <x:v>Message Sent</x:v>
      </x:c>
    </x:row>
    <x:row r="2760">
      <x:c r="A2760" t="str" s="2">
        <x:f>=HYPERLINK("https://rsms.futurehomex.com/lead/38438", "Lakinda Unknown")</x:f>
      </x:c>
      <x:c r="B2760" t="str" s="2">
        <x:v>Heritage Housing of Augusta</x:v>
      </x:c>
      <x:c r="C2760" t="str" s="2">
        <x:v/>
      </x:c>
      <x:c r="D2760" t="str" s="2">
        <x:v>8034390441</x:v>
      </x:c>
      <x:c r="E2760" t="str" s="2">
        <x:v>8034390441</x:v>
      </x:c>
      <x:c r="F2760" t="str" s="2">
        <x:v>Walk-in</x:v>
      </x:c>
      <x:c r="G2760" t="str" s="2">
        <x:v>Jose Chavez</x:v>
      </x:c>
      <x:c r="H2760" s="6">
        <x:v>46214.839696296294</x:v>
      </x:c>
      <x:c r="I2760" t="str" s="2">
        <x:v>Kyara Casanova</x:v>
      </x:c>
      <x:c r="J2760" s="0"/>
      <x:c r="K2760" s="6">
        <x:v>46214</x:v>
      </x:c>
      <x:c r="L2760" t="str" s="2">
        <x:v>Message Sent</x:v>
      </x:c>
    </x:row>
    <x:row r="2761">
      <x:c r="A2761" t="str" s="2">
        <x:f>="Oscar Pettigrew"</x:f>
      </x:c>
      <x:c r="B2761" t="str" s="2">
        <x:v>Heritage Housing of Albany</x:v>
      </x:c>
      <x:c r="C2761" t="str" s="2">
        <x:v/>
      </x:c>
      <x:c r="D2761" t="str" s="2">
        <x:v>4055897724</x:v>
      </x:c>
      <x:c r="E2761" t="str" s="2">
        <x:v>oscarpettigrew40@gmail.com</x:v>
      </x:c>
      <x:c r="F2761" t="str" s="2">
        <x:v>Financing Form</x:v>
      </x:c>
      <x:c r="G2761" t="str" s="2">
        <x:v>Yanet Alvarez</x:v>
      </x:c>
      <x:c r="H2761" s="6">
        <x:v>46214.87764409722</x:v>
      </x:c>
      <x:c r="I2761" s="0"/>
      <x:c r="J2761" s="0"/>
      <x:c r="K2761" s="6">
        <x:v>46303</x:v>
      </x:c>
      <x:c r="L2761" t="str" s="2">
        <x:v>Message Sent</x:v>
      </x:c>
    </x:row>
    <x:row r="2762">
      <x:c r="A2762" t="str" s="2">
        <x:f>="Tammy Munoz"</x:f>
      </x:c>
      <x:c r="B2762" t="str" s="2">
        <x:v>Heritage Housing of Canton</x:v>
      </x:c>
      <x:c r="C2762" t="str" s="2">
        <x:v/>
      </x:c>
      <x:c r="D2762" t="str" s="2">
        <x:v>4693378042</x:v>
      </x:c>
      <x:c r="E2762" t="str" s="2">
        <x:v>tmunoztm19@gmail.com</x:v>
      </x:c>
      <x:c r="F2762" t="str" s="2">
        <x:v>Meta Ads - Forms</x:v>
      </x:c>
      <x:c r="G2762" t="str" s="2">
        <x:v>Maira Garcia</x:v>
      </x:c>
      <x:c r="H2762" s="6">
        <x:v>46214.895749270836</x:v>
      </x:c>
      <x:c r="I2762" s="0"/>
      <x:c r="J2762" s="0"/>
      <x:c r="K2762" s="6">
        <x:v>46288</x:v>
      </x:c>
      <x:c r="L2762" t="str" s="2">
        <x:v>Message Sent</x:v>
      </x:c>
    </x:row>
    <x:row r="2763">
      <x:c r="A2763" t="str" s="2">
        <x:f>="Manuel Salazar"</x:f>
      </x:c>
      <x:c r="B2763" t="str" s="2">
        <x:v>Heritage Housing of Canton</x:v>
      </x:c>
      <x:c r="C2763" t="str" s="2">
        <x:v/>
      </x:c>
      <x:c r="D2763" t="str" s="2">
        <x:v>8323872565</x:v>
      </x:c>
      <x:c r="E2763" t="str" s="2">
        <x:v>manuelsalazar796@gmail.com</x:v>
      </x:c>
      <x:c r="F2763" t="str" s="2">
        <x:v>Meta Ads - Forms</x:v>
      </x:c>
      <x:c r="G2763" t="str" s="2">
        <x:v>Jacob Hatten</x:v>
      </x:c>
      <x:c r="H2763" s="6">
        <x:v>46214.90013263889</x:v>
      </x:c>
      <x:c r="I2763" s="0"/>
      <x:c r="J2763" s="0"/>
      <x:c r="K2763" s="6">
        <x:v>46244</x:v>
      </x:c>
      <x:c r="L2763" t="str" s="2">
        <x:v>Message Sent</x:v>
      </x:c>
    </x:row>
    <x:row r="2764">
      <x:c r="A2764" t="str" s="2">
        <x:f>="Zoya Christopher"</x:f>
      </x:c>
      <x:c r="B2764" t="str" s="2">
        <x:v>Heritage Housing of Canton</x:v>
      </x:c>
      <x:c r="C2764" t="str" s="2">
        <x:v/>
      </x:c>
      <x:c r="D2764" t="str" s="2">
        <x:v>3188212565</x:v>
      </x:c>
      <x:c r="E2764" t="str" s="2">
        <x:v>zyezig1206@gmail.com</x:v>
      </x:c>
      <x:c r="F2764" t="str" s="2">
        <x:v>Meta Ads - Forms</x:v>
      </x:c>
      <x:c r="G2764" t="str" s="2">
        <x:v>Maira Garcia</x:v>
      </x:c>
      <x:c r="H2764" s="6">
        <x:v>46214.927769525464</x:v>
      </x:c>
      <x:c r="I2764" s="0"/>
      <x:c r="J2764" s="0"/>
      <x:c r="K2764" s="6">
        <x:v>46245</x:v>
      </x:c>
      <x:c r="L2764" t="str" s="2">
        <x:v>Message Sent</x:v>
      </x:c>
    </x:row>
    <x:row r="2765">
      <x:c r="A2765" t="str" s="2">
        <x:f>="Michael Taylor"</x:f>
      </x:c>
      <x:c r="B2765" t="str" s="2">
        <x:v>Heritage Housing of Asheboro</x:v>
      </x:c>
      <x:c r="C2765" t="str" s="2">
        <x:v/>
      </x:c>
      <x:c r="D2765" t="str" s="2">
        <x:v>3364253693</x:v>
      </x:c>
      <x:c r="E2765" t="str" s="2">
        <x:v>taylorcolleen64@gmail.com</x:v>
      </x:c>
      <x:c r="F2765" t="str" s="2">
        <x:v>Financing Form</x:v>
      </x:c>
      <x:c r="G2765" t="str" s="2">
        <x:v>Maria Lopez</x:v>
      </x:c>
      <x:c r="H2765" s="6">
        <x:v>46214.95305818287</x:v>
      </x:c>
      <x:c r="I2765" s="0"/>
      <x:c r="J2765" s="0"/>
      <x:c r="K2765" s="6">
        <x:v>46255</x:v>
      </x:c>
      <x:c r="L2765" t="str" s="2">
        <x:v>Message Sent</x:v>
      </x:c>
    </x:row>
    <x:row r="2766">
      <x:c r="A2766" t="str" s="2">
        <x:f>="Nawbab Khan"</x:f>
      </x:c>
      <x:c r="B2766" t="str" s="2">
        <x:v>Heritage Housing of Albany</x:v>
      </x:c>
      <x:c r="C2766" t="str" s="2">
        <x:v/>
      </x:c>
      <x:c r="D2766" t="str" s="2">
        <x:v>3472792837</x:v>
      </x:c>
      <x:c r="E2766" t="str" s="2">
        <x:v>nawbab.khan@hedgestone.com</x:v>
      </x:c>
      <x:c r="F2766" t="str" s="2">
        <x:v>Website</x:v>
      </x:c>
      <x:c r="G2766" t="str" s="2">
        <x:v>Yanet Alvarez</x:v>
      </x:c>
      <x:c r="H2766" s="6">
        <x:v>46215.019705439816</x:v>
      </x:c>
      <x:c r="I2766" s="0"/>
      <x:c r="J2766" s="0"/>
      <x:c r="K2766" s="6">
        <x:v>46307</x:v>
      </x:c>
      <x:c r="L2766" t="str" s="2">
        <x:v>Message Sent</x:v>
      </x:c>
    </x:row>
    <x:row r="2767">
      <x:c r="A2767" t="str" s="2">
        <x:f>="Shenekqwa Bennett"</x:f>
      </x:c>
      <x:c r="B2767" t="str" s="2">
        <x:v>Heritage Housing of Asheboro</x:v>
      </x:c>
      <x:c r="C2767" t="str" s="2">
        <x:v/>
      </x:c>
      <x:c r="D2767" t="str" s="2">
        <x:v>9198680522</x:v>
      </x:c>
      <x:c r="E2767" t="str" s="2">
        <x:v>msshenekqwab@gmail.com</x:v>
      </x:c>
      <x:c r="F2767" t="str" s="2">
        <x:v>Google Ads</x:v>
      </x:c>
      <x:c r="G2767" t="str" s="2">
        <x:v>Maria Lopez</x:v>
      </x:c>
      <x:c r="H2767" s="6">
        <x:v>46215.033906979166</x:v>
      </x:c>
      <x:c r="I2767" s="0"/>
      <x:c r="J2767" s="0"/>
      <x:c r="K2767" s="6">
        <x:v>46258</x:v>
      </x:c>
      <x:c r="L2767" t="str" s="2">
        <x:v>Message Sent</x:v>
      </x:c>
    </x:row>
    <x:row r="2768">
      <x:c r="A2768" t="str" s="2">
        <x:f>="Oreahma Myers"</x:f>
      </x:c>
      <x:c r="B2768" t="str" s="2">
        <x:v>Heritage Housing of Tulsa</x:v>
      </x:c>
      <x:c r="C2768" t="str" s="2">
        <x:v/>
      </x:c>
      <x:c r="D2768" t="str" s="2">
        <x:v>9182843496</x:v>
      </x:c>
      <x:c r="E2768" t="str" s="2">
        <x:v>Oreahma@gmail.com</x:v>
      </x:c>
      <x:c r="F2768" t="str" s="2">
        <x:v>Financing Form</x:v>
      </x:c>
      <x:c r="G2768" t="str" s="2">
        <x:v>Jenna Fransisco</x:v>
      </x:c>
      <x:c r="H2768" s="6">
        <x:v>46215.060357835646</x:v>
      </x:c>
      <x:c r="I2768" s="0"/>
      <x:c r="J2768" s="0"/>
      <x:c r="K2768" s="6">
        <x:v>46238</x:v>
      </x:c>
      <x:c r="L2768" t="str" s="2">
        <x:v>Message Sent</x:v>
      </x:c>
    </x:row>
    <x:row r="2769">
      <x:c r="A2769" t="str" s="2">
        <x:f>="Alaska Villegas"</x:f>
      </x:c>
      <x:c r="B2769" t="str" s="2">
        <x:v>Legacy Housing Corp. DBA Americasa</x:v>
      </x:c>
      <x:c r="C2769" t="str" s="2">
        <x:v/>
      </x:c>
      <x:c r="D2769" t="str" s="2">
        <x:v>8327743352</x:v>
      </x:c>
      <x:c r="E2769" t="str" s="2">
        <x:v>Yellaxq@gmail.com</x:v>
      </x:c>
      <x:c r="F2769" t="str" s="2">
        <x:v>Meta Ads - Forms</x:v>
      </x:c>
      <x:c r="G2769" t="str" s="2">
        <x:v>Jose Parada</x:v>
      </x:c>
      <x:c r="H2769" s="6">
        <x:v>46215.0811787037</x:v>
      </x:c>
      <x:c r="I2769" s="0"/>
      <x:c r="J2769" s="0"/>
      <x:c r="K2769" s="6">
        <x:v>46232</x:v>
      </x:c>
      <x:c r="L2769" t="str" s="2">
        <x:v>Message Sent</x:v>
      </x:c>
    </x:row>
    <x:row r="2770">
      <x:c r="A2770" t="str" s="2">
        <x:f>="Jaeri Zapol"</x:f>
      </x:c>
      <x:c r="B2770" t="str" s="2">
        <x:v>Heritage Housing of Asheboro</x:v>
      </x:c>
      <x:c r="C2770" t="str" s="2">
        <x:v/>
      </x:c>
      <x:c r="D2770" t="str" s="2">
        <x:v>9107259265</x:v>
      </x:c>
      <x:c r="E2770" t="str" s="2">
        <x:v>jaeri.zapol@gmail.com</x:v>
      </x:c>
      <x:c r="F2770" t="str" s="2">
        <x:v>Website</x:v>
      </x:c>
      <x:c r="G2770" t="str" s="2">
        <x:v>Maria Lopez</x:v>
      </x:c>
      <x:c r="H2770" s="6">
        <x:v>46215.099308564815</x:v>
      </x:c>
      <x:c r="I2770" s="0"/>
      <x:c r="J2770" s="0"/>
      <x:c r="K2770" s="6">
        <x:v>46258</x:v>
      </x:c>
      <x:c r="L2770" t="str" s="2">
        <x:v>Message Sent</x:v>
      </x:c>
    </x:row>
    <x:row r="2771">
      <x:c r="A2771" t="str" s="2">
        <x:f>="Jeremy Padilla"</x:f>
      </x:c>
      <x:c r="B2771" t="str" s="2">
        <x:v>Legacy Housing Corp. DBA Americasa</x:v>
      </x:c>
      <x:c r="C2771" t="str" s="2">
        <x:v/>
      </x:c>
      <x:c r="D2771" t="str" s="2">
        <x:v>5753430321</x:v>
      </x:c>
      <x:c r="E2771" t="str" s="2">
        <x:v>jbradpadilla@yahoo.com</x:v>
      </x:c>
      <x:c r="F2771" t="str" s="2">
        <x:v>Meta Ads - Forms</x:v>
      </x:c>
      <x:c r="G2771" t="str" s="2">
        <x:v>Jose Parada</x:v>
      </x:c>
      <x:c r="H2771" s="6">
        <x:v>46215.21426412037</x:v>
      </x:c>
      <x:c r="I2771" s="0"/>
      <x:c r="J2771" s="0"/>
      <x:c r="K2771" s="6">
        <x:v>46232</x:v>
      </x:c>
      <x:c r="L2771" t="str" s="2">
        <x:v>Message Sent</x:v>
      </x:c>
    </x:row>
    <x:row r="2772">
      <x:c r="A2772" t="str" s="2">
        <x:f>="Lisa Phillips"</x:f>
      </x:c>
      <x:c r="B2772" t="str" s="2">
        <x:v>Heritage Housing of Asheboro</x:v>
      </x:c>
      <x:c r="C2772" t="str" s="2">
        <x:v/>
      </x:c>
      <x:c r="D2772" t="str" s="2">
        <x:v>3369994188</x:v>
      </x:c>
      <x:c r="E2772" t="str" s="2">
        <x:v>lcarlsen74@icloud.com</x:v>
      </x:c>
      <x:c r="F2772" t="str" s="2">
        <x:v>Meta Ads - Forms</x:v>
      </x:c>
      <x:c r="G2772" t="str" s="2">
        <x:v>Maria Lopez</x:v>
      </x:c>
      <x:c r="H2772" s="6">
        <x:v>46215.23434490741</x:v>
      </x:c>
      <x:c r="I2772" s="0"/>
      <x:c r="J2772" s="0"/>
      <x:c r="K2772" s="6">
        <x:v>46258</x:v>
      </x:c>
      <x:c r="L2772" t="str" s="2">
        <x:v>Message Sent</x:v>
      </x:c>
    </x:row>
    <x:row r="2773">
      <x:c r="A2773" t="str" s="2">
        <x:f>="Jess Davis"</x:f>
      </x:c>
      <x:c r="B2773" t="str" s="2">
        <x:v>Heritage Housing of Canton</x:v>
      </x:c>
      <x:c r="C2773" t="str" s="2">
        <x:v/>
      </x:c>
      <x:c r="D2773" t="str" s="2">
        <x:v>8172563330</x:v>
      </x:c>
      <x:c r="E2773" t="str" s="2">
        <x:v>Jcd012001@gmail.com</x:v>
      </x:c>
      <x:c r="F2773" t="str" s="2">
        <x:v>Meta Ads - Forms</x:v>
      </x:c>
      <x:c r="G2773" t="str" s="2">
        <x:v>Jacob Hatten</x:v>
      </x:c>
      <x:c r="H2773" s="6">
        <x:v>46215.28345292824</x:v>
      </x:c>
      <x:c r="I2773" s="0"/>
      <x:c r="J2773" s="0"/>
      <x:c r="K2773" s="6">
        <x:v>46251</x:v>
      </x:c>
      <x:c r="L2773" t="str" s="2">
        <x:v>Message Sent</x:v>
      </x:c>
    </x:row>
    <x:row r="2774">
      <x:c r="A2774" t="str" s="2">
        <x:f>="Delores Zachry"</x:f>
      </x:c>
      <x:c r="B2774" t="str" s="2">
        <x:v>Heritage Housing of Canton</x:v>
      </x:c>
      <x:c r="C2774" t="str" s="2">
        <x:v/>
      </x:c>
      <x:c r="D2774" t="str" s="2">
        <x:v>4692166409</x:v>
      </x:c>
      <x:c r="E2774" t="str" s="2">
        <x:v>deloreszachry@gmail.com</x:v>
      </x:c>
      <x:c r="F2774" t="str" s="2">
        <x:v>Meta Ads - Forms</x:v>
      </x:c>
      <x:c r="G2774" t="str" s="2">
        <x:v>Maira Garcia</x:v>
      </x:c>
      <x:c r="H2774" s="6">
        <x:v>46215.388663854166</x:v>
      </x:c>
      <x:c r="I2774" s="0"/>
      <x:c r="J2774" s="0"/>
      <x:c r="K2774" s="6">
        <x:v>46245</x:v>
      </x:c>
      <x:c r="L2774" t="str" s="2">
        <x:v>Message Sent</x:v>
      </x:c>
    </x:row>
    <x:row r="2775">
      <x:c r="A2775" t="str" s="2">
        <x:f>="Pampp Boiter"</x:f>
      </x:c>
      <x:c r="B2775" t="str" s="2">
        <x:v>Heritage Housing of Athens</x:v>
      </x:c>
      <x:c r="C2775" t="str" s="2">
        <x:v/>
      </x:c>
      <x:c r="D2775" t="str" s="2">
        <x:v>8647498108</x:v>
      </x:c>
      <x:c r="E2775" t="str" s="2">
        <x:v>Pamelaboiter4669@yahoo.com</x:v>
      </x:c>
      <x:c r="F2775" t="str" s="2">
        <x:v>Meta Ads - Forms</x:v>
      </x:c>
      <x:c r="G2775" t="str" s="2">
        <x:v>Nathan Bishop</x:v>
      </x:c>
      <x:c r="H2775" s="6">
        <x:v>46215.51173394676</x:v>
      </x:c>
      <x:c r="I2775" s="0"/>
      <x:c r="J2775" s="0"/>
      <x:c r="K2775" s="6">
        <x:v>46267</x:v>
      </x:c>
      <x:c r="L2775" t="str" s="2">
        <x:v>Message Sent</x:v>
      </x:c>
    </x:row>
    <x:row r="2776">
      <x:c r="A2776" t="str" s="2">
        <x:f>="Latysha Joyner"</x:f>
      </x:c>
      <x:c r="B2776" t="str" s="2">
        <x:v>Heritage Housing of Canton</x:v>
      </x:c>
      <x:c r="C2776" t="str" s="2">
        <x:v/>
      </x:c>
      <x:c r="D2776" t="str" s="2">
        <x:v>6822028180</x:v>
      </x:c>
      <x:c r="E2776" t="str" s="2">
        <x:v>ljoyner23@gmail.com</x:v>
      </x:c>
      <x:c r="F2776" t="str" s="2">
        <x:v>Meta Ads - Forms</x:v>
      </x:c>
      <x:c r="G2776" t="str" s="2">
        <x:v>Jacob Hatten</x:v>
      </x:c>
      <x:c r="H2776" s="6">
        <x:v>46215.55182172453</x:v>
      </x:c>
      <x:c r="I2776" s="0"/>
      <x:c r="J2776" s="0"/>
      <x:c r="K2776" s="6">
        <x:v>46244</x:v>
      </x:c>
      <x:c r="L2776" t="str" s="2">
        <x:v>Message Sent</x:v>
      </x:c>
    </x:row>
    <x:row r="2777">
      <x:c r="A2777" t="str" s="2">
        <x:f>="Leon Brown III"</x:f>
      </x:c>
      <x:c r="B2777" t="str" s="2">
        <x:v>Heritage Housing of Augusta</x:v>
      </x:c>
      <x:c r="C2777" t="str" s="2">
        <x:v>0/1</x:v>
      </x:c>
      <x:c r="D2777" t="str" s="2">
        <x:v>7626856392</x:v>
      </x:c>
      <x:c r="E2777" t="str" s="2">
        <x:v>Leonbrowniii261@gmail.com</x:v>
      </x:c>
      <x:c r="F2777" t="str" s="2">
        <x:v>Meta Ads - Forms</x:v>
      </x:c>
      <x:c r="G2777" t="str" s="2">
        <x:v>Jose Chavez</x:v>
      </x:c>
      <x:c r="H2777" s="6">
        <x:v>46215.58074799769</x:v>
      </x:c>
      <x:c r="I2777" s="0"/>
      <x:c r="J2777" s="0"/>
      <x:c r="K2777" s="6">
        <x:v>46274</x:v>
      </x:c>
      <x:c r="L2777" t="str" s="2">
        <x:v>Message Sent</x:v>
      </x:c>
    </x:row>
    <x:row r="2778">
      <x:c r="A2778" t="str" s="2">
        <x:f>="Anthony Freeman"</x:f>
      </x:c>
      <x:c r="B2778" t="str" s="2">
        <x:v>Heritage Housing of Augusta</x:v>
      </x:c>
      <x:c r="C2778" t="str" s="2">
        <x:v/>
      </x:c>
      <x:c r="D2778" t="str" s="2">
        <x:v>7068719759</x:v>
      </x:c>
      <x:c r="E2778" t="str" s="2">
        <x:v>antfreeman8958@gmail.com</x:v>
      </x:c>
      <x:c r="F2778" t="str" s="2">
        <x:v>Financing Form</x:v>
      </x:c>
      <x:c r="G2778" t="str" s="2">
        <x:v>Jose Chavez</x:v>
      </x:c>
      <x:c r="H2778" s="6">
        <x:v>46215.59068329861</x:v>
      </x:c>
      <x:c r="I2778" s="0"/>
      <x:c r="J2778" s="0"/>
      <x:c r="K2778" s="6">
        <x:v>46273</x:v>
      </x:c>
      <x:c r="L2778" t="str" s="2">
        <x:v>Message Sent</x:v>
      </x:c>
    </x:row>
    <x:row r="2779">
      <x:c r="A2779" t="str" s="2">
        <x:f>="Lindsey McSwain"</x:f>
      </x:c>
      <x:c r="B2779" t="str" s="2">
        <x:v>Heritage Housing of Asheboro</x:v>
      </x:c>
      <x:c r="C2779" t="str" s="2">
        <x:v/>
      </x:c>
      <x:c r="D2779" t="str" s="2">
        <x:v>9109865004</x:v>
      </x:c>
      <x:c r="E2779" t="str" s="2">
        <x:v>lindseybroadus7@gmail.com</x:v>
      </x:c>
      <x:c r="F2779" t="str" s="2">
        <x:v>Meta Ads - Traffic</x:v>
      </x:c>
      <x:c r="G2779" t="str" s="2">
        <x:v>Maria Lopez</x:v>
      </x:c>
      <x:c r="H2779" s="6">
        <x:v>46215.59664609954</x:v>
      </x:c>
      <x:c r="I2779" s="0"/>
      <x:c r="J2779" s="0"/>
      <x:c r="K2779" s="6">
        <x:v>46258</x:v>
      </x:c>
      <x:c r="L2779" t="str" s="2">
        <x:v>Message Sent</x:v>
      </x:c>
    </x:row>
    <x:row r="2780">
      <x:c r="A2780" t="str" s="2">
        <x:f>=HYPERLINK("https://rsms.futurehomex.com/lead/38475", "Marjorie Corley Corley")</x:f>
      </x:c>
      <x:c r="B2780" t="str" s="2">
        <x:v>Heritage Housing Mt Pleasant</x:v>
      </x:c>
      <x:c r="C2780" t="str" s="2">
        <x:v/>
      </x:c>
      <x:c r="D2780" t="str" s="2">
        <x:v>9183852204</x:v>
      </x:c>
      <x:c r="E2780" t="str" s="2">
        <x:v>corleymarjorie949@gmail.com</x:v>
      </x:c>
      <x:c r="F2780" t="str" s="2">
        <x:v>Meta Ads - Forms</x:v>
      </x:c>
      <x:c r="G2780" t="str" s="2">
        <x:v>Sandra Saldana</x:v>
      </x:c>
      <x:c r="H2780" s="6">
        <x:v>46215.61038903935</x:v>
      </x:c>
      <x:c r="I2780" t="str" s="2">
        <x:v>Yarelis Torres</x:v>
      </x:c>
      <x:c r="J2780" s="0"/>
      <x:c r="K2780" s="6">
        <x:v>46216</x:v>
      </x:c>
      <x:c r="L2780" t="str" s="2">
        <x:v>Message Sent</x:v>
      </x:c>
    </x:row>
    <x:row r="2781">
      <x:c r="A2781" t="str" s="2">
        <x:f>="Michael Butler"</x:f>
      </x:c>
      <x:c r="B2781" t="str" s="2">
        <x:v>Heritage Housing of Asheboro</x:v>
      </x:c>
      <x:c r="C2781" t="str" s="2">
        <x:v/>
      </x:c>
      <x:c r="D2781" t="str" s="2">
        <x:v>3364231095</x:v>
      </x:c>
      <x:c r="E2781" t="str" s="2">
        <x:v>michael.butler104@icloud.com</x:v>
      </x:c>
      <x:c r="F2781" t="str" s="2">
        <x:v>Website</x:v>
      </x:c>
      <x:c r="G2781" t="str" s="2">
        <x:v>Maria Lopez</x:v>
      </x:c>
      <x:c r="H2781" s="6">
        <x:v>46215.61233290509</x:v>
      </x:c>
      <x:c r="I2781" s="0"/>
      <x:c r="J2781" s="0"/>
      <x:c r="K2781" s="6">
        <x:v>46258</x:v>
      </x:c>
      <x:c r="L2781" t="str" s="2">
        <x:v>Message Sent</x:v>
      </x:c>
    </x:row>
    <x:row r="2782">
      <x:c r="A2782" t="str" s="2">
        <x:f>="Jasmine Sims"</x:f>
      </x:c>
      <x:c r="B2782" t="str" s="2">
        <x:v>Heritage Housing of Athens</x:v>
      </x:c>
      <x:c r="C2782" t="str" s="2">
        <x:v/>
      </x:c>
      <x:c r="D2782" t="str" s="2">
        <x:v>4704566233</x:v>
      </x:c>
      <x:c r="E2782" t="str" s="2">
        <x:v>simsjasmine223@yahoo.com</x:v>
      </x:c>
      <x:c r="F2782" t="str" s="2">
        <x:v>Meta Ads - Forms</x:v>
      </x:c>
      <x:c r="G2782" t="str" s="2">
        <x:v>Nathan Bishop</x:v>
      </x:c>
      <x:c r="H2782" s="6">
        <x:v>46215.61642908565</x:v>
      </x:c>
      <x:c r="I2782" s="0"/>
      <x:c r="J2782" s="0"/>
      <x:c r="K2782" s="6">
        <x:v>46267</x:v>
      </x:c>
      <x:c r="L2782" t="str" s="2">
        <x:v>Message Sent</x:v>
      </x:c>
    </x:row>
    <x:row r="2783">
      <x:c r="A2783" t="str" s="2">
        <x:f>="Rodrigus Henderson"</x:f>
      </x:c>
      <x:c r="B2783" t="str" s="2">
        <x:v>Heritage Housing of Augusta</x:v>
      </x:c>
      <x:c r="C2783" t="str" s="2">
        <x:v>0/1</x:v>
      </x:c>
      <x:c r="D2783" t="str" s="2">
        <x:v>7623772571</x:v>
      </x:c>
      <x:c r="E2783" t="str" s="2">
        <x:v>keonbrooker@gmail.com</x:v>
      </x:c>
      <x:c r="F2783" t="str" s="2">
        <x:v>Financing Form</x:v>
      </x:c>
      <x:c r="G2783" t="str" s="2">
        <x:v>Jose Chavez</x:v>
      </x:c>
      <x:c r="H2783" s="6">
        <x:v>46215.70530269676</x:v>
      </x:c>
      <x:c r="I2783" s="0"/>
      <x:c r="J2783" s="0"/>
      <x:c r="K2783" s="6">
        <x:v>46273</x:v>
      </x:c>
      <x:c r="L2783" t="str" s="2">
        <x:v>Message Sent</x:v>
      </x:c>
    </x:row>
    <x:row r="2784">
      <x:c r="A2784" t="str" s="2">
        <x:f>="robert Franklin"</x:f>
      </x:c>
      <x:c r="B2784" t="str" s="2">
        <x:v>Heritage Housing of Tulsa</x:v>
      </x:c>
      <x:c r="C2784" t="str" s="2">
        <x:v/>
      </x:c>
      <x:c r="D2784" t="str" s="2">
        <x:v>6204232929</x:v>
      </x:c>
      <x:c r="E2784" t="str" s="2">
        <x:v>robertfranklin2929@gmail.com</x:v>
      </x:c>
      <x:c r="F2784" t="str" s="2">
        <x:v>Meta Ads - Forms</x:v>
      </x:c>
      <x:c r="G2784" t="str" s="2">
        <x:v>Jenna Fransisco</x:v>
      </x:c>
      <x:c r="H2784" s="6">
        <x:v>46215.75226454861</x:v>
      </x:c>
      <x:c r="I2784" s="0"/>
      <x:c r="J2784" s="0"/>
      <x:c r="K2784" s="6">
        <x:v>46238</x:v>
      </x:c>
      <x:c r="L2784" t="str" s="2">
        <x:v>Message Sent</x:v>
      </x:c>
    </x:row>
    <x:row r="2785">
      <x:c r="A2785" t="str" s="2">
        <x:f>="Mona Edwards"</x:f>
      </x:c>
      <x:c r="B2785" t="str" s="2">
        <x:v>Heritage Housing of Tulsa</x:v>
      </x:c>
      <x:c r="C2785" t="str" s="2">
        <x:v/>
      </x:c>
      <x:c r="D2785" t="str" s="2">
        <x:v>2148438005</x:v>
      </x:c>
      <x:c r="E2785" t="str" s="2">
        <x:v>monasmileslisa@gmail.com</x:v>
      </x:c>
      <x:c r="F2785" t="str" s="2">
        <x:v>Meta Ads - Forms</x:v>
      </x:c>
      <x:c r="G2785" t="str" s="2">
        <x:v>Jenna Fransisco</x:v>
      </x:c>
      <x:c r="H2785" s="6">
        <x:v>46215.771091284725</x:v>
      </x:c>
      <x:c r="I2785" s="0"/>
      <x:c r="J2785" s="0"/>
      <x:c r="K2785" s="6">
        <x:v>46251</x:v>
      </x:c>
      <x:c r="L2785" t="str" s="2">
        <x:v>Message Sent</x:v>
      </x:c>
    </x:row>
    <x:row r="2786">
      <x:c r="A2786" t="str" s="2">
        <x:f>="Labraylor Clinkscales"</x:f>
      </x:c>
      <x:c r="B2786" t="str" s="2">
        <x:v>Heritage Housing of Athens</x:v>
      </x:c>
      <x:c r="C2786" t="str" s="2">
        <x:v/>
      </x:c>
      <x:c r="D2786" t="str" s="2">
        <x:v>4244143117</x:v>
      </x:c>
      <x:c r="E2786" t="str" s="2">
        <x:v>naryahjudah@gmail.com</x:v>
      </x:c>
      <x:c r="F2786" t="str" s="2">
        <x:v>Financing Form</x:v>
      </x:c>
      <x:c r="G2786" t="str" s="2">
        <x:v>Nathan Bishop</x:v>
      </x:c>
      <x:c r="H2786" s="6">
        <x:v>46215.7742125</x:v>
      </x:c>
      <x:c r="I2786" s="0"/>
      <x:c r="J2786" s="0"/>
      <x:c r="K2786" s="6">
        <x:v>46289.86976450231</x:v>
      </x:c>
      <x:c r="L2786" t="str" s="2">
        <x:v>Message Sent</x:v>
      </x:c>
    </x:row>
    <x:row r="2787">
      <x:c r="A2787" t="str" s="2">
        <x:f>="Guadalupe Ramirez"</x:f>
      </x:c>
      <x:c r="B2787" t="str" s="2">
        <x:v>Heritage Housing of Canton</x:v>
      </x:c>
      <x:c r="C2787" t="str" s="2">
        <x:v/>
      </x:c>
      <x:c r="D2787" t="str" s="2">
        <x:v>2246109287</x:v>
      </x:c>
      <x:c r="E2787" t="str" s="2">
        <x:v>lupitadelacruz32001@gmail.com</x:v>
      </x:c>
      <x:c r="F2787" t="str" s="2">
        <x:v>Meta Ads - Forms</x:v>
      </x:c>
      <x:c r="G2787" t="str" s="2">
        <x:v>Maira Garcia</x:v>
      </x:c>
      <x:c r="H2787" s="6">
        <x:v>46215.7979806713</x:v>
      </x:c>
      <x:c r="I2787" s="0"/>
      <x:c r="J2787" s="0"/>
      <x:c r="K2787" s="6">
        <x:v>46245</x:v>
      </x:c>
      <x:c r="L2787" t="str" s="2">
        <x:v>Message Sent</x:v>
      </x:c>
    </x:row>
    <x:row r="2788">
      <x:c r="A2788" t="str" s="2">
        <x:f>="Kimberly Scott"</x:f>
      </x:c>
      <x:c r="B2788" t="str" s="2">
        <x:v>Heritage Housing of Asheboro</x:v>
      </x:c>
      <x:c r="C2788" t="str" s="2">
        <x:v/>
      </x:c>
      <x:c r="D2788" t="str" s="2">
        <x:v>4705976145</x:v>
      </x:c>
      <x:c r="E2788" t="str" s="2">
        <x:v>kimberly_scott56@icloud.com</x:v>
      </x:c>
      <x:c r="F2788" t="str" s="2">
        <x:v>Website</x:v>
      </x:c>
      <x:c r="G2788" t="str" s="2">
        <x:v>Maria Lopez</x:v>
      </x:c>
      <x:c r="H2788" s="6">
        <x:v>46215.88727962963</x:v>
      </x:c>
      <x:c r="I2788" s="0"/>
      <x:c r="J2788" s="0"/>
      <x:c r="K2788" s="6">
        <x:v>46256</x:v>
      </x:c>
      <x:c r="L2788" t="str" s="2">
        <x:v>Message Sent</x:v>
      </x:c>
    </x:row>
    <x:row r="2789">
      <x:c r="A2789" t="str" s="2">
        <x:f>="Luis Maldonado"</x:f>
      </x:c>
      <x:c r="B2789" t="str" s="2">
        <x:v>Legacy Housing Corp. DBA Americasa</x:v>
      </x:c>
      <x:c r="C2789" t="str" s="2">
        <x:v/>
      </x:c>
      <x:c r="D2789" t="str" s="2">
        <x:v>8327395893</x:v>
      </x:c>
      <x:c r="E2789" t="str" s="2">
        <x:v>Luismaldonado121881@gmail.com</x:v>
      </x:c>
      <x:c r="F2789" t="str" s="2">
        <x:v>Meta Ads - Forms</x:v>
      </x:c>
      <x:c r="G2789" t="str" s="2">
        <x:v>Jose Parada</x:v>
      </x:c>
      <x:c r="H2789" s="6">
        <x:v>46215.92034082176</x:v>
      </x:c>
      <x:c r="I2789" s="0"/>
      <x:c r="J2789" s="0"/>
      <x:c r="K2789" s="6">
        <x:v>46232</x:v>
      </x:c>
      <x:c r="L2789" t="str" s="2">
        <x:v>Message Sent</x:v>
      </x:c>
    </x:row>
    <x:row r="2790">
      <x:c r="A2790" t="str" s="2">
        <x:f>="petra luckett"</x:f>
      </x:c>
      <x:c r="B2790" t="str" s="2">
        <x:v>Heritage Housing of Canton</x:v>
      </x:c>
      <x:c r="C2790" t="str" s="2">
        <x:v/>
      </x:c>
      <x:c r="D2790" t="str" s="2">
        <x:v>6824480224</x:v>
      </x:c>
      <x:c r="E2790" t="str" s="2">
        <x:v>mialuckett1031@gmail.com</x:v>
      </x:c>
      <x:c r="F2790" t="str" s="2">
        <x:v>Meta Ads - Forms</x:v>
      </x:c>
      <x:c r="G2790" t="str" s="2">
        <x:v>Maira Garcia</x:v>
      </x:c>
      <x:c r="H2790" s="6">
        <x:v>46215.926962349535</x:v>
      </x:c>
      <x:c r="I2790" s="0"/>
      <x:c r="J2790" s="0"/>
      <x:c r="K2790" s="6">
        <x:v>46220</x:v>
      </x:c>
      <x:c r="L2790" t="str" s="2">
        <x:v>Message Sent</x:v>
      </x:c>
    </x:row>
    <x:row r="2791">
      <x:c r="A2791" t="str" s="2">
        <x:f>="Ernie Bowen"</x:f>
      </x:c>
      <x:c r="B2791" t="str" s="2">
        <x:v>Heritage Housing of Augusta</x:v>
      </x:c>
      <x:c r="C2791" t="str" s="2">
        <x:v/>
      </x:c>
      <x:c r="D2791" t="str" s="2">
        <x:v>7065168021</x:v>
      </x:c>
      <x:c r="E2791" t="str" s="2">
        <x:v>ernieb1962@gmail.com</x:v>
      </x:c>
      <x:c r="F2791" t="str" s="2">
        <x:v>Meta Ads - Forms</x:v>
      </x:c>
      <x:c r="G2791" t="str" s="2">
        <x:v>Jose Chavez</x:v>
      </x:c>
      <x:c r="H2791" s="6">
        <x:v>46215.9553130787</x:v>
      </x:c>
      <x:c r="I2791" s="0"/>
      <x:c r="J2791" s="0"/>
      <x:c r="K2791" s="6">
        <x:v>46274</x:v>
      </x:c>
      <x:c r="L2791" t="str" s="2">
        <x:v>Message Sent</x:v>
      </x:c>
    </x:row>
    <x:row r="2792">
      <x:c r="A2792" t="str" s="2">
        <x:f>="Justin Fryman"</x:f>
      </x:c>
      <x:c r="B2792" t="str" s="2">
        <x:v>Heritage Housing of Oklahoma City</x:v>
      </x:c>
      <x:c r="C2792" t="str" s="2">
        <x:v>0/1</x:v>
      </x:c>
      <x:c r="D2792" t="str" s="2">
        <x:v>4052200007</x:v>
      </x:c>
      <x:c r="E2792" t="str" s="2">
        <x:v>justin57fryman@gmail.com</x:v>
      </x:c>
      <x:c r="F2792" t="str" s="2">
        <x:v>Meta Ads - Forms</x:v>
      </x:c>
      <x:c r="G2792" t="str" s="2">
        <x:v>Trey Rixleben</x:v>
      </x:c>
      <x:c r="H2792" s="6">
        <x:v>46216.01527121528</x:v>
      </x:c>
      <x:c r="I2792" s="0"/>
      <x:c r="J2792" s="0"/>
      <x:c r="K2792" s="6">
        <x:v>46216.657819328706</x:v>
      </x:c>
      <x:c r="L2792" t="str" s="2">
        <x:v>Message Sent</x:v>
      </x:c>
    </x:row>
    <x:row r="2793">
      <x:c r="A2793" t="str" s="2">
        <x:f>="Maria Olmos"</x:f>
      </x:c>
      <x:c r="B2793" t="str" s="2">
        <x:v>Heritage Housing of Athens</x:v>
      </x:c>
      <x:c r="C2793" t="str" s="2">
        <x:v/>
      </x:c>
      <x:c r="D2793" t="str" s="2">
        <x:v>4042073095</x:v>
      </x:c>
      <x:c r="E2793" t="str" s="2">
        <x:v>rocioolmos652@gmail.com</x:v>
      </x:c>
      <x:c r="F2793" t="str" s="2">
        <x:v>Meta Ads - Forms</x:v>
      </x:c>
      <x:c r="G2793" t="str" s="2">
        <x:v>Nathan Bishop</x:v>
      </x:c>
      <x:c r="H2793" s="6">
        <x:v>46216.08124355324</x:v>
      </x:c>
      <x:c r="I2793" s="0"/>
      <x:c r="J2793" s="0"/>
      <x:c r="K2793" s="6">
        <x:v>46289.86905509259</x:v>
      </x:c>
      <x:c r="L2793" t="str" s="2">
        <x:v>Message Sent</x:v>
      </x:c>
    </x:row>
    <x:row r="2794">
      <x:c r="A2794" t="str" s="2">
        <x:f>="Craig Sullivan"</x:f>
      </x:c>
      <x:c r="B2794" t="str" s="2">
        <x:v>Heritage Housing of Athens</x:v>
      </x:c>
      <x:c r="C2794" t="str" s="2">
        <x:v/>
      </x:c>
      <x:c r="D2794" t="str" s="2">
        <x:v>5082507009</x:v>
      </x:c>
      <x:c r="E2794" t="str" s="2">
        <x:v>sullivancraig3@gmail.com</x:v>
      </x:c>
      <x:c r="F2794" t="str" s="2">
        <x:v>Meta Ads - Forms</x:v>
      </x:c>
      <x:c r="G2794" t="str" s="2">
        <x:v>Nathan Bishop</x:v>
      </x:c>
      <x:c r="H2794" s="6">
        <x:v>46216.105535069444</x:v>
      </x:c>
      <x:c r="I2794" s="0"/>
      <x:c r="J2794" s="0"/>
      <x:c r="K2794" s="6">
        <x:v>46289.8676815625</x:v>
      </x:c>
      <x:c r="L2794" t="str" s="2">
        <x:v>Message Sent</x:v>
      </x:c>
    </x:row>
    <x:row r="2795">
      <x:c r="A2795" t="str" s="2">
        <x:f>="Shirley Ware"</x:f>
      </x:c>
      <x:c r="B2795" t="str" s="2">
        <x:v>Heritage Housing of Athens</x:v>
      </x:c>
      <x:c r="C2795" t="str" s="2">
        <x:v/>
      </x:c>
      <x:c r="D2795" t="str" s="2">
        <x:v>7064980380</x:v>
      </x:c>
      <x:c r="E2795" t="str" s="2">
        <x:v>deann_samara22@yahoo.com</x:v>
      </x:c>
      <x:c r="F2795" t="str" s="2">
        <x:v>Meta Ads - Forms</x:v>
      </x:c>
      <x:c r="G2795" t="str" s="2">
        <x:v>Nathan Bishop</x:v>
      </x:c>
      <x:c r="H2795" s="6">
        <x:v>46216.126069328704</x:v>
      </x:c>
      <x:c r="I2795" s="0"/>
      <x:c r="J2795" s="0"/>
      <x:c r="K2795" s="6">
        <x:v>46267</x:v>
      </x:c>
      <x:c r="L2795" t="str" s="2">
        <x:v>Message Sent</x:v>
      </x:c>
    </x:row>
    <x:row r="2796">
      <x:c r="A2796" t="str" s="2">
        <x:f>="Amos Forsyth"</x:f>
      </x:c>
      <x:c r="B2796" t="str" s="2">
        <x:v>Heritage Housing of Asheboro</x:v>
      </x:c>
      <x:c r="C2796" t="str" s="2">
        <x:v/>
      </x:c>
      <x:c r="D2796" t="str" s="2">
        <x:v>4049911221</x:v>
      </x:c>
      <x:c r="E2796" t="str" s="2">
        <x:v>Amosjoell_truka@icloud.com</x:v>
      </x:c>
      <x:c r="F2796" t="str" s="2">
        <x:v>Meta Ads - Forms</x:v>
      </x:c>
      <x:c r="G2796" t="str" s="2">
        <x:v>Nathan Bishop</x:v>
      </x:c>
      <x:c r="H2796" s="6">
        <x:v>46216.17183452546</x:v>
      </x:c>
      <x:c r="I2796" s="0"/>
      <x:c r="J2796" s="0"/>
      <x:c r="K2796" s="6">
        <x:v>46289</x:v>
      </x:c>
      <x:c r="L2796" t="str" s="2">
        <x:v>Message Sent</x:v>
      </x:c>
    </x:row>
    <x:row r="2797">
      <x:c r="A2797" t="str" s="2">
        <x:f>="Brianna Peralta"</x:f>
      </x:c>
      <x:c r="B2797" t="str" s="2">
        <x:v>Heritage Housing of Asheboro</x:v>
      </x:c>
      <x:c r="C2797" t="str" s="2">
        <x:v/>
      </x:c>
      <x:c r="D2797" t="str" s="2">
        <x:v>9109751060</x:v>
      </x:c>
      <x:c r="E2797" t="str" s="2">
        <x:v>peraltab2019@gmail.com</x:v>
      </x:c>
      <x:c r="F2797" t="str" s="2">
        <x:v>LandingPage</x:v>
      </x:c>
      <x:c r="G2797" t="str" s="2">
        <x:v>Maria Lopez</x:v>
      </x:c>
      <x:c r="H2797" s="6">
        <x:v>46216.20120112268</x:v>
      </x:c>
      <x:c r="I2797" s="0"/>
      <x:c r="J2797" s="0"/>
      <x:c r="K2797" s="6">
        <x:v>46256</x:v>
      </x:c>
      <x:c r="L2797" t="str" s="2">
        <x:v>Message Sent</x:v>
      </x:c>
    </x:row>
    <x:row r="2798">
      <x:c r="A2798" t="str" s="2">
        <x:f>="Edith Clark"</x:f>
      </x:c>
      <x:c r="B2798" t="str" s="2">
        <x:v>Heritage Housing of Athens</x:v>
      </x:c>
      <x:c r="C2798" t="str" s="2">
        <x:v/>
      </x:c>
      <x:c r="D2798" t="str" s="2">
        <x:v>3136877867</x:v>
      </x:c>
      <x:c r="E2798" t="str" s="2">
        <x:v>sjclark0509@gmail.com</x:v>
      </x:c>
      <x:c r="F2798" t="str" s="2">
        <x:v>Website</x:v>
      </x:c>
      <x:c r="G2798" t="str" s="2">
        <x:v>Nathan Bishop</x:v>
      </x:c>
      <x:c r="H2798" s="6">
        <x:v>46216.21878306713</x:v>
      </x:c>
      <x:c r="I2798" s="0"/>
      <x:c r="J2798" s="0"/>
      <x:c r="K2798" s="6">
        <x:v>46289</x:v>
      </x:c>
      <x:c r="L2798" t="str" s="2">
        <x:v>Message Sent</x:v>
      </x:c>
    </x:row>
    <x:row r="2799">
      <x:c r="A2799" t="str" s="2">
        <x:f>="Jose C Camacho"</x:f>
      </x:c>
      <x:c r="B2799" t="str" s="2">
        <x:v>Heritage Housing Gainesville</x:v>
      </x:c>
      <x:c r="C2799" t="str" s="2">
        <x:v/>
      </x:c>
      <x:c r="D2799" t="str" s="2" xml:space="preserve">
        <x:v> 5806772850    </x:v>
      </x:c>
      <x:c r="E2799" t="str" s="2">
        <x:v>josecamacho5721@icluod.com</x:v>
      </x:c>
      <x:c r="F2799" t="str" s="2">
        <x:v>Meta Ads - Traffic</x:v>
      </x:c>
      <x:c r="G2799" t="str" s="2">
        <x:v>Kelly Ford</x:v>
      </x:c>
      <x:c r="H2799" s="6">
        <x:v>46216.390156747686</x:v>
      </x:c>
      <x:c r="I2799" s="0"/>
      <x:c r="J2799" s="0"/>
      <x:c r="K2799" s="6">
        <x:v>46276</x:v>
      </x:c>
      <x:c r="L2799" t="str" s="2">
        <x:v>Message Sent</x:v>
      </x:c>
    </x:row>
    <x:row r="2800">
      <x:c r="A2800" t="str" s="2">
        <x:f>="Henry Bradley"</x:f>
      </x:c>
      <x:c r="B2800" t="str" s="2">
        <x:v>Legacy Housing Corp. DBA Americasa</x:v>
      </x:c>
      <x:c r="C2800" t="str" s="2">
        <x:v/>
      </x:c>
      <x:c r="D2800" t="str" s="2">
        <x:v>8322550088</x:v>
      </x:c>
      <x:c r="E2800" t="str" s="2">
        <x:v>iamofgod365@gmail.com</x:v>
      </x:c>
      <x:c r="F2800" t="str" s="2">
        <x:v>Meta Ads - Traffic</x:v>
      </x:c>
      <x:c r="G2800" t="str" s="2">
        <x:v>Jose Parada</x:v>
      </x:c>
      <x:c r="H2800" s="6">
        <x:v>46216.40845940972</x:v>
      </x:c>
      <x:c r="I2800" s="0"/>
      <x:c r="J2800" s="0"/>
      <x:c r="K2800" s="6">
        <x:v>46232</x:v>
      </x:c>
      <x:c r="L2800" t="str" s="2">
        <x:v>Message Sent</x:v>
      </x:c>
    </x:row>
    <x:row r="2801">
      <x:c r="A2801" t="str" s="2">
        <x:f>="Ronny Wren"</x:f>
      </x:c>
      <x:c r="B2801" t="str" s="2">
        <x:v>Heritage Housing of Athens</x:v>
      </x:c>
      <x:c r="C2801" t="str" s="2">
        <x:v/>
      </x:c>
      <x:c r="D2801" t="str" s="2">
        <x:v>7069944127</x:v>
      </x:c>
      <x:c r="E2801" t="str" s="2">
        <x:v>Ronniewrenjr17@icloud.com</x:v>
      </x:c>
      <x:c r="F2801" t="str" s="2">
        <x:v>Meta Ads - Forms</x:v>
      </x:c>
      <x:c r="G2801" t="str" s="2">
        <x:v>Nathan Bishop</x:v>
      </x:c>
      <x:c r="H2801" s="6">
        <x:v>46216.436207060186</x:v>
      </x:c>
      <x:c r="I2801" s="0"/>
      <x:c r="J2801" s="0"/>
      <x:c r="K2801" s="6">
        <x:v>46289.85956423611</x:v>
      </x:c>
      <x:c r="L2801" t="str" s="2">
        <x:v>Message Sent</x:v>
      </x:c>
    </x:row>
    <x:row r="2802">
      <x:c r="A2802" t="str" s="2">
        <x:f>="Jamal D Baylock"</x:f>
      </x:c>
      <x:c r="B2802" t="str" s="2">
        <x:v>Heritage Housing of Asheboro</x:v>
      </x:c>
      <x:c r="C2802" t="str" s="2">
        <x:v/>
      </x:c>
      <x:c r="D2802" t="str" s="2">
        <x:v>8544441660</x:v>
      </x:c>
      <x:c r="E2802" t="str" s="2">
        <x:v>jkenya0794@yahoo.com</x:v>
      </x:c>
      <x:c r="F2802" t="str" s="2">
        <x:v>Meta Ads - Forms</x:v>
      </x:c>
      <x:c r="G2802" t="str" s="2">
        <x:v>Maria Lopez</x:v>
      </x:c>
      <x:c r="H2802" s="6">
        <x:v>46216.48959479167</x:v>
      </x:c>
      <x:c r="I2802" s="0"/>
      <x:c r="J2802" s="0"/>
      <x:c r="K2802" s="6">
        <x:v>46258</x:v>
      </x:c>
      <x:c r="L2802" t="str" s="2">
        <x:v>Message Sent</x:v>
      </x:c>
    </x:row>
    <x:row r="2803">
      <x:c r="A2803" t="str" s="2">
        <x:f>="David Eagle"</x:f>
      </x:c>
      <x:c r="B2803" t="str" s="2">
        <x:v>Heritage Housing of Asheboro</x:v>
      </x:c>
      <x:c r="C2803" t="str" s="2">
        <x:v/>
      </x:c>
      <x:c r="D2803" t="str" s="2">
        <x:v>7047625030</x:v>
      </x:c>
      <x:c r="E2803" t="str" s="2">
        <x:v>davideagle240@gmail.com</x:v>
      </x:c>
      <x:c r="F2803" t="str" s="2">
        <x:v>Meta Ads - Forms</x:v>
      </x:c>
      <x:c r="G2803" t="str" s="2">
        <x:v>Maria Lopez</x:v>
      </x:c>
      <x:c r="H2803" s="6">
        <x:v>46216.60420011574</x:v>
      </x:c>
      <x:c r="I2803" s="0"/>
      <x:c r="J2803" s="0"/>
      <x:c r="K2803" s="6">
        <x:v>46258</x:v>
      </x:c>
      <x:c r="L2803" t="str" s="2">
        <x:v>Message Sent</x:v>
      </x:c>
    </x:row>
    <x:row r="2804">
      <x:c r="A2804" t="str" s="2">
        <x:f>="Ac Huff"</x:f>
      </x:c>
      <x:c r="B2804" t="str" s="2">
        <x:v>Heritage Housing of Augusta</x:v>
      </x:c>
      <x:c r="C2804" t="str" s="2">
        <x:v/>
      </x:c>
      <x:c r="D2804" t="str" s="2">
        <x:v>8038435724</x:v>
      </x:c>
      <x:c r="E2804" t="str" s="2">
        <x:v>achuff5151@gmail.com</x:v>
      </x:c>
      <x:c r="F2804" t="str" s="2">
        <x:v>Meta Ads - Forms</x:v>
      </x:c>
      <x:c r="G2804" t="str" s="2">
        <x:v>Jose Chavez</x:v>
      </x:c>
      <x:c r="H2804" s="6">
        <x:v>46216.60460917824</x:v>
      </x:c>
      <x:c r="I2804" s="0"/>
      <x:c r="J2804" s="0"/>
      <x:c r="K2804" s="6">
        <x:v>46273</x:v>
      </x:c>
      <x:c r="L2804" t="str" s="2">
        <x:v>Message Sent</x:v>
      </x:c>
    </x:row>
    <x:row r="2805">
      <x:c r="A2805" t="str" s="2">
        <x:f>="Jon Morris"</x:f>
      </x:c>
      <x:c r="B2805" t="str" s="2">
        <x:v>Heritage Housing of Tulsa</x:v>
      </x:c>
      <x:c r="C2805" t="str" s="2">
        <x:v/>
      </x:c>
      <x:c r="D2805" t="str" s="2">
        <x:v>3166193615</x:v>
      </x:c>
      <x:c r="E2805" t="str" s="2">
        <x:v>mjon53032@gmail.com</x:v>
      </x:c>
      <x:c r="F2805" t="str" s="2">
        <x:v>Meta Ads - Forms</x:v>
      </x:c>
      <x:c r="G2805" t="str" s="2">
        <x:v>Jenna Fransisco</x:v>
      </x:c>
      <x:c r="H2805" s="6">
        <x:v>46216.60650304398</x:v>
      </x:c>
      <x:c r="I2805" s="0"/>
      <x:c r="J2805" s="0"/>
      <x:c r="K2805" s="6">
        <x:v>46240</x:v>
      </x:c>
      <x:c r="L2805" t="str" s="2">
        <x:v>Message Sent</x:v>
      </x:c>
    </x:row>
    <x:row r="2806">
      <x:c r="A2806" t="str" s="2">
        <x:f>="Barbara Wettstein"</x:f>
      </x:c>
      <x:c r="B2806" t="str" s="2">
        <x:v>Heritage Housing of Canton</x:v>
      </x:c>
      <x:c r="C2806" t="str" s="2">
        <x:v/>
      </x:c>
      <x:c r="D2806" t="str" s="2">
        <x:v>8177251221</x:v>
      </x:c>
      <x:c r="E2806" t="str" s="2">
        <x:v>bdj7251@gmail.com</x:v>
      </x:c>
      <x:c r="F2806" t="str" s="2">
        <x:v>Meta Ads - Forms</x:v>
      </x:c>
      <x:c r="G2806" t="str" s="2">
        <x:v>Jacob Hatten</x:v>
      </x:c>
      <x:c r="H2806" s="6">
        <x:v>46216.607157094906</x:v>
      </x:c>
      <x:c r="I2806" s="0"/>
      <x:c r="J2806" s="0"/>
      <x:c r="K2806" s="6">
        <x:v>46244</x:v>
      </x:c>
      <x:c r="L2806" t="str" s="2">
        <x:v>Message Sent</x:v>
      </x:c>
    </x:row>
    <x:row r="2807">
      <x:c r="A2807" t="str" s="2">
        <x:f>="Jamorian Williams"</x:f>
      </x:c>
      <x:c r="B2807" t="str" s="2">
        <x:v>Heritage Housing of Canton</x:v>
      </x:c>
      <x:c r="C2807" t="str" s="2">
        <x:v/>
      </x:c>
      <x:c r="D2807" t="str" s="2">
        <x:v>9036468423</x:v>
      </x:c>
      <x:c r="E2807" t="str" s="2">
        <x:v>jamorianw89@gmail.com</x:v>
      </x:c>
      <x:c r="F2807" t="str" s="2">
        <x:v>Meta Ads - Forms</x:v>
      </x:c>
      <x:c r="G2807" t="str" s="2">
        <x:v>Maira Garcia</x:v>
      </x:c>
      <x:c r="H2807" s="6">
        <x:v>46216.60728498843</x:v>
      </x:c>
      <x:c r="I2807" s="0"/>
      <x:c r="J2807" s="0"/>
      <x:c r="K2807" s="6">
        <x:v>46220</x:v>
      </x:c>
      <x:c r="L2807" t="str" s="2">
        <x:v>Message Sent</x:v>
      </x:c>
    </x:row>
    <x:row r="2808">
      <x:c r="A2808" t="str" s="2">
        <x:f>="Emily Delahoussaye"</x:f>
      </x:c>
      <x:c r="B2808" t="str" s="2">
        <x:v>Heritage Housing of Jennings</x:v>
      </x:c>
      <x:c r="C2808" t="str" s="2">
        <x:v>0/3</x:v>
      </x:c>
      <x:c r="D2808" t="str" s="2">
        <x:v>3375226610</x:v>
      </x:c>
      <x:c r="E2808" t="str" s="2">
        <x:v>edelahoussaye2012@yahoo.com</x:v>
      </x:c>
      <x:c r="F2808" t="str" s="2">
        <x:v>Meta Ads - Forms</x:v>
      </x:c>
      <x:c r="G2808" t="str" s="2">
        <x:v>Clint O'Neal</x:v>
      </x:c>
      <x:c r="H2808" s="6">
        <x:v>46216.60848052083</x:v>
      </x:c>
      <x:c r="I2808" s="0"/>
      <x:c r="J2808" s="0"/>
      <x:c r="K2808" s="6">
        <x:v>46288</x:v>
      </x:c>
      <x:c r="L2808" t="str" s="2">
        <x:v>Message Sent</x:v>
      </x:c>
    </x:row>
    <x:row r="2809">
      <x:c r="A2809" t="str" s="2">
        <x:f>="Catherine Jones"</x:f>
      </x:c>
      <x:c r="B2809" t="str" s="2">
        <x:v>Heritage Housing of Jennings</x:v>
      </x:c>
      <x:c r="C2809" t="str" s="2">
        <x:v>0/12</x:v>
      </x:c>
      <x:c r="D2809" t="str" s="2">
        <x:v>5049201889</x:v>
      </x:c>
      <x:c r="E2809" t="str" s="2">
        <x:v>cathylou565@gmail.com</x:v>
      </x:c>
      <x:c r="F2809" t="str" s="2">
        <x:v>Meta Ads - Forms</x:v>
      </x:c>
      <x:c r="G2809" t="str" s="2">
        <x:v>Mervin Leslie Smith</x:v>
      </x:c>
      <x:c r="H2809" s="6">
        <x:v>46216.6088940625</x:v>
      </x:c>
      <x:c r="I2809" s="0"/>
      <x:c r="J2809" s="0"/>
      <x:c r="K2809" s="6">
        <x:v>46288</x:v>
      </x:c>
      <x:c r="L2809" t="str" s="2">
        <x:v>Message Sent</x:v>
      </x:c>
    </x:row>
    <x:row r="2810">
      <x:c r="A2810" t="str" s="2">
        <x:f>="Inez Laurent-Drummer"</x:f>
      </x:c>
      <x:c r="B2810" t="str" s="2">
        <x:v>Heritage Housing of Canton</x:v>
      </x:c>
      <x:c r="C2810" t="str" s="2">
        <x:v/>
      </x:c>
      <x:c r="D2810" t="str" s="2">
        <x:v>9165493791</x:v>
      </x:c>
      <x:c r="E2810" t="str" s="2">
        <x:v>inezdrummer63@gmail.com</x:v>
      </x:c>
      <x:c r="F2810" t="str" s="2">
        <x:v>Meta Ads - Forms</x:v>
      </x:c>
      <x:c r="G2810" t="str" s="2">
        <x:v>Jacob Hatten</x:v>
      </x:c>
      <x:c r="H2810" s="6">
        <x:v>46216.621141585645</x:v>
      </x:c>
      <x:c r="I2810" s="0"/>
      <x:c r="J2810" s="0"/>
      <x:c r="K2810" s="6">
        <x:v>46258</x:v>
      </x:c>
      <x:c r="L2810" t="str" s="2">
        <x:v>Message Sent</x:v>
      </x:c>
    </x:row>
    <x:row r="2811">
      <x:c r="A2811" t="str" s="2">
        <x:f>="Darrell vaught"</x:f>
      </x:c>
      <x:c r="B2811" t="str" s="2">
        <x:v>Heritage Housing of Tulsa</x:v>
      </x:c>
      <x:c r="C2811" t="str" s="2">
        <x:v/>
      </x:c>
      <x:c r="D2811" t="str" s="2">
        <x:v>9186056940</x:v>
      </x:c>
      <x:c r="E2811" t="str" s="2">
        <x:v>sdvaught0617@gmail.com</x:v>
      </x:c>
      <x:c r="F2811" t="str" s="2">
        <x:v>Financing Form</x:v>
      </x:c>
      <x:c r="G2811" t="str" s="2">
        <x:v>Jenna Fransisco</x:v>
      </x:c>
      <x:c r="H2811" s="6">
        <x:v>46216.62175802083</x:v>
      </x:c>
      <x:c r="I2811" s="0"/>
      <x:c r="J2811" s="0"/>
      <x:c r="K2811" s="6">
        <x:v>46308</x:v>
      </x:c>
      <x:c r="L2811" t="str" s="2">
        <x:v>Message Sent</x:v>
      </x:c>
    </x:row>
    <x:row r="2812">
      <x:c r="A2812" t="str" s="2">
        <x:f>="JASMINE JENKINS"</x:f>
      </x:c>
      <x:c r="B2812" t="str" s="2">
        <x:v>Heritage Housing of Augusta</x:v>
      </x:c>
      <x:c r="C2812" t="str" s="2">
        <x:v/>
      </x:c>
      <x:c r="D2812" t="str" s="2">
        <x:v>7622155214</x:v>
      </x:c>
      <x:c r="E2812" t="str" s="2">
        <x:v>LOVEJAS118@GMAIL.COM</x:v>
      </x:c>
      <x:c r="F2812" t="str" s="2">
        <x:v>Financing Form</x:v>
      </x:c>
      <x:c r="G2812" t="str" s="2">
        <x:v>Jose Chavez</x:v>
      </x:c>
      <x:c r="H2812" s="6">
        <x:v>46216.63823221065</x:v>
      </x:c>
      <x:c r="I2812" s="0"/>
      <x:c r="J2812" s="0"/>
      <x:c r="K2812" s="6">
        <x:v>46274</x:v>
      </x:c>
      <x:c r="L2812" t="str" s="2">
        <x:v>Message Sent</x:v>
      </x:c>
    </x:row>
    <x:row r="2813">
      <x:c r="A2813" t="str" s="2">
        <x:f>="Kialyn Griffen"</x:f>
      </x:c>
      <x:c r="B2813" t="str" s="2">
        <x:v>Heritage Housing Mt Pleasant</x:v>
      </x:c>
      <x:c r="C2813" t="str" s="2">
        <x:v/>
      </x:c>
      <x:c r="D2813" t="str" s="2">
        <x:v>4303188363</x:v>
      </x:c>
      <x:c r="E2813" t="str" s="2">
        <x:v>4303188363</x:v>
      </x:c>
      <x:c r="F2813" t="str" s="2">
        <x:v>META Marketplace</x:v>
      </x:c>
      <x:c r="G2813" t="str" s="2">
        <x:v>Yarelis Torres</x:v>
      </x:c>
      <x:c r="H2813" s="6">
        <x:v>46216.65556701389</x:v>
      </x:c>
      <x:c r="I2813" s="0"/>
      <x:c r="J2813" s="6">
        <x:v>46216.833333333336</x:v>
      </x:c>
      <x:c r="K2813" s="6">
        <x:v>46248</x:v>
      </x:c>
      <x:c r="L2813" t="str" s="2">
        <x:v>Message Sent</x:v>
      </x:c>
    </x:row>
    <x:row r="2814">
      <x:c r="A2814" t="str" s="2">
        <x:f>=HYPERLINK("https://rsms.futurehomex.com/lead/38461", "Pamela Cathen")</x:f>
      </x:c>
      <x:c r="B2814" t="str" s="2">
        <x:v>Heritage Housing of Athens</x:v>
      </x:c>
      <x:c r="C2814" t="str" s="2">
        <x:v/>
      </x:c>
      <x:c r="D2814" t="str" s="2">
        <x:v>7064610535</x:v>
      </x:c>
      <x:c r="E2814" t="str" s="2">
        <x:v>pampressley60@gmail.com</x:v>
      </x:c>
      <x:c r="F2814" t="str" s="2">
        <x:v>Other</x:v>
      </x:c>
      <x:c r="G2814" t="str" s="2">
        <x:v>Nathan Bishop</x:v>
      </x:c>
      <x:c r="H2814" s="6">
        <x:v>46216.659364733794</x:v>
      </x:c>
      <x:c r="I2814" t="str" s="2">
        <x:v>Nathan Bishop</x:v>
      </x:c>
      <x:c r="J2814" s="0"/>
      <x:c r="K2814" s="6">
        <x:v>46289</x:v>
      </x:c>
      <x:c r="L2814" t="str" s="2">
        <x:v>Message Sent</x:v>
      </x:c>
    </x:row>
    <x:row r="2815">
      <x:c r="A2815" t="str" s="2">
        <x:f>="Kalina Taylor"</x:f>
      </x:c>
      <x:c r="B2815" t="str" s="2">
        <x:v>Heritage Housing of Athens</x:v>
      </x:c>
      <x:c r="C2815" t="str" s="2">
        <x:v/>
      </x:c>
      <x:c r="D2815" t="str" s="2">
        <x:v>5132182823</x:v>
      </x:c>
      <x:c r="E2815" t="str" s="2">
        <x:v>kalinat628@gmail.com</x:v>
      </x:c>
      <x:c r="F2815" t="str" s="2">
        <x:v>LandingPage</x:v>
      </x:c>
      <x:c r="G2815" t="str" s="2">
        <x:v>Nathan Bishop</x:v>
      </x:c>
      <x:c r="H2815" s="6">
        <x:v>46216.73282696759</x:v>
      </x:c>
      <x:c r="I2815" s="0"/>
      <x:c r="J2815" s="0"/>
      <x:c r="K2815" s="6">
        <x:v>46307.87636605324</x:v>
      </x:c>
      <x:c r="L2815" t="str" s="2">
        <x:v>Message Sent</x:v>
      </x:c>
    </x:row>
    <x:row r="2816">
      <x:c r="A2816" t="str" s="2">
        <x:f>="Angelica hachero"</x:f>
      </x:c>
      <x:c r="B2816" t="str" s="2">
        <x:v>Heritage Housing of Tulsa</x:v>
      </x:c>
      <x:c r="C2816" t="str" s="2">
        <x:v>0/1</x:v>
      </x:c>
      <x:c r="D2816" t="str" s="2">
        <x:v>5096800320</x:v>
      </x:c>
      <x:c r="E2816" t="str" s="2">
        <x:v>hach.angel22@gmail.com</x:v>
      </x:c>
      <x:c r="F2816" t="str" s="2">
        <x:v>Financing Form</x:v>
      </x:c>
      <x:c r="G2816" t="str" s="2">
        <x:v>Jenna Fransisco</x:v>
      </x:c>
      <x:c r="H2816" s="6">
        <x:v>46216.79355732639</x:v>
      </x:c>
      <x:c r="I2816" s="0"/>
      <x:c r="J2816" s="0"/>
      <x:c r="K2816" s="6">
        <x:v>46251</x:v>
      </x:c>
      <x:c r="L2816" t="str" s="2">
        <x:v>Message Sent</x:v>
      </x:c>
    </x:row>
    <x:row r="2817">
      <x:c r="A2817" t="str" s="2">
        <x:f>="Caden Moore"</x:f>
      </x:c>
      <x:c r="B2817" t="str" s="2">
        <x:v>Heritage Housing of Greenville</x:v>
      </x:c>
      <x:c r="C2817" t="str" s="2">
        <x:v/>
      </x:c>
      <x:c r="D2817" t="str" s="2">
        <x:v>3086758637</x:v>
      </x:c>
      <x:c r="E2817" t="str" s="2">
        <x:v>swervoo2shiesty@gmail.com</x:v>
      </x:c>
      <x:c r="F2817" t="str" s="2">
        <x:v>Meta Ads - Forms</x:v>
      </x:c>
      <x:c r="G2817" t="str" s="2">
        <x:v>Brooklynn Allen</x:v>
      </x:c>
      <x:c r="H2817" s="6">
        <x:v>46216.823668599536</x:v>
      </x:c>
      <x:c r="I2817" s="0"/>
      <x:c r="J2817" s="0"/>
      <x:c r="K2817" s="6">
        <x:v>46249</x:v>
      </x:c>
      <x:c r="L2817" t="str" s="2">
        <x:v>Message Sent</x:v>
      </x:c>
    </x:row>
    <x:row r="2818">
      <x:c r="A2818" t="str" s="2">
        <x:f>="Jeanine Kingsley"</x:f>
      </x:c>
      <x:c r="B2818" t="str" s="2">
        <x:v>Heritage Housing of Asheboro</x:v>
      </x:c>
      <x:c r="C2818" t="str" s="2">
        <x:v/>
      </x:c>
      <x:c r="D2818" t="str" s="2">
        <x:v>3365218728</x:v>
      </x:c>
      <x:c r="E2818" t="str" s="2">
        <x:v>davidkingsley825@gmail.com</x:v>
      </x:c>
      <x:c r="F2818" t="str" s="2">
        <x:v>Website</x:v>
      </x:c>
      <x:c r="G2818" t="str" s="2">
        <x:v>Maria Lopez</x:v>
      </x:c>
      <x:c r="H2818" s="6">
        <x:v>46216.847239849536</x:v>
      </x:c>
      <x:c r="I2818" s="0"/>
      <x:c r="J2818" s="0"/>
      <x:c r="K2818" s="6">
        <x:v>46258</x:v>
      </x:c>
      <x:c r="L2818" t="str" s="2">
        <x:v>Message Sent</x:v>
      </x:c>
    </x:row>
    <x:row r="2819">
      <x:c r="A2819" t="str" s="2">
        <x:f>="Marie Todd"</x:f>
      </x:c>
      <x:c r="B2819" t="str" s="2">
        <x:v>Heritage Housing of Augusta</x:v>
      </x:c>
      <x:c r="C2819" t="str" s="2">
        <x:v/>
      </x:c>
      <x:c r="D2819" t="str" s="2">
        <x:v>9124555867</x:v>
      </x:c>
      <x:c r="E2819" t="str" s="2">
        <x:v>marietodd3271964@gmail.com</x:v>
      </x:c>
      <x:c r="F2819" t="str" s="2">
        <x:v>Meta Ads - Forms</x:v>
      </x:c>
      <x:c r="G2819" t="str" s="2">
        <x:v>Jose Chavez</x:v>
      </x:c>
      <x:c r="H2819" s="6">
        <x:v>46216.853143900466</x:v>
      </x:c>
      <x:c r="I2819" s="0"/>
      <x:c r="J2819" s="0"/>
      <x:c r="K2819" s="6">
        <x:v>46274</x:v>
      </x:c>
      <x:c r="L2819" t="str" s="2">
        <x:v>Message Sent</x:v>
      </x:c>
    </x:row>
    <x:row r="2820">
      <x:c r="A2820" t="str" s="2">
        <x:f>="julie Edwards"</x:f>
      </x:c>
      <x:c r="B2820" t="str" s="2">
        <x:v>Heritage Housing of Oklahoma City</x:v>
      </x:c>
      <x:c r="C2820" t="str" s="2">
        <x:v>0/2</x:v>
      </x:c>
      <x:c r="D2820" t="str" s="2">
        <x:v>6507048015</x:v>
      </x:c>
      <x:c r="E2820" t="str" s="2">
        <x:v>julie_kichler1988@yahoo.com</x:v>
      </x:c>
      <x:c r="F2820" t="str" s="2">
        <x:v>Financing Form</x:v>
      </x:c>
      <x:c r="G2820" t="str" s="2">
        <x:v>Steve Castell</x:v>
      </x:c>
      <x:c r="H2820" s="6">
        <x:v>46216.858508680554</x:v>
      </x:c>
      <x:c r="I2820" s="0"/>
      <x:c r="J2820" s="0"/>
      <x:c r="K2820" s="6">
        <x:v>46220.97856582176</x:v>
      </x:c>
      <x:c r="L2820" t="str" s="2">
        <x:v>Message Sent</x:v>
      </x:c>
    </x:row>
    <x:row r="2821">
      <x:c r="A2821" t="str" s="2">
        <x:f>=HYPERLINK("https://rsms.futurehomex.com/lead/38477", "Manuel Flores")</x:f>
      </x:c>
      <x:c r="B2821" t="str" s="2">
        <x:v>Heritage Housing Mt Pleasant</x:v>
      </x:c>
      <x:c r="C2821" t="str" s="2">
        <x:v/>
      </x:c>
      <x:c r="D2821" t="str" s="2">
        <x:v>5053926188</x:v>
      </x:c>
      <x:c r="E2821" t="str" s="2">
        <x:v>5053926188</x:v>
      </x:c>
      <x:c r="F2821" t="str" s="2">
        <x:v>META Marketplace</x:v>
      </x:c>
      <x:c r="G2821" t="str" s="2">
        <x:v>Yarelis Torres</x:v>
      </x:c>
      <x:c r="H2821" s="6">
        <x:v>46216.89026721065</x:v>
      </x:c>
      <x:c r="I2821" t="str" s="2">
        <x:v>Yarelis Torres</x:v>
      </x:c>
      <x:c r="J2821" s="0"/>
      <x:c r="K2821" s="6">
        <x:v>46248</x:v>
      </x:c>
      <x:c r="L2821" t="str" s="2">
        <x:v>Message Sent</x:v>
      </x:c>
    </x:row>
    <x:row r="2822">
      <x:c r="A2822" t="str" s="2">
        <x:f>="Larry Goodman"</x:f>
      </x:c>
      <x:c r="B2822" t="str" s="2">
        <x:v>Heritage Housing Mt Pleasant</x:v>
      </x:c>
      <x:c r="C2822" t="str" s="2">
        <x:v/>
      </x:c>
      <x:c r="D2822" t="str" s="2">
        <x:v>9032859484</x:v>
      </x:c>
      <x:c r="E2822" t="str" s="2">
        <x:v>9032859484</x:v>
      </x:c>
      <x:c r="F2822" t="str" s="2">
        <x:v>META Marketplace</x:v>
      </x:c>
      <x:c r="G2822" t="str" s="2">
        <x:v>Yarelis Torres</x:v>
      </x:c>
      <x:c r="H2822" s="6">
        <x:v>46216.91945625</x:v>
      </x:c>
      <x:c r="I2822" s="0"/>
      <x:c r="J2822" s="6">
        <x:v>46221.583333333336</x:v>
      </x:c>
      <x:c r="K2822" s="6">
        <x:v>46248</x:v>
      </x:c>
      <x:c r="L2822" t="str" s="2">
        <x:v>Message Sent</x:v>
      </x:c>
    </x:row>
    <x:row r="2823">
      <x:c r="A2823" t="str" s="2">
        <x:f>="Anita Jiron Jirón"</x:f>
      </x:c>
      <x:c r="B2823" t="str" s="2">
        <x:v>Legacy Housing Corp. DBA Americasa</x:v>
      </x:c>
      <x:c r="C2823" t="str" s="2">
        <x:v/>
      </x:c>
      <x:c r="D2823" t="str" s="2">
        <x:v>3467752305</x:v>
      </x:c>
      <x:c r="E2823" t="str" s="2">
        <x:v>anaj41314@gmail.com</x:v>
      </x:c>
      <x:c r="F2823" t="str" s="2">
        <x:v>Meta Ads - Forms</x:v>
      </x:c>
      <x:c r="G2823" t="str" s="2">
        <x:v>Rodrigo Ramirez</x:v>
      </x:c>
      <x:c r="H2823" s="6">
        <x:v>46216.92878206018</x:v>
      </x:c>
      <x:c r="I2823" s="0"/>
      <x:c r="J2823" s="0"/>
      <x:c r="K2823" s="6">
        <x:v>46246</x:v>
      </x:c>
      <x:c r="L2823" t="str" s="2">
        <x:v>Message Sent</x:v>
      </x:c>
    </x:row>
    <x:row r="2824">
      <x:c r="A2824" t="str" s="2">
        <x:f>="Jaylee King"</x:f>
      </x:c>
      <x:c r="B2824" t="str" s="2">
        <x:v>Heritage Housing of Greenville</x:v>
      </x:c>
      <x:c r="C2824" t="str" s="2">
        <x:v/>
      </x:c>
      <x:c r="D2824" t="str" s="2">
        <x:v>9032680395</x:v>
      </x:c>
      <x:c r="E2824" t="str" s="2">
        <x:v>jayleeann1216@gmail.com</x:v>
      </x:c>
      <x:c r="F2824" t="str" s="2">
        <x:v>Meta Ads - Forms</x:v>
      </x:c>
      <x:c r="G2824" t="str" s="2">
        <x:v>Brooklynn Allen</x:v>
      </x:c>
      <x:c r="H2824" s="6">
        <x:v>46216.934582256945</x:v>
      </x:c>
      <x:c r="I2824" s="0"/>
      <x:c r="J2824" s="0"/>
      <x:c r="K2824" s="6">
        <x:v>46249</x:v>
      </x:c>
      <x:c r="L2824" t="str" s="2">
        <x:v>Message Sent</x:v>
      </x:c>
    </x:row>
    <x:row r="2825">
      <x:c r="A2825" t="str" s="2">
        <x:f>=HYPERLINK("https://rsms.futurehomex.com/lead/38481", "Barbara Wegley")</x:f>
      </x:c>
      <x:c r="B2825" t="str" s="2">
        <x:v>Heritage Housing of Tulsa</x:v>
      </x:c>
      <x:c r="C2825" t="str" s="2">
        <x:v/>
      </x:c>
      <x:c r="D2825" t="str" s="2">
        <x:v>9187590533</x:v>
      </x:c>
      <x:c r="E2825" t="str" s="2">
        <x:v>bwegley10@yahoo.com</x:v>
      </x:c>
      <x:c r="F2825" t="str" s="2">
        <x:v>Walk-in</x:v>
      </x:c>
      <x:c r="G2825" t="str" s="2">
        <x:v>Jenna Fransisco</x:v>
      </x:c>
      <x:c r="H2825" s="6">
        <x:v>46216.961147650465</x:v>
      </x:c>
      <x:c r="I2825" t="str" s="2">
        <x:v>Brittany Cobb</x:v>
      </x:c>
      <x:c r="J2825" s="0"/>
      <x:c r="K2825" s="6">
        <x:v>46241</x:v>
      </x:c>
      <x:c r="L2825" t="str" s="2">
        <x:v>Message Sent</x:v>
      </x:c>
    </x:row>
    <x:row r="2826">
      <x:c r="A2826" t="str" s="2">
        <x:f>="Kayleigh Tremble"</x:f>
      </x:c>
      <x:c r="B2826" t="str" s="2">
        <x:v>Heritage Housing of Augusta</x:v>
      </x:c>
      <x:c r="C2826" t="str" s="2">
        <x:v>0/1</x:v>
      </x:c>
      <x:c r="D2826" t="str" s="2">
        <x:v>7068726291</x:v>
      </x:c>
      <x:c r="E2826" t="str" s="2">
        <x:v>judymann474@gmail.com</x:v>
      </x:c>
      <x:c r="F2826" t="str" s="2">
        <x:v>Financing Form</x:v>
      </x:c>
      <x:c r="G2826" t="str" s="2">
        <x:v>Jose Chavez</x:v>
      </x:c>
      <x:c r="H2826" s="6">
        <x:v>46216.990775729166</x:v>
      </x:c>
      <x:c r="I2826" s="0"/>
      <x:c r="J2826" s="0"/>
      <x:c r="K2826" s="6">
        <x:v>46273</x:v>
      </x:c>
      <x:c r="L2826" t="str" s="2">
        <x:v>Message Sent</x:v>
      </x:c>
    </x:row>
    <x:row r="2827">
      <x:c r="A2827" t="str" s="2">
        <x:f>="Arthur Talabes"</x:f>
      </x:c>
      <x:c r="B2827" t="str" s="2">
        <x:v>Heritage Housing of Athens</x:v>
      </x:c>
      <x:c r="C2827" t="str" s="2">
        <x:v>0/1</x:v>
      </x:c>
      <x:c r="D2827" t="str" s="2">
        <x:v>7705242197</x:v>
      </x:c>
      <x:c r="E2827" t="str" s="2">
        <x:v>talabesa@hotmail.com</x:v>
      </x:c>
      <x:c r="F2827" t="str" s="2">
        <x:v>Meta Ads - Traffic</x:v>
      </x:c>
      <x:c r="G2827" t="str" s="2">
        <x:v>Nathan Bishop</x:v>
      </x:c>
      <x:c r="H2827" s="6">
        <x:v>46217.00281114583</x:v>
      </x:c>
      <x:c r="I2827" s="0"/>
      <x:c r="J2827" s="0"/>
      <x:c r="K2827" s="6">
        <x:v>46288</x:v>
      </x:c>
      <x:c r="L2827" t="str" s="2">
        <x:v>Message Sent</x:v>
      </x:c>
    </x:row>
    <x:row r="2828">
      <x:c r="A2828" t="str" s="2">
        <x:f>="Kelly Gilbert"</x:f>
      </x:c>
      <x:c r="B2828" t="str" s="2">
        <x:v>Heritage Housing of Canton</x:v>
      </x:c>
      <x:c r="C2828" t="str" s="2">
        <x:v/>
      </x:c>
      <x:c r="D2828" t="str" s="2">
        <x:v>9797161206</x:v>
      </x:c>
      <x:c r="E2828" t="str" s="2">
        <x:v>kgilbert708@gmail.com</x:v>
      </x:c>
      <x:c r="F2828" t="str" s="2">
        <x:v>Meta Ads - Forms</x:v>
      </x:c>
      <x:c r="G2828" t="str" s="2">
        <x:v>Maira Garcia</x:v>
      </x:c>
      <x:c r="H2828" s="6">
        <x:v>46217.00454378472</x:v>
      </x:c>
      <x:c r="I2828" s="0"/>
      <x:c r="J2828" s="0"/>
      <x:c r="K2828" s="6">
        <x:v>46220</x:v>
      </x:c>
      <x:c r="L2828" t="str" s="2">
        <x:v>Message Sent</x:v>
      </x:c>
    </x:row>
    <x:row r="2829">
      <x:c r="A2829" t="str" s="2">
        <x:f>="Keyarra OBanner"</x:f>
      </x:c>
      <x:c r="B2829" t="str" s="2">
        <x:v>Heritage Housing of Augusta</x:v>
      </x:c>
      <x:c r="C2829" t="str" s="2">
        <x:v/>
      </x:c>
      <x:c r="D2829" t="str" s="2">
        <x:v>9128136434</x:v>
      </x:c>
      <x:c r="E2829" t="str" s="2">
        <x:v>obannerkeyarra@gmail.com</x:v>
      </x:c>
      <x:c r="F2829" t="str" s="2">
        <x:v>LandingPage</x:v>
      </x:c>
      <x:c r="G2829" t="str" s="2">
        <x:v>Jennifer Johnson</x:v>
      </x:c>
      <x:c r="H2829" s="6">
        <x:v>46217.008053819445</x:v>
      </x:c>
      <x:c r="I2829" s="0"/>
      <x:c r="J2829" s="0"/>
      <x:c r="K2829" s="6">
        <x:v>46276</x:v>
      </x:c>
      <x:c r="L2829" t="str" s="2">
        <x:v>Message Sent</x:v>
      </x:c>
    </x:row>
    <x:row r="2830">
      <x:c r="A2830" t="str" s="2">
        <x:f>="Mark Tier"</x:f>
      </x:c>
      <x:c r="B2830" t="str" s="2">
        <x:v>Heritage Housing Mt Pleasant</x:v>
      </x:c>
      <x:c r="C2830" t="str" s="2">
        <x:v/>
      </x:c>
      <x:c r="D2830" t="str" s="2">
        <x:v>5804511201</x:v>
      </x:c>
      <x:c r="E2830" t="str" s="2">
        <x:v>5804511201</x:v>
      </x:c>
      <x:c r="F2830" t="str" s="2">
        <x:v>META Marketplace</x:v>
      </x:c>
      <x:c r="G2830" t="str" s="2">
        <x:v>Yarelis Torres</x:v>
      </x:c>
      <x:c r="H2830" s="6">
        <x:v>46217.00933298611</x:v>
      </x:c>
      <x:c r="I2830" s="0"/>
      <x:c r="J2830" s="6">
        <x:v>46217.208333333336</x:v>
      </x:c>
      <x:c r="K2830" s="6">
        <x:v>46248</x:v>
      </x:c>
      <x:c r="L2830" t="str" s="2">
        <x:v>Message Sent</x:v>
      </x:c>
    </x:row>
    <x:row r="2831">
      <x:c r="A2831" t="str" s="2">
        <x:f>="Tiger Scott"</x:f>
      </x:c>
      <x:c r="B2831" t="str" s="2">
        <x:v>Heritage Housing of Jennings</x:v>
      </x:c>
      <x:c r="C2831" t="str" s="2">
        <x:v>0/5</x:v>
      </x:c>
      <x:c r="D2831" t="str" s="2">
        <x:v>5042652724</x:v>
      </x:c>
      <x:c r="E2831" t="str" s="2">
        <x:v>gerald@gmail.com</x:v>
      </x:c>
      <x:c r="F2831" t="str" s="2">
        <x:v>Meta Ads - Forms</x:v>
      </x:c>
      <x:c r="G2831" t="str" s="2">
        <x:v>Mervin Leslie Smith</x:v>
      </x:c>
      <x:c r="H2831" s="6">
        <x:v>46217.012845405094</x:v>
      </x:c>
      <x:c r="I2831" s="0"/>
      <x:c r="J2831" s="0"/>
      <x:c r="K2831" s="6">
        <x:v>46288</x:v>
      </x:c>
      <x:c r="L2831" t="str" s="2">
        <x:v>Message Sent</x:v>
      </x:c>
    </x:row>
    <x:row r="2832">
      <x:c r="A2832" t="str" s="2">
        <x:f>="Carolyn Bassett"</x:f>
      </x:c>
      <x:c r="B2832" t="str" s="2">
        <x:v>Heritage Housing of Greenville</x:v>
      </x:c>
      <x:c r="C2832" t="str" s="2">
        <x:v/>
      </x:c>
      <x:c r="D2832" t="str" s="2">
        <x:v>6824582481</x:v>
      </x:c>
      <x:c r="E2832" t="str" s="2">
        <x:v>bassettcarolyn52@gmail.com</x:v>
      </x:c>
      <x:c r="F2832" t="str" s="2">
        <x:v>Meta Ads - Forms</x:v>
      </x:c>
      <x:c r="G2832" t="str" s="2">
        <x:v>Brooklynn Allen</x:v>
      </x:c>
      <x:c r="H2832" s="6">
        <x:v>46217.01422873842</x:v>
      </x:c>
      <x:c r="I2832" s="0"/>
      <x:c r="J2832" s="0"/>
      <x:c r="K2832" s="6">
        <x:v>46249</x:v>
      </x:c>
      <x:c r="L2832" t="str" s="2">
        <x:v>Message Sent</x:v>
      </x:c>
    </x:row>
    <x:row r="2833">
      <x:c r="A2833" t="str" s="2">
        <x:f>="Tracy jackson"</x:f>
      </x:c>
      <x:c r="B2833" t="str" s="2">
        <x:v>Heritage Housing of Asheboro</x:v>
      </x:c>
      <x:c r="C2833" t="str" s="2">
        <x:v/>
      </x:c>
      <x:c r="D2833" t="str" s="2">
        <x:v>6197944721</x:v>
      </x:c>
      <x:c r="E2833" t="str" s="2">
        <x:v>tracy.jackson97@yahoo.com</x:v>
      </x:c>
      <x:c r="F2833" t="str" s="2">
        <x:v>Financing Form</x:v>
      </x:c>
      <x:c r="G2833" t="str" s="2">
        <x:v>Maria Lopez</x:v>
      </x:c>
      <x:c r="H2833" s="6">
        <x:v>46217.02762635417</x:v>
      </x:c>
      <x:c r="I2833" s="0"/>
      <x:c r="J2833" s="6">
        <x:v>46220.75</x:v>
      </x:c>
      <x:c r="K2833" s="6">
        <x:v>46267</x:v>
      </x:c>
      <x:c r="L2833" t="str" s="2">
        <x:v>Message Sent</x:v>
      </x:c>
    </x:row>
    <x:row r="2834">
      <x:c r="A2834" t="str" s="2">
        <x:f>="Manuel Santos"</x:f>
      </x:c>
      <x:c r="B2834" t="str" s="2">
        <x:v>Heritage Housing of Canton</x:v>
      </x:c>
      <x:c r="C2834" t="str" s="2">
        <x:v/>
      </x:c>
      <x:c r="D2834" t="str" s="2">
        <x:v>+522721228007</x:v>
      </x:c>
      <x:c r="E2834" t="str" s="2">
        <x:v>coci_ver@yahoo.com.mx</x:v>
      </x:c>
      <x:c r="F2834" t="str" s="2">
        <x:v>Meta Ads - Forms</x:v>
      </x:c>
      <x:c r="G2834" t="str" s="2">
        <x:v>Jacob Hatten</x:v>
      </x:c>
      <x:c r="H2834" s="6">
        <x:v>46217.05732723379</x:v>
      </x:c>
      <x:c r="I2834" s="0"/>
      <x:c r="J2834" s="0"/>
      <x:c r="K2834" s="6">
        <x:v>46258</x:v>
      </x:c>
      <x:c r="L2834" t="str" s="2">
        <x:v>Message Sent</x:v>
      </x:c>
    </x:row>
    <x:row r="2835">
      <x:c r="A2835" t="str" s="2">
        <x:f>=HYPERLINK("https://rsms.futurehomex.com/lead/39358", "Sequila Butler")</x:f>
      </x:c>
      <x:c r="B2835" t="str" s="2">
        <x:v>Heritage Housing of Albany</x:v>
      </x:c>
      <x:c r="C2835" t="str" s="2">
        <x:v/>
      </x:c>
      <x:c r="D2835" t="str" s="2">
        <x:v>2296559003</x:v>
      </x:c>
      <x:c r="E2835" t="str" s="2">
        <x:v>sequilaholmes568@gmail.com</x:v>
      </x:c>
      <x:c r="F2835" t="str" s="2">
        <x:v>Meta Ads - Forms</x:v>
      </x:c>
      <x:c r="G2835" t="str" s="2">
        <x:v>Yanet Alvarez</x:v>
      </x:c>
      <x:c r="H2835" s="6">
        <x:v>46217.05741582176</x:v>
      </x:c>
      <x:c r="I2835" t="str" s="2">
        <x:v>Alexander Bryant</x:v>
      </x:c>
      <x:c r="J2835" s="0"/>
      <x:c r="K2835" s="6">
        <x:v>46295</x:v>
      </x:c>
      <x:c r="L2835" t="str" s="2">
        <x:v>Message Sent</x:v>
      </x:c>
    </x:row>
    <x:row r="2836">
      <x:c r="A2836" t="str" s="2">
        <x:f>="laoreal JordanThomas"</x:f>
      </x:c>
      <x:c r="B2836" t="str" s="2">
        <x:v>Heritage Housing of Athens</x:v>
      </x:c>
      <x:c r="C2836" t="str" s="2">
        <x:v/>
      </x:c>
      <x:c r="D2836" t="str" s="2">
        <x:v>7624024406</x:v>
      </x:c>
      <x:c r="E2836" t="str" s="2">
        <x:v>jordanthomaslaoreal@gmail.com</x:v>
      </x:c>
      <x:c r="F2836" t="str" s="2">
        <x:v>Meta Ads - Forms</x:v>
      </x:c>
      <x:c r="G2836" t="str" s="2">
        <x:v>Nathan Bishop</x:v>
      </x:c>
      <x:c r="H2836" s="6">
        <x:v>46217.070306284724</x:v>
      </x:c>
      <x:c r="I2836" s="0"/>
      <x:c r="J2836" s="0"/>
      <x:c r="K2836" s="6">
        <x:v>46289.79112392361</x:v>
      </x:c>
      <x:c r="L2836" t="str" s="2">
        <x:v>Message Sent</x:v>
      </x:c>
    </x:row>
    <x:row r="2837">
      <x:c r="A2837" t="str" s="2">
        <x:f>="Tammy Penney"</x:f>
      </x:c>
      <x:c r="B2837" t="str" s="2">
        <x:v>Heritage Housing Marble Falls</x:v>
      </x:c>
      <x:c r="C2837" t="str" s="2">
        <x:v/>
      </x:c>
      <x:c r="D2837" t="str" s="2" xml:space="preserve">
        <x:v> 2546406785    </x:v>
      </x:c>
      <x:c r="E2837" t="str" s="2">
        <x:v>Twopenneys@icloud.com</x:v>
      </x:c>
      <x:c r="F2837" t="str" s="2">
        <x:v>Meta Ads - Forms</x:v>
      </x:c>
      <x:c r="G2837" t="str" s="2">
        <x:v>Garrett Riedesel</x:v>
      </x:c>
      <x:c r="H2837" s="6">
        <x:v>46217.09837619213</x:v>
      </x:c>
      <x:c r="I2837" s="0"/>
      <x:c r="J2837" s="0"/>
      <x:c r="K2837" s="6">
        <x:v>46280</x:v>
      </x:c>
      <x:c r="L2837" t="str" s="2">
        <x:v>Message Sent</x:v>
      </x:c>
    </x:row>
    <x:row r="2838">
      <x:c r="A2838" t="str" s="2">
        <x:f>="Tamala Penney"</x:f>
      </x:c>
      <x:c r="B2838" t="str" s="2">
        <x:v>Heritage Housing Mt Pleasant</x:v>
      </x:c>
      <x:c r="C2838" t="str" s="2">
        <x:v/>
      </x:c>
      <x:c r="D2838" t="str" s="2">
        <x:v>2546406785</x:v>
      </x:c>
      <x:c r="E2838" t="str" s="2">
        <x:v>twopenneys@icloud.com</x:v>
      </x:c>
      <x:c r="F2838" t="str" s="2">
        <x:v>LandingPage</x:v>
      </x:c>
      <x:c r="G2838" t="str" s="2">
        <x:v>Yarelis Torres</x:v>
      </x:c>
      <x:c r="H2838" s="6">
        <x:v>46217.09967210648</x:v>
      </x:c>
      <x:c r="I2838" s="0"/>
      <x:c r="J2838" s="0"/>
      <x:c r="K2838" s="6">
        <x:v>46248</x:v>
      </x:c>
      <x:c r="L2838" t="str" s="2">
        <x:v>Message Sent</x:v>
      </x:c>
    </x:row>
    <x:row r="2839">
      <x:c r="A2839" t="str" s="2">
        <x:f>="JT Jones"</x:f>
      </x:c>
      <x:c r="B2839" t="str" s="2">
        <x:v>Heritage Housing Mt Pleasant</x:v>
      </x:c>
      <x:c r="C2839" t="str" s="2">
        <x:v/>
      </x:c>
      <x:c r="D2839" t="str" s="2">
        <x:v>2142263482</x:v>
      </x:c>
      <x:c r="E2839" t="str" s="2">
        <x:v>jtjones120@gmail.com</x:v>
      </x:c>
      <x:c r="F2839" t="str" s="2">
        <x:v>Meta Ads - Forms</x:v>
      </x:c>
      <x:c r="G2839" t="str" s="2">
        <x:v>Yarelis Torres</x:v>
      </x:c>
      <x:c r="H2839" s="6">
        <x:v>46217.12835258102</x:v>
      </x:c>
      <x:c r="I2839" s="0"/>
      <x:c r="J2839" s="0"/>
      <x:c r="K2839" s="6">
        <x:v>46255</x:v>
      </x:c>
      <x:c r="L2839" t="str" s="2">
        <x:v>Message Sent</x:v>
      </x:c>
    </x:row>
    <x:row r="2840">
      <x:c r="A2840" t="str" s="2">
        <x:f>="Dyllon Broyles"</x:f>
      </x:c>
      <x:c r="B2840" t="str" s="2">
        <x:v>Heritage Housing of Athens</x:v>
      </x:c>
      <x:c r="C2840" t="str" s="2">
        <x:v/>
      </x:c>
      <x:c r="D2840" t="str" s="2">
        <x:v>7067515292</x:v>
      </x:c>
      <x:c r="E2840" t="str" s="2">
        <x:v>dyllonbroyles97@gmail.com</x:v>
      </x:c>
      <x:c r="F2840" t="str" s="2">
        <x:v>Website</x:v>
      </x:c>
      <x:c r="G2840" t="str" s="2">
        <x:v>Brian Amato</x:v>
      </x:c>
      <x:c r="H2840" s="6">
        <x:v>46217.15459332176</x:v>
      </x:c>
      <x:c r="I2840" s="0"/>
      <x:c r="J2840" s="0"/>
      <x:c r="K2840" s="6">
        <x:v>46233.869640625</x:v>
      </x:c>
      <x:c r="L2840" t="str" s="2">
        <x:v>Message Sent</x:v>
      </x:c>
    </x:row>
    <x:row r="2841">
      <x:c r="A2841" t="str" s="2">
        <x:f>="Annalisa Figueroa"</x:f>
      </x:c>
      <x:c r="B2841" t="str" s="2">
        <x:v>Heritage Housing of Canton</x:v>
      </x:c>
      <x:c r="C2841" t="str" s="2">
        <x:v/>
      </x:c>
      <x:c r="D2841" t="str" s="2">
        <x:v>4696108483</x:v>
      </x:c>
      <x:c r="E2841" t="str" s="2">
        <x:v>figueroaannalisa@yahoo.com</x:v>
      </x:c>
      <x:c r="F2841" t="str" s="2">
        <x:v>Meta Ads - Forms</x:v>
      </x:c>
      <x:c r="G2841" t="str" s="2">
        <x:v>Maira Garcia</x:v>
      </x:c>
      <x:c r="H2841" s="6">
        <x:v>46217.159503703704</x:v>
      </x:c>
      <x:c r="I2841" s="0"/>
      <x:c r="J2841" s="0"/>
      <x:c r="K2841" s="6">
        <x:v>46220</x:v>
      </x:c>
      <x:c r="L2841" t="str" s="2">
        <x:v>Message Sent</x:v>
      </x:c>
    </x:row>
    <x:row r="2842">
      <x:c r="A2842" t="str" s="2">
        <x:f>="LaDona Johnson"</x:f>
      </x:c>
      <x:c r="B2842" t="str" s="2">
        <x:v>Heritage Housing of Oklahoma City</x:v>
      </x:c>
      <x:c r="C2842" t="str" s="2">
        <x:v>0/2</x:v>
      </x:c>
      <x:c r="D2842" t="str" s="2">
        <x:v>5396641067</x:v>
      </x:c>
      <x:c r="E2842" t="str" s="2">
        <x:v>ladonahughes1977@gmail.com</x:v>
      </x:c>
      <x:c r="F2842" t="str" s="2">
        <x:v>LandingPage</x:v>
      </x:c>
      <x:c r="G2842" t="str" s="2">
        <x:v>Steve Castell</x:v>
      </x:c>
      <x:c r="H2842" s="6">
        <x:v>46217.210534375</x:v>
      </x:c>
      <x:c r="I2842" s="0"/>
      <x:c r="J2842" s="0"/>
      <x:c r="K2842" s="6">
        <x:v>46225</x:v>
      </x:c>
      <x:c r="L2842" t="str" s="2">
        <x:v>Message Sent</x:v>
      </x:c>
    </x:row>
    <x:row r="2843">
      <x:c r="A2843" t="str" s="2">
        <x:f>="Kimberly Bond"</x:f>
      </x:c>
      <x:c r="B2843" t="str" s="2">
        <x:v>Heritage Housing of Athens</x:v>
      </x:c>
      <x:c r="C2843" t="str" s="2">
        <x:v/>
      </x:c>
      <x:c r="D2843" t="str" s="2">
        <x:v>7069495376</x:v>
      </x:c>
      <x:c r="E2843" t="str" s="2">
        <x:v>kbond9269@gmail.com</x:v>
      </x:c>
      <x:c r="F2843" t="str" s="2">
        <x:v>Meta Ads - Forms</x:v>
      </x:c>
      <x:c r="G2843" t="str" s="2">
        <x:v>Nathan Bishop</x:v>
      </x:c>
      <x:c r="H2843" s="6">
        <x:v>46217.21783318287</x:v>
      </x:c>
      <x:c r="I2843" s="0"/>
      <x:c r="J2843" s="0"/>
      <x:c r="K2843" s="6">
        <x:v>46289.789802893516</x:v>
      </x:c>
      <x:c r="L2843" t="str" s="2">
        <x:v>Message Sent</x:v>
      </x:c>
    </x:row>
    <x:row r="2844">
      <x:c r="A2844" t="str" s="2">
        <x:f>="APRIL TUCKER"</x:f>
      </x:c>
      <x:c r="B2844" t="str" s="2">
        <x:v>Heritage Housing of Augusta</x:v>
      </x:c>
      <x:c r="C2844" t="str" s="2">
        <x:v>0/1</x:v>
      </x:c>
      <x:c r="D2844" t="str" s="2">
        <x:v>4782789301</x:v>
      </x:c>
      <x:c r="E2844" t="str" s="2">
        <x:v>miz_under_stood@yahoo.com</x:v>
      </x:c>
      <x:c r="F2844" t="str" s="2">
        <x:v>Financing Form</x:v>
      </x:c>
      <x:c r="G2844" t="str" s="2">
        <x:v>Jose Chavez</x:v>
      </x:c>
      <x:c r="H2844" s="6">
        <x:v>46217.261426122684</x:v>
      </x:c>
      <x:c r="I2844" s="0"/>
      <x:c r="J2844" s="0"/>
      <x:c r="K2844" s="6">
        <x:v>46274</x:v>
      </x:c>
      <x:c r="L2844" t="str" s="2">
        <x:v>Message Sent</x:v>
      </x:c>
    </x:row>
    <x:row r="2845">
      <x:c r="A2845" t="str" s="2">
        <x:f>="Kaylee Hobson"</x:f>
      </x:c>
      <x:c r="B2845" t="str" s="2">
        <x:v>Heritage Housing of Tulsa</x:v>
      </x:c>
      <x:c r="C2845" t="str" s="2">
        <x:v/>
      </x:c>
      <x:c r="D2845" t="str" s="2">
        <x:v>9183996939</x:v>
      </x:c>
      <x:c r="E2845" t="str" s="2">
        <x:v>kayleehobs17@gmail.com</x:v>
      </x:c>
      <x:c r="F2845" t="str" s="2">
        <x:v>Meta Ads - Forms</x:v>
      </x:c>
      <x:c r="G2845" t="str" s="2">
        <x:v>Jenna Fransisco</x:v>
      </x:c>
      <x:c r="H2845" s="6">
        <x:v>46217.3228284375</x:v>
      </x:c>
      <x:c r="I2845" s="0"/>
      <x:c r="J2845" s="0"/>
      <x:c r="K2845" s="6">
        <x:v>46251</x:v>
      </x:c>
      <x:c r="L2845" t="str" s="2">
        <x:v>Message Sent</x:v>
      </x:c>
    </x:row>
    <x:row r="2846">
      <x:c r="A2846" t="str" s="2">
        <x:f>="Amanda Browner"</x:f>
      </x:c>
      <x:c r="B2846" t="str" s="2">
        <x:v>Heritage Housing Gainesville</x:v>
      </x:c>
      <x:c r="C2846" t="str" s="2">
        <x:v/>
      </x:c>
      <x:c r="D2846" t="str" s="2">
        <x:v>5807604522</x:v>
      </x:c>
      <x:c r="E2846" t="str" s="2">
        <x:v>ajb580@yahoo.com</x:v>
      </x:c>
      <x:c r="F2846" t="str" s="2">
        <x:v>Meta Ads - Forms</x:v>
      </x:c>
      <x:c r="G2846" t="str" s="2">
        <x:v>Kelly Ford</x:v>
      </x:c>
      <x:c r="H2846" s="6">
        <x:v>46217.553266006944</x:v>
      </x:c>
      <x:c r="I2846" s="0"/>
      <x:c r="J2846" s="0"/>
      <x:c r="K2846" s="6">
        <x:v>46276</x:v>
      </x:c>
      <x:c r="L2846" t="str" s="2">
        <x:v>Message Sent</x:v>
      </x:c>
    </x:row>
    <x:row r="2847">
      <x:c r="A2847" t="str" s="2">
        <x:f>=HYPERLINK("https://rsms.futurehomex.com/lead/38487", "Wanda Wheeler")</x:f>
      </x:c>
      <x:c r="B2847" t="str" s="2">
        <x:v>Heritage Housing of Augusta</x:v>
      </x:c>
      <x:c r="C2847" t="str" s="2">
        <x:v/>
      </x:c>
      <x:c r="D2847" t="str" s="2">
        <x:v>7064668588</x:v>
      </x:c>
      <x:c r="E2847" t="str" s="2">
        <x:v>7064668588</x:v>
      </x:c>
      <x:c r="F2847" t="str" s="2">
        <x:v>Other</x:v>
      </x:c>
      <x:c r="G2847" t="str" s="2">
        <x:v>Jose Chavez</x:v>
      </x:c>
      <x:c r="H2847" s="6">
        <x:v>46217.559710381945</x:v>
      </x:c>
      <x:c r="I2847" t="str" s="2">
        <x:v>Faye Lively</x:v>
      </x:c>
      <x:c r="J2847" s="0"/>
      <x:c r="K2847" s="6">
        <x:v>46273</x:v>
      </x:c>
      <x:c r="L2847" t="str" s="2">
        <x:v>Message Sent</x:v>
      </x:c>
    </x:row>
    <x:row r="2848">
      <x:c r="A2848" t="str" s="2">
        <x:f>=HYPERLINK("https://rsms.futurehomex.com/lead/38488", "Donald Taylor")</x:f>
      </x:c>
      <x:c r="B2848" t="str" s="2">
        <x:v>Heritage Housing of Augusta</x:v>
      </x:c>
      <x:c r="C2848" t="str" s="2">
        <x:v/>
      </x:c>
      <x:c r="D2848" t="str" s="2">
        <x:v>8036343995</x:v>
      </x:c>
      <x:c r="E2848" t="str" s="2">
        <x:v>8036343995</x:v>
      </x:c>
      <x:c r="F2848" t="str" s="2">
        <x:v>Other</x:v>
      </x:c>
      <x:c r="G2848" t="str" s="2">
        <x:v>Jose Chavez</x:v>
      </x:c>
      <x:c r="H2848" s="6">
        <x:v>46217.56378399306</x:v>
      </x:c>
      <x:c r="I2848" t="str" s="2">
        <x:v>Kyara Casanova</x:v>
      </x:c>
      <x:c r="J2848" s="0"/>
      <x:c r="K2848" s="6">
        <x:v>46217</x:v>
      </x:c>
      <x:c r="L2848" t="str" s="2">
        <x:v>Message Sent</x:v>
      </x:c>
    </x:row>
    <x:row r="2849">
      <x:c r="A2849" t="str" s="2">
        <x:f>=HYPERLINK("https://rsms.futurehomex.com/lead/38489", "Angelica Dorn")</x:f>
      </x:c>
      <x:c r="B2849" t="str" s="2">
        <x:v>Heritage Housing of Augusta</x:v>
      </x:c>
      <x:c r="C2849" t="str" s="2">
        <x:v/>
      </x:c>
      <x:c r="D2849" t="str" s="2">
        <x:v>8644504709</x:v>
      </x:c>
      <x:c r="E2849" t="str" s="2">
        <x:v>8644504709</x:v>
      </x:c>
      <x:c r="F2849" t="str" s="2">
        <x:v>Other</x:v>
      </x:c>
      <x:c r="G2849" t="str" s="2">
        <x:v>Jose Chavez</x:v>
      </x:c>
      <x:c r="H2849" s="6">
        <x:v>46217.57537334491</x:v>
      </x:c>
      <x:c r="I2849" t="str" s="2">
        <x:v>Faye Lively</x:v>
      </x:c>
      <x:c r="J2849" s="0"/>
      <x:c r="K2849" s="6">
        <x:v>46274</x:v>
      </x:c>
      <x:c r="L2849" t="str" s="2">
        <x:v>Message Sent</x:v>
      </x:c>
    </x:row>
    <x:row r="2850">
      <x:c r="A2850" t="str" s="2">
        <x:f>=HYPERLINK("https://rsms.futurehomex.com/lead/38490", "Ebony Golden")</x:f>
      </x:c>
      <x:c r="B2850" t="str" s="2">
        <x:v>Heritage Housing of Augusta</x:v>
      </x:c>
      <x:c r="C2850" t="str" s="2">
        <x:v/>
      </x:c>
      <x:c r="D2850" t="str" s="2">
        <x:v>7062008882</x:v>
      </x:c>
      <x:c r="E2850" t="str" s="2">
        <x:v>7062008882</x:v>
      </x:c>
      <x:c r="F2850" t="str" s="2">
        <x:v>Other</x:v>
      </x:c>
      <x:c r="G2850" t="str" s="2">
        <x:v>Jose Chavez</x:v>
      </x:c>
      <x:c r="H2850" s="6">
        <x:v>46217.5787253125</x:v>
      </x:c>
      <x:c r="I2850" t="str" s="2">
        <x:v>Kyara Casanova</x:v>
      </x:c>
      <x:c r="J2850" s="0"/>
      <x:c r="K2850" s="6">
        <x:v>46217</x:v>
      </x:c>
      <x:c r="L2850" t="str" s="2">
        <x:v>Message Sent</x:v>
      </x:c>
    </x:row>
    <x:row r="2851">
      <x:c r="A2851" t="str" s="2">
        <x:f>=HYPERLINK("https://rsms.futurehomex.com/lead/38491", "Javiea Hudson")</x:f>
      </x:c>
      <x:c r="B2851" t="str" s="2">
        <x:v>Heritage Housing of Augusta</x:v>
      </x:c>
      <x:c r="C2851" t="str" s="2">
        <x:v/>
      </x:c>
      <x:c r="D2851" t="str" s="2">
        <x:v>8035222567</x:v>
      </x:c>
      <x:c r="E2851" t="str" s="2">
        <x:v>8035222567</x:v>
      </x:c>
      <x:c r="F2851" t="str" s="2">
        <x:v>Other</x:v>
      </x:c>
      <x:c r="G2851" t="str" s="2">
        <x:v>Jose Chavez</x:v>
      </x:c>
      <x:c r="H2851" s="6">
        <x:v>46217.58562989583</x:v>
      </x:c>
      <x:c r="I2851" t="str" s="2">
        <x:v>Faye Lively</x:v>
      </x:c>
      <x:c r="J2851" s="0"/>
      <x:c r="K2851" s="6">
        <x:v>46231</x:v>
      </x:c>
      <x:c r="L2851" t="str" s="2">
        <x:v>Message Sent</x:v>
      </x:c>
    </x:row>
    <x:row r="2852">
      <x:c r="A2852" t="str" s="2">
        <x:f>="Chance Harmon"</x:f>
      </x:c>
      <x:c r="B2852" t="str" s="2">
        <x:v>Heritage Housing of Athens</x:v>
      </x:c>
      <x:c r="C2852" t="str" s="2">
        <x:v/>
      </x:c>
      <x:c r="D2852" t="str" s="2">
        <x:v>7067167198</x:v>
      </x:c>
      <x:c r="E2852" t="str" s="2">
        <x:v>chanceharmon004@gmail.com</x:v>
      </x:c>
      <x:c r="F2852" t="str" s="2">
        <x:v>Financing Form</x:v>
      </x:c>
      <x:c r="G2852" t="str" s="2">
        <x:v>Brian Amato</x:v>
      </x:c>
      <x:c r="H2852" s="6">
        <x:v>46217.60052515046</x:v>
      </x:c>
      <x:c r="I2852" s="0"/>
      <x:c r="J2852" s="0"/>
      <x:c r="K2852" s="6">
        <x:v>46233.865866631946</x:v>
      </x:c>
      <x:c r="L2852" t="str" s="2">
        <x:v>Message Sent</x:v>
      </x:c>
    </x:row>
    <x:row r="2853">
      <x:c r="A2853" t="str" s="2">
        <x:f>=HYPERLINK("https://rsms.futurehomex.com/lead/38492", "Andrea Rodriguez")</x:f>
      </x:c>
      <x:c r="B2853" t="str" s="2">
        <x:v>Heritage Housing of Augusta</x:v>
      </x:c>
      <x:c r="C2853" t="str" s="2">
        <x:v/>
      </x:c>
      <x:c r="D2853" t="str" s="2">
        <x:v>7068361356</x:v>
      </x:c>
      <x:c r="E2853" t="str" s="2">
        <x:v>7068361356</x:v>
      </x:c>
      <x:c r="F2853" t="str" s="2">
        <x:v>Other</x:v>
      </x:c>
      <x:c r="G2853" t="str" s="2">
        <x:v>Jose Chavez</x:v>
      </x:c>
      <x:c r="H2853" s="6">
        <x:v>46217.60163788195</x:v>
      </x:c>
      <x:c r="I2853" t="str" s="2">
        <x:v>Faye Lively</x:v>
      </x:c>
      <x:c r="J2853" s="0"/>
      <x:c r="K2853" s="6">
        <x:v>46231</x:v>
      </x:c>
      <x:c r="L2853" t="str" s="2">
        <x:v>Message Sent</x:v>
      </x:c>
    </x:row>
    <x:row r="2854">
      <x:c r="A2854" t="str" s="2">
        <x:f>="Blanca Hinojosa"</x:f>
      </x:c>
      <x:c r="B2854" t="str" s="2">
        <x:v>Heritage Housing Gainesville</x:v>
      </x:c>
      <x:c r="C2854" t="str" s="2">
        <x:v/>
      </x:c>
      <x:c r="D2854" t="str" s="2">
        <x:v>6825210017</x:v>
      </x:c>
      <x:c r="E2854" t="str" s="2">
        <x:v>Blanca.87.cruz@gmail.com</x:v>
      </x:c>
      <x:c r="F2854" t="str" s="2">
        <x:v>Meta Ads - Forms</x:v>
      </x:c>
      <x:c r="G2854" t="str" s="2">
        <x:v>Kelly Ford</x:v>
      </x:c>
      <x:c r="H2854" s="6">
        <x:v>46217.61176828704</x:v>
      </x:c>
      <x:c r="I2854" s="0"/>
      <x:c r="J2854" s="0"/>
      <x:c r="K2854" s="6">
        <x:v>46276</x:v>
      </x:c>
      <x:c r="L2854" t="str" s="2">
        <x:v>Message Sent</x:v>
      </x:c>
    </x:row>
    <x:row r="2855">
      <x:c r="A2855" t="str" s="2">
        <x:f>=HYPERLINK("https://rsms.futurehomex.com/lead/38494", "Wanda Hutto")</x:f>
      </x:c>
      <x:c r="B2855" t="str" s="2">
        <x:v>Heritage Housing of Augusta</x:v>
      </x:c>
      <x:c r="C2855" t="str" s="2">
        <x:v/>
      </x:c>
      <x:c r="D2855" t="str" s="2">
        <x:v>7067556507</x:v>
      </x:c>
      <x:c r="E2855" t="str" s="2">
        <x:v>7067556507</x:v>
      </x:c>
      <x:c r="F2855" t="str" s="2">
        <x:v>Other</x:v>
      </x:c>
      <x:c r="G2855" t="str" s="2">
        <x:v>Jose Chavez</x:v>
      </x:c>
      <x:c r="H2855" s="6">
        <x:v>46217.63533711805</x:v>
      </x:c>
      <x:c r="I2855" t="str" s="2">
        <x:v>Faye Lively</x:v>
      </x:c>
      <x:c r="J2855" s="0"/>
      <x:c r="K2855" s="6">
        <x:v>46273</x:v>
      </x:c>
      <x:c r="L2855" t="str" s="2">
        <x:v>Message Sent</x:v>
      </x:c>
    </x:row>
    <x:row r="2856">
      <x:c r="A2856" t="str" s="2">
        <x:f>=HYPERLINK("https://rsms.futurehomex.com/lead/38495", "Jose Brett")</x:f>
      </x:c>
      <x:c r="B2856" t="str" s="2">
        <x:v>Heritage Housing of Augusta</x:v>
      </x:c>
      <x:c r="C2856" t="str" s="2">
        <x:v/>
      </x:c>
      <x:c r="D2856" t="str" s="2">
        <x:v>4704068003</x:v>
      </x:c>
      <x:c r="E2856" t="str" s="2">
        <x:v>4704068003</x:v>
      </x:c>
      <x:c r="F2856" t="str" s="2">
        <x:v>Other</x:v>
      </x:c>
      <x:c r="G2856" t="str" s="2">
        <x:v>Jose Chavez</x:v>
      </x:c>
      <x:c r="H2856" s="6">
        <x:v>46217.640192743056</x:v>
      </x:c>
      <x:c r="I2856" t="str" s="2">
        <x:v>Faye Lively</x:v>
      </x:c>
      <x:c r="J2856" s="0"/>
      <x:c r="K2856" s="6">
        <x:v>46231</x:v>
      </x:c>
      <x:c r="L2856" t="str" s="2">
        <x:v>Message Sent</x:v>
      </x:c>
    </x:row>
    <x:row r="2857">
      <x:c r="A2857" t="str" s="2">
        <x:f>=HYPERLINK("https://rsms.futurehomex.com/lead/38496", "Susan Travis")</x:f>
      </x:c>
      <x:c r="B2857" t="str" s="2">
        <x:v>Heritage Housing of Tulsa</x:v>
      </x:c>
      <x:c r="C2857" t="str" s="2">
        <x:v/>
      </x:c>
      <x:c r="D2857" t="str" s="2">
        <x:v>5393146534</x:v>
      </x:c>
      <x:c r="E2857" t="str" s="2">
        <x:v>5393146534</x:v>
      </x:c>
      <x:c r="F2857" t="str" s="2">
        <x:v>Walk-in</x:v>
      </x:c>
      <x:c r="G2857" t="str" s="2">
        <x:v>Jenna Fransisco</x:v>
      </x:c>
      <x:c r="H2857" s="6">
        <x:v>46217.64582021991</x:v>
      </x:c>
      <x:c r="I2857" t="str" s="2">
        <x:v>Derek Searcy</x:v>
      </x:c>
      <x:c r="J2857" s="0"/>
      <x:c r="K2857" s="6">
        <x:v>46261</x:v>
      </x:c>
      <x:c r="L2857" t="str" s="2">
        <x:v>Message Sent</x:v>
      </x:c>
    </x:row>
    <x:row r="2858">
      <x:c r="A2858" t="str" s="2">
        <x:f>=HYPERLINK("https://rsms.futurehomex.com/lead/38497", "Donald Alnip")</x:f>
      </x:c>
      <x:c r="B2858" t="str" s="2">
        <x:v>Heritage Housing of Tulsa</x:v>
      </x:c>
      <x:c r="C2858" t="str" s="2">
        <x:v/>
      </x:c>
      <x:c r="D2858" t="str" s="2">
        <x:v>9188636525</x:v>
      </x:c>
      <x:c r="E2858" t="str" s="2">
        <x:v>9188636525</x:v>
      </x:c>
      <x:c r="F2858" t="str" s="2">
        <x:v>Facebook Messenger</x:v>
      </x:c>
      <x:c r="G2858" t="str" s="2">
        <x:v>Jenna Fransisco</x:v>
      </x:c>
      <x:c r="H2858" s="6">
        <x:v>46217.6472378125</x:v>
      </x:c>
      <x:c r="I2858" t="str" s="2">
        <x:v>Brittany Cobb</x:v>
      </x:c>
      <x:c r="J2858" s="0"/>
      <x:c r="K2858" s="6">
        <x:v>46238</x:v>
      </x:c>
      <x:c r="L2858" t="str" s="2">
        <x:v>Message Sent</x:v>
      </x:c>
    </x:row>
    <x:row r="2859">
      <x:c r="A2859" t="str" s="2">
        <x:f>=HYPERLINK("https://rsms.futurehomex.com/lead/38498", "Venessa Brown")</x:f>
      </x:c>
      <x:c r="B2859" t="str" s="2">
        <x:v>Heritage Housing of Augusta</x:v>
      </x:c>
      <x:c r="C2859" t="str" s="2">
        <x:v/>
      </x:c>
      <x:c r="D2859" t="str" s="2">
        <x:v>8039899864</x:v>
      </x:c>
      <x:c r="E2859" t="str" s="2">
        <x:v>8039899864</x:v>
      </x:c>
      <x:c r="F2859" t="str" s="2">
        <x:v>Other</x:v>
      </x:c>
      <x:c r="G2859" t="str" s="2">
        <x:v>Jose Chavez</x:v>
      </x:c>
      <x:c r="H2859" s="6">
        <x:v>46217.649002164355</x:v>
      </x:c>
      <x:c r="I2859" t="str" s="2">
        <x:v>Kyara Casanova</x:v>
      </x:c>
      <x:c r="J2859" s="0"/>
      <x:c r="K2859" s="6">
        <x:v>46223</x:v>
      </x:c>
      <x:c r="L2859" t="str" s="2">
        <x:v>Message Sent</x:v>
      </x:c>
    </x:row>
    <x:row r="2860">
      <x:c r="A2860" t="str" s="2">
        <x:f>=HYPERLINK("https://rsms.futurehomex.com/lead/38499", "Kim Cooper")</x:f>
      </x:c>
      <x:c r="B2860" t="str" s="2">
        <x:v>Heritage Housing of Augusta</x:v>
      </x:c>
      <x:c r="C2860" t="str" s="2">
        <x:v/>
      </x:c>
      <x:c r="D2860" t="str" s="2">
        <x:v>7065649447</x:v>
      </x:c>
      <x:c r="E2860" t="str" s="2">
        <x:v>7065649447</x:v>
      </x:c>
      <x:c r="F2860" t="str" s="2">
        <x:v>Other</x:v>
      </x:c>
      <x:c r="G2860" t="str" s="2">
        <x:v>Jose Chavez</x:v>
      </x:c>
      <x:c r="H2860" s="6">
        <x:v>46217.650180474535</x:v>
      </x:c>
      <x:c r="I2860" t="str" s="2">
        <x:v>Kyara Casanova</x:v>
      </x:c>
      <x:c r="J2860" s="0"/>
      <x:c r="K2860" s="6">
        <x:v>46273</x:v>
      </x:c>
      <x:c r="L2860" t="str" s="2">
        <x:v>Message Sent</x:v>
      </x:c>
    </x:row>
    <x:row r="2861">
      <x:c r="A2861" t="str" s="2">
        <x:f>="Sandra Morton"</x:f>
      </x:c>
      <x:c r="B2861" t="str" s="2">
        <x:v>Heritage Housing of Augusta</x:v>
      </x:c>
      <x:c r="C2861" t="str" s="2">
        <x:v/>
      </x:c>
      <x:c r="D2861" t="str" s="2">
        <x:v>8036247167</x:v>
      </x:c>
      <x:c r="E2861" t="str" s="2">
        <x:v>bhowell20223@icloud.com</x:v>
      </x:c>
      <x:c r="F2861" t="str" s="2">
        <x:v>Financing Form</x:v>
      </x:c>
      <x:c r="G2861" t="str" s="2">
        <x:v>Jose Chavez</x:v>
      </x:c>
      <x:c r="H2861" s="6">
        <x:v>46217.65662071759</x:v>
      </x:c>
      <x:c r="I2861" s="0"/>
      <x:c r="J2861" s="0"/>
      <x:c r="K2861" s="6">
        <x:v>46273</x:v>
      </x:c>
      <x:c r="L2861" t="str" s="2">
        <x:v>Message Sent</x:v>
      </x:c>
    </x:row>
    <x:row r="2862">
      <x:c r="A2862" t="str" s="2">
        <x:f>=HYPERLINK("https://rsms.futurehomex.com/lead/38505", "Donna Willard")</x:f>
      </x:c>
      <x:c r="B2862" t="str" s="2">
        <x:v>Heritage Housing of Augusta</x:v>
      </x:c>
      <x:c r="C2862" t="str" s="2">
        <x:v>0/1</x:v>
      </x:c>
      <x:c r="D2862" t="str" s="2">
        <x:v>7066688756</x:v>
      </x:c>
      <x:c r="E2862" t="str" s="2">
        <x:v>7066688756</x:v>
      </x:c>
      <x:c r="F2862" t="str" s="2">
        <x:v>Other</x:v>
      </x:c>
      <x:c r="G2862" t="str" s="2">
        <x:v>Jose Chavez</x:v>
      </x:c>
      <x:c r="H2862" s="6">
        <x:v>46217.71273530093</x:v>
      </x:c>
      <x:c r="I2862" t="str" s="2">
        <x:v>Faye Lively</x:v>
      </x:c>
      <x:c r="J2862" s="0"/>
      <x:c r="K2862" s="6">
        <x:v>46273</x:v>
      </x:c>
      <x:c r="L2862" t="str" s="2">
        <x:v>Message Sent</x:v>
      </x:c>
    </x:row>
    <x:row r="2863">
      <x:c r="A2863" t="str" s="2">
        <x:f>=HYPERLINK("https://rsms.futurehomex.com/lead/38507", "Jesus Hazael Becerra Lopez")</x:f>
      </x:c>
      <x:c r="B2863" t="str" s="2">
        <x:v>Legacy Housing Corp. DBA Americasa</x:v>
      </x:c>
      <x:c r="C2863" t="str" s="2">
        <x:v/>
      </x:c>
      <x:c r="D2863" t="str" s="2">
        <x:v>8327013069</x:v>
      </x:c>
      <x:c r="E2863" t="str" s="2">
        <x:v>8327013069</x:v>
      </x:c>
      <x:c r="F2863" t="str" s="2">
        <x:v>Meta Marketplace</x:v>
      </x:c>
      <x:c r="G2863" t="str" s="2">
        <x:v>Rodrigo Ramirez</x:v>
      </x:c>
      <x:c r="H2863" s="6">
        <x:v>46217.72533202546</x:v>
      </x:c>
      <x:c r="I2863" t="str" s="2">
        <x:v>Joey Marquez</x:v>
      </x:c>
      <x:c r="J2863" s="0"/>
      <x:c r="K2863" s="6">
        <x:v>46287</x:v>
      </x:c>
      <x:c r="L2863" t="str" s="2">
        <x:v>Message Sent</x:v>
      </x:c>
    </x:row>
    <x:row r="2864">
      <x:c r="A2864" t="str" s="2">
        <x:f>="Shawnda Mercer"</x:f>
      </x:c>
      <x:c r="B2864" t="str" s="2">
        <x:v>Heritage Housing of Tulsa</x:v>
      </x:c>
      <x:c r="C2864" t="str" s="2">
        <x:v/>
      </x:c>
      <x:c r="D2864" t="str" s="2">
        <x:v>9185307086</x:v>
      </x:c>
      <x:c r="E2864" t="str" s="2">
        <x:v>twiztidscarlette@gmail.com</x:v>
      </x:c>
      <x:c r="F2864" t="str" s="2">
        <x:v>Meta Ads - Forms</x:v>
      </x:c>
      <x:c r="G2864" t="str" s="2">
        <x:v>Jenna Fransisco</x:v>
      </x:c>
      <x:c r="H2864" s="6">
        <x:v>46217.72577114584</x:v>
      </x:c>
      <x:c r="I2864" s="0"/>
      <x:c r="J2864" s="0"/>
      <x:c r="K2864" s="6">
        <x:v>46238</x:v>
      </x:c>
      <x:c r="L2864" t="str" s="2">
        <x:v>Message Sent</x:v>
      </x:c>
    </x:row>
    <x:row r="2865">
      <x:c r="A2865" t="str" s="2">
        <x:f>=HYPERLINK("https://rsms.futurehomex.com/lead/38508", "Carvell Tattum")</x:f>
      </x:c>
      <x:c r="B2865" t="str" s="2">
        <x:v>Heritage Housing of Augusta</x:v>
      </x:c>
      <x:c r="C2865" t="str" s="2">
        <x:v/>
      </x:c>
      <x:c r="D2865" t="str" s="2">
        <x:v>7703101188</x:v>
      </x:c>
      <x:c r="E2865" t="str" s="2">
        <x:v>vellcar32@yahoo.com</x:v>
      </x:c>
      <x:c r="F2865" t="str" s="2">
        <x:v>Other</x:v>
      </x:c>
      <x:c r="G2865" t="str" s="2">
        <x:v>Jose Chavez</x:v>
      </x:c>
      <x:c r="H2865" s="6">
        <x:v>46217.732042476855</x:v>
      </x:c>
      <x:c r="I2865" t="str" s="2">
        <x:v>Kyara Casanova</x:v>
      </x:c>
      <x:c r="J2865" s="0"/>
      <x:c r="K2865" s="6">
        <x:v>46273</x:v>
      </x:c>
      <x:c r="L2865" t="str" s="2">
        <x:v>Message Sent</x:v>
      </x:c>
    </x:row>
    <x:row r="2866">
      <x:c r="A2866" t="str" s="2">
        <x:f>="Archie Hicks"</x:f>
      </x:c>
      <x:c r="B2866" t="str" s="2">
        <x:v>Heritage Housing of Greenville</x:v>
      </x:c>
      <x:c r="C2866" t="str" s="2">
        <x:v/>
      </x:c>
      <x:c r="D2866" t="str" s="2">
        <x:v>9033880190</x:v>
      </x:c>
      <x:c r="E2866" t="str" s="2">
        <x:v>archiel1954@gmail.com</x:v>
      </x:c>
      <x:c r="F2866" t="str" s="2">
        <x:v>Meta Ads - Forms</x:v>
      </x:c>
      <x:c r="G2866" t="str" s="2">
        <x:v>Brooklynn Allen</x:v>
      </x:c>
      <x:c r="H2866" s="6">
        <x:v>46217.73926234954</x:v>
      </x:c>
      <x:c r="I2866" s="0"/>
      <x:c r="J2866" s="0"/>
      <x:c r="K2866" s="6">
        <x:v>46249</x:v>
      </x:c>
      <x:c r="L2866" t="str" s="2">
        <x:v>Message Sent</x:v>
      </x:c>
    </x:row>
    <x:row r="2867">
      <x:c r="A2867" t="str" s="2">
        <x:f>="Marilyn Wright"</x:f>
      </x:c>
      <x:c r="B2867" t="str" s="2">
        <x:v>Heritage Housing of Jennings</x:v>
      </x:c>
      <x:c r="C2867" t="str" s="2">
        <x:v/>
      </x:c>
      <x:c r="D2867" t="str" s="2">
        <x:v>3476517276</x:v>
      </x:c>
      <x:c r="E2867" t="str" s="2">
        <x:v>marowright499@gmail.com</x:v>
      </x:c>
      <x:c r="F2867" t="str" s="2">
        <x:v>Website</x:v>
      </x:c>
      <x:c r="G2867" t="str" s="2">
        <x:v>Caulia Washington</x:v>
      </x:c>
      <x:c r="H2867" s="6">
        <x:v>46217.787635532404</x:v>
      </x:c>
      <x:c r="I2867" s="0"/>
      <x:c r="J2867" s="6">
        <x:v>46221.625</x:v>
      </x:c>
      <x:c r="K2867" s="6">
        <x:v>46288</x:v>
      </x:c>
      <x:c r="L2867" t="str" s="2">
        <x:v>Message Sent</x:v>
      </x:c>
    </x:row>
    <x:row r="2868">
      <x:c r="A2868" t="str" s="2">
        <x:f>=HYPERLINK("https://rsms.futurehomex.com/lead/38510", "James Dunn")</x:f>
      </x:c>
      <x:c r="B2868" t="str" s="2">
        <x:v>Heritage Housing of Augusta</x:v>
      </x:c>
      <x:c r="C2868" t="str" s="2">
        <x:v/>
      </x:c>
      <x:c r="D2868" t="str" s="2">
        <x:v>7069906812</x:v>
      </x:c>
      <x:c r="E2868" t="str" s="2">
        <x:v>7069906812</x:v>
      </x:c>
      <x:c r="F2868" t="str" s="2">
        <x:v>Other</x:v>
      </x:c>
      <x:c r="G2868" t="str" s="2">
        <x:v>Jose Chavez</x:v>
      </x:c>
      <x:c r="H2868" s="6">
        <x:v>46217.82486296296</x:v>
      </x:c>
      <x:c r="I2868" t="str" s="2">
        <x:v>Kyara Casanova</x:v>
      </x:c>
      <x:c r="J2868" s="0"/>
      <x:c r="K2868" s="6">
        <x:v>46223</x:v>
      </x:c>
      <x:c r="L2868" t="str" s="2">
        <x:v>Message Sent</x:v>
      </x:c>
    </x:row>
    <x:row r="2869">
      <x:c r="A2869" t="str" s="2">
        <x:f>="Michael Eckel"</x:f>
      </x:c>
      <x:c r="B2869" t="str" s="2">
        <x:v>Heritage Housing of Tulsa</x:v>
      </x:c>
      <x:c r="C2869" t="str" s="2">
        <x:v/>
      </x:c>
      <x:c r="D2869" t="str" s="2">
        <x:v>9186257679</x:v>
      </x:c>
      <x:c r="E2869" t="str" s="2">
        <x:v>boomtowndealer@yahoo.com</x:v>
      </x:c>
      <x:c r="F2869" t="str" s="2">
        <x:v>Financing Form</x:v>
      </x:c>
      <x:c r="G2869" t="str" s="2">
        <x:v>Jenna Fransisco</x:v>
      </x:c>
      <x:c r="H2869" s="6">
        <x:v>46217.85709633102</x:v>
      </x:c>
      <x:c r="I2869" s="0"/>
      <x:c r="J2869" s="0"/>
      <x:c r="K2869" s="6">
        <x:v>46265</x:v>
      </x:c>
      <x:c r="L2869" t="str" s="2">
        <x:v>Message Sent</x:v>
      </x:c>
    </x:row>
    <x:row r="2870">
      <x:c r="A2870" t="str" s="2">
        <x:f>=HYPERLINK("https://rsms.futurehomex.com/lead/38512", "Omar Azaares")</x:f>
      </x:c>
      <x:c r="B2870" t="str" s="2">
        <x:v>Legacy Housing Corp. DBA Americasa</x:v>
      </x:c>
      <x:c r="C2870" t="str" s="2">
        <x:v/>
      </x:c>
      <x:c r="D2870" t="str" s="2">
        <x:v>9496900215</x:v>
      </x:c>
      <x:c r="E2870" t="str" s="2">
        <x:v>9496900215</x:v>
      </x:c>
      <x:c r="F2870" t="str" s="2">
        <x:v>Meta Marketplace</x:v>
      </x:c>
      <x:c r="G2870" t="str" s="2">
        <x:v>Rodrigo Ramirez</x:v>
      </x:c>
      <x:c r="H2870" s="6">
        <x:v>46217.86134560185</x:v>
      </x:c>
      <x:c r="I2870" t="str" s="2">
        <x:v>Joey Marquez</x:v>
      </x:c>
      <x:c r="J2870" s="0"/>
      <x:c r="K2870" s="6">
        <x:v>46287</x:v>
      </x:c>
      <x:c r="L2870" t="str" s="2">
        <x:v>Message Sent</x:v>
      </x:c>
    </x:row>
    <x:row r="2871">
      <x:c r="A2871" t="str" s="2">
        <x:f>="Reginald Randall"</x:f>
      </x:c>
      <x:c r="B2871" t="str" s="2">
        <x:v>Heritage Housing of Asheboro</x:v>
      </x:c>
      <x:c r="C2871" t="str" s="2">
        <x:v/>
      </x:c>
      <x:c r="D2871" t="str" s="2">
        <x:v>8023705748</x:v>
      </x:c>
      <x:c r="E2871" t="str" s="2">
        <x:v>guertinreginald@gmail.com</x:v>
      </x:c>
      <x:c r="F2871" t="str" s="2">
        <x:v>Meta Ads - Traffic</x:v>
      </x:c>
      <x:c r="G2871" t="str" s="2">
        <x:v>Maria Lopez</x:v>
      </x:c>
      <x:c r="H2871" s="6">
        <x:v>46217.89027369213</x:v>
      </x:c>
      <x:c r="I2871" s="0"/>
      <x:c r="J2871" s="0"/>
      <x:c r="K2871" s="6">
        <x:v>46258</x:v>
      </x:c>
      <x:c r="L2871" t="str" s="2">
        <x:v>Message Sent</x:v>
      </x:c>
    </x:row>
    <x:row r="2872">
      <x:c r="A2872" t="str" s="2">
        <x:f>="Bri Cook"</x:f>
      </x:c>
      <x:c r="B2872" t="str" s="2">
        <x:v>Heritage Housing of Asheboro</x:v>
      </x:c>
      <x:c r="C2872" t="str" s="2">
        <x:v/>
      </x:c>
      <x:c r="D2872" t="str" s="2">
        <x:v>3368079729</x:v>
      </x:c>
      <x:c r="E2872" t="str" s="2">
        <x:v>cookbri7@gmail.com</x:v>
      </x:c>
      <x:c r="F2872" t="str" s="2">
        <x:v>Meta Ads - Forms</x:v>
      </x:c>
      <x:c r="G2872" t="str" s="2">
        <x:v>Maria Lopez</x:v>
      </x:c>
      <x:c r="H2872" s="6">
        <x:v>46217.903644328704</x:v>
      </x:c>
      <x:c r="I2872" s="0"/>
      <x:c r="J2872" s="0"/>
      <x:c r="K2872" s="6">
        <x:v>46256</x:v>
      </x:c>
      <x:c r="L2872" t="str" s="2">
        <x:v>Message Sent</x:v>
      </x:c>
    </x:row>
    <x:row r="2873">
      <x:c r="A2873" t="str" s="2">
        <x:f>="Morgan Gill"</x:f>
      </x:c>
      <x:c r="B2873" t="str" s="2">
        <x:v>Heritage Housing of Jennings</x:v>
      </x:c>
      <x:c r="C2873" t="str" s="2">
        <x:v>0/2</x:v>
      </x:c>
      <x:c r="D2873" t="str" s="2">
        <x:v>2253354806</x:v>
      </x:c>
      <x:c r="E2873" t="str" s="2">
        <x:v>morgangill11@yahoo.com</x:v>
      </x:c>
      <x:c r="F2873" t="str" s="2">
        <x:v>Meta Ads - Forms</x:v>
      </x:c>
      <x:c r="G2873" t="str" s="2">
        <x:v>Clint O'Neal</x:v>
      </x:c>
      <x:c r="H2873" s="6">
        <x:v>46217.903649224536</x:v>
      </x:c>
      <x:c r="I2873" s="0"/>
      <x:c r="J2873" s="0"/>
      <x:c r="K2873" s="6">
        <x:v>46288</x:v>
      </x:c>
      <x:c r="L2873" t="str" s="2">
        <x:v>Message Sent</x:v>
      </x:c>
    </x:row>
    <x:row r="2874">
      <x:c r="A2874" t="str" s="2">
        <x:f>="Sharon Sheely"</x:f>
      </x:c>
      <x:c r="B2874" t="str" s="2">
        <x:v>Heritage Housing of Asheboro</x:v>
      </x:c>
      <x:c r="C2874" t="str" s="2">
        <x:v/>
      </x:c>
      <x:c r="D2874" t="str" s="2">
        <x:v>7042673729</x:v>
      </x:c>
      <x:c r="E2874" t="str" s="2">
        <x:v>sheelysharon066@gmail.com</x:v>
      </x:c>
      <x:c r="F2874" t="str" s="2">
        <x:v>Meta Ads - Forms</x:v>
      </x:c>
      <x:c r="G2874" t="str" s="2">
        <x:v>Maria Lopez</x:v>
      </x:c>
      <x:c r="H2874" s="6">
        <x:v>46217.90740170139</x:v>
      </x:c>
      <x:c r="I2874" s="0"/>
      <x:c r="J2874" s="0"/>
      <x:c r="K2874" s="6">
        <x:v>46256</x:v>
      </x:c>
      <x:c r="L2874" t="str" s="2">
        <x:v>Message Sent</x:v>
      </x:c>
    </x:row>
    <x:row r="2875">
      <x:c r="A2875" t="str" s="2">
        <x:f>=HYPERLINK("https://rsms.futurehomex.com/lead/38517", "OSCAR MONAY")</x:f>
      </x:c>
      <x:c r="B2875" t="str" s="2">
        <x:v>Heritage Housing of Augusta</x:v>
      </x:c>
      <x:c r="C2875" t="str" s="2">
        <x:v/>
      </x:c>
      <x:c r="D2875" t="str" s="2">
        <x:v>7066998576</x:v>
      </x:c>
      <x:c r="E2875" t="str" s="2">
        <x:v>ocarillo20004@gmail.com</x:v>
      </x:c>
      <x:c r="F2875" t="str" s="2">
        <x:v>Walk-in</x:v>
      </x:c>
      <x:c r="G2875" t="str" s="2">
        <x:v>Jose Chavez</x:v>
      </x:c>
      <x:c r="H2875" s="6">
        <x:v>46217.911419525466</x:v>
      </x:c>
      <x:c r="I2875" t="str" s="2">
        <x:v>Faye Lively</x:v>
      </x:c>
      <x:c r="J2875" s="0"/>
      <x:c r="K2875" s="6">
        <x:v>46218</x:v>
      </x:c>
      <x:c r="L2875" t="str" s="2">
        <x:v>Message Sent</x:v>
      </x:c>
    </x:row>
    <x:row r="2876">
      <x:c r="A2876" t="str" s="2">
        <x:f>="Mykesia Cheatum"</x:f>
      </x:c>
      <x:c r="B2876" t="str" s="2">
        <x:v>Heritage Housing Mt Pleasant</x:v>
      </x:c>
      <x:c r="C2876" t="str" s="2">
        <x:v/>
      </x:c>
      <x:c r="D2876" t="str" s="2">
        <x:v>9039160686</x:v>
      </x:c>
      <x:c r="E2876" t="str" s="2">
        <x:v>mykesiac@icloud.com</x:v>
      </x:c>
      <x:c r="F2876" t="str" s="2">
        <x:v>Meta Ads - Forms</x:v>
      </x:c>
      <x:c r="G2876" t="str" s="2">
        <x:v>Yarelis Torres</x:v>
      </x:c>
      <x:c r="H2876" s="6">
        <x:v>46217.93502928241</x:v>
      </x:c>
      <x:c r="I2876" s="0"/>
      <x:c r="J2876" s="6">
        <x:v>46223.75</x:v>
      </x:c>
      <x:c r="K2876" s="6">
        <x:v>46248</x:v>
      </x:c>
      <x:c r="L2876" t="str" s="2">
        <x:v>Message Sent</x:v>
      </x:c>
    </x:row>
    <x:row r="2877">
      <x:c r="A2877" t="str" s="2">
        <x:f>="Shelby Westhues"</x:f>
      </x:c>
      <x:c r="B2877" t="str" s="2">
        <x:v>Heritage Housing of Augusta</x:v>
      </x:c>
      <x:c r="C2877" t="str" s="2">
        <x:v/>
      </x:c>
      <x:c r="D2877" t="str" s="2">
        <x:v>5732397904</x:v>
      </x:c>
      <x:c r="E2877" t="str" s="2">
        <x:v>lbabk12@gmail.com</x:v>
      </x:c>
      <x:c r="F2877" t="str" s="2">
        <x:v>Financing Form</x:v>
      </x:c>
      <x:c r="G2877" t="str" s="2">
        <x:v>Jose Chavez</x:v>
      </x:c>
      <x:c r="H2877" s="6">
        <x:v>46218.01735304398</x:v>
      </x:c>
      <x:c r="I2877" s="0"/>
      <x:c r="J2877" s="0"/>
      <x:c r="K2877" s="6">
        <x:v>46274</x:v>
      </x:c>
      <x:c r="L2877" t="str" s="2">
        <x:v>Message Sent</x:v>
      </x:c>
    </x:row>
    <x:row r="2878">
      <x:c r="A2878" t="str" s="2">
        <x:f>="Micheal Rogers"</x:f>
      </x:c>
      <x:c r="B2878" t="str" s="2">
        <x:v>Heritage Housing of Augusta</x:v>
      </x:c>
      <x:c r="C2878" t="str" s="2">
        <x:v/>
      </x:c>
      <x:c r="D2878" t="str" s="2">
        <x:v>7068726955</x:v>
      </x:c>
      <x:c r="E2878" t="str" s="2">
        <x:v>micheal6512211@gmail.com</x:v>
      </x:c>
      <x:c r="F2878" t="str" s="2">
        <x:v>Financing Form</x:v>
      </x:c>
      <x:c r="G2878" t="str" s="2">
        <x:v>Jose Chavez</x:v>
      </x:c>
      <x:c r="H2878" s="6">
        <x:v>46218.029216284725</x:v>
      </x:c>
      <x:c r="I2878" s="0"/>
      <x:c r="J2878" s="0"/>
      <x:c r="K2878" s="6">
        <x:v>46274</x:v>
      </x:c>
      <x:c r="L2878" t="str" s="2">
        <x:v>Message Sent</x:v>
      </x:c>
    </x:row>
    <x:row r="2879">
      <x:c r="A2879" t="str" s="2">
        <x:f>="Wayne Simmons"</x:f>
      </x:c>
      <x:c r="B2879" t="str" s="2">
        <x:v>Heritage Housing of Tulsa</x:v>
      </x:c>
      <x:c r="C2879" t="str" s="2">
        <x:v/>
      </x:c>
      <x:c r="D2879" t="str" s="2">
        <x:v>9189013462</x:v>
      </x:c>
      <x:c r="E2879" t="str" s="2">
        <x:v>f5twIsterchassis@gmail.com</x:v>
      </x:c>
      <x:c r="F2879" t="str" s="2">
        <x:v>Meta Ads - Forms</x:v>
      </x:c>
      <x:c r="G2879" t="str" s="2">
        <x:v>Jenna Fransisco</x:v>
      </x:c>
      <x:c r="H2879" s="6">
        <x:v>46218.05069853009</x:v>
      </x:c>
      <x:c r="I2879" s="0"/>
      <x:c r="J2879" s="0"/>
      <x:c r="K2879" s="6">
        <x:v>46240</x:v>
      </x:c>
      <x:c r="L2879" t="str" s="2">
        <x:v>Message Sent</x:v>
      </x:c>
    </x:row>
    <x:row r="2880">
      <x:c r="A2880" t="str" s="2">
        <x:f>="charlene Bush"</x:f>
      </x:c>
      <x:c r="B2880" t="str" s="2">
        <x:v>Heritage Housing of Asheboro</x:v>
      </x:c>
      <x:c r="C2880" t="str" s="2">
        <x:v>0/1</x:v>
      </x:c>
      <x:c r="D2880" t="str" s="2">
        <x:v>7043019165</x:v>
      </x:c>
      <x:c r="E2880" t="str" s="2">
        <x:v>charlenebsh@yahoo.com</x:v>
      </x:c>
      <x:c r="F2880" t="str" s="2">
        <x:v>Financing Form</x:v>
      </x:c>
      <x:c r="G2880" t="str" s="2">
        <x:v>Maria Lopez</x:v>
      </x:c>
      <x:c r="H2880" s="6">
        <x:v>46218.06069054398</x:v>
      </x:c>
      <x:c r="I2880" s="0"/>
      <x:c r="J2880" s="0"/>
      <x:c r="K2880" s="6">
        <x:v>46258</x:v>
      </x:c>
      <x:c r="L2880" t="str" s="2">
        <x:v>Message Sent</x:v>
      </x:c>
    </x:row>
    <x:row r="2881">
      <x:c r="A2881" t="str" s="2">
        <x:f>="Dillon Lester"</x:f>
      </x:c>
      <x:c r="B2881" t="str" s="2">
        <x:v>Heritage Housing of Asheboro</x:v>
      </x:c>
      <x:c r="C2881" t="str" s="2">
        <x:v/>
      </x:c>
      <x:c r="D2881" t="str" s="2">
        <x:v>7045848195</x:v>
      </x:c>
      <x:c r="E2881" t="str" s="2">
        <x:v>kenneydillon9@gmail.com</x:v>
      </x:c>
      <x:c r="F2881" t="str" s="2">
        <x:v>Meta Ads - Forms</x:v>
      </x:c>
      <x:c r="G2881" t="str" s="2">
        <x:v>Maria Lopez</x:v>
      </x:c>
      <x:c r="H2881" s="6">
        <x:v>46218.06363788195</x:v>
      </x:c>
      <x:c r="I2881" s="0"/>
      <x:c r="J2881" s="0"/>
      <x:c r="K2881" s="6">
        <x:v>46256</x:v>
      </x:c>
      <x:c r="L2881" t="str" s="2">
        <x:v>Message Sent</x:v>
      </x:c>
    </x:row>
    <x:row r="2882">
      <x:c r="A2882" t="str" s="2">
        <x:f>="Sharon Robinson"</x:f>
      </x:c>
      <x:c r="B2882" t="str" s="2">
        <x:v>Heritage Housing of Albany</x:v>
      </x:c>
      <x:c r="C2882" t="str" s="2">
        <x:v/>
      </x:c>
      <x:c r="D2882" t="str" s="2">
        <x:v>2293898047</x:v>
      </x:c>
      <x:c r="E2882" t="str" s="2">
        <x:v>panther3696@gmail.com</x:v>
      </x:c>
      <x:c r="F2882" t="str" s="2">
        <x:v>LandingPage</x:v>
      </x:c>
      <x:c r="G2882" t="str" s="2">
        <x:v>Yanet Alvarez</x:v>
      </x:c>
      <x:c r="H2882" s="6">
        <x:v>46218.064506863426</x:v>
      </x:c>
      <x:c r="I2882" s="0"/>
      <x:c r="J2882" s="0"/>
      <x:c r="K2882" s="6">
        <x:v>46303</x:v>
      </x:c>
      <x:c r="L2882" t="str" s="2">
        <x:v>Message Sent</x:v>
      </x:c>
    </x:row>
    <x:row r="2883">
      <x:c r="A2883" t="str" s="2">
        <x:f>="Chevon Pierce"</x:f>
      </x:c>
      <x:c r="B2883" t="str" s="2">
        <x:v>Heritage Housing of Albany</x:v>
      </x:c>
      <x:c r="C2883" t="str" s="2">
        <x:v/>
      </x:c>
      <x:c r="D2883" t="str" s="2">
        <x:v>7623906796</x:v>
      </x:c>
      <x:c r="E2883" t="str" s="2">
        <x:v>cpierce7677@gmail.com</x:v>
      </x:c>
      <x:c r="F2883" t="str" s="2">
        <x:v>Meta Ads - Forms</x:v>
      </x:c>
      <x:c r="G2883" t="str" s="2">
        <x:v>Yanet Alvarez</x:v>
      </x:c>
      <x:c r="H2883" s="6">
        <x:v>46218.082256284724</x:v>
      </x:c>
      <x:c r="I2883" s="0"/>
      <x:c r="J2883" s="0"/>
      <x:c r="K2883" s="6">
        <x:v>46307</x:v>
      </x:c>
      <x:c r="L2883" t="str" s="2">
        <x:v>Message Sent</x:v>
      </x:c>
    </x:row>
    <x:row r="2884">
      <x:c r="A2884" t="str" s="2">
        <x:f>="Branham Elrod"</x:f>
      </x:c>
      <x:c r="B2884" t="str" s="2">
        <x:v>Heritage Housing of Athens</x:v>
      </x:c>
      <x:c r="C2884" t="str" s="2">
        <x:v>1/2</x:v>
      </x:c>
      <x:c r="D2884" t="str" s="2">
        <x:v>7622954494</x:v>
      </x:c>
      <x:c r="E2884" t="str" s="2">
        <x:v>branhamelrod73@gmail.com</x:v>
      </x:c>
      <x:c r="F2884" t="str" s="2">
        <x:v>Meta Ads - Forms</x:v>
      </x:c>
      <x:c r="G2884" t="str" s="2">
        <x:v>Nathan Bishop</x:v>
      </x:c>
      <x:c r="H2884" s="6">
        <x:v>46218.101756909724</x:v>
      </x:c>
      <x:c r="I2884" s="0"/>
      <x:c r="J2884" s="0"/>
      <x:c r="K2884" s="6">
        <x:v>46307.86083271991</x:v>
      </x:c>
      <x:c r="L2884" t="str" s="2">
        <x:v>Message Sent</x:v>
      </x:c>
    </x:row>
    <x:row r="2885">
      <x:c r="A2885" t="str" s="2">
        <x:f>="Leland Watkins"</x:f>
      </x:c>
      <x:c r="B2885" t="str" s="2">
        <x:v>Heritage Housing of Athens</x:v>
      </x:c>
      <x:c r="C2885" t="str" s="2">
        <x:v/>
      </x:c>
      <x:c r="D2885" t="str" s="2">
        <x:v>8133615643</x:v>
      </x:c>
      <x:c r="E2885" t="str" s="2">
        <x:v>theccservicesllc@gmail.com</x:v>
      </x:c>
      <x:c r="F2885" t="str" s="2">
        <x:v>Website</x:v>
      </x:c>
      <x:c r="G2885" t="str" s="2">
        <x:v>Brian Amato</x:v>
      </x:c>
      <x:c r="H2885" s="6">
        <x:v>46218.11418553241</x:v>
      </x:c>
      <x:c r="I2885" s="0"/>
      <x:c r="J2885" s="0"/>
      <x:c r="K2885" s="6">
        <x:v>46233.92225347222</x:v>
      </x:c>
      <x:c r="L2885" t="str" s="2">
        <x:v>Message Sent</x:v>
      </x:c>
    </x:row>
    <x:row r="2886">
      <x:c r="A2886" t="str" s="2">
        <x:f>="Israel Hernandez"</x:f>
      </x:c>
      <x:c r="B2886" t="str" s="2">
        <x:v>Legacy Housing Corp. DBA Americasa</x:v>
      </x:c>
      <x:c r="C2886" t="str" s="2">
        <x:v/>
      </x:c>
      <x:c r="D2886" t="str" s="2">
        <x:v>8329671799</x:v>
      </x:c>
      <x:c r="E2886" t="str" s="2">
        <x:v>izzyitjustme23@gmail.com</x:v>
      </x:c>
      <x:c r="F2886" t="str" s="2">
        <x:v>Meta Ads - Forms</x:v>
      </x:c>
      <x:c r="G2886" t="str" s="2">
        <x:v>Jose Parada</x:v>
      </x:c>
      <x:c r="H2886" s="6">
        <x:v>46218.165091863426</x:v>
      </x:c>
      <x:c r="I2886" s="0"/>
      <x:c r="J2886" s="0"/>
      <x:c r="K2886" s="6">
        <x:v>46232</x:v>
      </x:c>
      <x:c r="L2886" t="str" s="2">
        <x:v>Message Sent</x:v>
      </x:c>
    </x:row>
    <x:row r="2887">
      <x:c r="A2887" t="str" s="2">
        <x:f>="Angela Favors"</x:f>
      </x:c>
      <x:c r="B2887" t="str" s="2">
        <x:v>Heritage Housing Marble Falls</x:v>
      </x:c>
      <x:c r="C2887" t="str" s="2">
        <x:v/>
      </x:c>
      <x:c r="D2887" t="str" s="2" xml:space="preserve">
        <x:v> 2547471360    </x:v>
      </x:c>
      <x:c r="E2887" t="str" s="2">
        <x:v>favors1996brent@gmail.com</x:v>
      </x:c>
      <x:c r="F2887" t="str" s="2">
        <x:v>Meta Ads - Forms</x:v>
      </x:c>
      <x:c r="G2887" t="str" s="2">
        <x:v>Stephen Sanders</x:v>
      </x:c>
      <x:c r="H2887" s="6">
        <x:v>46218.189266319445</x:v>
      </x:c>
      <x:c r="I2887" s="0"/>
      <x:c r="J2887" s="0"/>
      <x:c r="K2887" s="6">
        <x:v>46223</x:v>
      </x:c>
      <x:c r="L2887" t="str" s="2">
        <x:v>Message Sent</x:v>
      </x:c>
    </x:row>
    <x:row r="2888">
      <x:c r="A2888" t="str" s="2">
        <x:f>="Linda Holder"</x:f>
      </x:c>
      <x:c r="B2888" t="str" s="2">
        <x:v>Heritage Housing of Oklahoma City</x:v>
      </x:c>
      <x:c r="C2888" t="str" s="2">
        <x:v>0/4</x:v>
      </x:c>
      <x:c r="D2888" t="str" s="2">
        <x:v>4053429670</x:v>
      </x:c>
      <x:c r="E2888" t="str" s="2">
        <x:v>linholder0724@yahoo.com</x:v>
      </x:c>
      <x:c r="F2888" t="str" s="2">
        <x:v>Meta Ads - Forms</x:v>
      </x:c>
      <x:c r="G2888" t="str" s="2">
        <x:v>Steve Castell</x:v>
      </x:c>
      <x:c r="H2888" s="6">
        <x:v>46218.223180636574</x:v>
      </x:c>
      <x:c r="I2888" s="0"/>
      <x:c r="J2888" s="0"/>
      <x:c r="K2888" s="6">
        <x:v>46259</x:v>
      </x:c>
      <x:c r="L2888" t="str" s="2">
        <x:v>Message Sent</x:v>
      </x:c>
    </x:row>
    <x:row r="2889">
      <x:c r="A2889" t="str" s="2">
        <x:f>="Luella Gaines"</x:f>
      </x:c>
      <x:c r="B2889" t="str" s="2">
        <x:v>Heritage Housing of Athens</x:v>
      </x:c>
      <x:c r="C2889" t="str" s="2">
        <x:v/>
      </x:c>
      <x:c r="D2889" t="str" s="2">
        <x:v>8642472713</x:v>
      </x:c>
      <x:c r="E2889" t="str" s="2">
        <x:v>luellagaines63@gmail.com</x:v>
      </x:c>
      <x:c r="F2889" t="str" s="2">
        <x:v>Meta Ads - Forms</x:v>
      </x:c>
      <x:c r="G2889" t="str" s="2">
        <x:v>Brian Amato</x:v>
      </x:c>
      <x:c r="H2889" s="6">
        <x:v>46218.388672256944</x:v>
      </x:c>
      <x:c r="I2889" s="0"/>
      <x:c r="J2889" s="0"/>
      <x:c r="K2889" s="6">
        <x:v>46233.882475659724</x:v>
      </x:c>
      <x:c r="L2889" t="str" s="2">
        <x:v>Message Sent</x:v>
      </x:c>
    </x:row>
    <x:row r="2890">
      <x:c r="A2890" t="str" s="2">
        <x:f>="Benjamin Antwi"</x:f>
      </x:c>
      <x:c r="B2890" t="str" s="2">
        <x:v>Heritage Housing of Canton</x:v>
      </x:c>
      <x:c r="C2890" t="str" s="2">
        <x:v/>
      </x:c>
      <x:c r="D2890" t="str" s="2">
        <x:v>9783283820</x:v>
      </x:c>
      <x:c r="E2890" t="str" s="2">
        <x:v>kwasiboye2316@gmail.com</x:v>
      </x:c>
      <x:c r="F2890" t="str" s="2">
        <x:v>Meta Ads - Forms</x:v>
      </x:c>
      <x:c r="G2890" t="str" s="2">
        <x:v>Maira Garcia</x:v>
      </x:c>
      <x:c r="H2890" s="6">
        <x:v>46218.39028460648</x:v>
      </x:c>
      <x:c r="I2890" s="0"/>
      <x:c r="J2890" s="0"/>
      <x:c r="K2890" s="6">
        <x:v>46220</x:v>
      </x:c>
      <x:c r="L2890" t="str" s="2">
        <x:v>Message Sent</x:v>
      </x:c>
    </x:row>
    <x:row r="2891">
      <x:c r="A2891" t="str" s="2">
        <x:f>="Rhonda Swift"</x:f>
      </x:c>
      <x:c r="B2891" t="str" s="2">
        <x:v>Heritage Housing of Tulsa</x:v>
      </x:c>
      <x:c r="C2891" t="str" s="2">
        <x:v/>
      </x:c>
      <x:c r="D2891" t="str" s="2">
        <x:v>9403723186</x:v>
      </x:c>
      <x:c r="E2891" t="str" s="2">
        <x:v>r.swift4gm@gmail.com</x:v>
      </x:c>
      <x:c r="F2891" t="str" s="2">
        <x:v>Meta Ads - Forms</x:v>
      </x:c>
      <x:c r="G2891" t="str" s="2">
        <x:v>Jenna Fransisco</x:v>
      </x:c>
      <x:c r="H2891" s="6">
        <x:v>46218.399262962965</x:v>
      </x:c>
      <x:c r="I2891" s="0"/>
      <x:c r="J2891" s="0"/>
      <x:c r="K2891" s="6">
        <x:v>46251</x:v>
      </x:c>
      <x:c r="L2891" t="str" s="2">
        <x:v>Message Sent</x:v>
      </x:c>
    </x:row>
    <x:row r="2892">
      <x:c r="A2892" t="str" s="2">
        <x:f>="Vanaey Salazar"</x:f>
      </x:c>
      <x:c r="B2892" t="str" s="2">
        <x:v>Heritage Housing of Tulsa</x:v>
      </x:c>
      <x:c r="C2892" t="str" s="2">
        <x:v/>
      </x:c>
      <x:c r="D2892" t="str" s="2">
        <x:v>6209317869</x:v>
      </x:c>
      <x:c r="E2892" t="str" s="2">
        <x:v>VanaeySalazar@rocketmail.com</x:v>
      </x:c>
      <x:c r="F2892" t="str" s="2">
        <x:v>Meta Ads - Forms</x:v>
      </x:c>
      <x:c r="G2892" t="str" s="2">
        <x:v>Jenna Fransisco</x:v>
      </x:c>
      <x:c r="H2892" s="6">
        <x:v>46218.47876427083</x:v>
      </x:c>
      <x:c r="I2892" s="0"/>
      <x:c r="J2892" s="0"/>
      <x:c r="K2892" s="6">
        <x:v>46240</x:v>
      </x:c>
      <x:c r="L2892" t="str" s="2">
        <x:v>Message Sent</x:v>
      </x:c>
    </x:row>
    <x:row r="2893">
      <x:c r="A2893" t="str" s="2">
        <x:f>=HYPERLINK("https://rsms.futurehomex.com/lead/39606", "Hilda Foster")</x:f>
      </x:c>
      <x:c r="B2893" t="str" s="2">
        <x:v>Heritage Housing of Athens</x:v>
      </x:c>
      <x:c r="C2893" t="str" s="2">
        <x:v>0/1</x:v>
      </x:c>
      <x:c r="D2893" t="str" s="2">
        <x:v>4044372039</x:v>
      </x:c>
      <x:c r="E2893" t="str" s="2">
        <x:v>hildasfoster@gmail.com</x:v>
      </x:c>
      <x:c r="F2893" t="str" s="2">
        <x:v>Meta Ads - Traffic</x:v>
      </x:c>
      <x:c r="G2893" t="str" s="2">
        <x:v>Nathan Bishop</x:v>
      </x:c>
      <x:c r="H2893" s="6">
        <x:v>46218.486701354166</x:v>
      </x:c>
      <x:c r="I2893" t="str" s="2">
        <x:v>Nathan Bishop</x:v>
      </x:c>
      <x:c r="J2893" s="0"/>
      <x:c r="K2893" s="6">
        <x:v>46270</x:v>
      </x:c>
      <x:c r="L2893" t="str" s="2">
        <x:v>Message Sent</x:v>
      </x:c>
    </x:row>
    <x:row r="2894">
      <x:c r="A2894" t="str" s="2">
        <x:f>="Annberly McCullar"</x:f>
      </x:c>
      <x:c r="B2894" t="str" s="2">
        <x:v>Heritage Housing of Tulsa</x:v>
      </x:c>
      <x:c r="C2894" t="str" s="2">
        <x:v/>
      </x:c>
      <x:c r="D2894" t="str" s="2">
        <x:v>9189468901</x:v>
      </x:c>
      <x:c r="E2894" t="str" s="2">
        <x:v>mannberly@gmail.com</x:v>
      </x:c>
      <x:c r="F2894" t="str" s="2">
        <x:v>LandingPage</x:v>
      </x:c>
      <x:c r="G2894" t="str" s="2">
        <x:v>Jenna Fransisco</x:v>
      </x:c>
      <x:c r="H2894" s="6">
        <x:v>46218.51303475694</x:v>
      </x:c>
      <x:c r="I2894" s="0"/>
      <x:c r="J2894" s="0"/>
      <x:c r="K2894" s="6">
        <x:v>46251</x:v>
      </x:c>
      <x:c r="L2894" t="str" s="2">
        <x:v>Message Sent</x:v>
      </x:c>
    </x:row>
    <x:row r="2895">
      <x:c r="A2895" t="str" s="2">
        <x:f>="Janeequea Jermarichae"</x:f>
      </x:c>
      <x:c r="B2895" t="str" s="2">
        <x:v>Heritage Housing of Canton</x:v>
      </x:c>
      <x:c r="C2895" t="str" s="2">
        <x:v/>
      </x:c>
      <x:c r="D2895" t="str" s="2">
        <x:v>9362086369</x:v>
      </x:c>
      <x:c r="E2895" t="str" s="2">
        <x:v>janeequeawhite98@gmail.com</x:v>
      </x:c>
      <x:c r="F2895" t="str" s="2">
        <x:v>Meta Ads - Forms</x:v>
      </x:c>
      <x:c r="G2895" t="str" s="2">
        <x:v>Jacob Hatten</x:v>
      </x:c>
      <x:c r="H2895" s="6">
        <x:v>46218.52993645833</x:v>
      </x:c>
      <x:c r="I2895" s="0"/>
      <x:c r="J2895" s="0"/>
      <x:c r="K2895" s="6">
        <x:v>46228</x:v>
      </x:c>
      <x:c r="L2895" t="str" s="2">
        <x:v>Message Sent</x:v>
      </x:c>
    </x:row>
    <x:row r="2896">
      <x:c r="A2896" t="str" s="2">
        <x:f>=HYPERLINK("https://rsms.futurehomex.com/lead/38525", "Joshua Moore")</x:f>
      </x:c>
      <x:c r="B2896" t="str" s="2">
        <x:v>Heritage Housing of Tulsa</x:v>
      </x:c>
      <x:c r="C2896" t="str" s="2">
        <x:v/>
      </x:c>
      <x:c r="D2896" t="str" s="2">
        <x:v>5395778491</x:v>
      </x:c>
      <x:c r="E2896" t="str" s="2">
        <x:v>5395778491</x:v>
      </x:c>
      <x:c r="F2896" t="str" s="2">
        <x:v>Walk-in</x:v>
      </x:c>
      <x:c r="G2896" t="str" s="2">
        <x:v>Jenna Fransisco</x:v>
      </x:c>
      <x:c r="H2896" s="6">
        <x:v>46218.589836493054</x:v>
      </x:c>
      <x:c r="I2896" t="str" s="2">
        <x:v>Jenna Fransisco</x:v>
      </x:c>
      <x:c r="J2896" s="0"/>
      <x:c r="K2896" s="6">
        <x:v>46253</x:v>
      </x:c>
      <x:c r="L2896" t="str" s="2">
        <x:v>Message Sent</x:v>
      </x:c>
    </x:row>
    <x:row r="2897">
      <x:c r="A2897" t="str" s="2">
        <x:f>="Tamara Adams"</x:f>
      </x:c>
      <x:c r="B2897" t="str" s="2">
        <x:v>Heritage Housing of Athens</x:v>
      </x:c>
      <x:c r="C2897" t="str" s="2">
        <x:v/>
      </x:c>
      <x:c r="D2897" t="str" s="2">
        <x:v>7179565448</x:v>
      </x:c>
      <x:c r="E2897" t="str" s="2">
        <x:v>adamstamara18@gmail.com</x:v>
      </x:c>
      <x:c r="F2897" t="str" s="2">
        <x:v>Financing Form</x:v>
      </x:c>
      <x:c r="G2897" t="str" s="2">
        <x:v>Brian Amato</x:v>
      </x:c>
      <x:c r="H2897" s="6">
        <x:v>46218.60892068287</x:v>
      </x:c>
      <x:c r="I2897" s="0"/>
      <x:c r="J2897" s="0"/>
      <x:c r="K2897" s="6">
        <x:v>46233.87339490741</x:v>
      </x:c>
      <x:c r="L2897" t="str" s="2">
        <x:v>Message Sent</x:v>
      </x:c>
    </x:row>
    <x:row r="2898">
      <x:c r="A2898" t="str" s="2">
        <x:f>=HYPERLINK("https://rsms.futurehomex.com/lead/38530", "John Smith")</x:f>
      </x:c>
      <x:c r="B2898" t="str" s="2">
        <x:v>Heritage Housing of Jennings</x:v>
      </x:c>
      <x:c r="C2898" t="str" s="2">
        <x:v/>
      </x:c>
      <x:c r="D2898" t="str" s="2">
        <x:v>2253024535</x:v>
      </x:c>
      <x:c r="E2898" t="str" s="2">
        <x:v>jonzb26@gmail.com</x:v>
      </x:c>
      <x:c r="F2898" t="str" s="2">
        <x:v>Other</x:v>
      </x:c>
      <x:c r="G2898" t="str" s="2">
        <x:v>Mervin Leslie Smith</x:v>
      </x:c>
      <x:c r="H2898" s="6">
        <x:v>46218.71713769676</x:v>
      </x:c>
      <x:c r="I2898" t="str" s="2">
        <x:v>Mervin Leslie Smith</x:v>
      </x:c>
      <x:c r="J2898" s="0"/>
      <x:c r="K2898" s="6">
        <x:v>46288.56649818287</x:v>
      </x:c>
      <x:c r="L2898" t="str" s="2">
        <x:v>Message Sent</x:v>
      </x:c>
    </x:row>
    <x:row r="2899">
      <x:c r="A2899" t="str" s="2">
        <x:f>="June Choates"</x:f>
      </x:c>
      <x:c r="B2899" t="str" s="2">
        <x:v>Heritage Housing of Albany</x:v>
      </x:c>
      <x:c r="C2899" t="str" s="2">
        <x:v/>
      </x:c>
      <x:c r="D2899" t="str" s="2">
        <x:v>7725013309</x:v>
      </x:c>
      <x:c r="E2899" t="str" s="2">
        <x:v>jchoates38@gmail.com</x:v>
      </x:c>
      <x:c r="F2899" t="str" s="2">
        <x:v>Financing Form</x:v>
      </x:c>
      <x:c r="G2899" t="str" s="2">
        <x:v>Yanet Alvarez</x:v>
      </x:c>
      <x:c r="H2899" s="6">
        <x:v>46218.72592265046</x:v>
      </x:c>
      <x:c r="I2899" s="0"/>
      <x:c r="J2899" s="0"/>
      <x:c r="K2899" s="6">
        <x:v>46307</x:v>
      </x:c>
      <x:c r="L2899" t="str" s="2">
        <x:v>Message Sent</x:v>
      </x:c>
    </x:row>
    <x:row r="2900">
      <x:c r="A2900" t="str" s="2">
        <x:f>="Tina Thibodeaux"</x:f>
      </x:c>
      <x:c r="B2900" t="str" s="2">
        <x:v>Heritage Housing of Jennings</x:v>
      </x:c>
      <x:c r="C2900" t="str" s="2">
        <x:v/>
      </x:c>
      <x:c r="D2900" t="str" s="2">
        <x:v>3372817865</x:v>
      </x:c>
      <x:c r="E2900" t="str" s="2">
        <x:v>tinathibodeaux77@mail.com</x:v>
      </x:c>
      <x:c r="F2900" t="str" s="2">
        <x:v>Website</x:v>
      </x:c>
      <x:c r="G2900" t="str" s="2">
        <x:v>Clint O'Neal</x:v>
      </x:c>
      <x:c r="H2900" s="6">
        <x:v>46218.76223564815</x:v>
      </x:c>
      <x:c r="I2900" s="0"/>
      <x:c r="J2900" s="6">
        <x:v>46256.625</x:v>
      </x:c>
      <x:c r="K2900" s="6">
        <x:v>46288</x:v>
      </x:c>
      <x:c r="L2900" t="str" s="2">
        <x:v>Message Sent</x:v>
      </x:c>
    </x:row>
    <x:row r="2901">
      <x:c r="A2901" t="str" s="2">
        <x:f>="Dennis Tiller"</x:f>
      </x:c>
      <x:c r="B2901" t="str" s="2">
        <x:v>Heritage Housing of Athens</x:v>
      </x:c>
      <x:c r="C2901" t="str" s="2">
        <x:v/>
      </x:c>
      <x:c r="D2901" t="str" s="2">
        <x:v>8646173155</x:v>
      </x:c>
      <x:c r="E2901" t="str" s="2">
        <x:v>papadink16@msn.com</x:v>
      </x:c>
      <x:c r="F2901" t="str" s="2">
        <x:v>Meta Ads - Forms</x:v>
      </x:c>
      <x:c r="G2901" t="str" s="2">
        <x:v>Brian Amato</x:v>
      </x:c>
      <x:c r="H2901" s="6">
        <x:v>46218.8000341088</x:v>
      </x:c>
      <x:c r="I2901" s="0"/>
      <x:c r="J2901" s="0"/>
      <x:c r="K2901" s="6">
        <x:v>46233.92377013889</x:v>
      </x:c>
      <x:c r="L2901" t="str" s="2">
        <x:v>Message Sent</x:v>
      </x:c>
    </x:row>
    <x:row r="2902">
      <x:c r="A2902" t="str" s="2">
        <x:f>=HYPERLINK("https://rsms.futurehomex.com/lead/38542", "Jennie Brown")</x:f>
      </x:c>
      <x:c r="B2902" t="str" s="2">
        <x:v>Heritage Housing Gainesville</x:v>
      </x:c>
      <x:c r="C2902" t="str" s="2">
        <x:v/>
      </x:c>
      <x:c r="D2902" t="str" s="2">
        <x:v>8328605734</x:v>
      </x:c>
      <x:c r="E2902" t="str" s="2">
        <x:v>grayjennie01@gmail.com</x:v>
      </x:c>
      <x:c r="F2902" t="str" s="2">
        <x:v>META Marketplace</x:v>
      </x:c>
      <x:c r="G2902" t="str" s="2">
        <x:v>Kelly Ford</x:v>
      </x:c>
      <x:c r="H2902" s="6">
        <x:v>46218.829248229165</x:v>
      </x:c>
      <x:c r="I2902" t="str" s="2">
        <x:v>John Schwichtenberg</x:v>
      </x:c>
      <x:c r="J2902" s="0"/>
      <x:c r="K2902" s="6">
        <x:v>46261</x:v>
      </x:c>
      <x:c r="L2902" t="str" s="2">
        <x:v>Message Sent</x:v>
      </x:c>
    </x:row>
    <x:row r="2903">
      <x:c r="A2903" t="str" s="2">
        <x:f>="Shannon delbert"</x:f>
      </x:c>
      <x:c r="B2903" t="str" s="2">
        <x:v>Heritage Housing of Greenville</x:v>
      </x:c>
      <x:c r="C2903" t="str" s="2">
        <x:v/>
      </x:c>
      <x:c r="D2903" t="str" s="2">
        <x:v>9032883321</x:v>
      </x:c>
      <x:c r="E2903" t="str" s="2">
        <x:v>shannondelbert34@gmail.com</x:v>
      </x:c>
      <x:c r="F2903" t="str" s="2">
        <x:v>LandingPage</x:v>
      </x:c>
      <x:c r="G2903" t="str" s="2">
        <x:v>Brooklynn Allen</x:v>
      </x:c>
      <x:c r="H2903" s="6">
        <x:v>46218.83117334491</x:v>
      </x:c>
      <x:c r="I2903" s="0"/>
      <x:c r="J2903" s="0"/>
      <x:c r="K2903" s="6">
        <x:v>46249</x:v>
      </x:c>
      <x:c r="L2903" t="str" s="2">
        <x:v>Message Sent</x:v>
      </x:c>
    </x:row>
    <x:row r="2904">
      <x:c r="A2904" t="str" s="2">
        <x:f>=HYPERLINK("https://rsms.futurehomex.com/lead/38576", "KAM COLEMAN")</x:f>
      </x:c>
      <x:c r="B2904" t="str" s="2">
        <x:v>Heritage Housing of Augusta</x:v>
      </x:c>
      <x:c r="C2904" t="str" s="2">
        <x:v/>
      </x:c>
      <x:c r="D2904" t="str" s="2">
        <x:v>4782999740</x:v>
      </x:c>
      <x:c r="E2904" t="str" s="2">
        <x:v>kamcoleman2015@gmail.com</x:v>
      </x:c>
      <x:c r="F2904" t="str" s="2">
        <x:v>Walk-in</x:v>
      </x:c>
      <x:c r="G2904" t="str" s="2">
        <x:v>Jose Chavez</x:v>
      </x:c>
      <x:c r="H2904" s="6">
        <x:v>46218.84430494213</x:v>
      </x:c>
      <x:c r="I2904" t="str" s="2">
        <x:v>Brian Amato</x:v>
      </x:c>
      <x:c r="J2904" s="0"/>
      <x:c r="K2904" s="6">
        <x:v>46227</x:v>
      </x:c>
      <x:c r="L2904" t="str" s="2">
        <x:v>Message Sent</x:v>
      </x:c>
    </x:row>
    <x:row r="2905">
      <x:c r="A2905" t="str" s="2">
        <x:f>=HYPERLINK("https://rsms.futurehomex.com/lead/38543", "KAM COLEMAN")</x:f>
      </x:c>
      <x:c r="B2905" t="str" s="2">
        <x:v>Heritage Housing of Augusta</x:v>
      </x:c>
      <x:c r="C2905" t="str" s="2">
        <x:v/>
      </x:c>
      <x:c r="D2905" t="str" s="2">
        <x:v>4782999740</x:v>
      </x:c>
      <x:c r="E2905" t="str" s="2">
        <x:v>kamcoleman2015@gmail.com</x:v>
      </x:c>
      <x:c r="F2905" t="str" s="2">
        <x:v>Walk-in</x:v>
      </x:c>
      <x:c r="G2905" t="str" s="2">
        <x:v>Jose Chavez</x:v>
      </x:c>
      <x:c r="H2905" s="6">
        <x:v>46218.84430494213</x:v>
      </x:c>
      <x:c r="I2905" t="str" s="2">
        <x:v>Faye Lively</x:v>
      </x:c>
      <x:c r="J2905" s="0"/>
      <x:c r="K2905" s="6">
        <x:v>46227</x:v>
      </x:c>
      <x:c r="L2905" t="str" s="2">
        <x:v>Message Sent</x:v>
      </x:c>
    </x:row>
    <x:row r="2906">
      <x:c r="A2906" t="str" s="2">
        <x:f>="Patricia Reasner"</x:f>
      </x:c>
      <x:c r="B2906" t="str" s="2">
        <x:v>Heritage Housing of Asheboro</x:v>
      </x:c>
      <x:c r="C2906" t="str" s="2">
        <x:v/>
      </x:c>
      <x:c r="D2906" t="str" s="2">
        <x:v>805-952-4715</x:v>
      </x:c>
      <x:c r="E2906" t="str" s="2">
        <x:v>preasner63@gmail.com</x:v>
      </x:c>
      <x:c r="F2906" t="str" s="2">
        <x:v>Financing Form</x:v>
      </x:c>
      <x:c r="G2906" t="str" s="2">
        <x:v>Maria Lopez</x:v>
      </x:c>
      <x:c r="H2906" s="6">
        <x:v>46218.85279105324</x:v>
      </x:c>
      <x:c r="I2906" s="0"/>
      <x:c r="J2906" s="0"/>
      <x:c r="K2906" s="6">
        <x:v>46261</x:v>
      </x:c>
      <x:c r="L2906" t="str" s="2">
        <x:v>Message Sent</x:v>
      </x:c>
    </x:row>
    <x:row r="2907">
      <x:c r="A2907" t="str" s="2">
        <x:f>="William Woodall"</x:f>
      </x:c>
      <x:c r="B2907" t="str" s="2">
        <x:v>Heritage Housing of Athens</x:v>
      </x:c>
      <x:c r="C2907" t="str" s="2">
        <x:v/>
      </x:c>
      <x:c r="D2907" t="str" s="2">
        <x:v>4049778538</x:v>
      </x:c>
      <x:c r="E2907" t="str" s="2">
        <x:v>nininch9@gmail.com</x:v>
      </x:c>
      <x:c r="F2907" t="str" s="2">
        <x:v>Meta Ads - Forms</x:v>
      </x:c>
      <x:c r="G2907" t="str" s="2">
        <x:v>Brian Amato</x:v>
      </x:c>
      <x:c r="H2907" s="6">
        <x:v>46218.897149502314</x:v>
      </x:c>
      <x:c r="I2907" s="0"/>
      <x:c r="J2907" s="0"/>
      <x:c r="K2907" s="6">
        <x:v>46233.87066782407</x:v>
      </x:c>
      <x:c r="L2907" t="str" s="2">
        <x:v>Message Sent</x:v>
      </x:c>
    </x:row>
    <x:row r="2908">
      <x:c r="A2908" t="str" s="2">
        <x:f>="Amanda Gonzales"</x:f>
      </x:c>
      <x:c r="B2908" t="str" s="2">
        <x:v>Heritage Housing of Athens</x:v>
      </x:c>
      <x:c r="C2908" t="str" s="2">
        <x:v>0/1</x:v>
      </x:c>
      <x:c r="D2908" t="str" s="2">
        <x:v>762243771</x:v>
      </x:c>
      <x:c r="E2908" t="str" s="2">
        <x:v>ma4job@yahoo.com</x:v>
      </x:c>
      <x:c r="F2908" t="str" s="2">
        <x:v>Financing Form</x:v>
      </x:c>
      <x:c r="G2908" t="str" s="2">
        <x:v>Nathan Bishop</x:v>
      </x:c>
      <x:c r="H2908" s="6">
        <x:v>46218.91056226852</x:v>
      </x:c>
      <x:c r="I2908" s="0"/>
      <x:c r="J2908" s="0"/>
      <x:c r="K2908" s="6">
        <x:v>46279</x:v>
      </x:c>
      <x:c r="L2908" t="str" s="2">
        <x:v>Message Sent</x:v>
      </x:c>
    </x:row>
    <x:row r="2909">
      <x:c r="A2909" t="str" s="2">
        <x:f>="Jerra McMillon"</x:f>
      </x:c>
      <x:c r="B2909" t="str" s="2">
        <x:v>Heritage Housing of Canton</x:v>
      </x:c>
      <x:c r="C2909" t="str" s="2">
        <x:v/>
      </x:c>
      <x:c r="D2909" t="str" s="2">
        <x:v>9033686025</x:v>
      </x:c>
      <x:c r="E2909" t="str" s="2">
        <x:v>jerra.gomez1613@gmail.com</x:v>
      </x:c>
      <x:c r="F2909" t="str" s="2">
        <x:v>LandingPage</x:v>
      </x:c>
      <x:c r="G2909" t="str" s="2">
        <x:v>Maira Garcia</x:v>
      </x:c>
      <x:c r="H2909" s="6">
        <x:v>46218.91372592592</x:v>
      </x:c>
      <x:c r="I2909" s="0"/>
      <x:c r="J2909" s="0"/>
      <x:c r="K2909" s="6">
        <x:v>46221</x:v>
      </x:c>
      <x:c r="L2909" t="str" s="2">
        <x:v>Message Sent</x:v>
      </x:c>
    </x:row>
    <x:row r="2910">
      <x:c r="A2910" t="str" s="2">
        <x:f>=HYPERLINK("https://rsms.futurehomex.com/lead/38552", "Kaitlyn Garner")</x:f>
      </x:c>
      <x:c r="B2910" t="str" s="2">
        <x:v>Heritage Housing of Tulsa</x:v>
      </x:c>
      <x:c r="C2910" t="str" s="2">
        <x:v/>
      </x:c>
      <x:c r="D2910" t="str" s="2">
        <x:v>9404355793</x:v>
      </x:c>
      <x:c r="E2910" t="str" s="2">
        <x:v>kaitlyngarner2010@gmail.com</x:v>
      </x:c>
      <x:c r="F2910" t="str" s="2">
        <x:v>Walk-in</x:v>
      </x:c>
      <x:c r="G2910" t="str" s="2">
        <x:v>Jenna Fransisco</x:v>
      </x:c>
      <x:c r="H2910" s="6">
        <x:v>46218.94879591435</x:v>
      </x:c>
      <x:c r="I2910" t="str" s="2">
        <x:v>Jenna Fransisco</x:v>
      </x:c>
      <x:c r="J2910" s="0"/>
      <x:c r="K2910" s="6">
        <x:v>46253</x:v>
      </x:c>
      <x:c r="L2910" t="str" s="2">
        <x:v>Message Sent</x:v>
      </x:c>
    </x:row>
    <x:row r="2911">
      <x:c r="A2911" t="str" s="2">
        <x:f>="Clayton Rees"</x:f>
      </x:c>
      <x:c r="B2911" t="str" s="2">
        <x:v>Heritage Housing of Athens</x:v>
      </x:c>
      <x:c r="C2911" t="str" s="2">
        <x:v/>
      </x:c>
      <x:c r="D2911" t="str" s="2">
        <x:v>7703428542</x:v>
      </x:c>
      <x:c r="E2911" t="str" s="2">
        <x:v>reesclayton50@gmail.com</x:v>
      </x:c>
      <x:c r="F2911" t="str" s="2">
        <x:v>Meta Ads - Forms</x:v>
      </x:c>
      <x:c r="G2911" t="str" s="2">
        <x:v>Brian Amato</x:v>
      </x:c>
      <x:c r="H2911" s="6">
        <x:v>46218.9532434375</x:v>
      </x:c>
      <x:c r="I2911" s="0"/>
      <x:c r="J2911" s="0"/>
      <x:c r="K2911" s="6">
        <x:v>46233.9254121875</x:v>
      </x:c>
      <x:c r="L2911" t="str" s="2">
        <x:v>Message Sent</x:v>
      </x:c>
    </x:row>
    <x:row r="2912">
      <x:c r="A2912" t="str" s="2">
        <x:f>="floyd mathews"</x:f>
      </x:c>
      <x:c r="B2912" t="str" s="2">
        <x:v>Heritage Housing of Tulsa</x:v>
      </x:c>
      <x:c r="C2912" t="str" s="2">
        <x:v/>
      </x:c>
      <x:c r="D2912" t="str" s="2">
        <x:v>7205141910</x:v>
      </x:c>
      <x:c r="E2912" t="str" s="2">
        <x:v>fw.mathews@yahoo.com</x:v>
      </x:c>
      <x:c r="F2912" t="str" s="2">
        <x:v>LandingPage</x:v>
      </x:c>
      <x:c r="G2912" t="str" s="2">
        <x:v>Jenna Fransisco</x:v>
      </x:c>
      <x:c r="H2912" s="6">
        <x:v>46218.9607965625</x:v>
      </x:c>
      <x:c r="I2912" s="0"/>
      <x:c r="J2912" s="0"/>
      <x:c r="K2912" s="6">
        <x:v>46238</x:v>
      </x:c>
      <x:c r="L2912" t="str" s="2">
        <x:v>Message Sent</x:v>
      </x:c>
    </x:row>
    <x:row r="2913">
      <x:c r="A2913" t="str" s="2">
        <x:f>="Valerie Pollard"</x:f>
      </x:c>
      <x:c r="B2913" t="str" s="2">
        <x:v>Heritage Housing of Augusta</x:v>
      </x:c>
      <x:c r="C2913" t="str" s="2">
        <x:v/>
      </x:c>
      <x:c r="D2913" t="str" s="2">
        <x:v>1706910967</x:v>
      </x:c>
      <x:c r="E2913" t="str" s="2">
        <x:v>pollardv1980@gmail.com</x:v>
      </x:c>
      <x:c r="F2913" t="str" s="2">
        <x:v>LandingPage</x:v>
      </x:c>
      <x:c r="G2913" t="str" s="2">
        <x:v>Jose Chavez</x:v>
      </x:c>
      <x:c r="H2913" s="6">
        <x:v>46218.977738773145</x:v>
      </x:c>
      <x:c r="I2913" s="0"/>
      <x:c r="J2913" s="0"/>
      <x:c r="K2913" s="6">
        <x:v>46274</x:v>
      </x:c>
      <x:c r="L2913" t="str" s="2">
        <x:v>Message Sent</x:v>
      </x:c>
    </x:row>
    <x:row r="2914">
      <x:c r="A2914" t="str" s="2">
        <x:f>="Roy Mendez"</x:f>
      </x:c>
      <x:c r="B2914" t="str" s="2">
        <x:v>Heritage Housing of Canton</x:v>
      </x:c>
      <x:c r="C2914" t="str" s="2">
        <x:v/>
      </x:c>
      <x:c r="D2914" t="str" s="2">
        <x:v>4698828858</x:v>
      </x:c>
      <x:c r="E2914" t="str" s="2">
        <x:v>roy.mendez2@icloud.com</x:v>
      </x:c>
      <x:c r="F2914" t="str" s="2">
        <x:v>Meta Ads - Forms</x:v>
      </x:c>
      <x:c r="G2914" t="str" s="2">
        <x:v>Maira Garcia</x:v>
      </x:c>
      <x:c r="H2914" s="6">
        <x:v>46219.036098923614</x:v>
      </x:c>
      <x:c r="I2914" s="0"/>
      <x:c r="J2914" s="0"/>
      <x:c r="K2914" s="6">
        <x:v>46220</x:v>
      </x:c>
      <x:c r="L2914" t="str" s="2">
        <x:v>Message Sent</x:v>
      </x:c>
    </x:row>
    <x:row r="2915">
      <x:c r="A2915" t="str" s="2">
        <x:f>="FINEASS SBMARIE Moore"</x:f>
      </x:c>
      <x:c r="B2915" t="str" s="2">
        <x:v>Heritage Housing of Greenville</x:v>
      </x:c>
      <x:c r="C2915" t="str" s="2">
        <x:v>0/1</x:v>
      </x:c>
      <x:c r="D2915" t="str" s="2">
        <x:v>3462819735</x:v>
      </x:c>
      <x:c r="E2915" t="str" s="2">
        <x:v>mariemerchant002@gmail.com</x:v>
      </x:c>
      <x:c r="F2915" t="str" s="2">
        <x:v>Meta Ads - Forms</x:v>
      </x:c>
      <x:c r="G2915" t="str" s="2">
        <x:v>Brooklynn Allen</x:v>
      </x:c>
      <x:c r="H2915" s="6">
        <x:v>46219.10702175926</x:v>
      </x:c>
      <x:c r="I2915" s="0"/>
      <x:c r="J2915" s="0"/>
      <x:c r="K2915" s="6">
        <x:v>46249</x:v>
      </x:c>
      <x:c r="L2915" t="str" s="2">
        <x:v>Message Sent</x:v>
      </x:c>
    </x:row>
    <x:row r="2916">
      <x:c r="A2916" t="str" s="2">
        <x:f>="Marisol Gonzalez"</x:f>
      </x:c>
      <x:c r="B2916" t="str" s="2">
        <x:v>Heritage Housing of Canton</x:v>
      </x:c>
      <x:c r="C2916" t="str" s="2">
        <x:v/>
      </x:c>
      <x:c r="D2916" t="str" s="2">
        <x:v>9722016466</x:v>
      </x:c>
      <x:c r="E2916" t="str" s="2">
        <x:v>marisolgonzalez396@yahoo.com</x:v>
      </x:c>
      <x:c r="F2916" t="str" s="2">
        <x:v>Meta Ads - Forms</x:v>
      </x:c>
      <x:c r="G2916" t="str" s="2">
        <x:v>Maira Garcia</x:v>
      </x:c>
      <x:c r="H2916" s="6">
        <x:v>46219.10813923611</x:v>
      </x:c>
      <x:c r="I2916" s="0"/>
      <x:c r="J2916" s="0"/>
      <x:c r="K2916" s="6">
        <x:v>46220</x:v>
      </x:c>
      <x:c r="L2916" t="str" s="2">
        <x:v>Message Sent</x:v>
      </x:c>
    </x:row>
    <x:row r="2917">
      <x:c r="A2917" t="str" s="2">
        <x:f>="Bay May"</x:f>
      </x:c>
      <x:c r="B2917" t="str" s="2">
        <x:v>Heritage Housing of Canton</x:v>
      </x:c>
      <x:c r="C2917" t="str" s="2">
        <x:v/>
      </x:c>
      <x:c r="D2917" t="str" s="2">
        <x:v>8127676017</x:v>
      </x:c>
      <x:c r="E2917" t="str" s="2">
        <x:v>rileybaylee7@gmail.com</x:v>
      </x:c>
      <x:c r="F2917" t="str" s="2">
        <x:v>Meta Ads - Forms</x:v>
      </x:c>
      <x:c r="G2917" t="str" s="2">
        <x:v>Maira Garcia</x:v>
      </x:c>
      <x:c r="H2917" s="6">
        <x:v>46219.10862160879</x:v>
      </x:c>
      <x:c r="I2917" s="0"/>
      <x:c r="J2917" s="0"/>
      <x:c r="K2917" s="6">
        <x:v>46220</x:v>
      </x:c>
      <x:c r="L2917" t="str" s="2">
        <x:v>Message Sent</x:v>
      </x:c>
    </x:row>
    <x:row r="2918">
      <x:c r="A2918" t="str" s="2">
        <x:f>="Suzanne paige"</x:f>
      </x:c>
      <x:c r="B2918" t="str" s="2">
        <x:v>Heritage Housing of Canton</x:v>
      </x:c>
      <x:c r="C2918" t="str" s="2">
        <x:v/>
      </x:c>
      <x:c r="D2918" t="str" s="2">
        <x:v>5626129658</x:v>
      </x:c>
      <x:c r="E2918" t="str" s="2">
        <x:v>suzannepaige95@gmail.com</x:v>
      </x:c>
      <x:c r="F2918" t="str" s="2">
        <x:v>Meta Ads - Forms</x:v>
      </x:c>
      <x:c r="G2918" t="str" s="2">
        <x:v>Maira Garcia</x:v>
      </x:c>
      <x:c r="H2918" s="6">
        <x:v>46219.118161956016</x:v>
      </x:c>
      <x:c r="I2918" s="0"/>
      <x:c r="J2918" s="0"/>
      <x:c r="K2918" s="6">
        <x:v>46220</x:v>
      </x:c>
      <x:c r="L2918" t="str" s="2">
        <x:v>Message Sent</x:v>
      </x:c>
    </x:row>
    <x:row r="2919">
      <x:c r="A2919" t="str" s="2">
        <x:f>="nicole proctor"</x:f>
      </x:c>
      <x:c r="B2919" t="str" s="2">
        <x:v>Heritage Housing of Athens</x:v>
      </x:c>
      <x:c r="C2919" t="str" s="2">
        <x:v/>
      </x:c>
      <x:c r="D2919" t="str" s="2">
        <x:v>7062023281</x:v>
      </x:c>
      <x:c r="E2919" t="str" s="2">
        <x:v>0917nicolep@gmail.com</x:v>
      </x:c>
      <x:c r="F2919" t="str" s="2">
        <x:v>Financing Form</x:v>
      </x:c>
      <x:c r="G2919" t="str" s="2">
        <x:v>Brian Amato</x:v>
      </x:c>
      <x:c r="H2919" s="6">
        <x:v>46219.12235744213</x:v>
      </x:c>
      <x:c r="I2919" s="0"/>
      <x:c r="J2919" s="0"/>
      <x:c r="K2919" s="6">
        <x:v>46233.87212866898</x:v>
      </x:c>
      <x:c r="L2919" t="str" s="2">
        <x:v>Message Sent</x:v>
      </x:c>
    </x:row>
    <x:row r="2920">
      <x:c r="A2920" t="str" s="2">
        <x:f>="Adriana White"</x:f>
      </x:c>
      <x:c r="B2920" t="str" s="2">
        <x:v>Heritage Housing of Athens</x:v>
      </x:c>
      <x:c r="C2920" t="str" s="2">
        <x:v>1/2</x:v>
      </x:c>
      <x:c r="D2920" t="str" s="2">
        <x:v>4784439028</x:v>
      </x:c>
      <x:c r="E2920" t="str" s="2">
        <x:v>whiteadriana055@gmail.com</x:v>
      </x:c>
      <x:c r="F2920" t="str" s="2">
        <x:v>Meta Ads - Forms</x:v>
      </x:c>
      <x:c r="G2920" t="str" s="2">
        <x:v>Nathan Bishop</x:v>
      </x:c>
      <x:c r="H2920" s="6">
        <x:v>46219.12357052083</x:v>
      </x:c>
      <x:c r="I2920" s="0"/>
      <x:c r="J2920" s="0"/>
      <x:c r="K2920" s="6">
        <x:v>46307</x:v>
      </x:c>
      <x:c r="L2920" t="str" s="2">
        <x:v>Message Sent</x:v>
      </x:c>
    </x:row>
    <x:row r="2921">
      <x:c r="A2921" t="str" s="2">
        <x:f>="Linda Kidd"</x:f>
      </x:c>
      <x:c r="B2921" t="str" s="2">
        <x:v>Heritage Housing of Asheboro</x:v>
      </x:c>
      <x:c r="C2921" t="str" s="2">
        <x:v/>
      </x:c>
      <x:c r="D2921" t="str" s="2">
        <x:v>8439075674</x:v>
      </x:c>
      <x:c r="E2921" t="str" s="2">
        <x:v>Aisom1990@gmail.com</x:v>
      </x:c>
      <x:c r="F2921" t="str" s="2">
        <x:v>Meta Ads - Forms</x:v>
      </x:c>
      <x:c r="G2921" t="str" s="2">
        <x:v>Maria Lopez</x:v>
      </x:c>
      <x:c r="H2921" s="6">
        <x:v>46219.13039309028</x:v>
      </x:c>
      <x:c r="I2921" s="0"/>
      <x:c r="J2921" s="0"/>
      <x:c r="K2921" s="6">
        <x:v>46256</x:v>
      </x:c>
      <x:c r="L2921" t="str" s="2">
        <x:v>Message Sent</x:v>
      </x:c>
    </x:row>
    <x:row r="2922">
      <x:c r="A2922" t="str" s="2">
        <x:f>="Yvette Lindsey"</x:f>
      </x:c>
      <x:c r="B2922" t="str" s="2">
        <x:v>Heritage Housing of Jennings</x:v>
      </x:c>
      <x:c r="C2922" t="str" s="2">
        <x:v>0/10</x:v>
      </x:c>
      <x:c r="D2922" t="str" s="2">
        <x:v>6015521391</x:v>
      </x:c>
      <x:c r="E2922" t="str" s="2">
        <x:v>yvettelindsey6868@gmail.com</x:v>
      </x:c>
      <x:c r="F2922" t="str" s="2">
        <x:v>Meta Ads - Forms</x:v>
      </x:c>
      <x:c r="G2922" t="str" s="2">
        <x:v>Mervin Leslie Smith</x:v>
      </x:c>
      <x:c r="H2922" s="6">
        <x:v>46219.18481288195</x:v>
      </x:c>
      <x:c r="I2922" s="0"/>
      <x:c r="J2922" s="0"/>
      <x:c r="K2922" s="6">
        <x:v>46288</x:v>
      </x:c>
      <x:c r="L2922" t="str" s="2">
        <x:v>Message Sent</x:v>
      </x:c>
    </x:row>
    <x:row r="2923">
      <x:c r="A2923" t="str" s="2">
        <x:f>="Angela Franco"</x:f>
      </x:c>
      <x:c r="B2923" t="str" s="2">
        <x:v>Heritage Housing of Oklahoma City</x:v>
      </x:c>
      <x:c r="C2923" t="str" s="2">
        <x:v>0/1</x:v>
      </x:c>
      <x:c r="D2923" t="str" s="2">
        <x:v>4055905588</x:v>
      </x:c>
      <x:c r="E2923" t="str" s="2">
        <x:v>anfran83@gmail.com</x:v>
      </x:c>
      <x:c r="F2923" t="str" s="2">
        <x:v>Meta Ads - Forms</x:v>
      </x:c>
      <x:c r="G2923" t="str" s="2">
        <x:v>Trey Rixleben</x:v>
      </x:c>
      <x:c r="H2923" s="6">
        <x:v>46219.38952734954</x:v>
      </x:c>
      <x:c r="I2923" s="0"/>
      <x:c r="J2923" s="0"/>
      <x:c r="K2923" s="6">
        <x:v>46219.589479710645</x:v>
      </x:c>
      <x:c r="L2923" t="str" s="2">
        <x:v>Message Sent</x:v>
      </x:c>
    </x:row>
    <x:row r="2924">
      <x:c r="A2924" t="str" s="2">
        <x:f>="Sandra Colter"</x:f>
      </x:c>
      <x:c r="B2924" t="str" s="2">
        <x:v>Heritage Housing Gainesville</x:v>
      </x:c>
      <x:c r="C2924" t="str" s="2">
        <x:v/>
      </x:c>
      <x:c r="D2924" t="str" s="2" xml:space="preserve">
        <x:v> 3466197730    </x:v>
      </x:c>
      <x:c r="E2924" t="str" s="2">
        <x:v>sandracultrune@gmail.com</x:v>
      </x:c>
      <x:c r="F2924" t="str" s="2">
        <x:v>Meta Ads - Forms</x:v>
      </x:c>
      <x:c r="G2924" t="str" s="2">
        <x:v>Kelly Ford</x:v>
      </x:c>
      <x:c r="H2924" s="6">
        <x:v>46219.491597685184</x:v>
      </x:c>
      <x:c r="I2924" s="0"/>
      <x:c r="J2924" s="0"/>
      <x:c r="K2924" s="6">
        <x:v>46277</x:v>
      </x:c>
      <x:c r="L2924" t="str" s="2">
        <x:v>Message Sent</x:v>
      </x:c>
    </x:row>
    <x:row r="2925">
      <x:c r="A2925" t="str" s="2">
        <x:f>="Kristy Hager"</x:f>
      </x:c>
      <x:c r="B2925" t="str" s="2">
        <x:v>Heritage Housing of Asheboro</x:v>
      </x:c>
      <x:c r="C2925" t="str" s="2">
        <x:v/>
      </x:c>
      <x:c r="D2925" t="str" s="2">
        <x:v>7046151505</x:v>
      </x:c>
      <x:c r="E2925" t="str" s="2">
        <x:v>kristysweetmae24@gmail.com</x:v>
      </x:c>
      <x:c r="F2925" t="str" s="2">
        <x:v>Meta Ads - Forms</x:v>
      </x:c>
      <x:c r="G2925" t="str" s="2">
        <x:v>Maria Lopez</x:v>
      </x:c>
      <x:c r="H2925" s="6">
        <x:v>46219.51692322917</x:v>
      </x:c>
      <x:c r="I2925" s="0"/>
      <x:c r="J2925" s="0"/>
      <x:c r="K2925" s="6">
        <x:v>46261</x:v>
      </x:c>
      <x:c r="L2925" t="str" s="2">
        <x:v>Message Sent</x:v>
      </x:c>
    </x:row>
    <x:row r="2926">
      <x:c r="A2926" t="str" s="2">
        <x:f>="Luz Alomar"</x:f>
      </x:c>
      <x:c r="B2926" t="str" s="2">
        <x:v>Heritage Housing of Greenville</x:v>
      </x:c>
      <x:c r="C2926" t="str" s="2">
        <x:v/>
      </x:c>
      <x:c r="D2926" t="str" s="2">
        <x:v>9566471570</x:v>
      </x:c>
      <x:c r="E2926" t="str" s="2">
        <x:v>luzalomar36@gmail.com</x:v>
      </x:c>
      <x:c r="F2926" t="str" s="2">
        <x:v>Meta Ads - Forms</x:v>
      </x:c>
      <x:c r="G2926" t="str" s="2">
        <x:v>Brooklynn Allen</x:v>
      </x:c>
      <x:c r="H2926" s="6">
        <x:v>46219.524236770834</x:v>
      </x:c>
      <x:c r="I2926" s="0"/>
      <x:c r="J2926" s="0"/>
      <x:c r="K2926" s="6">
        <x:v>46249</x:v>
      </x:c>
      <x:c r="L2926" t="str" s="2">
        <x:v>Message Sent</x:v>
      </x:c>
    </x:row>
    <x:row r="2927">
      <x:c r="A2927" t="str" s="2">
        <x:f>="Chasiti Morrow"</x:f>
      </x:c>
      <x:c r="B2927" t="str" s="2">
        <x:v>Heritage Housing of Greenville</x:v>
      </x:c>
      <x:c r="C2927" t="str" s="2">
        <x:v/>
      </x:c>
      <x:c r="D2927" t="str" s="2">
        <x:v>2148362480</x:v>
      </x:c>
      <x:c r="E2927" t="str" s="2">
        <x:v>morrowchasiti22@gmail.com</x:v>
      </x:c>
      <x:c r="F2927" t="str" s="2">
        <x:v>Website</x:v>
      </x:c>
      <x:c r="G2927" t="str" s="2">
        <x:v>Brooklynn Allen</x:v>
      </x:c>
      <x:c r="H2927" s="6">
        <x:v>46219.58972769676</x:v>
      </x:c>
      <x:c r="I2927" s="0"/>
      <x:c r="J2927" s="0"/>
      <x:c r="K2927" s="6">
        <x:v>46249</x:v>
      </x:c>
      <x:c r="L2927" t="str" s="2">
        <x:v>Message Sent</x:v>
      </x:c>
    </x:row>
    <x:row r="2928">
      <x:c r="A2928" t="str" s="2">
        <x:f>="Derek Mosley"</x:f>
      </x:c>
      <x:c r="B2928" t="str" s="2">
        <x:v>Heritage Housing of Augusta</x:v>
      </x:c>
      <x:c r="C2928" t="str" s="2">
        <x:v/>
      </x:c>
      <x:c r="D2928" t="str" s="2">
        <x:v>7067504210</x:v>
      </x:c>
      <x:c r="E2928" t="str" s="2">
        <x:v>romello2608x@gmail.com</x:v>
      </x:c>
      <x:c r="F2928" t="str" s="2">
        <x:v>Meta Ads - Forms</x:v>
      </x:c>
      <x:c r="G2928" t="str" s="2">
        <x:v>Jose Chavez</x:v>
      </x:c>
      <x:c r="H2928" s="6">
        <x:v>46219.605728587965</x:v>
      </x:c>
      <x:c r="I2928" s="0"/>
      <x:c r="J2928" s="0"/>
      <x:c r="K2928" s="6">
        <x:v>46274</x:v>
      </x:c>
      <x:c r="L2928" t="str" s="2">
        <x:v>Message Sent</x:v>
      </x:c>
    </x:row>
    <x:row r="2929">
      <x:c r="A2929" t="str" s="2">
        <x:f>="Tracy Presson"</x:f>
      </x:c>
      <x:c r="B2929" t="str" s="2">
        <x:v>Heritage Housing of Oklahoma City</x:v>
      </x:c>
      <x:c r="C2929" t="str" s="2">
        <x:v>0/1</x:v>
      </x:c>
      <x:c r="D2929" t="str" s="2">
        <x:v>5392183478</x:v>
      </x:c>
      <x:c r="E2929" t="str" s="2">
        <x:v>nonametracy31@gmail.com</x:v>
      </x:c>
      <x:c r="F2929" t="str" s="2">
        <x:v>Website</x:v>
      </x:c>
      <x:c r="G2929" t="str" s="2">
        <x:v>Steve Castell</x:v>
      </x:c>
      <x:c r="H2929" s="6">
        <x:v>46219.60865081019</x:v>
      </x:c>
      <x:c r="I2929" s="0"/>
      <x:c r="J2929" s="0"/>
      <x:c r="K2929" s="6">
        <x:v>46219.75737384259</x:v>
      </x:c>
      <x:c r="L2929" t="str" s="2">
        <x:v>Message Sent</x:v>
      </x:c>
    </x:row>
    <x:row r="2930">
      <x:c r="A2930" t="str" s="2">
        <x:f>="Leola Drake"</x:f>
      </x:c>
      <x:c r="B2930" t="str" s="2">
        <x:v>Heritage Housing of Jennings</x:v>
      </x:c>
      <x:c r="C2930" t="str" s="2">
        <x:v>0/11</x:v>
      </x:c>
      <x:c r="D2930" t="str" s="2">
        <x:v>9853182017</x:v>
      </x:c>
      <x:c r="E2930" t="str" s="2">
        <x:v>leoladrake5@gmail.com</x:v>
      </x:c>
      <x:c r="F2930" t="str" s="2">
        <x:v>Meta Ads - Forms</x:v>
      </x:c>
      <x:c r="G2930" t="str" s="2">
        <x:v>Mervin Leslie Smith</x:v>
      </x:c>
      <x:c r="H2930" s="6">
        <x:v>46219.60934976852</x:v>
      </x:c>
      <x:c r="I2930" s="0"/>
      <x:c r="J2930" s="0"/>
      <x:c r="K2930" s="6">
        <x:v>46288</x:v>
      </x:c>
      <x:c r="L2930" t="str" s="2">
        <x:v>Message Sent</x:v>
      </x:c>
    </x:row>
    <x:row r="2931">
      <x:c r="A2931" t="str" s="2">
        <x:f>="Christie Brown"</x:f>
      </x:c>
      <x:c r="B2931" t="str" s="2">
        <x:v>Heritage Housing of Tulsa</x:v>
      </x:c>
      <x:c r="C2931" t="str" s="2">
        <x:v>1/2</x:v>
      </x:c>
      <x:c r="D2931" t="str" s="2">
        <x:v>9182372616</x:v>
      </x:c>
      <x:c r="E2931" t="str" s="2">
        <x:v>cjbrown0510@icloud.com</x:v>
      </x:c>
      <x:c r="F2931" t="str" s="2">
        <x:v>Website</x:v>
      </x:c>
      <x:c r="G2931" t="str" s="2">
        <x:v>Jenna Fransisco</x:v>
      </x:c>
      <x:c r="H2931" s="6">
        <x:v>46219.61334733796</x:v>
      </x:c>
      <x:c r="I2931" s="0"/>
      <x:c r="J2931" s="0"/>
      <x:c r="K2931" s="6">
        <x:v>46260</x:v>
      </x:c>
      <x:c r="L2931" t="str" s="2">
        <x:v>Message Sent</x:v>
      </x:c>
    </x:row>
    <x:row r="2932">
      <x:c r="A2932" t="str" s="2">
        <x:f>="Clyde Pickle"</x:f>
      </x:c>
      <x:c r="B2932" t="str" s="2">
        <x:v>Heritage Housing of Tulsa</x:v>
      </x:c>
      <x:c r="C2932" t="str" s="2">
        <x:v/>
      </x:c>
      <x:c r="D2932" t="str" s="2">
        <x:v>4176354991</x:v>
      </x:c>
      <x:c r="E2932" t="str" s="2">
        <x:v>Picklec1977@gmail.com</x:v>
      </x:c>
      <x:c r="F2932" t="str" s="2">
        <x:v>Meta Ads - Forms</x:v>
      </x:c>
      <x:c r="G2932" t="str" s="2">
        <x:v>Jenna Fransisco</x:v>
      </x:c>
      <x:c r="H2932" s="6">
        <x:v>46219.63526512731</x:v>
      </x:c>
      <x:c r="I2932" s="0"/>
      <x:c r="J2932" s="0"/>
      <x:c r="K2932" s="6">
        <x:v>46245</x:v>
      </x:c>
      <x:c r="L2932" t="str" s="2">
        <x:v>Message Sent</x:v>
      </x:c>
    </x:row>
    <x:row r="2933">
      <x:c r="A2933" t="str" s="2">
        <x:f>="Annjaleika Thompson"</x:f>
      </x:c>
      <x:c r="B2933" t="str" s="2">
        <x:v>Heritage Housing of Jennings</x:v>
      </x:c>
      <x:c r="C2933" t="str" s="2">
        <x:v>0/4</x:v>
      </x:c>
      <x:c r="D2933" t="str" s="2">
        <x:v>2254504666</x:v>
      </x:c>
      <x:c r="E2933" t="str" s="2">
        <x:v>maajnmyrii@gmail.com</x:v>
      </x:c>
      <x:c r="F2933" t="str" s="2">
        <x:v>Financing Form</x:v>
      </x:c>
      <x:c r="G2933" t="str" s="2">
        <x:v>Clint O'Neal</x:v>
      </x:c>
      <x:c r="H2933" s="6">
        <x:v>46219.66428827546</x:v>
      </x:c>
      <x:c r="I2933" s="0"/>
      <x:c r="J2933" s="0"/>
      <x:c r="K2933" s="6">
        <x:v>46288</x:v>
      </x:c>
      <x:c r="L2933" t="str" s="2">
        <x:v>Message Sent</x:v>
      </x:c>
    </x:row>
    <x:row r="2934">
      <x:c r="A2934" t="str" s="2">
        <x:f>="Manzie Sims"</x:f>
      </x:c>
      <x:c r="B2934" t="str" s="2">
        <x:v>Heritage Housing of Athens</x:v>
      </x:c>
      <x:c r="C2934" t="str" s="2">
        <x:v/>
      </x:c>
      <x:c r="D2934" t="str" s="2">
        <x:v>7069884301</x:v>
      </x:c>
      <x:c r="E2934" t="str" s="2">
        <x:v>mbsmith2015@gmail.com</x:v>
      </x:c>
      <x:c r="F2934" t="str" s="2">
        <x:v>Financing Form</x:v>
      </x:c>
      <x:c r="G2934" t="str" s="2">
        <x:v>Brian Amato</x:v>
      </x:c>
      <x:c r="H2934" s="6">
        <x:v>46219.68043475694</x:v>
      </x:c>
      <x:c r="I2934" s="0"/>
      <x:c r="J2934" s="0"/>
      <x:c r="K2934" s="6">
        <x:v>46233.88031990741</x:v>
      </x:c>
      <x:c r="L2934" t="str" s="2">
        <x:v>Message Sent</x:v>
      </x:c>
    </x:row>
    <x:row r="2935">
      <x:c r="A2935" t="str" s="2">
        <x:f>="Lillian Wiggins"</x:f>
      </x:c>
      <x:c r="B2935" t="str" s="2">
        <x:v>Heritage Housing of Asheboro</x:v>
      </x:c>
      <x:c r="C2935" t="str" s="2">
        <x:v/>
      </x:c>
      <x:c r="D2935" t="str" s="2">
        <x:v>2526494210</x:v>
      </x:c>
      <x:c r="E2935" t="str" s="2">
        <x:v>ldwiggins76@gmail.com</x:v>
      </x:c>
      <x:c r="F2935" t="str" s="2">
        <x:v>Financing Form</x:v>
      </x:c>
      <x:c r="G2935" t="str" s="2">
        <x:v>Maria Lopez</x:v>
      </x:c>
      <x:c r="H2935" s="6">
        <x:v>46219.70662596065</x:v>
      </x:c>
      <x:c r="I2935" s="0"/>
      <x:c r="J2935" s="0"/>
      <x:c r="K2935" s="6">
        <x:v>46265</x:v>
      </x:c>
      <x:c r="L2935" t="str" s="2">
        <x:v>Message Sent</x:v>
      </x:c>
    </x:row>
    <x:row r="2936">
      <x:c r="A2936" t="str" s="2">
        <x:f>="Asia Lewis"</x:f>
      </x:c>
      <x:c r="B2936" t="str" s="2">
        <x:v>Heritage Housing of Asheboro</x:v>
      </x:c>
      <x:c r="C2936" t="str" s="2">
        <x:v/>
      </x:c>
      <x:c r="D2936" t="str" s="2">
        <x:v>8647648918</x:v>
      </x:c>
      <x:c r="E2936" t="str" s="2">
        <x:v>asialewis51@gmail.com</x:v>
      </x:c>
      <x:c r="F2936" t="str" s="2">
        <x:v>Financing Form</x:v>
      </x:c>
      <x:c r="G2936" t="str" s="2">
        <x:v>Maria Lopez</x:v>
      </x:c>
      <x:c r="H2936" s="6">
        <x:v>46219.76401388889</x:v>
      </x:c>
      <x:c r="I2936" s="0"/>
      <x:c r="J2936" s="0"/>
      <x:c r="K2936" s="6">
        <x:v>46307</x:v>
      </x:c>
      <x:c r="L2936" t="str" s="2">
        <x:v>Message Sent</x:v>
      </x:c>
    </x:row>
    <x:row r="2937">
      <x:c r="A2937" t="str" s="2">
        <x:f>="Barbara Baker"</x:f>
      </x:c>
      <x:c r="B2937" t="str" s="2">
        <x:v>Heritage Housing of Oklahoma City</x:v>
      </x:c>
      <x:c r="C2937" t="str" s="2">
        <x:v>0/1</x:v>
      </x:c>
      <x:c r="D2937" t="str" s="2">
        <x:v>5807047610</x:v>
      </x:c>
      <x:c r="E2937" t="str" s="2">
        <x:v>barbara.f.baker@gmail.com</x:v>
      </x:c>
      <x:c r="F2937" t="str" s="2">
        <x:v>LandingPage</x:v>
      </x:c>
      <x:c r="G2937" t="str" s="2">
        <x:v>Steve Castell</x:v>
      </x:c>
      <x:c r="H2937" s="6">
        <x:v>46219.86782195602</x:v>
      </x:c>
      <x:c r="I2937" s="0"/>
      <x:c r="J2937" s="0"/>
      <x:c r="K2937" s="6">
        <x:v>46220</x:v>
      </x:c>
      <x:c r="L2937" t="str" s="2">
        <x:v>Message Sent</x:v>
      </x:c>
    </x:row>
    <x:row r="2938">
      <x:c r="A2938" t="str" s="2">
        <x:f>="Charity Isom"</x:f>
      </x:c>
      <x:c r="B2938" t="str" s="2">
        <x:v>Heritage Housing of Tulsa</x:v>
      </x:c>
      <x:c r="C2938" t="str" s="2">
        <x:v/>
      </x:c>
      <x:c r="D2938" t="str" s="2">
        <x:v>9186585928</x:v>
      </x:c>
      <x:c r="E2938" t="str" s="2">
        <x:v>charityisom54@gmail.com</x:v>
      </x:c>
      <x:c r="F2938" t="str" s="2">
        <x:v>Financing Form</x:v>
      </x:c>
      <x:c r="G2938" t="str" s="2">
        <x:v>Jenna Fransisco</x:v>
      </x:c>
      <x:c r="H2938" s="6">
        <x:v>46219.88325482639</x:v>
      </x:c>
      <x:c r="I2938" s="0"/>
      <x:c r="J2938" s="0"/>
      <x:c r="K2938" s="6">
        <x:v>46245</x:v>
      </x:c>
      <x:c r="L2938" t="str" s="2">
        <x:v>Message Sent</x:v>
      </x:c>
    </x:row>
    <x:row r="2939">
      <x:c r="A2939" t="str" s="2">
        <x:f>="Heather Felty"</x:f>
      </x:c>
      <x:c r="B2939" t="str" s="2">
        <x:v>Heritage Housing of Canton</x:v>
      </x:c>
      <x:c r="C2939" t="str" s="2">
        <x:v/>
      </x:c>
      <x:c r="D2939" t="str" s="2">
        <x:v>9157063999</x:v>
      </x:c>
      <x:c r="E2939" t="str" s="2">
        <x:v>heatherrfelty@gmail.com</x:v>
      </x:c>
      <x:c r="F2939" t="str" s="2">
        <x:v>Financing Form</x:v>
      </x:c>
      <x:c r="G2939" t="str" s="2">
        <x:v>Maira Garcia</x:v>
      </x:c>
      <x:c r="H2939" s="6">
        <x:v>46219.896786770834</x:v>
      </x:c>
      <x:c r="I2939" s="0"/>
      <x:c r="J2939" s="0"/>
      <x:c r="K2939" s="6">
        <x:v>46220</x:v>
      </x:c>
      <x:c r="L2939" t="str" s="2">
        <x:v>Message Sent</x:v>
      </x:c>
    </x:row>
    <x:row r="2940">
      <x:c r="A2940" t="str" s="2">
        <x:f>="Darlene Barron"</x:f>
      </x:c>
      <x:c r="B2940" t="str" s="2">
        <x:v>Heritage Housing of Canton</x:v>
      </x:c>
      <x:c r="C2940" t="str" s="2">
        <x:v/>
      </x:c>
      <x:c r="D2940" t="str" s="2">
        <x:v>8507750505</x:v>
      </x:c>
      <x:c r="E2940" t="str" s="2">
        <x:v>barron.darlene@yahoo.com</x:v>
      </x:c>
      <x:c r="F2940" t="str" s="2">
        <x:v>Meta Ads - Forms</x:v>
      </x:c>
      <x:c r="G2940" t="str" s="2">
        <x:v>Maira Garcia</x:v>
      </x:c>
      <x:c r="H2940" s="6">
        <x:v>46219.935404895834</x:v>
      </x:c>
      <x:c r="I2940" s="0"/>
      <x:c r="J2940" s="0"/>
      <x:c r="K2940" s="6">
        <x:v>46220</x:v>
      </x:c>
      <x:c r="L2940" t="str" s="2">
        <x:v>Message Sent</x:v>
      </x:c>
    </x:row>
    <x:row r="2941">
      <x:c r="A2941" t="str" s="2">
        <x:f>="Patrick McCaffery"</x:f>
      </x:c>
      <x:c r="B2941" t="str" s="2">
        <x:v>Heritage Housing of Tulsa</x:v>
      </x:c>
      <x:c r="C2941" t="str" s="2">
        <x:v/>
      </x:c>
      <x:c r="D2941" t="str" s="2">
        <x:v>9186882478</x:v>
      </x:c>
      <x:c r="E2941" t="str" s="2">
        <x:v>animallover73.pm@gmail.com</x:v>
      </x:c>
      <x:c r="F2941" t="str" s="2">
        <x:v>Meta Ads - Forms</x:v>
      </x:c>
      <x:c r="G2941" t="str" s="2">
        <x:v>Jenna Fransisco</x:v>
      </x:c>
      <x:c r="H2941" s="6">
        <x:v>46219.94233761574</x:v>
      </x:c>
      <x:c r="I2941" s="0"/>
      <x:c r="J2941" s="0"/>
      <x:c r="K2941" s="6">
        <x:v>46220.647136921296</x:v>
      </x:c>
      <x:c r="L2941" t="str" s="2">
        <x:v>Message Sent</x:v>
      </x:c>
    </x:row>
    <x:row r="2942">
      <x:c r="A2942" t="str" s="2">
        <x:f>="Richard Lauer"</x:f>
      </x:c>
      <x:c r="B2942" t="str" s="2">
        <x:v>Heritage Housing of Canton</x:v>
      </x:c>
      <x:c r="C2942" t="str" s="2">
        <x:v/>
      </x:c>
      <x:c r="D2942" t="str" s="2">
        <x:v>6825618355</x:v>
      </x:c>
      <x:c r="E2942" t="str" s="2">
        <x:v>rlauer14@gmail.com</x:v>
      </x:c>
      <x:c r="F2942" t="str" s="2">
        <x:v>Meta Ads - Forms</x:v>
      </x:c>
      <x:c r="G2942" t="str" s="2">
        <x:v>Maira Garcia</x:v>
      </x:c>
      <x:c r="H2942" s="6">
        <x:v>46219.94801030093</x:v>
      </x:c>
      <x:c r="I2942" s="0"/>
      <x:c r="J2942" s="0"/>
      <x:c r="K2942" s="6">
        <x:v>46220</x:v>
      </x:c>
      <x:c r="L2942" t="str" s="2">
        <x:v>Message Sent</x:v>
      </x:c>
    </x:row>
    <x:row r="2943">
      <x:c r="A2943" t="str" s="2">
        <x:f>="Raul Burciaga"</x:f>
      </x:c>
      <x:c r="B2943" t="str" s="2">
        <x:v>Heritage Housing of Greenville</x:v>
      </x:c>
      <x:c r="C2943" t="str" s="2">
        <x:v>0/2</x:v>
      </x:c>
      <x:c r="D2943" t="str" s="2">
        <x:v>2148811092</x:v>
      </x:c>
      <x:c r="E2943" t="str" s="2">
        <x:v>Fenixgarmin431@gmail.com</x:v>
      </x:c>
      <x:c r="F2943" t="str" s="2">
        <x:v>Meta Ads - Forms</x:v>
      </x:c>
      <x:c r="G2943" t="str" s="2">
        <x:v>Greg Christman</x:v>
      </x:c>
      <x:c r="H2943" s="6">
        <x:v>46219.95733626158</x:v>
      </x:c>
      <x:c r="I2943" s="0"/>
      <x:c r="J2943" s="0"/>
      <x:c r="K2943" s="6">
        <x:v>46221</x:v>
      </x:c>
      <x:c r="L2943" t="str" s="2">
        <x:v>Message Sent</x:v>
      </x:c>
    </x:row>
    <x:row r="2944">
      <x:c r="A2944" t="str" s="2">
        <x:f>="Felicia Yarbrough"</x:f>
      </x:c>
      <x:c r="B2944" t="str" s="2">
        <x:v>Heritage Housing of Asheboro</x:v>
      </x:c>
      <x:c r="C2944" t="str" s="2">
        <x:v/>
      </x:c>
      <x:c r="D2944" t="str" s="2">
        <x:v>2524315800</x:v>
      </x:c>
      <x:c r="E2944" t="str" s="2">
        <x:v>yarbrough_felicia@yahoo.com</x:v>
      </x:c>
      <x:c r="F2944" t="str" s="2">
        <x:v>Meta Ads - Forms</x:v>
      </x:c>
      <x:c r="G2944" t="str" s="2">
        <x:v>Maria Lopez</x:v>
      </x:c>
      <x:c r="H2944" s="6">
        <x:v>46219.99154019676</x:v>
      </x:c>
      <x:c r="I2944" s="0"/>
      <x:c r="J2944" s="0"/>
      <x:c r="K2944" s="6">
        <x:v>46254</x:v>
      </x:c>
      <x:c r="L2944" t="str" s="2">
        <x:v>Message Sent</x:v>
      </x:c>
    </x:row>
    <x:row r="2945">
      <x:c r="A2945" t="str" s="2">
        <x:f>="Delisa Ledesma"</x:f>
      </x:c>
      <x:c r="B2945" t="str" s="2">
        <x:v>Heritage Housing of Canton</x:v>
      </x:c>
      <x:c r="C2945" t="str" s="2">
        <x:v/>
      </x:c>
      <x:c r="D2945" t="str" s="2">
        <x:v>9032797806</x:v>
      </x:c>
      <x:c r="E2945" t="str" s="2">
        <x:v>lisaledesma1986@gmail.com</x:v>
      </x:c>
      <x:c r="F2945" t="str" s="2">
        <x:v>Financing Form</x:v>
      </x:c>
      <x:c r="G2945" t="str" s="2">
        <x:v>Maira Garcia</x:v>
      </x:c>
      <x:c r="H2945" s="6">
        <x:v>46220.00617959491</x:v>
      </x:c>
      <x:c r="I2945" s="0"/>
      <x:c r="J2945" s="0"/>
      <x:c r="K2945" s="6">
        <x:v>46220</x:v>
      </x:c>
      <x:c r="L2945" t="str" s="2">
        <x:v>Message Sent</x:v>
      </x:c>
    </x:row>
    <x:row r="2946">
      <x:c r="A2946" t="str" s="2">
        <x:f>="Daniel Parker"</x:f>
      </x:c>
      <x:c r="B2946" t="str" s="2">
        <x:v>Heritage Housing of Canton</x:v>
      </x:c>
      <x:c r="C2946" t="str" s="2">
        <x:v/>
      </x:c>
      <x:c r="D2946" t="str" s="2">
        <x:v>8176821859</x:v>
      </x:c>
      <x:c r="E2946" t="str" s="2">
        <x:v>boonetbird1953@gmail.com</x:v>
      </x:c>
      <x:c r="F2946" t="str" s="2">
        <x:v>Meta Ads - Forms</x:v>
      </x:c>
      <x:c r="G2946" t="str" s="2">
        <x:v>Maira Garcia</x:v>
      </x:c>
      <x:c r="H2946" s="6">
        <x:v>46220.016772766205</x:v>
      </x:c>
      <x:c r="I2946" s="0"/>
      <x:c r="J2946" s="0"/>
      <x:c r="K2946" s="6">
        <x:v>46220</x:v>
      </x:c>
      <x:c r="L2946" t="str" s="2">
        <x:v>Message Sent</x:v>
      </x:c>
    </x:row>
    <x:row r="2947">
      <x:c r="A2947" t="str" s="2">
        <x:f>="Brandy Moore"</x:f>
      </x:c>
      <x:c r="B2947" t="str" s="2">
        <x:v>Heritage Housing of Tulsa</x:v>
      </x:c>
      <x:c r="C2947" t="str" s="2">
        <x:v/>
      </x:c>
      <x:c r="D2947" t="str" s="2">
        <x:v>4054813166</x:v>
      </x:c>
      <x:c r="E2947" t="str" s="2">
        <x:v>bp6579@gmail.com</x:v>
      </x:c>
      <x:c r="F2947" t="str" s="2">
        <x:v>Website</x:v>
      </x:c>
      <x:c r="G2947" t="str" s="2">
        <x:v>Jenna Fransisco</x:v>
      </x:c>
      <x:c r="H2947" s="6">
        <x:v>46220.0249684838</x:v>
      </x:c>
      <x:c r="I2947" s="0"/>
      <x:c r="J2947" s="0"/>
      <x:c r="K2947" s="6">
        <x:v>46238</x:v>
      </x:c>
      <x:c r="L2947" t="str" s="2">
        <x:v>Message Sent</x:v>
      </x:c>
    </x:row>
    <x:row r="2948">
      <x:c r="A2948" t="str" s="2">
        <x:f>="ANITA Limon"</x:f>
      </x:c>
      <x:c r="B2948" t="str" s="2">
        <x:v>Heritage Housing of Canton</x:v>
      </x:c>
      <x:c r="C2948" t="str" s="2">
        <x:v/>
      </x:c>
      <x:c r="D2948" t="str" s="2">
        <x:v>8179361250</x:v>
      </x:c>
      <x:c r="E2948" t="str" s="2">
        <x:v>anitaestrada2000@yahoo.com</x:v>
      </x:c>
      <x:c r="F2948" t="str" s="2">
        <x:v>Meta Ads - Forms</x:v>
      </x:c>
      <x:c r="G2948" t="str" s="2">
        <x:v>Maira Garcia</x:v>
      </x:c>
      <x:c r="H2948" s="6">
        <x:v>46220.08424494213</x:v>
      </x:c>
      <x:c r="I2948" s="0"/>
      <x:c r="J2948" s="0"/>
      <x:c r="K2948" s="6">
        <x:v>46220</x:v>
      </x:c>
      <x:c r="L2948" t="str" s="2">
        <x:v>Message Sent</x:v>
      </x:c>
    </x:row>
    <x:row r="2949">
      <x:c r="A2949" t="str" s="2">
        <x:f>="Kemora Bridges"</x:f>
      </x:c>
      <x:c r="B2949" t="str" s="2">
        <x:v>Heritage Housing of Athens</x:v>
      </x:c>
      <x:c r="C2949" t="str" s="2">
        <x:v>1/2</x:v>
      </x:c>
      <x:c r="D2949" t="str" s="2">
        <x:v>7062481909</x:v>
      </x:c>
      <x:c r="E2949" t="str" s="2">
        <x:v>kemorabridges09@gmail.com</x:v>
      </x:c>
      <x:c r="F2949" t="str" s="2">
        <x:v>LandingPage</x:v>
      </x:c>
      <x:c r="G2949" t="str" s="2">
        <x:v>Nathan Bishop</x:v>
      </x:c>
      <x:c r="H2949" s="6">
        <x:v>46220.16344247685</x:v>
      </x:c>
      <x:c r="I2949" s="0"/>
      <x:c r="J2949" s="0"/>
      <x:c r="K2949" s="6">
        <x:v>46307.881318368054</x:v>
      </x:c>
      <x:c r="L2949" t="str" s="2">
        <x:v>Message Sent</x:v>
      </x:c>
    </x:row>
    <x:row r="2950">
      <x:c r="A2950" t="str" s="2">
        <x:f>="juan Gurrola"</x:f>
      </x:c>
      <x:c r="B2950" t="str" s="2">
        <x:v>Heritage Housing of Canton</x:v>
      </x:c>
      <x:c r="C2950" t="str" s="2">
        <x:v/>
      </x:c>
      <x:c r="D2950" t="str" s="2">
        <x:v>9567156698</x:v>
      </x:c>
      <x:c r="E2950" t="str" s="2">
        <x:v>juangurrola972@gmail.com</x:v>
      </x:c>
      <x:c r="F2950" t="str" s="2">
        <x:v>Meta Ads - Forms</x:v>
      </x:c>
      <x:c r="G2950" t="str" s="2">
        <x:v>Maira Garcia</x:v>
      </x:c>
      <x:c r="H2950" s="6">
        <x:v>46220.393554780094</x:v>
      </x:c>
      <x:c r="I2950" s="0"/>
      <x:c r="J2950" s="0"/>
      <x:c r="K2950" s="6">
        <x:v>46220</x:v>
      </x:c>
      <x:c r="L2950" t="str" s="2">
        <x:v>Message Sent</x:v>
      </x:c>
    </x:row>
    <x:row r="2951">
      <x:c r="A2951" t="str" s="2">
        <x:f>="Irianna Keith"</x:f>
      </x:c>
      <x:c r="B2951" t="str" s="2">
        <x:v>Heritage Housing of Canton</x:v>
      </x:c>
      <x:c r="C2951" t="str" s="2">
        <x:v/>
      </x:c>
      <x:c r="D2951" t="str" s="2">
        <x:v>8323268066</x:v>
      </x:c>
      <x:c r="E2951" t="str" s="2">
        <x:v>iriannak14@gmail.com</x:v>
      </x:c>
      <x:c r="F2951" t="str" s="2">
        <x:v>Financing Form</x:v>
      </x:c>
      <x:c r="G2951" t="str" s="2">
        <x:v>Maira Garcia</x:v>
      </x:c>
      <x:c r="H2951" s="6">
        <x:v>46220.50306423611</x:v>
      </x:c>
      <x:c r="I2951" s="0"/>
      <x:c r="J2951" s="0"/>
      <x:c r="K2951" s="6">
        <x:v>46220</x:v>
      </x:c>
      <x:c r="L2951" t="str" s="2">
        <x:v>Message Sent</x:v>
      </x:c>
    </x:row>
    <x:row r="2952">
      <x:c r="A2952" t="str" s="2">
        <x:f>="Deisy RA"</x:f>
      </x:c>
      <x:c r="B2952" t="str" s="2">
        <x:v>Legacy Housing Corp. DBA Americasa</x:v>
      </x:c>
      <x:c r="C2952" t="str" s="2">
        <x:v/>
      </x:c>
      <x:c r="D2952" t="str" s="2">
        <x:v>9566519334</x:v>
      </x:c>
      <x:c r="E2952" t="str" s="2">
        <x:v>fresa161@hotmail.com</x:v>
      </x:c>
      <x:c r="F2952" t="str" s="2">
        <x:v>Meta Ads - Forms</x:v>
      </x:c>
      <x:c r="G2952" t="str" s="2">
        <x:v>Jose Parada</x:v>
      </x:c>
      <x:c r="H2952" s="6">
        <x:v>46220.553380590274</x:v>
      </x:c>
      <x:c r="I2952" s="0"/>
      <x:c r="J2952" s="0"/>
      <x:c r="K2952" s="6">
        <x:v>46232</x:v>
      </x:c>
      <x:c r="L2952" t="str" s="2">
        <x:v>Message Sent</x:v>
      </x:c>
    </x:row>
    <x:row r="2953">
      <x:c r="A2953" t="str" s="2">
        <x:f>="Olga Cruz"</x:f>
      </x:c>
      <x:c r="B2953" t="str" s="2">
        <x:v>Legacy Housing Corp. DBA Americasa</x:v>
      </x:c>
      <x:c r="C2953" t="str" s="2">
        <x:v/>
      </x:c>
      <x:c r="D2953" t="str" s="2">
        <x:v>2815090989</x:v>
      </x:c>
      <x:c r="E2953" t="str" s="2">
        <x:v>oycruz1107@gmail.com</x:v>
      </x:c>
      <x:c r="F2953" t="str" s="2">
        <x:v>Financing Form</x:v>
      </x:c>
      <x:c r="G2953" t="str" s="2">
        <x:v>Rodrigo Ramirez</x:v>
      </x:c>
      <x:c r="H2953" s="6">
        <x:v>46220.55463564815</x:v>
      </x:c>
      <x:c r="I2953" s="0"/>
      <x:c r="J2953" s="0"/>
      <x:c r="K2953" s="6">
        <x:v>46246</x:v>
      </x:c>
      <x:c r="L2953" t="str" s="2">
        <x:v>Message Sent</x:v>
      </x:c>
    </x:row>
    <x:row r="2954">
      <x:c r="A2954" t="str" s="2">
        <x:f>="Karrie Henderson"</x:f>
      </x:c>
      <x:c r="B2954" t="str" s="2">
        <x:v>Heritage Housing of Tulsa</x:v>
      </x:c>
      <x:c r="C2954" t="str" s="2">
        <x:v/>
      </x:c>
      <x:c r="D2954" t="str" s="2">
        <x:v>7086462029</x:v>
      </x:c>
      <x:c r="E2954" t="str" s="2">
        <x:v>Kcw025@gmail.com</x:v>
      </x:c>
      <x:c r="F2954" t="str" s="2">
        <x:v>Meta Ads - Forms</x:v>
      </x:c>
      <x:c r="G2954" t="str" s="2">
        <x:v>Jenna Fransisco</x:v>
      </x:c>
      <x:c r="H2954" s="6">
        <x:v>46220.69316412037</x:v>
      </x:c>
      <x:c r="I2954" s="0"/>
      <x:c r="J2954" s="0"/>
      <x:c r="K2954" s="6">
        <x:v>46238</x:v>
      </x:c>
      <x:c r="L2954" t="str" s="2">
        <x:v>Message Sent</x:v>
      </x:c>
    </x:row>
    <x:row r="2955">
      <x:c r="A2955" t="str" s="2">
        <x:f>="René Fajardo-Benitez"</x:f>
      </x:c>
      <x:c r="B2955" t="str" s="2">
        <x:v>Heritage Housing of Tulsa</x:v>
      </x:c>
      <x:c r="C2955" t="str" s="2">
        <x:v/>
      </x:c>
      <x:c r="D2955" t="str" s="2">
        <x:v>9132497543</x:v>
      </x:c>
      <x:c r="E2955" t="str" s="2">
        <x:v>jaunfajardo25@gmail.com</x:v>
      </x:c>
      <x:c r="F2955" t="str" s="2">
        <x:v>Meta Ads - Forms</x:v>
      </x:c>
      <x:c r="G2955" t="str" s="2">
        <x:v>Jenna Fransisco</x:v>
      </x:c>
      <x:c r="H2955" s="6">
        <x:v>46220.79395663195</x:v>
      </x:c>
      <x:c r="I2955" s="0"/>
      <x:c r="J2955" s="0"/>
      <x:c r="K2955" s="6">
        <x:v>46238</x:v>
      </x:c>
      <x:c r="L2955" t="str" s="2">
        <x:v>Message Sent</x:v>
      </x:c>
    </x:row>
    <x:row r="2956">
      <x:c r="A2956" t="str" s="2">
        <x:f>="Genny Jones"</x:f>
      </x:c>
      <x:c r="B2956" t="str" s="2">
        <x:v>Heritage Housing of Greenville</x:v>
      </x:c>
      <x:c r="C2956" t="str" s="2">
        <x:v/>
      </x:c>
      <x:c r="D2956" t="str" s="2">
        <x:v>2145876841</x:v>
      </x:c>
      <x:c r="E2956" t="str" s="2">
        <x:v>genesis.946921@gmail.com</x:v>
      </x:c>
      <x:c r="F2956" t="str" s="2">
        <x:v>Meta Ads - Forms</x:v>
      </x:c>
      <x:c r="G2956" t="str" s="2">
        <x:v>Brooklynn Allen</x:v>
      </x:c>
      <x:c r="H2956" s="6">
        <x:v>46220.80493052083</x:v>
      </x:c>
      <x:c r="I2956" s="0"/>
      <x:c r="J2956" s="0"/>
      <x:c r="K2956" s="6">
        <x:v>46249</x:v>
      </x:c>
      <x:c r="L2956" t="str" s="2">
        <x:v>Message Sent</x:v>
      </x:c>
    </x:row>
    <x:row r="2957">
      <x:c r="A2957" t="str" s="2">
        <x:f>="Fred Smith"</x:f>
      </x:c>
      <x:c r="B2957" t="str" s="2">
        <x:v>Legacy Housing Corp. DBA Americasa</x:v>
      </x:c>
      <x:c r="C2957" t="str" s="2">
        <x:v/>
      </x:c>
      <x:c r="D2957" t="str" s="2">
        <x:v>4057790543</x:v>
      </x:c>
      <x:c r="E2957" t="str" s="2">
        <x:v>treyrixleben@yahoo.com</x:v>
      </x:c>
      <x:c r="F2957" t="str" s="2">
        <x:v>Financing Form</x:v>
      </x:c>
      <x:c r="G2957" t="str" s="2">
        <x:v>Jose Parada</x:v>
      </x:c>
      <x:c r="H2957" s="6">
        <x:v>46220.815011493054</x:v>
      </x:c>
      <x:c r="I2957" s="0"/>
      <x:c r="J2957" s="0"/>
      <x:c r="K2957" s="6">
        <x:v>46232</x:v>
      </x:c>
      <x:c r="L2957" t="str" s="2">
        <x:v>Message Sent</x:v>
      </x:c>
    </x:row>
    <x:row r="2958">
      <x:c r="A2958" t="str" s="2">
        <x:f>="Clara Bryant"</x:f>
      </x:c>
      <x:c r="B2958" t="str" s="2">
        <x:v>Heritage Housing of Augusta</x:v>
      </x:c>
      <x:c r="C2958" t="str" s="2">
        <x:v/>
      </x:c>
      <x:c r="D2958" t="str" s="2">
        <x:v>4708740443</x:v>
      </x:c>
      <x:c r="E2958" t="str" s="2">
        <x:v>clarabryant2015@gmail.com</x:v>
      </x:c>
      <x:c r="F2958" t="str" s="2">
        <x:v>Website</x:v>
      </x:c>
      <x:c r="G2958" t="str" s="2">
        <x:v>Jose Chavez</x:v>
      </x:c>
      <x:c r="H2958" s="6">
        <x:v>46220.85676631945</x:v>
      </x:c>
      <x:c r="I2958" s="0"/>
      <x:c r="J2958" s="0"/>
      <x:c r="K2958" s="6">
        <x:v>46274</x:v>
      </x:c>
      <x:c r="L2958" t="str" s="2">
        <x:v>Message Sent</x:v>
      </x:c>
    </x:row>
    <x:row r="2959">
      <x:c r="A2959" t="str" s="2">
        <x:f>="Lisa Haynes"</x:f>
      </x:c>
      <x:c r="B2959" t="str" s="2">
        <x:v>Heritage Housing of Asheboro</x:v>
      </x:c>
      <x:c r="C2959" t="str" s="2">
        <x:v/>
      </x:c>
      <x:c r="D2959" t="str" s="2">
        <x:v>7049071278</x:v>
      </x:c>
      <x:c r="E2959" t="str" s="2">
        <x:v>HAYNESLisa600@gmail.com</x:v>
      </x:c>
      <x:c r="F2959" t="str" s="2">
        <x:v>Meta Ads - Forms</x:v>
      </x:c>
      <x:c r="G2959" t="str" s="2">
        <x:v>Maria Lopez</x:v>
      </x:c>
      <x:c r="H2959" s="6">
        <x:v>46220.87731177083</x:v>
      </x:c>
      <x:c r="I2959" s="0"/>
      <x:c r="J2959" s="0"/>
      <x:c r="K2959" s="6">
        <x:v>46258</x:v>
      </x:c>
      <x:c r="L2959" t="str" s="2">
        <x:v>Message Sent</x:v>
      </x:c>
    </x:row>
    <x:row r="2960">
      <x:c r="A2960" t="str" s="2">
        <x:f>="Melvin Brownjr"</x:f>
      </x:c>
      <x:c r="B2960" t="str" s="2">
        <x:v>Heritage Housing Mt Pleasant</x:v>
      </x:c>
      <x:c r="C2960" t="str" s="2">
        <x:v/>
      </x:c>
      <x:c r="D2960" t="str" s="2">
        <x:v>5046152859</x:v>
      </x:c>
      <x:c r="E2960" t="str" s="2">
        <x:v>1961MelvinBrown@gmail.com</x:v>
      </x:c>
      <x:c r="F2960" t="str" s="2">
        <x:v>Meta Ads - Traffic</x:v>
      </x:c>
      <x:c r="G2960" t="str" s="2">
        <x:v>Yarelis Torres</x:v>
      </x:c>
      <x:c r="H2960" s="6">
        <x:v>46220.896849502315</x:v>
      </x:c>
      <x:c r="I2960" s="0"/>
      <x:c r="J2960" s="0"/>
      <x:c r="K2960" s="6">
        <x:v>46280</x:v>
      </x:c>
      <x:c r="L2960" t="str" s="2">
        <x:v>Message Sent</x:v>
      </x:c>
    </x:row>
    <x:row r="2961">
      <x:c r="A2961" t="str" s="2">
        <x:f>=HYPERLINK("https://rsms.futurehomex.com/lead/38582", "Rita Long")</x:f>
      </x:c>
      <x:c r="B2961" t="str" s="2">
        <x:v>Heritage Housing of Tulsa</x:v>
      </x:c>
      <x:c r="C2961" t="str" s="2">
        <x:v/>
      </x:c>
      <x:c r="D2961" t="str" s="2">
        <x:v>9186406597</x:v>
      </x:c>
      <x:c r="E2961" t="str" s="2">
        <x:v>9186406597</x:v>
      </x:c>
      <x:c r="F2961" t="str" s="2">
        <x:v>Walk-in</x:v>
      </x:c>
      <x:c r="G2961" t="str" s="2">
        <x:v>Jenna Fransisco</x:v>
      </x:c>
      <x:c r="H2961" s="6">
        <x:v>46220.916866168984</x:v>
      </x:c>
      <x:c r="I2961" t="str" s="2">
        <x:v>Jenna Fransisco</x:v>
      </x:c>
      <x:c r="J2961" s="0"/>
      <x:c r="K2961" s="6">
        <x:v>46253</x:v>
      </x:c>
      <x:c r="L2961" t="str" s="2">
        <x:v>Message Sent</x:v>
      </x:c>
    </x:row>
    <x:row r="2962">
      <x:c r="A2962" t="str" s="2">
        <x:f>="brenda jackson"</x:f>
      </x:c>
      <x:c r="B2962" t="str" s="2">
        <x:v>Heritage Housing of Athens</x:v>
      </x:c>
      <x:c r="C2962" t="str" s="2">
        <x:v/>
      </x:c>
      <x:c r="D2962" t="str" s="2">
        <x:v>7069971420</x:v>
      </x:c>
      <x:c r="E2962" t="str" s="2">
        <x:v>ilovemyselfsomeme52@gmail.com</x:v>
      </x:c>
      <x:c r="F2962" t="str" s="2">
        <x:v>Google Ads</x:v>
      </x:c>
      <x:c r="G2962" t="str" s="2">
        <x:v>Brian Amato</x:v>
      </x:c>
      <x:c r="H2962" s="6">
        <x:v>46220.93631585648</x:v>
      </x:c>
      <x:c r="I2962" s="0"/>
      <x:c r="J2962" s="0"/>
      <x:c r="K2962" s="6">
        <x:v>46233.874771759256</x:v>
      </x:c>
      <x:c r="L2962" t="str" s="2">
        <x:v>Message Sent</x:v>
      </x:c>
    </x:row>
    <x:row r="2963">
      <x:c r="A2963" t="str" s="2">
        <x:f>=HYPERLINK("https://rsms.futurehomex.com/lead/38586", "John Branson")</x:f>
      </x:c>
      <x:c r="B2963" t="str" s="2">
        <x:v>Heritage Housing Mt Pleasant</x:v>
      </x:c>
      <x:c r="C2963" t="str" s="2">
        <x:v/>
      </x:c>
      <x:c r="D2963" t="str" s="2">
        <x:v>8084317092</x:v>
      </x:c>
      <x:c r="E2963" t="str" s="2">
        <x:v>8084317092</x:v>
      </x:c>
      <x:c r="F2963" t="str" s="2">
        <x:v>Walk-in</x:v>
      </x:c>
      <x:c r="G2963" t="str" s="2">
        <x:v>Yarelis Torres</x:v>
      </x:c>
      <x:c r="H2963" s="6">
        <x:v>46220.97209390046</x:v>
      </x:c>
      <x:c r="I2963" t="str" s="2">
        <x:v>Yarelis Torres</x:v>
      </x:c>
      <x:c r="J2963" s="0"/>
      <x:c r="K2963" s="6">
        <x:v>46248</x:v>
      </x:c>
      <x:c r="L2963" t="str" s="2">
        <x:v>Message Sent</x:v>
      </x:c>
    </x:row>
    <x:row r="2964">
      <x:c r="A2964" t="str" s="2">
        <x:f>="Ashley Bodie"</x:f>
      </x:c>
      <x:c r="B2964" t="str" s="2">
        <x:v>Heritage Housing of Albany</x:v>
      </x:c>
      <x:c r="C2964" t="str" s="2">
        <x:v/>
      </x:c>
      <x:c r="D2964" t="str" s="2">
        <x:v>8034300338</x:v>
      </x:c>
      <x:c r="E2964" t="str" s="2">
        <x:v>bodie604@gmail.com</x:v>
      </x:c>
      <x:c r="F2964" t="str" s="2">
        <x:v>Financing Form</x:v>
      </x:c>
      <x:c r="G2964" t="str" s="2">
        <x:v>Yanet Alvarez</x:v>
      </x:c>
      <x:c r="H2964" s="6">
        <x:v>46220.98251501157</x:v>
      </x:c>
      <x:c r="I2964" s="0"/>
      <x:c r="J2964" s="0"/>
      <x:c r="K2964" s="6">
        <x:v>46307</x:v>
      </x:c>
      <x:c r="L2964" t="str" s="2">
        <x:v>Message Sent</x:v>
      </x:c>
    </x:row>
    <x:row r="2965">
      <x:c r="A2965" t="str" s="2">
        <x:f>="Leah Mangus"</x:f>
      </x:c>
      <x:c r="B2965" t="str" s="2">
        <x:v>Heritage Housing of Oklahoma City</x:v>
      </x:c>
      <x:c r="C2965" t="str" s="2">
        <x:v/>
      </x:c>
      <x:c r="D2965" t="str" s="2">
        <x:v>4054061446</x:v>
      </x:c>
      <x:c r="E2965" t="str" s="2">
        <x:v>leahmangus@yahoo.com</x:v>
      </x:c>
      <x:c r="F2965" t="str" s="2">
        <x:v>LandingPage</x:v>
      </x:c>
      <x:c r="G2965" t="str" s="2">
        <x:v>Steve Castell</x:v>
      </x:c>
      <x:c r="H2965" s="6">
        <x:v>46221.03538896991</x:v>
      </x:c>
      <x:c r="I2965" s="0"/>
      <x:c r="J2965" s="0"/>
      <x:c r="K2965" s="6">
        <x:v>46224</x:v>
      </x:c>
      <x:c r="L2965" t="str" s="2">
        <x:v>Message Sent</x:v>
      </x:c>
    </x:row>
    <x:row r="2966">
      <x:c r="A2966" t="str" s="2">
        <x:f>="Juan Pillot Pillot"</x:f>
      </x:c>
      <x:c r="B2966" t="str" s="2">
        <x:v>Heritage Housing of Jennings</x:v>
      </x:c>
      <x:c r="C2966" t="str" s="2">
        <x:v>0/2</x:v>
      </x:c>
      <x:c r="D2966" t="str" s="2">
        <x:v>7873400526</x:v>
      </x:c>
      <x:c r="E2966" t="str" s="2">
        <x:v>pillotarroyo@gmail.com</x:v>
      </x:c>
      <x:c r="F2966" t="str" s="2">
        <x:v>Meta Ads - Forms</x:v>
      </x:c>
      <x:c r="G2966" t="str" s="2">
        <x:v>Clint O'Neal</x:v>
      </x:c>
      <x:c r="H2966" s="6">
        <x:v>46221.03959922454</x:v>
      </x:c>
      <x:c r="I2966" s="0"/>
      <x:c r="J2966" s="0"/>
      <x:c r="K2966" s="6">
        <x:v>46288.57073186342</x:v>
      </x:c>
      <x:c r="L2966" t="str" s="2">
        <x:v>Message Sent</x:v>
      </x:c>
    </x:row>
    <x:row r="2967">
      <x:c r="A2967" t="str" s="2">
        <x:f>="Rena Jester"</x:f>
      </x:c>
      <x:c r="B2967" t="str" s="2">
        <x:v>Heritage Housing Mt Pleasant</x:v>
      </x:c>
      <x:c r="C2967" t="str" s="2">
        <x:v/>
      </x:c>
      <x:c r="D2967" t="str" s="2">
        <x:v>9032858481</x:v>
      </x:c>
      <x:c r="E2967" t="str" s="2">
        <x:v>nabug7@yahoo.com</x:v>
      </x:c>
      <x:c r="F2967" t="str" s="2">
        <x:v>Meta Ads - Forms</x:v>
      </x:c>
      <x:c r="G2967" t="str" s="2">
        <x:v>Yarelis Torres</x:v>
      </x:c>
      <x:c r="H2967" s="6">
        <x:v>46221.041433680555</x:v>
      </x:c>
      <x:c r="I2967" s="0"/>
      <x:c r="J2967" s="0"/>
      <x:c r="K2967" s="6">
        <x:v>46255</x:v>
      </x:c>
      <x:c r="L2967" t="str" s="2">
        <x:v>Message Sent</x:v>
      </x:c>
    </x:row>
    <x:row r="2968">
      <x:c r="A2968" t="str" s="2">
        <x:f>="Britney Jones"</x:f>
      </x:c>
      <x:c r="B2968" t="str" s="2">
        <x:v>Heritage Housing of Canton</x:v>
      </x:c>
      <x:c r="C2968" t="str" s="2">
        <x:v/>
      </x:c>
      <x:c r="D2968" t="str" s="2">
        <x:v>9033125458</x:v>
      </x:c>
      <x:c r="E2968" t="str" s="2">
        <x:v>britney19jones@gmail.com</x:v>
      </x:c>
      <x:c r="F2968" t="str" s="2">
        <x:v>Financing Form</x:v>
      </x:c>
      <x:c r="G2968" t="str" s="2">
        <x:v>Maira Garcia</x:v>
      </x:c>
      <x:c r="H2968" s="6">
        <x:v>46221.110944594904</x:v>
      </x:c>
      <x:c r="I2968" s="0"/>
      <x:c r="J2968" s="0"/>
      <x:c r="K2968" s="6">
        <x:v>46259</x:v>
      </x:c>
      <x:c r="L2968" t="str" s="2">
        <x:v>Message Sent</x:v>
      </x:c>
    </x:row>
    <x:row r="2969">
      <x:c r="A2969" t="str" s="2">
        <x:f>="Don Garner"</x:f>
      </x:c>
      <x:c r="B2969" t="str" s="2">
        <x:v>Heritage Housing of Tulsa</x:v>
      </x:c>
      <x:c r="C2969" t="str" s="2">
        <x:v/>
      </x:c>
      <x:c r="D2969" t="str" s="2">
        <x:v>4058755596</x:v>
      </x:c>
      <x:c r="E2969" t="str" s="2">
        <x:v>marquee.agility@yahoo.com</x:v>
      </x:c>
      <x:c r="F2969" t="str" s="2">
        <x:v>Meta Ads - Forms</x:v>
      </x:c>
      <x:c r="G2969" t="str" s="2">
        <x:v>Jenna Fransisco</x:v>
      </x:c>
      <x:c r="H2969" s="6">
        <x:v>46221.12038888889</x:v>
      </x:c>
      <x:c r="I2969" s="0"/>
      <x:c r="J2969" s="0"/>
      <x:c r="K2969" s="6">
        <x:v>46307</x:v>
      </x:c>
      <x:c r="L2969" t="str" s="2">
        <x:v>Message Sent</x:v>
      </x:c>
    </x:row>
    <x:row r="2970">
      <x:c r="A2970" t="str" s="2">
        <x:f>="Carmen Parrish"</x:f>
      </x:c>
      <x:c r="B2970" t="str" s="2">
        <x:v>Heritage Housing of Canton</x:v>
      </x:c>
      <x:c r="C2970" t="str" s="2">
        <x:v/>
      </x:c>
      <x:c r="D2970" t="str" s="2">
        <x:v>2546259322</x:v>
      </x:c>
      <x:c r="E2970" t="str" s="2">
        <x:v>30parrisherycs@gmail.com</x:v>
      </x:c>
      <x:c r="F2970" t="str" s="2">
        <x:v>Meta Ads - Forms</x:v>
      </x:c>
      <x:c r="G2970" t="str" s="2">
        <x:v>Maira Garcia</x:v>
      </x:c>
      <x:c r="H2970" s="6">
        <x:v>46221.1413275463</x:v>
      </x:c>
      <x:c r="I2970" s="0"/>
      <x:c r="J2970" s="0"/>
      <x:c r="K2970" s="6">
        <x:v>46259</x:v>
      </x:c>
      <x:c r="L2970" t="str" s="2">
        <x:v>Message Sent</x:v>
      </x:c>
    </x:row>
    <x:row r="2971">
      <x:c r="A2971" t="str" s="2">
        <x:f>="Michele Jackson"</x:f>
      </x:c>
      <x:c r="B2971" t="str" s="2">
        <x:v>Heritage Housing of Canton</x:v>
      </x:c>
      <x:c r="C2971" t="str" s="2">
        <x:v/>
      </x:c>
      <x:c r="D2971" t="str" s="2">
        <x:v>4023145191</x:v>
      </x:c>
      <x:c r="E2971" t="str" s="2">
        <x:v>jacksonmichele026@gmail.com</x:v>
      </x:c>
      <x:c r="F2971" t="str" s="2">
        <x:v>Meta Ads - Forms</x:v>
      </x:c>
      <x:c r="G2971" t="str" s="2">
        <x:v>Maira Garcia</x:v>
      </x:c>
      <x:c r="H2971" s="6">
        <x:v>46221.1421787037</x:v>
      </x:c>
      <x:c r="I2971" s="0"/>
      <x:c r="J2971" s="0"/>
      <x:c r="K2971" s="6">
        <x:v>46259</x:v>
      </x:c>
      <x:c r="L2971" t="str" s="2">
        <x:v>Message Sent</x:v>
      </x:c>
    </x:row>
    <x:row r="2972">
      <x:c r="A2972" t="str" s="2">
        <x:f>="Diane Thomas-Irwin"</x:f>
      </x:c>
      <x:c r="B2972" t="str" s="2">
        <x:v>Heritage Housing of Greenville</x:v>
      </x:c>
      <x:c r="C2972" t="str" s="2">
        <x:v>0/1</x:v>
      </x:c>
      <x:c r="D2972" t="str" s="2">
        <x:v>9033401918</x:v>
      </x:c>
      <x:c r="E2972" t="str" s="2">
        <x:v>Crystalpaul.bob@gmail.com</x:v>
      </x:c>
      <x:c r="F2972" t="str" s="2">
        <x:v>Meta Ads - Forms</x:v>
      </x:c>
      <x:c r="G2972" t="str" s="2">
        <x:v>Greg Christman</x:v>
      </x:c>
      <x:c r="H2972" s="6">
        <x:v>46221.15880135417</x:v>
      </x:c>
      <x:c r="I2972" s="0"/>
      <x:c r="J2972" s="0"/>
      <x:c r="K2972" s="6">
        <x:v>46221</x:v>
      </x:c>
      <x:c r="L2972" t="str" s="2">
        <x:v>Message Sent</x:v>
      </x:c>
    </x:row>
    <x:row r="2973">
      <x:c r="A2973" t="str" s="2">
        <x:f>="Bobby Blount"</x:f>
      </x:c>
      <x:c r="B2973" t="str" s="2">
        <x:v>Heritage Housing of Albany</x:v>
      </x:c>
      <x:c r="C2973" t="str" s="2">
        <x:v>0/2</x:v>
      </x:c>
      <x:c r="D2973" t="str" s="2">
        <x:v>4783051299</x:v>
      </x:c>
      <x:c r="E2973" t="str" s="2">
        <x:v>blountmaster@gmail.com</x:v>
      </x:c>
      <x:c r="F2973" t="str" s="2">
        <x:v>Meta Ads - Forms</x:v>
      </x:c>
      <x:c r="G2973" t="str" s="2">
        <x:v>Yanet Alvarez</x:v>
      </x:c>
      <x:c r="H2973" s="6">
        <x:v>46221.16218642361</x:v>
      </x:c>
      <x:c r="I2973" s="0"/>
      <x:c r="J2973" s="0"/>
      <x:c r="K2973" s="6">
        <x:v>46307</x:v>
      </x:c>
      <x:c r="L2973" t="str" s="2">
        <x:v>Message Sent</x:v>
      </x:c>
    </x:row>
    <x:row r="2974">
      <x:c r="A2974" t="str" s="2">
        <x:f>="Miguel Duarte"</x:f>
      </x:c>
      <x:c r="B2974" t="str" s="2">
        <x:v>Legacy Housing Corp. DBA Americasa</x:v>
      </x:c>
      <x:c r="C2974" t="str" s="2">
        <x:v/>
      </x:c>
      <x:c r="D2974" t="str" s="2">
        <x:v>3468587372</x:v>
      </x:c>
      <x:c r="E2974" t="str" s="2">
        <x:v>angelduaamg59@gmail.com</x:v>
      </x:c>
      <x:c r="F2974" t="str" s="2">
        <x:v>Meta Ads - Forms</x:v>
      </x:c>
      <x:c r="G2974" t="str" s="2">
        <x:v>Rodrigo Ramirez</x:v>
      </x:c>
      <x:c r="H2974" s="6">
        <x:v>46221.17580188657</x:v>
      </x:c>
      <x:c r="I2974" s="0"/>
      <x:c r="J2974" s="0"/>
      <x:c r="K2974" s="6">
        <x:v>46246</x:v>
      </x:c>
      <x:c r="L2974" t="str" s="2">
        <x:v>Message Sent</x:v>
      </x:c>
    </x:row>
    <x:row r="2975">
      <x:c r="A2975" t="str" s="2">
        <x:f>="Thomas Edwards"</x:f>
      </x:c>
      <x:c r="B2975" t="str" s="2">
        <x:v>Heritage Housing of Oklahoma City</x:v>
      </x:c>
      <x:c r="C2975" t="str" s="2">
        <x:v>0/1</x:v>
      </x:c>
      <x:c r="D2975" t="str" s="2">
        <x:v>5804976731</x:v>
      </x:c>
      <x:c r="E2975" t="str" s="2">
        <x:v>tle7261956@gmail.com</x:v>
      </x:c>
      <x:c r="F2975" t="str" s="2">
        <x:v>Meta Ads - Forms</x:v>
      </x:c>
      <x:c r="G2975" t="str" s="2">
        <x:v>Trey Rixleben</x:v>
      </x:c>
      <x:c r="H2975" s="6">
        <x:v>46221.18500621528</x:v>
      </x:c>
      <x:c r="I2975" s="0"/>
      <x:c r="J2975" s="0"/>
      <x:c r="K2975" s="6">
        <x:v>46221.594025578706</x:v>
      </x:c>
      <x:c r="L2975" t="str" s="2">
        <x:v>Message Sent</x:v>
      </x:c>
    </x:row>
    <x:row r="2976">
      <x:c r="A2976" t="str" s="2">
        <x:f>="Shane Cobb"</x:f>
      </x:c>
      <x:c r="B2976" t="str" s="2">
        <x:v>Heritage Housing of Asheboro</x:v>
      </x:c>
      <x:c r="C2976" t="str" s="2">
        <x:v/>
      </x:c>
      <x:c r="D2976" t="str" s="2">
        <x:v>7069618381</x:v>
      </x:c>
      <x:c r="E2976" t="str" s="2">
        <x:v>shanecobb49@gmail.com</x:v>
      </x:c>
      <x:c r="F2976" t="str" s="2">
        <x:v>Meta Ads - Forms</x:v>
      </x:c>
      <x:c r="G2976" t="str" s="2">
        <x:v>Maria Lopez</x:v>
      </x:c>
      <x:c r="H2976" s="6">
        <x:v>46221.26947380787</x:v>
      </x:c>
      <x:c r="I2976" s="0"/>
      <x:c r="J2976" s="0"/>
      <x:c r="K2976" s="6">
        <x:v>46255</x:v>
      </x:c>
      <x:c r="L2976" t="str" s="2">
        <x:v>Message Sent</x:v>
      </x:c>
    </x:row>
    <x:row r="2977">
      <x:c r="A2977" t="str" s="2">
        <x:f>="Tawanda Knight"</x:f>
      </x:c>
      <x:c r="B2977" t="str" s="2">
        <x:v>Heritage Housing of Asheboro</x:v>
      </x:c>
      <x:c r="C2977" t="str" s="2">
        <x:v/>
      </x:c>
      <x:c r="D2977" t="str" s="2">
        <x:v>2523154908</x:v>
      </x:c>
      <x:c r="E2977" t="str" s="2">
        <x:v>knight.tonya34@gmail.com</x:v>
      </x:c>
      <x:c r="F2977" t="str" s="2">
        <x:v>Website</x:v>
      </x:c>
      <x:c r="G2977" t="str" s="2">
        <x:v>Maria Lopez</x:v>
      </x:c>
      <x:c r="H2977" s="6">
        <x:v>46221.2740040162</x:v>
      </x:c>
      <x:c r="I2977" s="0"/>
      <x:c r="J2977" s="0"/>
      <x:c r="K2977" s="6">
        <x:v>46259</x:v>
      </x:c>
      <x:c r="L2977" t="str" s="2">
        <x:v>Message Sent</x:v>
      </x:c>
    </x:row>
    <x:row r="2978">
      <x:c r="A2978" t="str" s="2">
        <x:f>="Stephanie Carns"</x:f>
      </x:c>
      <x:c r="B2978" t="str" s="2">
        <x:v>Heritage Housing Gainesville</x:v>
      </x:c>
      <x:c r="C2978" t="str" s="2">
        <x:v/>
      </x:c>
      <x:c r="D2978" t="str" s="2">
        <x:v>4695542268</x:v>
      </x:c>
      <x:c r="E2978" t="str" s="2">
        <x:v>carns711@gmail.com</x:v>
      </x:c>
      <x:c r="F2978" t="str" s="2">
        <x:v>Meta Ads - Forms</x:v>
      </x:c>
      <x:c r="G2978" t="str" s="2">
        <x:v>Kelly Ford</x:v>
      </x:c>
      <x:c r="H2978" s="6">
        <x:v>46221.529196840274</x:v>
      </x:c>
      <x:c r="I2978" s="0"/>
      <x:c r="J2978" s="0"/>
      <x:c r="K2978" s="6">
        <x:v>46269</x:v>
      </x:c>
      <x:c r="L2978" t="str" s="2">
        <x:v>Message Sent</x:v>
      </x:c>
    </x:row>
    <x:row r="2979">
      <x:c r="A2979" t="str" s="2">
        <x:f>=HYPERLINK("https://rsms.futurehomex.com/lead/38592", "Ayana Melvin")</x:f>
      </x:c>
      <x:c r="B2979" t="str" s="2">
        <x:v>Legacy Housing Corp. DBA Americasa</x:v>
      </x:c>
      <x:c r="C2979" t="str" s="2">
        <x:v/>
      </x:c>
      <x:c r="D2979" t="str" s="2">
        <x:v>3466619095</x:v>
      </x:c>
      <x:c r="E2979" t="str" s="2">
        <x:v>yana.sunshine81@gmail.com</x:v>
      </x:c>
      <x:c r="F2979" t="str" s="2">
        <x:v>Website</x:v>
      </x:c>
      <x:c r="G2979" t="str" s="2">
        <x:v>Rodrigo Ramirez</x:v>
      </x:c>
      <x:c r="H2979" s="6">
        <x:v>46221.55617994213</x:v>
      </x:c>
      <x:c r="I2979" t="str" s="2">
        <x:v>Joey Marquez</x:v>
      </x:c>
      <x:c r="J2979" s="0"/>
      <x:c r="K2979" s="6">
        <x:v>46222</x:v>
      </x:c>
      <x:c r="L2979" t="str" s="2">
        <x:v>Message Sent</x:v>
      </x:c>
    </x:row>
    <x:row r="2980">
      <x:c r="A2980" t="str" s="2">
        <x:f>="Reanette Smith"</x:f>
      </x:c>
      <x:c r="B2980" t="str" s="2">
        <x:v>Heritage Housing of Augusta</x:v>
      </x:c>
      <x:c r="C2980" t="str" s="2">
        <x:v/>
      </x:c>
      <x:c r="D2980" t="str" s="2">
        <x:v>7063609744</x:v>
      </x:c>
      <x:c r="E2980" t="str" s="2">
        <x:v>reereesmith.rp@gmail.com</x:v>
      </x:c>
      <x:c r="F2980" t="str" s="2">
        <x:v>Financing Form</x:v>
      </x:c>
      <x:c r="G2980" t="str" s="2">
        <x:v>Jose Chavez</x:v>
      </x:c>
      <x:c r="H2980" s="6">
        <x:v>46221.57018973379</x:v>
      </x:c>
      <x:c r="I2980" s="0"/>
      <x:c r="J2980" s="0"/>
      <x:c r="K2980" s="6">
        <x:v>46274</x:v>
      </x:c>
      <x:c r="L2980" t="str" s="2">
        <x:v>Message Sent</x:v>
      </x:c>
    </x:row>
    <x:row r="2981">
      <x:c r="A2981" t="str" s="2">
        <x:f>=HYPERLINK("https://rsms.futurehomex.com/lead/38591", "Sherri Cooper")</x:f>
      </x:c>
      <x:c r="B2981" t="str" s="2">
        <x:v>Heritage Housing of Augusta</x:v>
      </x:c>
      <x:c r="C2981" t="str" s="2">
        <x:v>0/1</x:v>
      </x:c>
      <x:c r="D2981" t="str" s="2">
        <x:v>7622258022</x:v>
      </x:c>
      <x:c r="E2981" t="str" s="2">
        <x:v>sherricooper42@gmail.com</x:v>
      </x:c>
      <x:c r="F2981" t="str" s="2">
        <x:v>Walk-in</x:v>
      </x:c>
      <x:c r="G2981" t="str" s="2">
        <x:v>Jose Chavez</x:v>
      </x:c>
      <x:c r="H2981" s="6">
        <x:v>46221.6268877662</x:v>
      </x:c>
      <x:c r="I2981" t="str" s="2">
        <x:v>Faye Lively</x:v>
      </x:c>
      <x:c r="J2981" s="0"/>
      <x:c r="K2981" s="6">
        <x:v>46246.61304768518</x:v>
      </x:c>
      <x:c r="L2981" t="str" s="2">
        <x:v>Message Sent</x:v>
      </x:c>
    </x:row>
    <x:row r="2982">
      <x:c r="A2982" t="str" s="2">
        <x:f>="Jerome Simmons"</x:f>
      </x:c>
      <x:c r="B2982" t="str" s="2">
        <x:v>Heritage Housing of Asheboro</x:v>
      </x:c>
      <x:c r="C2982" t="str" s="2">
        <x:v/>
      </x:c>
      <x:c r="D2982" t="str" s="2">
        <x:v>2529333585</x:v>
      </x:c>
      <x:c r="E2982" t="str" s="2">
        <x:v>simmonsjerome896@gmail.com</x:v>
      </x:c>
      <x:c r="F2982" t="str" s="2">
        <x:v>Meta Ads - Forms</x:v>
      </x:c>
      <x:c r="G2982" t="str" s="2">
        <x:v>Maria Lopez</x:v>
      </x:c>
      <x:c r="H2982" s="6">
        <x:v>46221.6552431713</x:v>
      </x:c>
      <x:c r="I2982" s="0"/>
      <x:c r="J2982" s="0"/>
      <x:c r="K2982" s="6">
        <x:v>46259</x:v>
      </x:c>
      <x:c r="L2982" t="str" s="2">
        <x:v>Message Sent</x:v>
      </x:c>
    </x:row>
    <x:row r="2983">
      <x:c r="A2983" t="str" s="2">
        <x:f>="Juan Ortiz"</x:f>
      </x:c>
      <x:c r="B2983" t="str" s="2">
        <x:v>Heritage Housing of Canton</x:v>
      </x:c>
      <x:c r="C2983" t="str" s="2">
        <x:v/>
      </x:c>
      <x:c r="D2983" t="str" s="2">
        <x:v>6822993836</x:v>
      </x:c>
      <x:c r="E2983" t="str" s="2">
        <x:v>ortizalma918@gmail.com</x:v>
      </x:c>
      <x:c r="F2983" t="str" s="2">
        <x:v>Meta Ads - Forms</x:v>
      </x:c>
      <x:c r="G2983" t="str" s="2">
        <x:v>Maira Garcia</x:v>
      </x:c>
      <x:c r="H2983" s="6">
        <x:v>46221.656452662035</x:v>
      </x:c>
      <x:c r="I2983" s="0"/>
      <x:c r="J2983" s="0"/>
      <x:c r="K2983" s="6">
        <x:v>46259</x:v>
      </x:c>
      <x:c r="L2983" t="str" s="2">
        <x:v>Message Sent</x:v>
      </x:c>
    </x:row>
    <x:row r="2984">
      <x:c r="A2984" t="str" s="2">
        <x:f>="Nancy Peters"</x:f>
      </x:c>
      <x:c r="B2984" t="str" s="2">
        <x:v>Heritage Housing of Tulsa</x:v>
      </x:c>
      <x:c r="C2984" t="str" s="2">
        <x:v/>
      </x:c>
      <x:c r="D2984" t="str" s="2">
        <x:v>916-871-0583</x:v>
      </x:c>
      <x:c r="E2984" t="str" s="2">
        <x:v>nancy_peters13@yahoo.com</x:v>
      </x:c>
      <x:c r="F2984" t="str" s="2">
        <x:v>Website</x:v>
      </x:c>
      <x:c r="G2984" t="str" s="2">
        <x:v>Jenna Fransisco</x:v>
      </x:c>
      <x:c r="H2984" s="6">
        <x:v>46221.672796956016</x:v>
      </x:c>
      <x:c r="I2984" s="0"/>
      <x:c r="J2984" s="0"/>
      <x:c r="K2984" s="6">
        <x:v>46245</x:v>
      </x:c>
      <x:c r="L2984" t="str" s="2">
        <x:v>Message Sent</x:v>
      </x:c>
    </x:row>
    <x:row r="2985">
      <x:c r="A2985" t="str" s="2">
        <x:f>=HYPERLINK("https://rsms.futurehomex.com/lead/38598", "Tessa Tollett")</x:f>
      </x:c>
      <x:c r="B2985" t="str" s="2">
        <x:v>Heritage Housing of Oklahoma City</x:v>
      </x:c>
      <x:c r="C2985" t="str" s="2">
        <x:v/>
      </x:c>
      <x:c r="D2985" t="str" s="2">
        <x:v>8702790484</x:v>
      </x:c>
      <x:c r="E2985" t="str" s="2">
        <x:v>8702790484</x:v>
      </x:c>
      <x:c r="F2985" t="str" s="2">
        <x:v>Facebook Messenger</x:v>
      </x:c>
      <x:c r="G2985" t="str" s="2">
        <x:v>Steve Castell</x:v>
      </x:c>
      <x:c r="H2985" s="6">
        <x:v>46221.72472048611</x:v>
      </x:c>
      <x:c r="I2985" t="str" s="2">
        <x:v>Steve Castell</x:v>
      </x:c>
      <x:c r="J2985" s="0"/>
      <x:c r="K2985" s="6">
        <x:v>46231</x:v>
      </x:c>
      <x:c r="L2985" t="str" s="2">
        <x:v>Message Sent</x:v>
      </x:c>
    </x:row>
    <x:row r="2986">
      <x:c r="A2986" t="str" s="2">
        <x:f>=HYPERLINK("https://rsms.futurehomex.com/lead/38622", "Ana Lopez")</x:f>
      </x:c>
      <x:c r="B2986" t="str" s="2">
        <x:v>Legacy Housing Corp. DBA Americasa</x:v>
      </x:c>
      <x:c r="C2986" t="str" s="2">
        <x:v/>
      </x:c>
      <x:c r="D2986" t="str" s="2">
        <x:v>3462130273</x:v>
      </x:c>
      <x:c r="E2986" t="str" s="2">
        <x:v>3462130273</x:v>
      </x:c>
      <x:c r="F2986" t="str" s="2">
        <x:v>Meta Marketplace</x:v>
      </x:c>
      <x:c r="G2986" t="str" s="2">
        <x:v>Angelica Mendoza </x:v>
      </x:c>
      <x:c r="H2986" s="6">
        <x:v>46221.744264849534</x:v>
      </x:c>
      <x:c r="I2986" t="str" s="2">
        <x:v>Joey Marquez</x:v>
      </x:c>
      <x:c r="J2986" s="6">
        <x:v>46221.833333333336</x:v>
      </x:c>
      <x:c r="K2986" s="6">
        <x:v>46287</x:v>
      </x:c>
      <x:c r="L2986" t="str" s="2">
        <x:v>Message Sent</x:v>
      </x:c>
    </x:row>
    <x:row r="2987">
      <x:c r="A2987" t="str" s="2">
        <x:f>=HYPERLINK("https://rsms.futurehomex.com/lead/38967", "Hector Hernandez")</x:f>
      </x:c>
      <x:c r="B2987" t="str" s="2">
        <x:v>Legacy Housing Corp. DBA Americasa</x:v>
      </x:c>
      <x:c r="C2987" t="str" s="2">
        <x:v/>
      </x:c>
      <x:c r="D2987" t="str" s="2">
        <x:v>3467685887</x:v>
      </x:c>
      <x:c r="E2987" t="str" s="2">
        <x:v>73hhernandez73@gmail.com</x:v>
      </x:c>
      <x:c r="F2987" t="str" s="2">
        <x:v>Google Ads</x:v>
      </x:c>
      <x:c r="G2987" t="str" s="2">
        <x:v>Jose Parada</x:v>
      </x:c>
      <x:c r="H2987" s="6">
        <x:v>46221.77424961806</x:v>
      </x:c>
      <x:c r="I2987" t="str" s="2">
        <x:v>Rodrigo Ramirez</x:v>
      </x:c>
      <x:c r="J2987" s="0"/>
      <x:c r="K2987" s="6">
        <x:v>46238</x:v>
      </x:c>
      <x:c r="L2987" t="str" s="2">
        <x:v>Message Sent</x:v>
      </x:c>
    </x:row>
    <x:row r="2988">
      <x:c r="A2988" t="str" s="2">
        <x:f>="Doran Goston"</x:f>
      </x:c>
      <x:c r="B2988" t="str" s="2">
        <x:v>Legacy Housing Corp. DBA Americasa</x:v>
      </x:c>
      <x:c r="C2988" t="str" s="2">
        <x:v/>
      </x:c>
      <x:c r="D2988" t="str" s="2">
        <x:v>2816089763</x:v>
      </x:c>
      <x:c r="E2988" t="str" s="2">
        <x:v>dagallen45@live.com</x:v>
      </x:c>
      <x:c r="F2988" t="str" s="2">
        <x:v>Financing Form</x:v>
      </x:c>
      <x:c r="G2988" t="str" s="2">
        <x:v>Rodrigo Ramirez</x:v>
      </x:c>
      <x:c r="H2988" s="6">
        <x:v>46221.838352893516</x:v>
      </x:c>
      <x:c r="I2988" s="0"/>
      <x:c r="J2988" s="0"/>
      <x:c r="K2988" s="6">
        <x:v>46246</x:v>
      </x:c>
      <x:c r="L2988" t="str" s="2">
        <x:v>Message Sent</x:v>
      </x:c>
    </x:row>
    <x:row r="2989">
      <x:c r="A2989" t="str" s="2">
        <x:f>="Averi Simpson"</x:f>
      </x:c>
      <x:c r="B2989" t="str" s="2">
        <x:v>Heritage Housing of Tulsa</x:v>
      </x:c>
      <x:c r="C2989" t="str" s="2">
        <x:v/>
      </x:c>
      <x:c r="D2989" t="str" s="2">
        <x:v>5392517051</x:v>
      </x:c>
      <x:c r="E2989" t="str" s="2">
        <x:v>averisimpson11@gmail.com</x:v>
      </x:c>
      <x:c r="F2989" t="str" s="2">
        <x:v>LandingPage</x:v>
      </x:c>
      <x:c r="G2989" t="str" s="2">
        <x:v>Jenna Fransisco</x:v>
      </x:c>
      <x:c r="H2989" s="6">
        <x:v>46221.85208001157</x:v>
      </x:c>
      <x:c r="I2989" s="0"/>
      <x:c r="J2989" s="0"/>
      <x:c r="K2989" s="6">
        <x:v>46245</x:v>
      </x:c>
      <x:c r="L2989" t="str" s="2">
        <x:v>Message Sent</x:v>
      </x:c>
    </x:row>
    <x:row r="2990">
      <x:c r="A2990" t="str" s="2">
        <x:f>="Javen Glenn"</x:f>
      </x:c>
      <x:c r="B2990" t="str" s="2">
        <x:v>Heritage Housing of Augusta</x:v>
      </x:c>
      <x:c r="C2990" t="str" s="2">
        <x:v/>
      </x:c>
      <x:c r="D2990" t="str" s="2">
        <x:v>8036293114</x:v>
      </x:c>
      <x:c r="E2990" t="str" s="2">
        <x:v>javenglenn36@yahoo.com</x:v>
      </x:c>
      <x:c r="F2990" t="str" s="2">
        <x:v>Financing Form</x:v>
      </x:c>
      <x:c r="G2990" t="str" s="2">
        <x:v>Faye Lively</x:v>
      </x:c>
      <x:c r="H2990" s="6">
        <x:v>46221.85771736111</x:v>
      </x:c>
      <x:c r="I2990" s="0"/>
      <x:c r="J2990" s="0"/>
      <x:c r="K2990" s="6">
        <x:v>46273</x:v>
      </x:c>
      <x:c r="L2990" t="str" s="2">
        <x:v>Message Sent</x:v>
      </x:c>
    </x:row>
    <x:row r="2991">
      <x:c r="A2991" t="str" s="2">
        <x:f>="Crestina segovia"</x:f>
      </x:c>
      <x:c r="B2991" t="str" s="2">
        <x:v>Heritage Housing of Oklahoma City</x:v>
      </x:c>
      <x:c r="C2991" t="str" s="2">
        <x:v>0/1</x:v>
      </x:c>
      <x:c r="D2991" t="str" s="2">
        <x:v>3163399275</x:v>
      </x:c>
      <x:c r="E2991" t="str" s="2">
        <x:v>cresegoviaaguilar@gmail.com</x:v>
      </x:c>
      <x:c r="F2991" t="str" s="2">
        <x:v>Financing Form</x:v>
      </x:c>
      <x:c r="G2991" t="str" s="2">
        <x:v>Trey Rixleben</x:v>
      </x:c>
      <x:c r="H2991" s="6">
        <x:v>46221.859101469905</x:v>
      </x:c>
      <x:c r="I2991" s="0"/>
      <x:c r="J2991" s="0"/>
      <x:c r="K2991" s="6">
        <x:v>46223.59959626157</x:v>
      </x:c>
      <x:c r="L2991" t="str" s="2">
        <x:v>Message Sent</x:v>
      </x:c>
    </x:row>
    <x:row r="2992">
      <x:c r="A2992" t="str" s="2">
        <x:f>="Scherlanda Spivey Spivey"</x:f>
      </x:c>
      <x:c r="B2992" t="str" s="2">
        <x:v>Heritage Housing of Asheboro</x:v>
      </x:c>
      <x:c r="C2992" t="str" s="2">
        <x:v/>
      </x:c>
      <x:c r="D2992" t="str" s="2">
        <x:v>4048198801</x:v>
      </x:c>
      <x:c r="E2992" t="str" s="2">
        <x:v>scherlanda66@yahoo.com</x:v>
      </x:c>
      <x:c r="F2992" t="str" s="2">
        <x:v>Website</x:v>
      </x:c>
      <x:c r="G2992" t="str" s="2">
        <x:v>Maria Lopez</x:v>
      </x:c>
      <x:c r="H2992" s="6">
        <x:v>46221.870085104165</x:v>
      </x:c>
      <x:c r="I2992" s="0"/>
      <x:c r="J2992" s="0"/>
      <x:c r="K2992" s="6">
        <x:v>46259</x:v>
      </x:c>
      <x:c r="L2992" t="str" s="2">
        <x:v>Message Sent</x:v>
      </x:c>
    </x:row>
    <x:row r="2993">
      <x:c r="A2993" t="str" s="2">
        <x:f>="Jacob Anguiano"</x:f>
      </x:c>
      <x:c r="B2993" t="str" s="2">
        <x:v>Legacy Housing Corp. DBA Americasa</x:v>
      </x:c>
      <x:c r="C2993" t="str" s="2">
        <x:v/>
      </x:c>
      <x:c r="D2993" t="str" s="2">
        <x:v>3467838923</x:v>
      </x:c>
      <x:c r="E2993" t="str" s="2">
        <x:v>jacob.anguiano52@gmail.com</x:v>
      </x:c>
      <x:c r="F2993" t="str" s="2">
        <x:v>Financing Form</x:v>
      </x:c>
      <x:c r="G2993" t="str" s="2">
        <x:v>Rodrigo Ramirez</x:v>
      </x:c>
      <x:c r="H2993" s="6">
        <x:v>46221.940991979165</x:v>
      </x:c>
      <x:c r="I2993" s="0"/>
      <x:c r="J2993" s="0"/>
      <x:c r="K2993" s="6">
        <x:v>46223</x:v>
      </x:c>
      <x:c r="L2993" t="str" s="2">
        <x:v>Message Sent</x:v>
      </x:c>
    </x:row>
    <x:row r="2994">
      <x:c r="A2994" t="str" s="2">
        <x:f>="Benji Redmon"</x:f>
      </x:c>
      <x:c r="B2994" t="str" s="2">
        <x:v>Heritage Housing of Asheboro</x:v>
      </x:c>
      <x:c r="C2994" t="str" s="2">
        <x:v/>
      </x:c>
      <x:c r="D2994" t="str" s="2">
        <x:v>9805246187</x:v>
      </x:c>
      <x:c r="E2994" t="str" s="2">
        <x:v>benjiredmon5@gmail.com</x:v>
      </x:c>
      <x:c r="F2994" t="str" s="2">
        <x:v>Meta Ads - Forms</x:v>
      </x:c>
      <x:c r="G2994" t="str" s="2">
        <x:v>Maria Lopez</x:v>
      </x:c>
      <x:c r="H2994" s="6">
        <x:v>46221.96063136574</x:v>
      </x:c>
      <x:c r="I2994" s="0"/>
      <x:c r="J2994" s="0"/>
      <x:c r="K2994" s="6">
        <x:v>46256</x:v>
      </x:c>
      <x:c r="L2994" t="str" s="2">
        <x:v>Message Sent</x:v>
      </x:c>
    </x:row>
    <x:row r="2995">
      <x:c r="A2995" t="str" s="2">
        <x:f>="Jaleesa Davis"</x:f>
      </x:c>
      <x:c r="B2995" t="str" s="2">
        <x:v>Heritage Housing of Asheboro</x:v>
      </x:c>
      <x:c r="C2995" t="str" s="2">
        <x:v>0/1</x:v>
      </x:c>
      <x:c r="D2995" t="str" s="2">
        <x:v>4406916414</x:v>
      </x:c>
      <x:c r="E2995" t="str" s="2">
        <x:v>jaleesa.davis68@gmail.com</x:v>
      </x:c>
      <x:c r="F2995" t="str" s="2">
        <x:v>Meta Ads - Traffic</x:v>
      </x:c>
      <x:c r="G2995" t="str" s="2">
        <x:v>Maria Lopez</x:v>
      </x:c>
      <x:c r="H2995" s="6">
        <x:v>46222.02382986111</x:v>
      </x:c>
      <x:c r="I2995" s="0"/>
      <x:c r="J2995" s="0"/>
      <x:c r="K2995" s="6">
        <x:v>46258</x:v>
      </x:c>
      <x:c r="L2995" t="str" s="2">
        <x:v>Message Sent</x:v>
      </x:c>
    </x:row>
    <x:row r="2996">
      <x:c r="A2996" t="str" s="2">
        <x:f>="Ebony Price"</x:f>
      </x:c>
      <x:c r="B2996" t="str" s="2">
        <x:v>Heritage Housing of Jennings</x:v>
      </x:c>
      <x:c r="C2996" t="str" s="2">
        <x:v>0/3</x:v>
      </x:c>
      <x:c r="D2996" t="str" s="2">
        <x:v>3373449599</x:v>
      </x:c>
      <x:c r="E2996" t="str" s="2">
        <x:v>ebbyprice@icloud.com</x:v>
      </x:c>
      <x:c r="F2996" t="str" s="2">
        <x:v>Financing Form</x:v>
      </x:c>
      <x:c r="G2996" t="str" s="2">
        <x:v>Clint O'Neal</x:v>
      </x:c>
      <x:c r="H2996" s="6">
        <x:v>46222.1066315162</x:v>
      </x:c>
      <x:c r="I2996" s="0"/>
      <x:c r="J2996" s="0"/>
      <x:c r="K2996" s="6">
        <x:v>46288</x:v>
      </x:c>
      <x:c r="L2996" t="str" s="2">
        <x:v>Message Sent</x:v>
      </x:c>
    </x:row>
    <x:row r="2997">
      <x:c r="A2997" t="str" s="2">
        <x:f>="Kandace Norton"</x:f>
      </x:c>
      <x:c r="B2997" t="str" s="2">
        <x:v>Heritage Housing of Albany</x:v>
      </x:c>
      <x:c r="C2997" t="str" s="2">
        <x:v>0/3</x:v>
      </x:c>
      <x:c r="D2997" t="str" s="2">
        <x:v>3345797209</x:v>
      </x:c>
      <x:c r="E2997" t="str" s="2">
        <x:v>madisynchanel13@gmail.com</x:v>
      </x:c>
      <x:c r="F2997" t="str" s="2">
        <x:v>Google Ads</x:v>
      </x:c>
      <x:c r="G2997" t="str" s="2">
        <x:v>Yanet Alvarez</x:v>
      </x:c>
      <x:c r="H2997" s="6">
        <x:v>46222.11532164352</x:v>
      </x:c>
      <x:c r="I2997" s="0"/>
      <x:c r="J2997" s="0"/>
      <x:c r="K2997" s="6">
        <x:v>46307</x:v>
      </x:c>
      <x:c r="L2997" t="str" s="2">
        <x:v>Message Sent</x:v>
      </x:c>
    </x:row>
    <x:row r="2998">
      <x:c r="A2998" t="str" s="2">
        <x:f>="Alma Soriano"</x:f>
      </x:c>
      <x:c r="B2998" t="str" s="2">
        <x:v>Legacy Housing Corp. DBA Americasa</x:v>
      </x:c>
      <x:c r="C2998" t="str" s="2">
        <x:v/>
      </x:c>
      <x:c r="D2998" t="str" s="2">
        <x:v>8322161220</x:v>
      </x:c>
      <x:c r="E2998" t="str" s="2">
        <x:v>alma.soriano0678@gmail.com</x:v>
      </x:c>
      <x:c r="F2998" t="str" s="2">
        <x:v>Meta Ads - Forms</x:v>
      </x:c>
      <x:c r="G2998" t="str" s="2">
        <x:v>Jose Parada</x:v>
      </x:c>
      <x:c r="H2998" s="6">
        <x:v>46222.20624961806</x:v>
      </x:c>
      <x:c r="I2998" s="0"/>
      <x:c r="J2998" s="0"/>
      <x:c r="K2998" s="6">
        <x:v>46232</x:v>
      </x:c>
      <x:c r="L2998" t="str" s="2">
        <x:v>Message Sent</x:v>
      </x:c>
    </x:row>
    <x:row r="2999">
      <x:c r="A2999" t="str" s="2">
        <x:f>="Sabrina Williams"</x:f>
      </x:c>
      <x:c r="B2999" t="str" s="2">
        <x:v>Heritage Housing of Albany</x:v>
      </x:c>
      <x:c r="C2999" t="str" s="2">
        <x:v/>
      </x:c>
      <x:c r="D2999" t="str" s="2">
        <x:v>7707702779</x:v>
      </x:c>
      <x:c r="E2999" t="str" s="2">
        <x:v>sabrina.williams16@icloud.com</x:v>
      </x:c>
      <x:c r="F2999" t="str" s="2">
        <x:v>Meta Ads - Traffic</x:v>
      </x:c>
      <x:c r="G2999" t="str" s="2">
        <x:v>Yanet Alvarez</x:v>
      </x:c>
      <x:c r="H2999" s="6">
        <x:v>46222.56736716435</x:v>
      </x:c>
      <x:c r="I2999" s="0"/>
      <x:c r="J2999" s="0"/>
      <x:c r="K2999" s="6">
        <x:v>46307</x:v>
      </x:c>
      <x:c r="L2999" t="str" s="2">
        <x:v>Message Sent</x:v>
      </x:c>
    </x:row>
    <x:row r="3000">
      <x:c r="A3000" t="str" s="2">
        <x:f>="Nina Schlab"</x:f>
      </x:c>
      <x:c r="B3000" t="str" s="2">
        <x:v>Legacy Housing Corp. DBA Americasa</x:v>
      </x:c>
      <x:c r="C3000" t="str" s="2">
        <x:v/>
      </x:c>
      <x:c r="D3000" t="str" s="2">
        <x:v>9792009558</x:v>
      </x:c>
      <x:c r="E3000" t="str" s="2">
        <x:v>nannerdee57@gmail.com</x:v>
      </x:c>
      <x:c r="F3000" t="str" s="2">
        <x:v>Financing Form</x:v>
      </x:c>
      <x:c r="G3000" t="str" s="2">
        <x:v>Jose Parada</x:v>
      </x:c>
      <x:c r="H3000" s="6">
        <x:v>46222.58863480324</x:v>
      </x:c>
      <x:c r="I3000" s="0"/>
      <x:c r="J3000" s="0"/>
      <x:c r="K3000" s="6">
        <x:v>46232</x:v>
      </x:c>
      <x:c r="L3000" t="str" s="2">
        <x:v>Message Sent</x:v>
      </x:c>
    </x:row>
    <x:row r="3001">
      <x:c r="A3001" t="str" s="2">
        <x:f>="George Evans"</x:f>
      </x:c>
      <x:c r="B3001" t="str" s="2">
        <x:v>Heritage Housing of Augusta</x:v>
      </x:c>
      <x:c r="C3001" t="str" s="2">
        <x:v/>
      </x:c>
      <x:c r="D3001" t="str" s="2">
        <x:v>7602343039</x:v>
      </x:c>
      <x:c r="E3001" t="str" s="2">
        <x:v>gevansll74@gmail.com</x:v>
      </x:c>
      <x:c r="F3001" t="str" s="2">
        <x:v>Website</x:v>
      </x:c>
      <x:c r="G3001" t="str" s="2">
        <x:v>Faye Lively</x:v>
      </x:c>
      <x:c r="H3001" s="6">
        <x:v>46222.64043329861</x:v>
      </x:c>
      <x:c r="I3001" s="0"/>
      <x:c r="J3001" s="0"/>
      <x:c r="K3001" s="6">
        <x:v>46273</x:v>
      </x:c>
      <x:c r="L3001" t="str" s="2">
        <x:v>Message Sent</x:v>
      </x:c>
    </x:row>
    <x:row r="3002">
      <x:c r="A3002" t="str" s="2">
        <x:f>="Autum Stewart"</x:f>
      </x:c>
      <x:c r="B3002" t="str" s="2">
        <x:v>Heritage Housing of Canton</x:v>
      </x:c>
      <x:c r="C3002" t="str" s="2">
        <x:v/>
      </x:c>
      <x:c r="D3002" t="str" s="2">
        <x:v>6824843186</x:v>
      </x:c>
      <x:c r="E3002" t="str" s="2">
        <x:v>autumstewart456@gmail.com</x:v>
      </x:c>
      <x:c r="F3002" t="str" s="2">
        <x:v>Meta Ads - Forms</x:v>
      </x:c>
      <x:c r="G3002" t="str" s="2">
        <x:v>Maira Garcia</x:v>
      </x:c>
      <x:c r="H3002" s="6">
        <x:v>46222.6435909375</x:v>
      </x:c>
      <x:c r="I3002" s="0"/>
      <x:c r="J3002" s="0"/>
      <x:c r="K3002" s="6">
        <x:v>46259</x:v>
      </x:c>
      <x:c r="L3002" t="str" s="2">
        <x:v>Message Sent</x:v>
      </x:c>
    </x:row>
    <x:row r="3003">
      <x:c r="A3003" t="str" s="2">
        <x:f>="Lucille Crain"</x:f>
      </x:c>
      <x:c r="B3003" t="str" s="2">
        <x:v>Heritage Housing of Augusta</x:v>
      </x:c>
      <x:c r="C3003" t="str" s="2">
        <x:v/>
      </x:c>
      <x:c r="D3003" t="str" s="2">
        <x:v>9128010968</x:v>
      </x:c>
      <x:c r="E3003" t="str" s="2">
        <x:v>lucille_crain@yahoo.com</x:v>
      </x:c>
      <x:c r="F3003" t="str" s="2">
        <x:v>Financing Form</x:v>
      </x:c>
      <x:c r="G3003" t="str" s="2">
        <x:v>Faye Lively</x:v>
      </x:c>
      <x:c r="H3003" s="6">
        <x:v>46222.66768128472</x:v>
      </x:c>
      <x:c r="I3003" s="0"/>
      <x:c r="J3003" s="0"/>
      <x:c r="K3003" s="6">
        <x:v>46274</x:v>
      </x:c>
      <x:c r="L3003" t="str" s="2">
        <x:v>Message Sent</x:v>
      </x:c>
    </x:row>
    <x:row r="3004">
      <x:c r="A3004" t="str" s="2">
        <x:f>="Melissa Mounts"</x:f>
      </x:c>
      <x:c r="B3004" t="str" s="2">
        <x:v>Heritage Housing of Asheboro</x:v>
      </x:c>
      <x:c r="C3004" t="str" s="2">
        <x:v/>
      </x:c>
      <x:c r="D3004" t="str" s="2">
        <x:v>3364609378</x:v>
      </x:c>
      <x:c r="E3004" t="str" s="2">
        <x:v>mjmounts1969@gmail.com</x:v>
      </x:c>
      <x:c r="F3004" t="str" s="2">
        <x:v>Meta Ads - Forms</x:v>
      </x:c>
      <x:c r="G3004" t="str" s="2">
        <x:v>Maria Lopez</x:v>
      </x:c>
      <x:c r="H3004" s="6">
        <x:v>46222.69566466435</x:v>
      </x:c>
      <x:c r="I3004" s="0"/>
      <x:c r="J3004" s="0"/>
      <x:c r="K3004" s="6">
        <x:v>46258</x:v>
      </x:c>
      <x:c r="L3004" t="str" s="2">
        <x:v>Message Sent</x:v>
      </x:c>
    </x:row>
    <x:row r="3005">
      <x:c r="A3005" t="str" s="2">
        <x:f>="Cheyenne Garner"</x:f>
      </x:c>
      <x:c r="B3005" t="str" s="2">
        <x:v>Heritage Housing of Albany</x:v>
      </x:c>
      <x:c r="C3005" t="str" s="2">
        <x:v/>
      </x:c>
      <x:c r="D3005" t="str" s="2">
        <x:v>5806704377</x:v>
      </x:c>
      <x:c r="E3005" t="str" s="2">
        <x:v>cheyenne97garner@gmail.com</x:v>
      </x:c>
      <x:c r="F3005" t="str" s="2">
        <x:v>Financing Form</x:v>
      </x:c>
      <x:c r="G3005" t="str" s="2">
        <x:v>Yanet Alvarez</x:v>
      </x:c>
      <x:c r="H3005" s="6">
        <x:v>46222.69605795139</x:v>
      </x:c>
      <x:c r="I3005" s="0"/>
      <x:c r="J3005" s="0"/>
      <x:c r="K3005" s="6">
        <x:v>46307</x:v>
      </x:c>
      <x:c r="L3005" t="str" s="2">
        <x:v>Message Sent</x:v>
      </x:c>
    </x:row>
    <x:row r="3006">
      <x:c r="A3006" t="str" s="2">
        <x:f>="Scarlet Keener"</x:f>
      </x:c>
      <x:c r="B3006" t="str" s="2">
        <x:v>Heritage Housing of Asheboro</x:v>
      </x:c>
      <x:c r="C3006" t="str" s="2">
        <x:v/>
      </x:c>
      <x:c r="D3006" t="str" s="2">
        <x:v>3369372981</x:v>
      </x:c>
      <x:c r="E3006" t="str" s="2">
        <x:v>scarletkeener@gmail.com</x:v>
      </x:c>
      <x:c r="F3006" t="str" s="2">
        <x:v>Meta Ads - Forms</x:v>
      </x:c>
      <x:c r="G3006" t="str" s="2">
        <x:v>Maria Lopez</x:v>
      </x:c>
      <x:c r="H3006" s="6">
        <x:v>46222.70509181713</x:v>
      </x:c>
      <x:c r="I3006" s="0"/>
      <x:c r="J3006" s="0"/>
      <x:c r="K3006" s="6">
        <x:v>46261</x:v>
      </x:c>
      <x:c r="L3006" t="str" s="2">
        <x:v>Message Sent</x:v>
      </x:c>
    </x:row>
    <x:row r="3007">
      <x:c r="A3007" t="str" s="2">
        <x:f>="Marcial Levin"</x:f>
      </x:c>
      <x:c r="B3007" t="str" s="2">
        <x:v>Heritage Housing of Canton</x:v>
      </x:c>
      <x:c r="C3007" t="str" s="2">
        <x:v/>
      </x:c>
      <x:c r="D3007" t="str" s="2">
        <x:v>3522314737</x:v>
      </x:c>
      <x:c r="E3007" t="str" s="2">
        <x:v>catchyourmiracle@gmail.com</x:v>
      </x:c>
      <x:c r="F3007" t="str" s="2">
        <x:v>Website</x:v>
      </x:c>
      <x:c r="G3007" t="str" s="2">
        <x:v>Maira Garcia</x:v>
      </x:c>
      <x:c r="H3007" s="6">
        <x:v>46222.73869945602</x:v>
      </x:c>
      <x:c r="I3007" s="0"/>
      <x:c r="J3007" s="0"/>
      <x:c r="K3007" s="6">
        <x:v>46259</x:v>
      </x:c>
      <x:c r="L3007" t="str" s="2">
        <x:v>Message Sent</x:v>
      </x:c>
    </x:row>
    <x:row r="3008">
      <x:c r="A3008" t="str" s="2">
        <x:f>="Kori Cisneros"</x:f>
      </x:c>
      <x:c r="B3008" t="str" s="2">
        <x:v>Legacy Housing Corp. DBA Americasa</x:v>
      </x:c>
      <x:c r="C3008" t="str" s="2">
        <x:v/>
      </x:c>
      <x:c r="D3008" t="str" s="2">
        <x:v>8323446121</x:v>
      </x:c>
      <x:c r="E3008" t="str" s="2">
        <x:v>Kcisneros281@gmail.com</x:v>
      </x:c>
      <x:c r="F3008" t="str" s="2">
        <x:v>Financing Form</x:v>
      </x:c>
      <x:c r="G3008" t="str" s="2">
        <x:v>Jose Parada</x:v>
      </x:c>
      <x:c r="H3008" s="6">
        <x:v>46222.77766744213</x:v>
      </x:c>
      <x:c r="I3008" s="0"/>
      <x:c r="J3008" s="0"/>
      <x:c r="K3008" s="6">
        <x:v>46232</x:v>
      </x:c>
      <x:c r="L3008" t="str" s="2">
        <x:v>Message Sent</x:v>
      </x:c>
    </x:row>
    <x:row r="3009">
      <x:c r="A3009" t="str" s="2">
        <x:f>="Breanna Johnson"</x:f>
      </x:c>
      <x:c r="B3009" t="str" s="2">
        <x:v>Heritage Housing of Albany</x:v>
      </x:c>
      <x:c r="C3009" t="str" s="2">
        <x:v/>
      </x:c>
      <x:c r="D3009" t="str" s="2">
        <x:v>5722461324</x:v>
      </x:c>
      <x:c r="E3009" t="str" s="2">
        <x:v>johnsonbreanna776@gmail.com</x:v>
      </x:c>
      <x:c r="F3009" t="str" s="2">
        <x:v>Financing Form</x:v>
      </x:c>
      <x:c r="G3009" t="str" s="2">
        <x:v>Yanet Alvarez</x:v>
      </x:c>
      <x:c r="H3009" s="6">
        <x:v>46222.82685385417</x:v>
      </x:c>
      <x:c r="I3009" s="0"/>
      <x:c r="J3009" s="0"/>
      <x:c r="K3009" s="6">
        <x:v>46307</x:v>
      </x:c>
      <x:c r="L3009" t="str" s="2">
        <x:v>Message Sent</x:v>
      </x:c>
    </x:row>
    <x:row r="3010">
      <x:c r="A3010" t="str" s="2">
        <x:f>="sedona carter"</x:f>
      </x:c>
      <x:c r="B3010" t="str" s="2">
        <x:v>Legacy Housing Corp. DBA Americasa</x:v>
      </x:c>
      <x:c r="C3010" t="str" s="2">
        <x:v/>
      </x:c>
      <x:c r="D3010" t="str" s="2">
        <x:v>9365226120</x:v>
      </x:c>
      <x:c r="E3010" t="str" s="2">
        <x:v>montesmommy1018@gmail.com</x:v>
      </x:c>
      <x:c r="F3010" t="str" s="2">
        <x:v>Financing Form</x:v>
      </x:c>
      <x:c r="G3010" t="str" s="2">
        <x:v>Rodrigo Ramirez</x:v>
      </x:c>
      <x:c r="H3010" s="6">
        <x:v>46222.842065509256</x:v>
      </x:c>
      <x:c r="I3010" s="0"/>
      <x:c r="J3010" s="0"/>
      <x:c r="K3010" s="6">
        <x:v>46223</x:v>
      </x:c>
      <x:c r="L3010" t="str" s="2">
        <x:v>Message Sent</x:v>
      </x:c>
    </x:row>
    <x:row r="3011">
      <x:c r="A3011" t="str" s="2">
        <x:f>="Katrina Knight"</x:f>
      </x:c>
      <x:c r="B3011" t="str" s="2">
        <x:v>Heritage Housing of Asheboro</x:v>
      </x:c>
      <x:c r="C3011" t="str" s="2">
        <x:v/>
      </x:c>
      <x:c r="D3011" t="str" s="2">
        <x:v>2025801896</x:v>
      </x:c>
      <x:c r="E3011" t="str" s="2">
        <x:v>Katrinadknight@gmail.com</x:v>
      </x:c>
      <x:c r="F3011" t="str" s="2">
        <x:v>Meta Ads - Forms</x:v>
      </x:c>
      <x:c r="G3011" t="str" s="2">
        <x:v>Maria Lopez</x:v>
      </x:c>
      <x:c r="H3011" s="6">
        <x:v>46222.87858607639</x:v>
      </x:c>
      <x:c r="I3011" s="0"/>
      <x:c r="J3011" s="0"/>
      <x:c r="K3011" s="6">
        <x:v>46258</x:v>
      </x:c>
      <x:c r="L3011" t="str" s="2">
        <x:v>Message Sent</x:v>
      </x:c>
    </x:row>
    <x:row r="3012">
      <x:c r="A3012" t="str" s="2">
        <x:f>="Andrea Zuniga"</x:f>
      </x:c>
      <x:c r="B3012" t="str" s="2">
        <x:v>Legacy Housing Corp. DBA Americasa</x:v>
      </x:c>
      <x:c r="C3012" t="str" s="2">
        <x:v/>
      </x:c>
      <x:c r="D3012" t="str" s="2">
        <x:v>7135750747</x:v>
      </x:c>
      <x:c r="E3012" t="str" s="2">
        <x:v>andrea.squad1@gmail.com</x:v>
      </x:c>
      <x:c r="F3012" t="str" s="2">
        <x:v>Website</x:v>
      </x:c>
      <x:c r="G3012" t="str" s="2">
        <x:v>Jose Parada</x:v>
      </x:c>
      <x:c r="H3012" s="6">
        <x:v>46222.891937465276</x:v>
      </x:c>
      <x:c r="I3012" s="0"/>
      <x:c r="J3012" s="0"/>
      <x:c r="K3012" s="6">
        <x:v>46232</x:v>
      </x:c>
      <x:c r="L3012" t="str" s="2">
        <x:v>Message Sent</x:v>
      </x:c>
    </x:row>
    <x:row r="3013">
      <x:c r="A3013" t="str" s="2">
        <x:f>="Chis Hunt"</x:f>
      </x:c>
      <x:c r="B3013" t="str" s="2">
        <x:v>Heritage Housing of Jennings</x:v>
      </x:c>
      <x:c r="C3013" t="str" s="2">
        <x:v>0/1</x:v>
      </x:c>
      <x:c r="D3013" t="str" s="2">
        <x:v>2283042876</x:v>
      </x:c>
      <x:c r="E3013" t="str" s="2">
        <x:v>earnestguiton@gmail.com</x:v>
      </x:c>
      <x:c r="F3013" t="str" s="2">
        <x:v>Meta Ads - Forms</x:v>
      </x:c>
      <x:c r="G3013" t="str" s="2">
        <x:v>Clint O'Neal</x:v>
      </x:c>
      <x:c r="H3013" s="6">
        <x:v>46222.901241631946</x:v>
      </x:c>
      <x:c r="I3013" s="0"/>
      <x:c r="J3013" s="0"/>
      <x:c r="K3013" s="6">
        <x:v>46288</x:v>
      </x:c>
      <x:c r="L3013" t="str" s="2">
        <x:v>Message Sent</x:v>
      </x:c>
    </x:row>
    <x:row r="3014">
      <x:c r="A3014" t="str" s="2">
        <x:f>="Emily Colula-Martinez"</x:f>
      </x:c>
      <x:c r="B3014" t="str" s="2">
        <x:v>Heritage Housing of Asheboro</x:v>
      </x:c>
      <x:c r="C3014" t="str" s="2">
        <x:v/>
      </x:c>
      <x:c r="D3014" t="str" s="2">
        <x:v>7042676893</x:v>
      </x:c>
      <x:c r="E3014" t="str" s="2">
        <x:v>emilymartinez061872@gmail.com</x:v>
      </x:c>
      <x:c r="F3014" t="str" s="2">
        <x:v>Meta Ads - Forms</x:v>
      </x:c>
      <x:c r="G3014" t="str" s="2">
        <x:v>Maria Lopez</x:v>
      </x:c>
      <x:c r="H3014" s="6">
        <x:v>46222.9841375</x:v>
      </x:c>
      <x:c r="I3014" s="0"/>
      <x:c r="J3014" s="0"/>
      <x:c r="K3014" s="6">
        <x:v>46259</x:v>
      </x:c>
      <x:c r="L3014" t="str" s="2">
        <x:v>Message Sent</x:v>
      </x:c>
    </x:row>
    <x:row r="3015">
      <x:c r="A3015" t="str" s="2">
        <x:f>="Jewel Artis"</x:f>
      </x:c>
      <x:c r="B3015" t="str" s="2">
        <x:v>Heritage Housing of Asheboro</x:v>
      </x:c>
      <x:c r="C3015" t="str" s="2">
        <x:v/>
      </x:c>
      <x:c r="D3015" t="str" s="2">
        <x:v>2529039749</x:v>
      </x:c>
      <x:c r="E3015" t="str" s="2">
        <x:v>mizzjuice39@yahoo.com</x:v>
      </x:c>
      <x:c r="F3015" t="str" s="2">
        <x:v>Google Ads</x:v>
      </x:c>
      <x:c r="G3015" t="str" s="2">
        <x:v>Maria Lopez</x:v>
      </x:c>
      <x:c r="H3015" s="6">
        <x:v>46222.99554846065</x:v>
      </x:c>
      <x:c r="I3015" s="0"/>
      <x:c r="J3015" s="0"/>
      <x:c r="K3015" s="6">
        <x:v>46258</x:v>
      </x:c>
      <x:c r="L3015" t="str" s="2">
        <x:v>Message Sent</x:v>
      </x:c>
    </x:row>
    <x:row r="3016">
      <x:c r="A3016" t="str" s="2">
        <x:f>="Sierra Hayes"</x:f>
      </x:c>
      <x:c r="B3016" t="str" s="2">
        <x:v>Heritage Housing of Tulsa</x:v>
      </x:c>
      <x:c r="C3016" t="str" s="2">
        <x:v/>
      </x:c>
      <x:c r="D3016" t="str" s="2">
        <x:v>9182901416</x:v>
      </x:c>
      <x:c r="E3016" t="str" s="2">
        <x:v>sierradawnh24@gmail.com</x:v>
      </x:c>
      <x:c r="F3016" t="str" s="2">
        <x:v>Financing Form</x:v>
      </x:c>
      <x:c r="G3016" t="str" s="2">
        <x:v>Jenna Fransisco</x:v>
      </x:c>
      <x:c r="H3016" s="6">
        <x:v>46223.002269826386</x:v>
      </x:c>
      <x:c r="I3016" s="0"/>
      <x:c r="J3016" s="0"/>
      <x:c r="K3016" s="6">
        <x:v>46241</x:v>
      </x:c>
      <x:c r="L3016" t="str" s="2">
        <x:v>Message Sent</x:v>
      </x:c>
    </x:row>
    <x:row r="3017">
      <x:c r="A3017" t="str" s="2">
        <x:f>="Aaron Grenire"</x:f>
      </x:c>
      <x:c r="B3017" t="str" s="2">
        <x:v>Heritage Housing of Canton</x:v>
      </x:c>
      <x:c r="C3017" t="str" s="2">
        <x:v/>
      </x:c>
      <x:c r="D3017" t="str" s="2">
        <x:v>9032848962</x:v>
      </x:c>
      <x:c r="E3017" t="str" s="2">
        <x:v>aaronshuan02@gmail.com</x:v>
      </x:c>
      <x:c r="F3017" t="str" s="2">
        <x:v>Meta Ads - Forms</x:v>
      </x:c>
      <x:c r="G3017" t="str" s="2">
        <x:v>Maira Garcia</x:v>
      </x:c>
      <x:c r="H3017" s="6">
        <x:v>46223.02302361111</x:v>
      </x:c>
      <x:c r="I3017" s="0"/>
      <x:c r="J3017" s="0"/>
      <x:c r="K3017" s="6">
        <x:v>46259</x:v>
      </x:c>
      <x:c r="L3017" t="str" s="2">
        <x:v>Message Sent</x:v>
      </x:c>
    </x:row>
    <x:row r="3018">
      <x:c r="A3018" t="str" s="2">
        <x:f>="Steve Cloud"</x:f>
      </x:c>
      <x:c r="B3018" t="str" s="2">
        <x:v>Heritage Housing of Canton</x:v>
      </x:c>
      <x:c r="C3018" t="str" s="2">
        <x:v/>
      </x:c>
      <x:c r="D3018" t="str" s="2">
        <x:v>3184658639</x:v>
      </x:c>
      <x:c r="E3018" t="str" s="2">
        <x:v>reddawg71016@yahoo.com</x:v>
      </x:c>
      <x:c r="F3018" t="str" s="2">
        <x:v>Meta Ads - Forms</x:v>
      </x:c>
      <x:c r="G3018" t="str" s="2">
        <x:v>Maira Garcia</x:v>
      </x:c>
      <x:c r="H3018" s="6">
        <x:v>46223.02556782407</x:v>
      </x:c>
      <x:c r="I3018" s="0"/>
      <x:c r="J3018" s="0"/>
      <x:c r="K3018" s="6">
        <x:v>46266</x:v>
      </x:c>
      <x:c r="L3018" t="str" s="2">
        <x:v>Message Sent</x:v>
      </x:c>
    </x:row>
    <x:row r="3019">
      <x:c r="A3019" t="str" s="2">
        <x:f>="Peter Perkins"</x:f>
      </x:c>
      <x:c r="B3019" t="str" s="2">
        <x:v>Heritage Housing of Oklahoma City</x:v>
      </x:c>
      <x:c r="C3019" t="str" s="2">
        <x:v>0/3</x:v>
      </x:c>
      <x:c r="D3019" t="str" s="2">
        <x:v>9187983699</x:v>
      </x:c>
      <x:c r="E3019" t="str" s="2">
        <x:v>peterperkins5529@gmail.com</x:v>
      </x:c>
      <x:c r="F3019" t="str" s="2">
        <x:v>Meta Ads - Forms</x:v>
      </x:c>
      <x:c r="G3019" t="str" s="2">
        <x:v>Trey Rixleben</x:v>
      </x:c>
      <x:c r="H3019" s="6">
        <x:v>46223.07083607639</x:v>
      </x:c>
      <x:c r="I3019" s="0"/>
      <x:c r="J3019" s="0"/>
      <x:c r="K3019" s="6">
        <x:v>46227.88688491898</x:v>
      </x:c>
      <x:c r="L3019" t="str" s="2">
        <x:v>Message Sent</x:v>
      </x:c>
    </x:row>
    <x:row r="3020">
      <x:c r="A3020" t="str" s="2">
        <x:f>="Virginia Kramp"</x:f>
      </x:c>
      <x:c r="B3020" t="str" s="2">
        <x:v>Heritage Housing of Oklahoma City</x:v>
      </x:c>
      <x:c r="C3020" t="str" s="2">
        <x:v>0/2</x:v>
      </x:c>
      <x:c r="D3020" t="str" s="2">
        <x:v>5808510894</x:v>
      </x:c>
      <x:c r="E3020" t="str" s="2">
        <x:v>onedayatatime716@gmail.com</x:v>
      </x:c>
      <x:c r="F3020" t="str" s="2">
        <x:v>Financing Form</x:v>
      </x:c>
      <x:c r="G3020" t="str" s="2">
        <x:v>Steve Castell</x:v>
      </x:c>
      <x:c r="H3020" s="6">
        <x:v>46223.08786542824</x:v>
      </x:c>
      <x:c r="I3020" s="0"/>
      <x:c r="J3020" s="0"/>
      <x:c r="K3020" s="6">
        <x:v>46223</x:v>
      </x:c>
      <x:c r="L3020" t="str" s="2">
        <x:v>Message Sent</x:v>
      </x:c>
    </x:row>
    <x:row r="3021">
      <x:c r="A3021" t="str" s="2">
        <x:f>="Carol Locklear"</x:f>
      </x:c>
      <x:c r="B3021" t="str" s="2">
        <x:v>Heritage Housing of Asheboro</x:v>
      </x:c>
      <x:c r="C3021" t="str" s="2">
        <x:v/>
      </x:c>
      <x:c r="D3021" t="str" s="2">
        <x:v>9103050147</x:v>
      </x:c>
      <x:c r="E3021" t="str" s="2">
        <x:v>carollocklear2@gmail.com</x:v>
      </x:c>
      <x:c r="F3021" t="str" s="2">
        <x:v>Google Ads</x:v>
      </x:c>
      <x:c r="G3021" t="str" s="2">
        <x:v>Maria Lopez</x:v>
      </x:c>
      <x:c r="H3021" s="6">
        <x:v>46223.089238657405</x:v>
      </x:c>
      <x:c r="I3021" s="0"/>
      <x:c r="J3021" s="0"/>
      <x:c r="K3021" s="6">
        <x:v>46259</x:v>
      </x:c>
      <x:c r="L3021" t="str" s="2">
        <x:v>Message Sent</x:v>
      </x:c>
    </x:row>
    <x:row r="3022">
      <x:c r="A3022" t="str" s="2">
        <x:f>="Thomas Hermann"</x:f>
      </x:c>
      <x:c r="B3022" t="str" s="2">
        <x:v>Heritage Housing Mt Pleasant</x:v>
      </x:c>
      <x:c r="C3022" t="str" s="2">
        <x:v/>
      </x:c>
      <x:c r="D3022" t="str" s="2">
        <x:v>4302499797</x:v>
      </x:c>
      <x:c r="E3022" t="str" s="2">
        <x:v>scott41163@gmail.com</x:v>
      </x:c>
      <x:c r="F3022" t="str" s="2">
        <x:v>Financing Form</x:v>
      </x:c>
      <x:c r="G3022" t="str" s="2">
        <x:v>Sandra Saldana</x:v>
      </x:c>
      <x:c r="H3022" s="6">
        <x:v>46223.10895644676</x:v>
      </x:c>
      <x:c r="I3022" s="0"/>
      <x:c r="J3022" s="0"/>
      <x:c r="K3022" s="6">
        <x:v>46260</x:v>
      </x:c>
      <x:c r="L3022" t="str" s="2">
        <x:v>Message Sent</x:v>
      </x:c>
    </x:row>
    <x:row r="3023">
      <x:c r="A3023" t="str" s="2">
        <x:f>="Marlin Moore"</x:f>
      </x:c>
      <x:c r="B3023" t="str" s="2">
        <x:v>Heritage Housing of Albany</x:v>
      </x:c>
      <x:c r="C3023" t="str" s="2">
        <x:v/>
      </x:c>
      <x:c r="D3023" t="str" s="2">
        <x:v>6823957405</x:v>
      </x:c>
      <x:c r="E3023" t="str" s="2">
        <x:v>dfwrenovated@gmail.com</x:v>
      </x:c>
      <x:c r="F3023" t="str" s="2">
        <x:v>Financing Form</x:v>
      </x:c>
      <x:c r="G3023" t="str" s="2">
        <x:v>Yanet Alvarez</x:v>
      </x:c>
      <x:c r="H3023" s="6">
        <x:v>46223.1744258912</x:v>
      </x:c>
      <x:c r="I3023" s="0"/>
      <x:c r="J3023" s="0"/>
      <x:c r="K3023" s="6">
        <x:v>46307</x:v>
      </x:c>
      <x:c r="L3023" t="str" s="2">
        <x:v>Message Sent</x:v>
      </x:c>
    </x:row>
    <x:row r="3024">
      <x:c r="A3024" t="str" s="2">
        <x:f>="Connie McBride"</x:f>
      </x:c>
      <x:c r="B3024" t="str" s="2">
        <x:v>Heritage Housing of Asheboro</x:v>
      </x:c>
      <x:c r="C3024" t="str" s="2">
        <x:v/>
      </x:c>
      <x:c r="D3024" t="str" s="2">
        <x:v>3369728780</x:v>
      </x:c>
      <x:c r="E3024" t="str" s="2">
        <x:v>cmcbriderun@gmail.com</x:v>
      </x:c>
      <x:c r="F3024" t="str" s="2">
        <x:v>Meta Ads - Forms</x:v>
      </x:c>
      <x:c r="G3024" t="str" s="2">
        <x:v>Maria Lopez</x:v>
      </x:c>
      <x:c r="H3024" s="6">
        <x:v>46223.18469806713</x:v>
      </x:c>
      <x:c r="I3024" s="0"/>
      <x:c r="J3024" s="0"/>
      <x:c r="K3024" s="6">
        <x:v>46258</x:v>
      </x:c>
      <x:c r="L3024" t="str" s="2">
        <x:v>Message Sent</x:v>
      </x:c>
    </x:row>
    <x:row r="3025">
      <x:c r="A3025" t="str" s="2">
        <x:f>="Bonnie Booth"</x:f>
      </x:c>
      <x:c r="B3025" t="str" s="2">
        <x:v>Heritage Housing of Tulsa</x:v>
      </x:c>
      <x:c r="C3025" t="str" s="2">
        <x:v/>
      </x:c>
      <x:c r="D3025" t="str" s="2">
        <x:v>9188148667</x:v>
      </x:c>
      <x:c r="E3025" t="str" s="2">
        <x:v>busymomma1996@gmail.com</x:v>
      </x:c>
      <x:c r="F3025" t="str" s="2">
        <x:v>Meta Ads - Forms</x:v>
      </x:c>
      <x:c r="G3025" t="str" s="2">
        <x:v>Jenna Fransisco</x:v>
      </x:c>
      <x:c r="H3025" s="6">
        <x:v>46223.21910659722</x:v>
      </x:c>
      <x:c r="I3025" s="0"/>
      <x:c r="J3025" s="0"/>
      <x:c r="K3025" s="6">
        <x:v>46245</x:v>
      </x:c>
      <x:c r="L3025" t="str" s="2">
        <x:v>Message Sent</x:v>
      </x:c>
    </x:row>
    <x:row r="3026">
      <x:c r="A3026" t="str" s="2">
        <x:f>="April McGowan"</x:f>
      </x:c>
      <x:c r="B3026" t="str" s="2">
        <x:v>Legacy Housing Corp. DBA Americasa</x:v>
      </x:c>
      <x:c r="C3026" t="str" s="2">
        <x:v/>
      </x:c>
      <x:c r="D3026" t="str" s="2">
        <x:v>8122292782</x:v>
      </x:c>
      <x:c r="E3026" t="str" s="2">
        <x:v>aprilmcgowan09@gmail.com</x:v>
      </x:c>
      <x:c r="F3026" t="str" s="2">
        <x:v>Financing Form</x:v>
      </x:c>
      <x:c r="G3026" t="str" s="2">
        <x:v>Jose Parada</x:v>
      </x:c>
      <x:c r="H3026" s="6">
        <x:v>46223.2297377662</x:v>
      </x:c>
      <x:c r="I3026" s="0"/>
      <x:c r="J3026" s="0"/>
      <x:c r="K3026" s="6">
        <x:v>46232</x:v>
      </x:c>
      <x:c r="L3026" t="str" s="2">
        <x:v>Message Sent</x:v>
      </x:c>
    </x:row>
    <x:row r="3027">
      <x:c r="A3027" t="str" s="2">
        <x:f>="Tabertha Warren"</x:f>
      </x:c>
      <x:c r="B3027" t="str" s="2">
        <x:v>Heritage Housing of Canton</x:v>
      </x:c>
      <x:c r="C3027" t="str" s="2">
        <x:v/>
      </x:c>
      <x:c r="D3027" t="str" s="2">
        <x:v>4303513355</x:v>
      </x:c>
      <x:c r="E3027" t="str" s="2">
        <x:v>wtabertha@gmail.com</x:v>
      </x:c>
      <x:c r="F3027" t="str" s="2">
        <x:v>Financing Form</x:v>
      </x:c>
      <x:c r="G3027" t="str" s="2">
        <x:v>Maira Garcia</x:v>
      </x:c>
      <x:c r="H3027" s="6">
        <x:v>46223.27015709491</x:v>
      </x:c>
      <x:c r="I3027" s="0"/>
      <x:c r="J3027" s="0"/>
      <x:c r="K3027" s="6">
        <x:v>46259</x:v>
      </x:c>
      <x:c r="L3027" t="str" s="2">
        <x:v>Message Sent</x:v>
      </x:c>
    </x:row>
    <x:row r="3028">
      <x:c r="A3028" t="str" s="2">
        <x:f>="Doris Johnson"</x:f>
      </x:c>
      <x:c r="B3028" t="str" s="2">
        <x:v>Heritage Housing of Tulsa</x:v>
      </x:c>
      <x:c r="C3028" t="str" s="2">
        <x:v/>
      </x:c>
      <x:c r="D3028" t="str" s="2">
        <x:v>9188083915</x:v>
      </x:c>
      <x:c r="E3028" t="str" s="2">
        <x:v>evangelistdoris.dj663@gmail.com</x:v>
      </x:c>
      <x:c r="F3028" t="str" s="2">
        <x:v>Meta Ads - Forms</x:v>
      </x:c>
      <x:c r="G3028" t="str" s="2">
        <x:v>Jenna Fransisco</x:v>
      </x:c>
      <x:c r="H3028" s="6">
        <x:v>46223.36834961805</x:v>
      </x:c>
      <x:c r="I3028" s="0"/>
      <x:c r="J3028" s="0"/>
      <x:c r="K3028" s="6">
        <x:v>46251</x:v>
      </x:c>
      <x:c r="L3028" t="str" s="2">
        <x:v>Message Sent</x:v>
      </x:c>
    </x:row>
    <x:row r="3029">
      <x:c r="A3029" t="str" s="2">
        <x:f>="Rebecca Trissell"</x:f>
      </x:c>
      <x:c r="B3029" t="str" s="2">
        <x:v>Heritage Housing of Tulsa</x:v>
      </x:c>
      <x:c r="C3029" t="str" s="2">
        <x:v/>
      </x:c>
      <x:c r="D3029" t="str" s="2">
        <x:v>5802433510</x:v>
      </x:c>
      <x:c r="E3029" t="str" s="2">
        <x:v>trisselltax@gmail.com</x:v>
      </x:c>
      <x:c r="F3029" t="str" s="2">
        <x:v>Financing Form</x:v>
      </x:c>
      <x:c r="G3029" t="str" s="2">
        <x:v>Jenna Fransisco</x:v>
      </x:c>
      <x:c r="H3029" s="6">
        <x:v>46223.36944864583</x:v>
      </x:c>
      <x:c r="I3029" s="0"/>
      <x:c r="J3029" s="0"/>
      <x:c r="K3029" s="6">
        <x:v>46245</x:v>
      </x:c>
      <x:c r="L3029" t="str" s="2">
        <x:v>Message Sent</x:v>
      </x:c>
    </x:row>
    <x:row r="3030">
      <x:c r="A3030" t="str" s="2">
        <x:f>="Teri Cearley"</x:f>
      </x:c>
      <x:c r="B3030" t="str" s="2">
        <x:v>Heritage Housing of Tulsa</x:v>
      </x:c>
      <x:c r="C3030" t="str" s="2">
        <x:v/>
      </x:c>
      <x:c r="D3030" t="str" s="2">
        <x:v>9185217522</x:v>
      </x:c>
      <x:c r="E3030" t="str" s="2">
        <x:v>Teri.cearley@yahoo.com</x:v>
      </x:c>
      <x:c r="F3030" t="str" s="2">
        <x:v>Meta Ads - Forms</x:v>
      </x:c>
      <x:c r="G3030" t="str" s="2">
        <x:v>Jenna Fransisco</x:v>
      </x:c>
      <x:c r="H3030" s="6">
        <x:v>46223.40112994213</x:v>
      </x:c>
      <x:c r="I3030" s="0"/>
      <x:c r="J3030" s="0"/>
      <x:c r="K3030" s="6">
        <x:v>46251</x:v>
      </x:c>
      <x:c r="L3030" t="str" s="2">
        <x:v>Message Sent</x:v>
      </x:c>
    </x:row>
    <x:row r="3031">
      <x:c r="A3031" t="str" s="2">
        <x:f>="Chaz Huff"</x:f>
      </x:c>
      <x:c r="B3031" t="str" s="2">
        <x:v>Heritage Housing of Canton</x:v>
      </x:c>
      <x:c r="C3031" t="str" s="2">
        <x:v/>
      </x:c>
      <x:c r="D3031" t="str" s="2">
        <x:v>2147901595</x:v>
      </x:c>
      <x:c r="E3031" t="str" s="2">
        <x:v>huff1220@gmail.com</x:v>
      </x:c>
      <x:c r="F3031" t="str" s="2">
        <x:v>Google Ads</x:v>
      </x:c>
      <x:c r="G3031" t="str" s="2">
        <x:v>Maira Garcia</x:v>
      </x:c>
      <x:c r="H3031" s="6">
        <x:v>46223.54925795139</x:v>
      </x:c>
      <x:c r="I3031" s="0"/>
      <x:c r="J3031" s="0"/>
      <x:c r="K3031" s="6">
        <x:v>46259</x:v>
      </x:c>
      <x:c r="L3031" t="str" s="2">
        <x:v>Message Sent</x:v>
      </x:c>
    </x:row>
    <x:row r="3032">
      <x:c r="A3032" t="str" s="2">
        <x:f>="David Parker"</x:f>
      </x:c>
      <x:c r="B3032" t="str" s="2">
        <x:v>Heritage Housing of Oklahoma City</x:v>
      </x:c>
      <x:c r="C3032" t="str" s="2">
        <x:v>0/3</x:v>
      </x:c>
      <x:c r="D3032" t="str" s="2">
        <x:v>4052209113</x:v>
      </x:c>
      <x:c r="E3032" t="str" s="2">
        <x:v>ambparker1022@gmail.com</x:v>
      </x:c>
      <x:c r="F3032" t="str" s="2">
        <x:v>Meta Ads - Forms</x:v>
      </x:c>
      <x:c r="G3032" t="str" s="2">
        <x:v>Trey Rixleben</x:v>
      </x:c>
      <x:c r="H3032" s="6">
        <x:v>46223.568686377315</x:v>
      </x:c>
      <x:c r="I3032" s="0"/>
      <x:c r="J3032" s="0"/>
      <x:c r="K3032" s="6">
        <x:v>46230.98338607639</x:v>
      </x:c>
      <x:c r="L3032" t="str" s="2">
        <x:v>Message Sent</x:v>
      </x:c>
    </x:row>
    <x:row r="3033">
      <x:c r="A3033" t="str" s="2">
        <x:f>="gary akins"</x:f>
      </x:c>
      <x:c r="B3033" t="str" s="2">
        <x:v>Heritage Housing of Oklahoma City</x:v>
      </x:c>
      <x:c r="C3033" t="str" s="2">
        <x:v>0/2</x:v>
      </x:c>
      <x:c r="D3033" t="str" s="2">
        <x:v>4058003384</x:v>
      </x:c>
      <x:c r="E3033" t="str" s="2">
        <x:v>tivas1man@YAHOO.COM</x:v>
      </x:c>
      <x:c r="F3033" t="str" s="2">
        <x:v>Website</x:v>
      </x:c>
      <x:c r="G3033" t="str" s="2">
        <x:v>Steve Castell</x:v>
      </x:c>
      <x:c r="H3033" s="6">
        <x:v>46223.65394980324</x:v>
      </x:c>
      <x:c r="I3033" s="0"/>
      <x:c r="J3033" s="0"/>
      <x:c r="K3033" s="6">
        <x:v>46223</x:v>
      </x:c>
      <x:c r="L3033" t="str" s="2">
        <x:v>Message Sent</x:v>
      </x:c>
    </x:row>
    <x:row r="3034">
      <x:c r="A3034" t="str" s="2">
        <x:f>=HYPERLINK("https://rsms.futurehomex.com/lead/38629", "James Newsome")</x:f>
      </x:c>
      <x:c r="B3034" t="str" s="2">
        <x:v>Heritage Housing of Augusta</x:v>
      </x:c>
      <x:c r="C3034" t="str" s="2">
        <x:v/>
      </x:c>
      <x:c r="D3034" t="str" s="2">
        <x:v>7069627848</x:v>
      </x:c>
      <x:c r="E3034" t="str" s="2">
        <x:v>peggymichevy@aol.com</x:v>
      </x:c>
      <x:c r="F3034" t="str" s="2">
        <x:v>Other</x:v>
      </x:c>
      <x:c r="G3034" t="str" s="2">
        <x:v>Faye Lively</x:v>
      </x:c>
      <x:c r="H3034" s="6">
        <x:v>46223.670160532405</x:v>
      </x:c>
      <x:c r="I3034" t="str" s="2">
        <x:v>Faye Lively</x:v>
      </x:c>
      <x:c r="J3034" s="0"/>
      <x:c r="K3034" s="6">
        <x:v>46273</x:v>
      </x:c>
      <x:c r="L3034" t="str" s="2">
        <x:v>Message Sent</x:v>
      </x:c>
    </x:row>
    <x:row r="3035">
      <x:c r="A3035" t="str" s="2">
        <x:f>="Haley Dewitt"</x:f>
      </x:c>
      <x:c r="B3035" t="str" s="2">
        <x:v>Heritage Housing Mt Pleasant</x:v>
      </x:c>
      <x:c r="C3035" t="str" s="2">
        <x:v/>
      </x:c>
      <x:c r="D3035" t="str" s="2">
        <x:v>9033376426</x:v>
      </x:c>
      <x:c r="E3035" t="str" s="2">
        <x:v>9033376426</x:v>
      </x:c>
      <x:c r="F3035" t="str" s="2">
        <x:v>META Marketplace</x:v>
      </x:c>
      <x:c r="G3035" t="str" s="2">
        <x:v>Yarelis Torres</x:v>
      </x:c>
      <x:c r="H3035" s="6">
        <x:v>46223.67199259259</x:v>
      </x:c>
      <x:c r="I3035" s="0"/>
      <x:c r="J3035" s="6">
        <x:v>46225.791666666664</x:v>
      </x:c>
      <x:c r="K3035" s="6">
        <x:v>46248</x:v>
      </x:c>
      <x:c r="L3035" t="str" s="2">
        <x:v>Message Sent</x:v>
      </x:c>
    </x:row>
    <x:row r="3036">
      <x:c r="A3036" t="str" s="2">
        <x:f>=HYPERLINK("https://rsms.futurehomex.com/lead/38634", "Christian Supernaw")</x:f>
      </x:c>
      <x:c r="B3036" t="str" s="2">
        <x:v>Heritage Housing of Tulsa</x:v>
      </x:c>
      <x:c r="C3036" t="str" s="2">
        <x:v/>
      </x:c>
      <x:c r="D3036" t="str" s="2">
        <x:v>9189497239</x:v>
      </x:c>
      <x:c r="E3036" t="str" s="2">
        <x:v>9189497239</x:v>
      </x:c>
      <x:c r="F3036" t="str" s="2">
        <x:v>HH - Tulsa</x:v>
      </x:c>
      <x:c r="G3036" t="str" s="2">
        <x:v>Jenna Fransisco</x:v>
      </x:c>
      <x:c r="H3036" s="6">
        <x:v>46223.72090659722</x:v>
      </x:c>
      <x:c r="I3036" t="str" s="2">
        <x:v>Derek Searcy</x:v>
      </x:c>
      <x:c r="J3036" s="0"/>
      <x:c r="K3036" s="6">
        <x:v>46241</x:v>
      </x:c>
      <x:c r="L3036" t="str" s="2">
        <x:v>Message Sent</x:v>
      </x:c>
    </x:row>
    <x:row r="3037">
      <x:c r="A3037" t="str" s="2">
        <x:f>=HYPERLINK("https://rsms.futurehomex.com/lead/38636", "Robert Stark")</x:f>
      </x:c>
      <x:c r="B3037" t="str" s="2">
        <x:v>Heritage Housing of Jennings</x:v>
      </x:c>
      <x:c r="C3037" t="str" s="2">
        <x:v/>
      </x:c>
      <x:c r="D3037" t="str" s="2">
        <x:v>3372630740</x:v>
      </x:c>
      <x:c r="E3037" t="str" s="2">
        <x:v>robertstark532@gmail.com</x:v>
      </x:c>
      <x:c r="F3037" t="str" s="2">
        <x:v>Walk-in</x:v>
      </x:c>
      <x:c r="G3037" t="str" s="2">
        <x:v>Mervin Leslie Smith</x:v>
      </x:c>
      <x:c r="H3037" s="6">
        <x:v>46223.72939363426</x:v>
      </x:c>
      <x:c r="I3037" t="str" s="2">
        <x:v>Mervin Leslie Smith</x:v>
      </x:c>
      <x:c r="J3037" s="0"/>
      <x:c r="K3037" s="6">
        <x:v>46258</x:v>
      </x:c>
      <x:c r="L3037" t="str" s="2">
        <x:v>Message Sent</x:v>
      </x:c>
    </x:row>
    <x:row r="3038">
      <x:c r="A3038" t="str" s="2">
        <x:f>=HYPERLINK("https://rsms.futurehomex.com/lead/38637", "Charleston Parker")</x:f>
      </x:c>
      <x:c r="B3038" t="str" s="2">
        <x:v>Heritage Housing of Albany</x:v>
      </x:c>
      <x:c r="C3038" t="str" s="2">
        <x:v/>
      </x:c>
      <x:c r="D3038" t="str" s="2">
        <x:v>4782531874</x:v>
      </x:c>
      <x:c r="E3038" t="str" s="2">
        <x:v>4782531874</x:v>
      </x:c>
      <x:c r="F3038" t="str" s="2">
        <x:v>Facebook Messenger</x:v>
      </x:c>
      <x:c r="G3038" t="str" s="2">
        <x:v>Yanet Alvarez</x:v>
      </x:c>
      <x:c r="H3038" s="6">
        <x:v>46223.7482190625</x:v>
      </x:c>
      <x:c r="I3038" t="str" s="2">
        <x:v>Justin Johnson</x:v>
      </x:c>
      <x:c r="J3038" s="0"/>
      <x:c r="K3038" s="6">
        <x:v>46223</x:v>
      </x:c>
      <x:c r="L3038" t="str" s="2">
        <x:v>Message Sent</x:v>
      </x:c>
    </x:row>
    <x:row r="3039">
      <x:c r="A3039" t="str" s="2">
        <x:f>="yasha worth"</x:f>
      </x:c>
      <x:c r="B3039" t="str" s="2">
        <x:v>Heritage Housing of Asheboro</x:v>
      </x:c>
      <x:c r="C3039" t="str" s="2">
        <x:v>0/1</x:v>
      </x:c>
      <x:c r="D3039" t="str" s="2">
        <x:v>3364374670</x:v>
      </x:c>
      <x:c r="E3039" t="str" s="2">
        <x:v>yworth0@gmail.com</x:v>
      </x:c>
      <x:c r="F3039" t="str" s="2">
        <x:v>Website</x:v>
      </x:c>
      <x:c r="G3039" t="str" s="2">
        <x:v>Maria Lopez</x:v>
      </x:c>
      <x:c r="H3039" s="6">
        <x:v>46223.77226600694</x:v>
      </x:c>
      <x:c r="I3039" s="0"/>
      <x:c r="J3039" s="0"/>
      <x:c r="K3039" s="6">
        <x:v>46259</x:v>
      </x:c>
      <x:c r="L3039" t="str" s="2">
        <x:v>Message Sent</x:v>
      </x:c>
    </x:row>
    <x:row r="3040">
      <x:c r="A3040" t="str" s="2">
        <x:f>=HYPERLINK("https://rsms.futurehomex.com/lead/38784", "James Stoddard")</x:f>
      </x:c>
      <x:c r="B3040" t="str" s="2">
        <x:v>Heritage Housing of Jennings</x:v>
      </x:c>
      <x:c r="C3040" t="str" s="2">
        <x:v>0/1</x:v>
      </x:c>
      <x:c r="D3040" t="str" s="2">
        <x:v>9855079945</x:v>
      </x:c>
      <x:c r="E3040" t="str" s="2">
        <x:v>stoddard_james@icloud.com</x:v>
      </x:c>
      <x:c r="F3040" t="str" s="2">
        <x:v>Meta Ads - Forms</x:v>
      </x:c>
      <x:c r="G3040" t="str" s="2">
        <x:v>Clint O'Neal</x:v>
      </x:c>
      <x:c r="H3040" s="6">
        <x:v>46223.80274247685</x:v>
      </x:c>
      <x:c r="I3040" t="str" s="2">
        <x:v>Clint O'Neal</x:v>
      </x:c>
      <x:c r="J3040" s="0"/>
      <x:c r="K3040" s="6">
        <x:v>46288</x:v>
      </x:c>
      <x:c r="L3040" t="str" s="2">
        <x:v>Message Sent</x:v>
      </x:c>
    </x:row>
    <x:row r="3041">
      <x:c r="A3041" t="str" s="2">
        <x:f>="Tony Bailey"</x:f>
      </x:c>
      <x:c r="B3041" t="str" s="2">
        <x:v>Heritage Housing of Asheboro</x:v>
      </x:c>
      <x:c r="C3041" t="str" s="2">
        <x:v/>
      </x:c>
      <x:c r="D3041" t="str" s="2">
        <x:v>3365208673</x:v>
      </x:c>
      <x:c r="E3041" t="str" s="2">
        <x:v>chevyscountry661@gmail.com</x:v>
      </x:c>
      <x:c r="F3041" t="str" s="2">
        <x:v>Meta Ads - Forms</x:v>
      </x:c>
      <x:c r="G3041" t="str" s="2">
        <x:v>Maria Lopez</x:v>
      </x:c>
      <x:c r="H3041" s="6">
        <x:v>46223.809828819445</x:v>
      </x:c>
      <x:c r="I3041" s="0"/>
      <x:c r="J3041" s="0"/>
      <x:c r="K3041" s="6">
        <x:v>46256</x:v>
      </x:c>
      <x:c r="L3041" t="str" s="2">
        <x:v>Message Sent</x:v>
      </x:c>
    </x:row>
    <x:row r="3042">
      <x:c r="A3042" t="str" s="2">
        <x:f>="Fildel Chilel"</x:f>
      </x:c>
      <x:c r="B3042" t="str" s="2">
        <x:v>Heritage Housing Mt Pleasant</x:v>
      </x:c>
      <x:c r="C3042" t="str" s="2">
        <x:v/>
      </x:c>
      <x:c r="D3042" t="str" s="2">
        <x:v>9032723020</x:v>
      </x:c>
      <x:c r="E3042" t="str" s="2">
        <x:v>9032723020</x:v>
      </x:c>
      <x:c r="F3042" t="str" s="2">
        <x:v>META Marketplace</x:v>
      </x:c>
      <x:c r="G3042" t="str" s="2">
        <x:v>Yarelis Torres</x:v>
      </x:c>
      <x:c r="H3042" s="6">
        <x:v>46223.82992939815</x:v>
      </x:c>
      <x:c r="I3042" s="0"/>
      <x:c r="J3042" s="6">
        <x:v>46228.916666666664</x:v>
      </x:c>
      <x:c r="K3042" s="6">
        <x:v>46248</x:v>
      </x:c>
      <x:c r="L3042" t="str" s="2">
        <x:v>Message Sent</x:v>
      </x:c>
    </x:row>
    <x:row r="3043">
      <x:c r="A3043" t="str" s="2">
        <x:f>="Carolyn Beck"</x:f>
      </x:c>
      <x:c r="B3043" t="str" s="2">
        <x:v>Heritage Housing of Asheboro</x:v>
      </x:c>
      <x:c r="C3043" t="str" s="2">
        <x:v/>
      </x:c>
      <x:c r="D3043" t="str" s="2">
        <x:v>3369788167</x:v>
      </x:c>
      <x:c r="E3043" t="str" s="2">
        <x:v>cwbeck1958@icloud.com</x:v>
      </x:c>
      <x:c r="F3043" t="str" s="2">
        <x:v>Meta Ads - Forms</x:v>
      </x:c>
      <x:c r="G3043" t="str" s="2">
        <x:v>Maria Lopez</x:v>
      </x:c>
      <x:c r="H3043" s="6">
        <x:v>46223.84971068287</x:v>
      </x:c>
      <x:c r="I3043" s="0"/>
      <x:c r="J3043" s="0"/>
      <x:c r="K3043" s="6">
        <x:v>46259</x:v>
      </x:c>
      <x:c r="L3043" t="str" s="2">
        <x:v>Message Sent</x:v>
      </x:c>
    </x:row>
    <x:row r="3044">
      <x:c r="A3044" t="str" s="2">
        <x:f>="Bethany Lemmon"</x:f>
      </x:c>
      <x:c r="B3044" t="str" s="2">
        <x:v>Heritage Housing of Canton</x:v>
      </x:c>
      <x:c r="C3044" t="str" s="2">
        <x:v/>
      </x:c>
      <x:c r="D3044" t="str" s="2">
        <x:v>4696523056</x:v>
      </x:c>
      <x:c r="E3044" t="str" s="2">
        <x:v>cherith2024@icloud.com</x:v>
      </x:c>
      <x:c r="F3044" t="str" s="2">
        <x:v>Website</x:v>
      </x:c>
      <x:c r="G3044" t="str" s="2">
        <x:v>Maira Garcia</x:v>
      </x:c>
      <x:c r="H3044" s="6">
        <x:v>46223.86187184028</x:v>
      </x:c>
      <x:c r="I3044" s="0"/>
      <x:c r="J3044" s="0"/>
      <x:c r="K3044" s="6">
        <x:v>46260</x:v>
      </x:c>
      <x:c r="L3044" t="str" s="2">
        <x:v>Message Sent</x:v>
      </x:c>
    </x:row>
    <x:row r="3045">
      <x:c r="A3045" t="str" s="2">
        <x:f>="Felicia Green"</x:f>
      </x:c>
      <x:c r="B3045" t="str" s="2">
        <x:v>Heritage Housing of Asheboro</x:v>
      </x:c>
      <x:c r="C3045" t="str" s="2">
        <x:v/>
      </x:c>
      <x:c r="D3045" t="str" s="2">
        <x:v>9192762467</x:v>
      </x:c>
      <x:c r="E3045" t="str" s="2">
        <x:v>feliciaholder24@yahoo.com</x:v>
      </x:c>
      <x:c r="F3045" t="str" s="2">
        <x:v>Website</x:v>
      </x:c>
      <x:c r="G3045" t="str" s="2">
        <x:v>Maria Lopez</x:v>
      </x:c>
      <x:c r="H3045" s="6">
        <x:v>46223.87046420139</x:v>
      </x:c>
      <x:c r="I3045" s="0"/>
      <x:c r="J3045" s="0"/>
      <x:c r="K3045" s="6">
        <x:v>46262</x:v>
      </x:c>
      <x:c r="L3045" t="str" s="2">
        <x:v>Message Sent</x:v>
      </x:c>
    </x:row>
    <x:row r="3046">
      <x:c r="A3046" t="str" s="2">
        <x:f>="Paige Robinson"</x:f>
      </x:c>
      <x:c r="B3046" t="str" s="2">
        <x:v>Heritage Housing of Canton</x:v>
      </x:c>
      <x:c r="C3046" t="str" s="2">
        <x:v/>
      </x:c>
      <x:c r="D3046" t="str" s="2">
        <x:v>9452361848</x:v>
      </x:c>
      <x:c r="E3046" t="str" s="2">
        <x:v>paigelee969@gmail.com</x:v>
      </x:c>
      <x:c r="F3046" t="str" s="2">
        <x:v>Financing Form</x:v>
      </x:c>
      <x:c r="G3046" t="str" s="2">
        <x:v>Maira Garcia</x:v>
      </x:c>
      <x:c r="H3046" s="6">
        <x:v>46223.8844940625</x:v>
      </x:c>
      <x:c r="I3046" s="0"/>
      <x:c r="J3046" s="0"/>
      <x:c r="K3046" s="6">
        <x:v>46262</x:v>
      </x:c>
      <x:c r="L3046" t="str" s="2">
        <x:v>Message Sent</x:v>
      </x:c>
    </x:row>
    <x:row r="3047">
      <x:c r="A3047" t="str" s="2">
        <x:f>="Karen parker"</x:f>
      </x:c>
      <x:c r="B3047" t="str" s="2">
        <x:v>Heritage Housing of Jennings</x:v>
      </x:c>
      <x:c r="C3047" t="str" s="2">
        <x:v>0/6</x:v>
      </x:c>
      <x:c r="D3047" t="str" s="2">
        <x:v>5043968887</x:v>
      </x:c>
      <x:c r="E3047" t="str" s="2">
        <x:v>1964karenparker@gmail.com</x:v>
      </x:c>
      <x:c r="F3047" t="str" s="2">
        <x:v>Meta Ads - Traffic</x:v>
      </x:c>
      <x:c r="G3047" t="str" s="2">
        <x:v>Mervin Leslie Smith</x:v>
      </x:c>
      <x:c r="H3047" s="6">
        <x:v>46223.9023775463</x:v>
      </x:c>
      <x:c r="I3047" s="0"/>
      <x:c r="J3047" s="0"/>
      <x:c r="K3047" s="6">
        <x:v>46288</x:v>
      </x:c>
      <x:c r="L3047" t="str" s="2">
        <x:v>Message Sent</x:v>
      </x:c>
    </x:row>
    <x:row r="3048">
      <x:c r="A3048" t="str" s="2">
        <x:f>="Guadalupe Cerecerez"</x:f>
      </x:c>
      <x:c r="B3048" t="str" s="2">
        <x:v>Heritage Housing of Canton</x:v>
      </x:c>
      <x:c r="C3048" t="str" s="2">
        <x:v/>
      </x:c>
      <x:c r="D3048" t="str" s="2">
        <x:v>2547808641</x:v>
      </x:c>
      <x:c r="E3048" t="str" s="2">
        <x:v>guadalupecerecerez0513@gmail.com</x:v>
      </x:c>
      <x:c r="F3048" t="str" s="2">
        <x:v>Meta Ads - Forms</x:v>
      </x:c>
      <x:c r="G3048" t="str" s="2">
        <x:v>Maira Garcia</x:v>
      </x:c>
      <x:c r="H3048" s="6">
        <x:v>46223.92866003472</x:v>
      </x:c>
      <x:c r="I3048" s="0"/>
      <x:c r="J3048" s="0"/>
      <x:c r="K3048" s="6">
        <x:v>46259</x:v>
      </x:c>
      <x:c r="L3048" t="str" s="2">
        <x:v>Message Sent</x:v>
      </x:c>
    </x:row>
    <x:row r="3049">
      <x:c r="A3049" t="str" s="2">
        <x:f>="Marlen Jaimes"</x:f>
      </x:c>
      <x:c r="B3049" t="str" s="2">
        <x:v>Heritage Housing of Asheboro</x:v>
      </x:c>
      <x:c r="C3049" t="str" s="2">
        <x:v/>
      </x:c>
      <x:c r="D3049" t="str" s="2">
        <x:v>3362675344</x:v>
      </x:c>
      <x:c r="E3049" t="str" s="2">
        <x:v>marlenjaimes1015@gmail.com</x:v>
      </x:c>
      <x:c r="F3049" t="str" s="2">
        <x:v>Website</x:v>
      </x:c>
      <x:c r="G3049" t="str" s="2">
        <x:v>Maria Lopez</x:v>
      </x:c>
      <x:c r="H3049" s="6">
        <x:v>46224.00643047454</x:v>
      </x:c>
      <x:c r="I3049" s="0"/>
      <x:c r="J3049" s="0"/>
      <x:c r="K3049" s="6">
        <x:v>46253</x:v>
      </x:c>
      <x:c r="L3049" t="str" s="2">
        <x:v>Message Sent</x:v>
      </x:c>
    </x:row>
    <x:row r="3050">
      <x:c r="A3050" t="str" s="2">
        <x:f>="Tawana Howard"</x:f>
      </x:c>
      <x:c r="B3050" t="str" s="2">
        <x:v>Legacy Housing Corp. DBA Americasa</x:v>
      </x:c>
      <x:c r="C3050" t="str" s="2">
        <x:v/>
      </x:c>
      <x:c r="D3050" t="str" s="2">
        <x:v>7133852610</x:v>
      </x:c>
      <x:c r="E3050" t="str" s="2">
        <x:v>twn_howard@yahoo.com</x:v>
      </x:c>
      <x:c r="F3050" t="str" s="2">
        <x:v>Meta Ads - Forms</x:v>
      </x:c>
      <x:c r="G3050" t="str" s="2">
        <x:v>Jose Parada</x:v>
      </x:c>
      <x:c r="H3050" s="6">
        <x:v>46224.03300443287</x:v>
      </x:c>
      <x:c r="I3050" s="0"/>
      <x:c r="J3050" s="0"/>
      <x:c r="K3050" s="6">
        <x:v>46232</x:v>
      </x:c>
      <x:c r="L3050" t="str" s="2">
        <x:v>Message Sent</x:v>
      </x:c>
    </x:row>
    <x:row r="3051">
      <x:c r="A3051" t="str" s="2">
        <x:f>="Elizabeth Myers"</x:f>
      </x:c>
      <x:c r="B3051" t="str" s="2">
        <x:v>Heritage Housing of Asheboro</x:v>
      </x:c>
      <x:c r="C3051" t="str" s="2">
        <x:v/>
      </x:c>
      <x:c r="D3051" t="str" s="2">
        <x:v>3366398894</x:v>
      </x:c>
      <x:c r="E3051" t="str" s="2">
        <x:v>myersizzy4@icloud.com</x:v>
      </x:c>
      <x:c r="F3051" t="str" s="2">
        <x:v>Website</x:v>
      </x:c>
      <x:c r="G3051" t="str" s="2">
        <x:v>Maria Lopez</x:v>
      </x:c>
      <x:c r="H3051" s="6">
        <x:v>46224.05774351852</x:v>
      </x:c>
      <x:c r="I3051" s="0"/>
      <x:c r="J3051" s="0"/>
      <x:c r="K3051" s="6">
        <x:v>46256</x:v>
      </x:c>
      <x:c r="L3051" t="str" s="2">
        <x:v>Message Sent</x:v>
      </x:c>
    </x:row>
    <x:row r="3052">
      <x:c r="A3052" t="str" s="2">
        <x:f>="Willie Pierce West Jr"</x:f>
      </x:c>
      <x:c r="B3052" t="str" s="2">
        <x:v>Heritage Housing of Augusta</x:v>
      </x:c>
      <x:c r="C3052" t="str" s="2">
        <x:v/>
      </x:c>
      <x:c r="D3052" t="str" s="2">
        <x:v>8033411897</x:v>
      </x:c>
      <x:c r="E3052" t="str" s="2">
        <x:v>marysuetaylor6@gmail.com</x:v>
      </x:c>
      <x:c r="F3052" t="str" s="2">
        <x:v>Financing Form</x:v>
      </x:c>
      <x:c r="G3052" t="str" s="2">
        <x:v>Faye Lively</x:v>
      </x:c>
      <x:c r="H3052" s="6">
        <x:v>46224.06418538195</x:v>
      </x:c>
      <x:c r="I3052" s="0"/>
      <x:c r="J3052" s="0"/>
      <x:c r="K3052" s="6">
        <x:v>46273</x:v>
      </x:c>
      <x:c r="L3052" t="str" s="2">
        <x:v>Message Sent</x:v>
      </x:c>
    </x:row>
    <x:row r="3053">
      <x:c r="A3053" t="str" s="2">
        <x:f>="Servando Barrera"</x:f>
      </x:c>
      <x:c r="B3053" t="str" s="2">
        <x:v>Heritage Housing of Canton</x:v>
      </x:c>
      <x:c r="C3053" t="str" s="2">
        <x:v/>
      </x:c>
      <x:c r="D3053" t="str" s="2">
        <x:v>8316761395</x:v>
      </x:c>
      <x:c r="E3053" t="str" s="2">
        <x:v>servandobarrera1966@gmail.com</x:v>
      </x:c>
      <x:c r="F3053" t="str" s="2">
        <x:v>Meta Ads - Traffic</x:v>
      </x:c>
      <x:c r="G3053" t="str" s="2">
        <x:v>Maira Garcia</x:v>
      </x:c>
      <x:c r="H3053" s="6">
        <x:v>46224.13535258102</x:v>
      </x:c>
      <x:c r="I3053" s="0"/>
      <x:c r="J3053" s="0"/>
      <x:c r="K3053" s="6">
        <x:v>46259</x:v>
      </x:c>
      <x:c r="L3053" t="str" s="2">
        <x:v>Message Sent</x:v>
      </x:c>
    </x:row>
    <x:row r="3054">
      <x:c r="A3054" t="str" s="2">
        <x:f>="Tina Thomas"</x:f>
      </x:c>
      <x:c r="B3054" t="str" s="2">
        <x:v>Heritage Housing of Jennings</x:v>
      </x:c>
      <x:c r="C3054" t="str" s="2">
        <x:v>0/1</x:v>
      </x:c>
      <x:c r="D3054" t="str" s="2">
        <x:v>3373581143</x:v>
      </x:c>
      <x:c r="E3054" t="str" s="2">
        <x:v>reneetinathomas55@gmail.com</x:v>
      </x:c>
      <x:c r="F3054" t="str" s="2">
        <x:v>Meta Ads - Traffic</x:v>
      </x:c>
      <x:c r="G3054" t="str" s="2">
        <x:v>Clint O'Neal</x:v>
      </x:c>
      <x:c r="H3054" s="6">
        <x:v>46224.33870729167</x:v>
      </x:c>
      <x:c r="I3054" s="0"/>
      <x:c r="J3054" s="0"/>
      <x:c r="K3054" s="6">
        <x:v>46284.73867445602</x:v>
      </x:c>
      <x:c r="L3054" t="str" s="2">
        <x:v>Message Sent</x:v>
      </x:c>
    </x:row>
    <x:row r="3055">
      <x:c r="A3055" t="str" s="2">
        <x:f>="Kindra Joseph"</x:f>
      </x:c>
      <x:c r="B3055" t="str" s="2">
        <x:v>Heritage Housing of Jennings</x:v>
      </x:c>
      <x:c r="C3055" t="str" s="2">
        <x:v>0/5</x:v>
      </x:c>
      <x:c r="D3055" t="str" s="2">
        <x:v>3372559373</x:v>
      </x:c>
      <x:c r="E3055" t="str" s="2">
        <x:v>kendrajoseph01@gmail.com</x:v>
      </x:c>
      <x:c r="F3055" t="str" s="2">
        <x:v>Financing Form</x:v>
      </x:c>
      <x:c r="G3055" t="str" s="2">
        <x:v>Mervin Leslie Smith</x:v>
      </x:c>
      <x:c r="H3055" s="6">
        <x:v>46224.36564278935</x:v>
      </x:c>
      <x:c r="I3055" s="0"/>
      <x:c r="J3055" s="0"/>
      <x:c r="K3055" s="6">
        <x:v>46284.66037762731</x:v>
      </x:c>
      <x:c r="L3055" t="str" s="2">
        <x:v>Message Sent</x:v>
      </x:c>
    </x:row>
    <x:row r="3056">
      <x:c r="A3056" t="str" s="2">
        <x:f>="Carey Sullivan"</x:f>
      </x:c>
      <x:c r="B3056" t="str" s="2">
        <x:v>Heritage Housing of Canton</x:v>
      </x:c>
      <x:c r="C3056" t="str" s="2">
        <x:v/>
      </x:c>
      <x:c r="D3056" t="str" s="2">
        <x:v>3185178922</x:v>
      </x:c>
      <x:c r="E3056" t="str" s="2">
        <x:v>careysullivan98765@gmail.com</x:v>
      </x:c>
      <x:c r="F3056" t="str" s="2">
        <x:v>Meta Ads - Forms</x:v>
      </x:c>
      <x:c r="G3056" t="str" s="2">
        <x:v>Maira Garcia</x:v>
      </x:c>
      <x:c r="H3056" s="6">
        <x:v>46224.4945284375</x:v>
      </x:c>
      <x:c r="I3056" s="0"/>
      <x:c r="J3056" s="0"/>
      <x:c r="K3056" s="6">
        <x:v>46259</x:v>
      </x:c>
      <x:c r="L3056" t="str" s="2">
        <x:v>Message Sent</x:v>
      </x:c>
    </x:row>
    <x:row r="3057">
      <x:c r="A3057" t="str" s="2">
        <x:f>="Katria Steele"</x:f>
      </x:c>
      <x:c r="B3057" t="str" s="2">
        <x:v>Heritage Housing of Asheboro</x:v>
      </x:c>
      <x:c r="C3057" t="str" s="2">
        <x:v/>
      </x:c>
      <x:c r="D3057" t="str" s="2">
        <x:v>6893536990</x:v>
      </x:c>
      <x:c r="E3057" t="str" s="2">
        <x:v>katria8483@gmail.com</x:v>
      </x:c>
      <x:c r="F3057" t="str" s="2">
        <x:v>Financing Form</x:v>
      </x:c>
      <x:c r="G3057" t="str" s="2">
        <x:v>Maria Lopez</x:v>
      </x:c>
      <x:c r="H3057" s="6">
        <x:v>46224.71872858796</x:v>
      </x:c>
      <x:c r="I3057" s="0"/>
      <x:c r="J3057" s="0"/>
      <x:c r="K3057" s="6">
        <x:v>46259</x:v>
      </x:c>
      <x:c r="L3057" t="str" s="2">
        <x:v>Message Sent</x:v>
      </x:c>
    </x:row>
    <x:row r="3058">
      <x:c r="A3058" t="str" s="2">
        <x:f>="Kelsie Winburn"</x:f>
      </x:c>
      <x:c r="B3058" t="str" s="2">
        <x:v>Heritage Housing of Asheboro</x:v>
      </x:c>
      <x:c r="C3058" t="str" s="2">
        <x:v/>
      </x:c>
      <x:c r="D3058" t="str" s="2">
        <x:v>7049257776</x:v>
      </x:c>
      <x:c r="E3058" t="str" s="2">
        <x:v>garrisonkelsie8@gmail.com</x:v>
      </x:c>
      <x:c r="F3058" t="str" s="2">
        <x:v>Meta Ads - Forms</x:v>
      </x:c>
      <x:c r="G3058" t="str" s="2">
        <x:v>Maria Lopez</x:v>
      </x:c>
      <x:c r="H3058" s="6">
        <x:v>46224.74924748843</x:v>
      </x:c>
      <x:c r="I3058" s="0"/>
      <x:c r="J3058" s="0"/>
      <x:c r="K3058" s="6">
        <x:v>46258</x:v>
      </x:c>
      <x:c r="L3058" t="str" s="2">
        <x:v>Message Sent</x:v>
      </x:c>
    </x:row>
    <x:row r="3059">
      <x:c r="A3059" t="str" s="2">
        <x:f>="Makalah Brower"</x:f>
      </x:c>
      <x:c r="B3059" t="str" s="2">
        <x:v>Heritage Housing of Asheboro</x:v>
      </x:c>
      <x:c r="C3059" t="str" s="2">
        <x:v/>
      </x:c>
      <x:c r="D3059" t="str" s="2">
        <x:v>7432670292</x:v>
      </x:c>
      <x:c r="E3059" t="str" s="2">
        <x:v>makalahbrower@gmail.com</x:v>
      </x:c>
      <x:c r="F3059" t="str" s="2">
        <x:v>Google Ads</x:v>
      </x:c>
      <x:c r="G3059" t="str" s="2">
        <x:v>Maria Lopez</x:v>
      </x:c>
      <x:c r="H3059" s="6">
        <x:v>46224.752655868055</x:v>
      </x:c>
      <x:c r="I3059" s="0"/>
      <x:c r="J3059" s="0"/>
      <x:c r="K3059" s="6">
        <x:v>46258</x:v>
      </x:c>
      <x:c r="L3059" t="str" s="2">
        <x:v>Message Sent</x:v>
      </x:c>
    </x:row>
    <x:row r="3060">
      <x:c r="A3060" t="str" s="2">
        <x:f>="Ruth Aguilar"</x:f>
      </x:c>
      <x:c r="B3060" t="str" s="2">
        <x:v>Heritage Housing of Asheboro</x:v>
      </x:c>
      <x:c r="C3060" t="str" s="2">
        <x:v/>
      </x:c>
      <x:c r="D3060" t="str" s="2">
        <x:v>7045016565</x:v>
      </x:c>
      <x:c r="E3060" t="str" s="2">
        <x:v>rac3315@msn.com</x:v>
      </x:c>
      <x:c r="F3060" t="str" s="2">
        <x:v>Meta Ads - Forms</x:v>
      </x:c>
      <x:c r="G3060" t="str" s="2">
        <x:v>Maria Lopez</x:v>
      </x:c>
      <x:c r="H3060" s="6">
        <x:v>46224.75429556713</x:v>
      </x:c>
      <x:c r="I3060" s="0"/>
      <x:c r="J3060" s="0"/>
      <x:c r="K3060" s="6">
        <x:v>46259</x:v>
      </x:c>
      <x:c r="L3060" t="str" s="2">
        <x:v>Message Sent</x:v>
      </x:c>
    </x:row>
    <x:row r="3061">
      <x:c r="A3061" t="str" s="2">
        <x:f>="Golden Living"</x:f>
      </x:c>
      <x:c r="B3061" t="str" s="2">
        <x:v>Heritage Housing of Asheboro</x:v>
      </x:c>
      <x:c r="C3061" t="str" s="2">
        <x:v/>
      </x:c>
      <x:c r="D3061" t="str" s="2">
        <x:v>3366609004</x:v>
      </x:c>
      <x:c r="E3061" t="str" s="2">
        <x:v>Shebreeidah23@icloud.com</x:v>
      </x:c>
      <x:c r="F3061" t="str" s="2">
        <x:v>Meta Ads - Forms</x:v>
      </x:c>
      <x:c r="G3061" t="str" s="2">
        <x:v>Maria Lopez</x:v>
      </x:c>
      <x:c r="H3061" s="6">
        <x:v>46224.780699386574</x:v>
      </x:c>
      <x:c r="I3061" s="0"/>
      <x:c r="J3061" s="0"/>
      <x:c r="K3061" s="6">
        <x:v>46253</x:v>
      </x:c>
      <x:c r="L3061" t="str" s="2">
        <x:v>Message Sent</x:v>
      </x:c>
    </x:row>
    <x:row r="3062">
      <x:c r="A3062" t="str" s="2">
        <x:f>="Vikki Black"</x:f>
      </x:c>
      <x:c r="B3062" t="str" s="2">
        <x:v>Heritage Housing of Albany</x:v>
      </x:c>
      <x:c r="C3062" t="str" s="2">
        <x:v/>
      </x:c>
      <x:c r="D3062" t="str" s="2">
        <x:v>2299388135</x:v>
      </x:c>
      <x:c r="E3062" t="str" s="2">
        <x:v>vikki.black1979@yahoo.com</x:v>
      </x:c>
      <x:c r="F3062" t="str" s="2">
        <x:v>Meta Ads - Forms</x:v>
      </x:c>
      <x:c r="G3062" t="str" s="2">
        <x:v>Yanet Alvarez</x:v>
      </x:c>
      <x:c r="H3062" s="6">
        <x:v>46224.815609108795</x:v>
      </x:c>
      <x:c r="I3062" s="0"/>
      <x:c r="J3062" s="0"/>
      <x:c r="K3062" s="6">
        <x:v>46307</x:v>
      </x:c>
      <x:c r="L3062" t="str" s="2">
        <x:v>Message Sent</x:v>
      </x:c>
    </x:row>
    <x:row r="3063">
      <x:c r="A3063" t="str" s="2">
        <x:f>="Dawn Provetto"</x:f>
      </x:c>
      <x:c r="B3063" t="str" s="2">
        <x:v>Heritage Housing of Augusta</x:v>
      </x:c>
      <x:c r="C3063" t="str" s="2">
        <x:v/>
      </x:c>
      <x:c r="D3063" t="str" s="2">
        <x:v>5753866376</x:v>
      </x:c>
      <x:c r="E3063" t="str" s="2">
        <x:v>dawnprovetto@yahoo.com</x:v>
      </x:c>
      <x:c r="F3063" t="str" s="2">
        <x:v>Website</x:v>
      </x:c>
      <x:c r="G3063" t="str" s="2">
        <x:v>Faye Lively</x:v>
      </x:c>
      <x:c r="H3063" s="6">
        <x:v>46224.82387792824</x:v>
      </x:c>
      <x:c r="I3063" s="0"/>
      <x:c r="J3063" s="0"/>
      <x:c r="K3063" s="6">
        <x:v>46274</x:v>
      </x:c>
      <x:c r="L3063" t="str" s="2">
        <x:v>Message Sent</x:v>
      </x:c>
    </x:row>
    <x:row r="3064">
      <x:c r="A3064" t="str" s="2">
        <x:f>="Daniel Page"</x:f>
      </x:c>
      <x:c r="B3064" t="str" s="2">
        <x:v>Heritage Housing of Oklahoma City</x:v>
      </x:c>
      <x:c r="C3064" t="str" s="2">
        <x:v>0/2</x:v>
      </x:c>
      <x:c r="D3064" t="str" s="2">
        <x:v>5804705677</x:v>
      </x:c>
      <x:c r="E3064" t="str" s="2">
        <x:v>pagedaniel196@gmail.com</x:v>
      </x:c>
      <x:c r="F3064" t="str" s="2">
        <x:v>Meta Ads - Forms</x:v>
      </x:c>
      <x:c r="G3064" t="str" s="2">
        <x:v>Trey Rixleben</x:v>
      </x:c>
      <x:c r="H3064" s="6">
        <x:v>46224.82699641203</x:v>
      </x:c>
      <x:c r="I3064" s="0"/>
      <x:c r="J3064" s="0"/>
      <x:c r="K3064" s="6">
        <x:v>46230.98149413194</x:v>
      </x:c>
      <x:c r="L3064" t="str" s="2">
        <x:v>Message Sent</x:v>
      </x:c>
    </x:row>
    <x:row r="3065">
      <x:c r="A3065" t="str" s="2">
        <x:f>="Mary Ann Hodges"</x:f>
      </x:c>
      <x:c r="B3065" t="str" s="2">
        <x:v>Heritage Housing of Oklahoma City</x:v>
      </x:c>
      <x:c r="C3065" t="str" s="2">
        <x:v>0/2</x:v>
      </x:c>
      <x:c r="D3065" t="str" s="2">
        <x:v>9189382679</x:v>
      </x:c>
      <x:c r="E3065" t="str" s="2">
        <x:v>hodgesfam10@gmail.com</x:v>
      </x:c>
      <x:c r="F3065" t="str" s="2">
        <x:v>Meta Ads - Forms</x:v>
      </x:c>
      <x:c r="G3065" t="str" s="2">
        <x:v>Steve Castell</x:v>
      </x:c>
      <x:c r="H3065" s="6">
        <x:v>46224.87158028935</x:v>
      </x:c>
      <x:c r="I3065" s="0"/>
      <x:c r="J3065" s="0"/>
      <x:c r="K3065" s="6">
        <x:v>46259</x:v>
      </x:c>
      <x:c r="L3065" t="str" s="2">
        <x:v>Message Sent</x:v>
      </x:c>
    </x:row>
    <x:row r="3066">
      <x:c r="A3066" t="str" s="2">
        <x:f>="Tyra Paukei"</x:f>
      </x:c>
      <x:c r="B3066" t="str" s="2">
        <x:v>Heritage Housing of Oklahoma City</x:v>
      </x:c>
      <x:c r="C3066" t="str" s="2">
        <x:v>0/1</x:v>
      </x:c>
      <x:c r="D3066" t="str" s="2">
        <x:v>403941666</x:v>
      </x:c>
      <x:c r="E3066" t="str" s="2">
        <x:v>tpaukei@gmail.com</x:v>
      </x:c>
      <x:c r="F3066" t="str" s="2">
        <x:v>Website</x:v>
      </x:c>
      <x:c r="G3066" t="str" s="2">
        <x:v>Steve Castell</x:v>
      </x:c>
      <x:c r="H3066" s="6">
        <x:v>46224.887016168985</x:v>
      </x:c>
      <x:c r="I3066" s="0"/>
      <x:c r="J3066" s="0"/>
      <x:c r="K3066" s="6">
        <x:v>46225</x:v>
      </x:c>
      <x:c r="L3066" t="str" s="2">
        <x:v>Message Sent</x:v>
      </x:c>
    </x:row>
    <x:row r="3067">
      <x:c r="A3067" t="str" s="2">
        <x:f>="Chiquita Glenn"</x:f>
      </x:c>
      <x:c r="B3067" t="str" s="2">
        <x:v>Heritage Housing of Asheboro</x:v>
      </x:c>
      <x:c r="C3067" t="str" s="2">
        <x:v/>
      </x:c>
      <x:c r="D3067" t="str" s="2">
        <x:v>9804448828</x:v>
      </x:c>
      <x:c r="E3067" t="str" s="2">
        <x:v>chitaglenn1@yahoo.com</x:v>
      </x:c>
      <x:c r="F3067" t="str" s="2">
        <x:v>Website</x:v>
      </x:c>
      <x:c r="G3067" t="str" s="2">
        <x:v>Maria Lopez</x:v>
      </x:c>
      <x:c r="H3067" s="6">
        <x:v>46224.89266921296</x:v>
      </x:c>
      <x:c r="I3067" s="0"/>
      <x:c r="J3067" s="0"/>
      <x:c r="K3067" s="6">
        <x:v>46307</x:v>
      </x:c>
      <x:c r="L3067" t="str" s="2">
        <x:v>Message Sent</x:v>
      </x:c>
    </x:row>
    <x:row r="3068">
      <x:c r="A3068" t="str" s="2">
        <x:f>="Michael Beaird"</x:f>
      </x:c>
      <x:c r="B3068" t="str" s="2">
        <x:v>Heritage Housing of Canton</x:v>
      </x:c>
      <x:c r="C3068" t="str" s="2">
        <x:v/>
      </x:c>
      <x:c r="D3068" t="str" s="2">
        <x:v>9032751784</x:v>
      </x:c>
      <x:c r="E3068" t="str" s="2">
        <x:v>mbeaird48@gmail.com</x:v>
      </x:c>
      <x:c r="F3068" t="str" s="2">
        <x:v>Meta Ads - Forms</x:v>
      </x:c>
      <x:c r="G3068" t="str" s="2">
        <x:v>Maira Garcia</x:v>
      </x:c>
      <x:c r="H3068" s="6">
        <x:v>46224.9812153125</x:v>
      </x:c>
      <x:c r="I3068" s="0"/>
      <x:c r="J3068" s="0"/>
      <x:c r="K3068" s="6">
        <x:v>46260</x:v>
      </x:c>
      <x:c r="L3068" t="str" s="2">
        <x:v>Message Sent</x:v>
      </x:c>
    </x:row>
    <x:row r="3069">
      <x:c r="A3069" t="str" s="2">
        <x:f>="Ramona Jurado"</x:f>
      </x:c>
      <x:c r="B3069" t="str" s="2">
        <x:v>Heritage Housing of Oklahoma City</x:v>
      </x:c>
      <x:c r="C3069" t="str" s="2">
        <x:v/>
      </x:c>
      <x:c r="D3069" t="str" s="2">
        <x:v>5092185431</x:v>
      </x:c>
      <x:c r="E3069" t="str" s="2">
        <x:v>ramonajbdt@hotmail.com</x:v>
      </x:c>
      <x:c r="F3069" t="str" s="2">
        <x:v>Meta Ads - Forms</x:v>
      </x:c>
      <x:c r="G3069" t="str" s="2">
        <x:v>Steve Castell</x:v>
      </x:c>
      <x:c r="H3069" s="6">
        <x:v>46224.99833549769</x:v>
      </x:c>
      <x:c r="I3069" s="0"/>
      <x:c r="J3069" s="0"/>
      <x:c r="K3069" s="6">
        <x:v>46225.6360587963</x:v>
      </x:c>
      <x:c r="L3069" t="str" s="2">
        <x:v>Message Sent</x:v>
      </x:c>
    </x:row>
    <x:row r="3070">
      <x:c r="A3070" t="str" s="2">
        <x:f>="Brianna Calhoun"</x:f>
      </x:c>
      <x:c r="B3070" t="str" s="2">
        <x:v>Heritage Housing of Albany</x:v>
      </x:c>
      <x:c r="C3070" t="str" s="2">
        <x:v/>
      </x:c>
      <x:c r="D3070" t="str" s="2">
        <x:v>2294859030</x:v>
      </x:c>
      <x:c r="E3070" t="str" s="2">
        <x:v>briannacalhoun2001@gmail.com</x:v>
      </x:c>
      <x:c r="F3070" t="str" s="2">
        <x:v>Financing Form</x:v>
      </x:c>
      <x:c r="G3070" t="str" s="2">
        <x:v>Yanet Alvarez</x:v>
      </x:c>
      <x:c r="H3070" s="6">
        <x:v>46225.015288738425</x:v>
      </x:c>
      <x:c r="I3070" s="0"/>
      <x:c r="J3070" s="0"/>
      <x:c r="K3070" s="6">
        <x:v>46307</x:v>
      </x:c>
      <x:c r="L3070" t="str" s="2">
        <x:v>Message Sent</x:v>
      </x:c>
    </x:row>
    <x:row r="3071">
      <x:c r="A3071" t="str" s="2">
        <x:f>="Charles Meyer"</x:f>
      </x:c>
      <x:c r="B3071" t="str" s="2">
        <x:v>Heritage Housing of Oklahoma City</x:v>
      </x:c>
      <x:c r="C3071" t="str" s="2">
        <x:v>0/2</x:v>
      </x:c>
      <x:c r="D3071" t="str" s="2">
        <x:v>9188687632</x:v>
      </x:c>
      <x:c r="E3071" t="str" s="2">
        <x:v>charlesmeyer4521@gmail.com</x:v>
      </x:c>
      <x:c r="F3071" t="str" s="2">
        <x:v>Meta Ads - Forms</x:v>
      </x:c>
      <x:c r="G3071" t="str" s="2">
        <x:v>Trey Rixleben</x:v>
      </x:c>
      <x:c r="H3071" s="6">
        <x:v>46225.069021180556</x:v>
      </x:c>
      <x:c r="I3071" s="0"/>
      <x:c r="J3071" s="0"/>
      <x:c r="K3071" s="6">
        <x:v>46231.93872792824</x:v>
      </x:c>
      <x:c r="L3071" t="str" s="2">
        <x:v>Message Sent</x:v>
      </x:c>
    </x:row>
    <x:row r="3072">
      <x:c r="A3072" t="str" s="2">
        <x:f>=HYPERLINK("https://rsms.futurehomex.com/lead/39559", "Alvena Ayala")</x:f>
      </x:c>
      <x:c r="B3072" t="str" s="2">
        <x:v>Heritage Housing of Oklahoma City</x:v>
      </x:c>
      <x:c r="C3072" t="str" s="2">
        <x:v>0/1</x:v>
      </x:c>
      <x:c r="D3072" t="str" s="2">
        <x:v>4059237613</x:v>
      </x:c>
      <x:c r="E3072" t="str" s="2">
        <x:v>Alvena2626@gmail.com</x:v>
      </x:c>
      <x:c r="F3072" t="str" s="2">
        <x:v>Meta Ads - Forms</x:v>
      </x:c>
      <x:c r="G3072" t="str" s="2">
        <x:v>Steve Castell</x:v>
      </x:c>
      <x:c r="H3072" s="6">
        <x:v>46225.07344876158</x:v>
      </x:c>
      <x:c r="I3072" t="str" s="2">
        <x:v>Steve Castell</x:v>
      </x:c>
      <x:c r="J3072" s="0"/>
      <x:c r="K3072" s="6">
        <x:v>46266</x:v>
      </x:c>
      <x:c r="L3072" t="str" s="2">
        <x:v>Message Sent</x:v>
      </x:c>
    </x:row>
    <x:row r="3073">
      <x:c r="A3073" t="str" s="2">
        <x:f>="Scottie &amp; Seanah Morrison"</x:f>
      </x:c>
      <x:c r="B3073" t="str" s="2">
        <x:v>Heritage Housing of Oklahoma City</x:v>
      </x:c>
      <x:c r="C3073" t="str" s="2">
        <x:v>0/1</x:v>
      </x:c>
      <x:c r="D3073" t="str" s="2">
        <x:v>5803204203</x:v>
      </x:c>
      <x:c r="E3073" t="str" s="2">
        <x:v>5803204203</x:v>
      </x:c>
      <x:c r="F3073" t="str" s="2">
        <x:v>Facebook Messenger</x:v>
      </x:c>
      <x:c r="G3073" t="str" s="2">
        <x:v>Steve Castell</x:v>
      </x:c>
      <x:c r="H3073" s="6">
        <x:v>46225.07994829861</x:v>
      </x:c>
      <x:c r="I3073" s="0"/>
      <x:c r="J3073" s="6">
        <x:v>46228.625</x:v>
      </x:c>
      <x:c r="K3073" s="6">
        <x:v>46238</x:v>
      </x:c>
      <x:c r="L3073" t="str" s="2">
        <x:v>Message Sent</x:v>
      </x:c>
    </x:row>
    <x:row r="3074">
      <x:c r="A3074" t="str" s="2">
        <x:f>="Meme Wright"</x:f>
      </x:c>
      <x:c r="B3074" t="str" s="2">
        <x:v>Heritage Housing of Augusta</x:v>
      </x:c>
      <x:c r="C3074" t="str" s="2">
        <x:v/>
      </x:c>
      <x:c r="D3074" t="str" s="2">
        <x:v>7622220750</x:v>
      </x:c>
      <x:c r="E3074" t="str" s="2">
        <x:v>memewright199@gmail.com</x:v>
      </x:c>
      <x:c r="F3074" t="str" s="2">
        <x:v>Meta Ads - Forms</x:v>
      </x:c>
      <x:c r="G3074" t="str" s="2">
        <x:v>Faye Lively</x:v>
      </x:c>
      <x:c r="H3074" s="6">
        <x:v>46225.18105806713</x:v>
      </x:c>
      <x:c r="I3074" s="0"/>
      <x:c r="J3074" s="0"/>
      <x:c r="K3074" s="6">
        <x:v>46274</x:v>
      </x:c>
      <x:c r="L3074" t="str" s="2">
        <x:v>Message Sent</x:v>
      </x:c>
    </x:row>
    <x:row r="3075">
      <x:c r="A3075" t="str" s="2">
        <x:f>="Trisha Phair"</x:f>
      </x:c>
      <x:c r="B3075" t="str" s="2">
        <x:v>Heritage Housing of Athens</x:v>
      </x:c>
      <x:c r="C3075" t="str" s="2">
        <x:v/>
      </x:c>
      <x:c r="D3075" t="str" s="2">
        <x:v>6785982104</x:v>
      </x:c>
      <x:c r="E3075" t="str" s="2">
        <x:v>tj81719riley@gmail.com</x:v>
      </x:c>
      <x:c r="F3075" t="str" s="2">
        <x:v>Website</x:v>
      </x:c>
      <x:c r="G3075" t="str" s="2">
        <x:v>Brian Amato</x:v>
      </x:c>
      <x:c r="H3075" s="6">
        <x:v>46225.19454806713</x:v>
      </x:c>
      <x:c r="I3075" s="0"/>
      <x:c r="J3075" s="0"/>
      <x:c r="K3075" s="6">
        <x:v>46233.8761306713</x:v>
      </x:c>
      <x:c r="L3075" t="str" s="2">
        <x:v>Message Sent</x:v>
      </x:c>
    </x:row>
    <x:row r="3076">
      <x:c r="A3076" t="str" s="2">
        <x:f>="Maria Moreno"</x:f>
      </x:c>
      <x:c r="B3076" t="str" s="2">
        <x:v>Legacy Housing Corp. DBA Americasa</x:v>
      </x:c>
      <x:c r="C3076" t="str" s="2">
        <x:v/>
      </x:c>
      <x:c r="D3076" t="str" s="2">
        <x:v>9562521798</x:v>
      </x:c>
      <x:c r="E3076" t="str" s="2">
        <x:v>mariamoreno511974@gimail.com</x:v>
      </x:c>
      <x:c r="F3076" t="str" s="2">
        <x:v>Website</x:v>
      </x:c>
      <x:c r="G3076" t="str" s="2">
        <x:v>Rodrigo Ramirez</x:v>
      </x:c>
      <x:c r="H3076" s="6">
        <x:v>46225.22345690972</x:v>
      </x:c>
      <x:c r="I3076" s="0"/>
      <x:c r="J3076" s="0"/>
      <x:c r="K3076" s="6">
        <x:v>46226</x:v>
      </x:c>
      <x:c r="L3076" t="str" s="2">
        <x:v>Message Sent</x:v>
      </x:c>
    </x:row>
    <x:row r="3077">
      <x:c r="A3077" t="str" s="2">
        <x:f>="Ann Watts"</x:f>
      </x:c>
      <x:c r="B3077" t="str" s="2">
        <x:v>Heritage Housing of Asheboro</x:v>
      </x:c>
      <x:c r="C3077" t="str" s="2">
        <x:v/>
      </x:c>
      <x:c r="D3077" t="str" s="2">
        <x:v>9194822405</x:v>
      </x:c>
      <x:c r="E3077" t="str" s="2">
        <x:v>awatts28@centurylink.net</x:v>
      </x:c>
      <x:c r="F3077" t="str" s="2">
        <x:v>Meta Ads - Traffic</x:v>
      </x:c>
      <x:c r="G3077" t="str" s="2">
        <x:v>Maria Lopez</x:v>
      </x:c>
      <x:c r="H3077" s="6">
        <x:v>46225.55150524306</x:v>
      </x:c>
      <x:c r="I3077" s="0"/>
      <x:c r="J3077" s="0"/>
      <x:c r="K3077" s="6">
        <x:v>46256</x:v>
      </x:c>
      <x:c r="L3077" t="str" s="2">
        <x:v>Message Sent</x:v>
      </x:c>
    </x:row>
    <x:row r="3078">
      <x:c r="A3078" t="str" s="2">
        <x:f>="GREGORY Tabor"</x:f>
      </x:c>
      <x:c r="B3078" t="str" s="2">
        <x:v>Heritage Housing of Asheboro</x:v>
      </x:c>
      <x:c r="C3078" t="str" s="2">
        <x:v/>
      </x:c>
      <x:c r="D3078" t="str" s="2">
        <x:v>8286965663</x:v>
      </x:c>
      <x:c r="E3078" t="str" s="2">
        <x:v>gregorycbennett90@gmail.com</x:v>
      </x:c>
      <x:c r="F3078" t="str" s="2">
        <x:v>Financing Form</x:v>
      </x:c>
      <x:c r="G3078" t="str" s="2">
        <x:v>Maria Lopez</x:v>
      </x:c>
      <x:c r="H3078" s="6">
        <x:v>46225.555310104166</x:v>
      </x:c>
      <x:c r="I3078" s="0"/>
      <x:c r="J3078" s="0"/>
      <x:c r="K3078" s="6">
        <x:v>46256</x:v>
      </x:c>
      <x:c r="L3078" t="str" s="2">
        <x:v>Message Sent</x:v>
      </x:c>
    </x:row>
    <x:row r="3079">
      <x:c r="A3079" t="str" s="2">
        <x:f>="Pamela Sanchez"</x:f>
      </x:c>
      <x:c r="B3079" t="str" s="2">
        <x:v>Heritage Housing of Tulsa</x:v>
      </x:c>
      <x:c r="C3079" t="str" s="2">
        <x:v/>
      </x:c>
      <x:c r="D3079" t="str" s="2">
        <x:v>4052070927</x:v>
      </x:c>
      <x:c r="E3079" t="str" s="2">
        <x:v>pamela2009dz@yahoo.com</x:v>
      </x:c>
      <x:c r="F3079" t="str" s="2">
        <x:v>Financing Form</x:v>
      </x:c>
      <x:c r="G3079" t="str" s="2">
        <x:v>Jenna Fransisco</x:v>
      </x:c>
      <x:c r="H3079" s="6">
        <x:v>46225.57196030093</x:v>
      </x:c>
      <x:c r="I3079" s="0"/>
      <x:c r="J3079" s="0"/>
      <x:c r="K3079" s="6">
        <x:v>46238</x:v>
      </x:c>
      <x:c r="L3079" t="str" s="2">
        <x:v>Message Sent</x:v>
      </x:c>
    </x:row>
    <x:row r="3080">
      <x:c r="A3080" t="str" s="2">
        <x:f>="Lakisha Lee"</x:f>
      </x:c>
      <x:c r="B3080" t="str" s="2">
        <x:v>Heritage Housing of Augusta</x:v>
      </x:c>
      <x:c r="C3080" t="str" s="2">
        <x:v/>
      </x:c>
      <x:c r="D3080" t="str" s="2">
        <x:v>7622360390</x:v>
      </x:c>
      <x:c r="E3080" t="str" s="2">
        <x:v>lakishalee56@gmail.com</x:v>
      </x:c>
      <x:c r="F3080" t="str" s="2">
        <x:v>Financing Form</x:v>
      </x:c>
      <x:c r="G3080" t="str" s="2">
        <x:v>Faye Lively</x:v>
      </x:c>
      <x:c r="H3080" s="6">
        <x:v>46225.62014259259</x:v>
      </x:c>
      <x:c r="I3080" s="0"/>
      <x:c r="J3080" s="0"/>
      <x:c r="K3080" s="6">
        <x:v>46274</x:v>
      </x:c>
      <x:c r="L3080" t="str" s="2">
        <x:v>Message Sent</x:v>
      </x:c>
    </x:row>
    <x:row r="3081">
      <x:c r="A3081" t="str" s="2">
        <x:f>="Stephanie Proctor"</x:f>
      </x:c>
      <x:c r="B3081" t="str" s="2">
        <x:v>Heritage Housing Gainesville</x:v>
      </x:c>
      <x:c r="C3081" t="str" s="2">
        <x:v/>
      </x:c>
      <x:c r="D3081" t="str" s="2">
        <x:v>9404421163</x:v>
      </x:c>
      <x:c r="E3081" t="str" s="2">
        <x:v>apasteph@gmail.com</x:v>
      </x:c>
      <x:c r="F3081" t="str" s="2">
        <x:v>Financing Form</x:v>
      </x:c>
      <x:c r="G3081" t="str" s="2">
        <x:v>Kelly Ford</x:v>
      </x:c>
      <x:c r="H3081" s="6">
        <x:v>46225.64996778935</x:v>
      </x:c>
      <x:c r="I3081" s="0"/>
      <x:c r="J3081" s="0"/>
      <x:c r="K3081" s="6">
        <x:v>46283</x:v>
      </x:c>
      <x:c r="L3081" t="str" s="2">
        <x:v>Message Sent</x:v>
      </x:c>
    </x:row>
    <x:row r="3082">
      <x:c r="A3082" t="str" s="2">
        <x:f>="Kelly Seabrook"</x:f>
      </x:c>
      <x:c r="B3082" t="str" s="2">
        <x:v>Heritage Housing of Asheboro</x:v>
      </x:c>
      <x:c r="C3082" t="str" s="2">
        <x:v/>
      </x:c>
      <x:c r="D3082" t="str" s="2">
        <x:v>2527321378</x:v>
      </x:c>
      <x:c r="E3082" t="str" s="2">
        <x:v>kelly2cutie69@gmail.com</x:v>
      </x:c>
      <x:c r="F3082" t="str" s="2">
        <x:v>Google Ads</x:v>
      </x:c>
      <x:c r="G3082" t="str" s="2">
        <x:v>Maria Lopez</x:v>
      </x:c>
      <x:c r="H3082" s="6">
        <x:v>46225.6611602662</x:v>
      </x:c>
      <x:c r="I3082" s="0"/>
      <x:c r="J3082" s="0"/>
      <x:c r="K3082" s="6">
        <x:v>46258</x:v>
      </x:c>
      <x:c r="L3082" t="str" s="2">
        <x:v>Message Sent</x:v>
      </x:c>
    </x:row>
    <x:row r="3083">
      <x:c r="A3083" t="str" s="2">
        <x:f>=HYPERLINK("https://rsms.futurehomex.com/lead/38677", "SARAH GRANT")</x:f>
      </x:c>
      <x:c r="B3083" t="str" s="2">
        <x:v>Heritage Housing of Augusta</x:v>
      </x:c>
      <x:c r="C3083" t="str" s="2">
        <x:v/>
      </x:c>
      <x:c r="D3083" t="str" s="2">
        <x:v>7064661215</x:v>
      </x:c>
      <x:c r="E3083" t="str" s="2">
        <x:v>sarahgrant760@gmail.com</x:v>
      </x:c>
      <x:c r="F3083" t="str" s="2">
        <x:v>Office Hot Calls</x:v>
      </x:c>
      <x:c r="G3083" t="str" s="2">
        <x:v>Faye Lively</x:v>
      </x:c>
      <x:c r="H3083" s="6">
        <x:v>46225.66236574074</x:v>
      </x:c>
      <x:c r="I3083" t="str" s="2">
        <x:v>Jennifer Johnson</x:v>
      </x:c>
      <x:c r="J3083" s="0"/>
      <x:c r="K3083" s="6">
        <x:v>46303</x:v>
      </x:c>
      <x:c r="L3083" t="str" s="2">
        <x:v>Message Sent</x:v>
      </x:c>
    </x:row>
    <x:row r="3084">
      <x:c r="A3084" t="str" s="2">
        <x:f>="Chelsie Bumgarner"</x:f>
      </x:c>
      <x:c r="B3084" t="str" s="2">
        <x:v>Heritage Housing Gainesville</x:v>
      </x:c>
      <x:c r="C3084" t="str" s="2">
        <x:v/>
      </x:c>
      <x:c r="D3084" t="str" s="2">
        <x:v>5807681040</x:v>
      </x:c>
      <x:c r="E3084" t="str" s="2">
        <x:v>chelsie.campbell19@gmail.com</x:v>
      </x:c>
      <x:c r="F3084" t="str" s="2">
        <x:v>Financing Form</x:v>
      </x:c>
      <x:c r="G3084" t="str" s="2">
        <x:v>Kelly Ford</x:v>
      </x:c>
      <x:c r="H3084" s="6">
        <x:v>46225.665625</x:v>
      </x:c>
      <x:c r="I3084" s="0"/>
      <x:c r="J3084" s="0"/>
      <x:c r="K3084" s="6">
        <x:v>46283</x:v>
      </x:c>
      <x:c r="L3084" t="str" s="2">
        <x:v>Message Sent</x:v>
      </x:c>
    </x:row>
    <x:row r="3085">
      <x:c r="A3085" t="str" s="2">
        <x:f>=HYPERLINK("https://rsms.futurehomex.com/lead/38678", "Cinda Burge")</x:f>
      </x:c>
      <x:c r="B3085" t="str" s="2">
        <x:v>Heritage Housing of Oklahoma City</x:v>
      </x:c>
      <x:c r="C3085" t="str" s="2">
        <x:v/>
      </x:c>
      <x:c r="D3085" t="str" s="2">
        <x:v>9189131022</x:v>
      </x:c>
      <x:c r="E3085" t="str" s="2">
        <x:v>cjburge@gmail.com</x:v>
      </x:c>
      <x:c r="F3085" t="str" s="2">
        <x:v>Walk-in</x:v>
      </x:c>
      <x:c r="G3085" t="str" s="2">
        <x:v>Trey Rixleben</x:v>
      </x:c>
      <x:c r="H3085" s="6">
        <x:v>46225.67207184028</x:v>
      </x:c>
      <x:c r="I3085" t="str" s="2">
        <x:v>Trey Rixleben</x:v>
      </x:c>
      <x:c r="J3085" s="0"/>
      <x:c r="K3085" s="6">
        <x:v>46225.73901751157</x:v>
      </x:c>
      <x:c r="L3085" t="str" s="2">
        <x:v>Message Sent</x:v>
      </x:c>
    </x:row>
    <x:row r="3086">
      <x:c r="A3086" t="str" s="2">
        <x:f>="Isaac Farrow"</x:f>
      </x:c>
      <x:c r="B3086" t="str" s="2">
        <x:v>Heritage Housing of Oklahoma City</x:v>
      </x:c>
      <x:c r="C3086" t="str" s="2">
        <x:v>0/2</x:v>
      </x:c>
      <x:c r="D3086" t="str" s="2">
        <x:v>4055386132</x:v>
      </x:c>
      <x:c r="E3086" t="str" s="2">
        <x:v>isaac.farrow@yahoo.com</x:v>
      </x:c>
      <x:c r="F3086" t="str" s="2">
        <x:v>Financing Form</x:v>
      </x:c>
      <x:c r="G3086" t="str" s="2">
        <x:v>Trey Rixleben</x:v>
      </x:c>
      <x:c r="H3086" s="6">
        <x:v>46225.70345405093</x:v>
      </x:c>
      <x:c r="I3086" s="0"/>
      <x:c r="J3086" s="0"/>
      <x:c r="K3086" s="6">
        <x:v>46230.98578498843</x:v>
      </x:c>
      <x:c r="L3086" t="str" s="2">
        <x:v>Message Sent</x:v>
      </x:c>
    </x:row>
    <x:row r="3087">
      <x:c r="A3087" t="str" s="2">
        <x:f>="Jack Lee"</x:f>
      </x:c>
      <x:c r="B3087" t="str" s="2">
        <x:v>Heritage Housing of Canton</x:v>
      </x:c>
      <x:c r="C3087" t="str" s="2">
        <x:v/>
      </x:c>
      <x:c r="D3087" t="str" s="2">
        <x:v>9794979085</x:v>
      </x:c>
      <x:c r="E3087" t="str" s="2">
        <x:v>sailorjack3@icloud.com</x:v>
      </x:c>
      <x:c r="F3087" t="str" s="2">
        <x:v>Meta Ads - Forms</x:v>
      </x:c>
      <x:c r="G3087" t="str" s="2">
        <x:v>Maira Garcia</x:v>
      </x:c>
      <x:c r="H3087" s="6">
        <x:v>46225.72422230324</x:v>
      </x:c>
      <x:c r="I3087" s="0"/>
      <x:c r="J3087" s="0"/>
      <x:c r="K3087" s="6">
        <x:v>46259</x:v>
      </x:c>
      <x:c r="L3087" t="str" s="2">
        <x:v>Message Sent</x:v>
      </x:c>
    </x:row>
    <x:row r="3088">
      <x:c r="A3088" t="str" s="2">
        <x:f>=HYPERLINK("https://rsms.futurehomex.com/lead/38686", "Deranda Westbrook")</x:f>
      </x:c>
      <x:c r="B3088" t="str" s="2">
        <x:v>Heritage Housing of Augusta</x:v>
      </x:c>
      <x:c r="C3088" t="str" s="2">
        <x:v/>
      </x:c>
      <x:c r="D3088" t="str" s="2">
        <x:v>7063608417</x:v>
      </x:c>
      <x:c r="E3088" t="str" s="2">
        <x:v>derandawestbrook@gmail.com</x:v>
      </x:c>
      <x:c r="F3088" t="str" s="2">
        <x:v>Walk-in</x:v>
      </x:c>
      <x:c r="G3088" t="str" s="2">
        <x:v>Jennifer Johnson</x:v>
      </x:c>
      <x:c r="H3088" s="6">
        <x:v>46225.778474652776</x:v>
      </x:c>
      <x:c r="I3088" t="str" s="2">
        <x:v>Alex Jones</x:v>
      </x:c>
      <x:c r="J3088" s="0"/>
      <x:c r="K3088" s="6">
        <x:v>46225.83543842593</x:v>
      </x:c>
      <x:c r="L3088" t="str" s="2">
        <x:v>Message Sent</x:v>
      </x:c>
    </x:row>
    <x:row r="3089">
      <x:c r="A3089" t="str" s="2">
        <x:f>="Cecelia Owens"</x:f>
      </x:c>
      <x:c r="B3089" t="str" s="2">
        <x:v>Heritage Housing Gainesville</x:v>
      </x:c>
      <x:c r="C3089" t="str" s="2">
        <x:v/>
      </x:c>
      <x:c r="D3089" t="str" s="2">
        <x:v>5802775746</x:v>
      </x:c>
      <x:c r="E3089" t="str" s="2">
        <x:v>loudebbie48@gmail.com</x:v>
      </x:c>
      <x:c r="F3089" t="str" s="2">
        <x:v>Financing Form</x:v>
      </x:c>
      <x:c r="G3089" t="str" s="2">
        <x:v>Kelly Ford</x:v>
      </x:c>
      <x:c r="H3089" s="6">
        <x:v>46225.77993950232</x:v>
      </x:c>
      <x:c r="I3089" s="0"/>
      <x:c r="J3089" s="0"/>
      <x:c r="K3089" s="6">
        <x:v>46283</x:v>
      </x:c>
      <x:c r="L3089" t="str" s="2">
        <x:v>Message Sent</x:v>
      </x:c>
    </x:row>
    <x:row r="3090">
      <x:c r="A3090" t="str" s="2">
        <x:f>="Dorie Parker-Fields"</x:f>
      </x:c>
      <x:c r="B3090" t="str" s="2">
        <x:v>Heritage Housing of Oklahoma City</x:v>
      </x:c>
      <x:c r="C3090" t="str" s="2">
        <x:v>0/1</x:v>
      </x:c>
      <x:c r="D3090" t="str" s="2">
        <x:v>405-933-9074</x:v>
      </x:c>
      <x:c r="E3090" t="str" s="2">
        <x:v>mrs.parker.fields@gmail.com</x:v>
      </x:c>
      <x:c r="F3090" t="str" s="2">
        <x:v>Financing Form</x:v>
      </x:c>
      <x:c r="G3090" t="str" s="2">
        <x:v>Trey Rixleben</x:v>
      </x:c>
      <x:c r="H3090" s="6">
        <x:v>46225.782975347225</x:v>
      </x:c>
      <x:c r="I3090" s="0"/>
      <x:c r="J3090" s="0"/>
      <x:c r="K3090" s="6">
        <x:v>46225.86294186342</x:v>
      </x:c>
      <x:c r="L3090" t="str" s="2">
        <x:v>Message Sent</x:v>
      </x:c>
    </x:row>
    <x:row r="3091">
      <x:c r="A3091" t="str" s="2">
        <x:f>="MARLEY WEBSTER"</x:f>
      </x:c>
      <x:c r="B3091" t="str" s="2">
        <x:v>Heritage Housing of Asheboro</x:v>
      </x:c>
      <x:c r="C3091" t="str" s="2">
        <x:v/>
      </x:c>
      <x:c r="D3091" t="str" s="2">
        <x:v>3367366372</x:v>
      </x:c>
      <x:c r="E3091" t="str" s="2">
        <x:v>mpwebster67@gmail.com</x:v>
      </x:c>
      <x:c r="F3091" t="str" s="2">
        <x:v>Website</x:v>
      </x:c>
      <x:c r="G3091" t="str" s="2">
        <x:v>Maria Lopez</x:v>
      </x:c>
      <x:c r="H3091" s="6">
        <x:v>46225.84339934028</x:v>
      </x:c>
      <x:c r="I3091" s="0"/>
      <x:c r="J3091" s="0"/>
      <x:c r="K3091" s="6">
        <x:v>46258</x:v>
      </x:c>
      <x:c r="L3091" t="str" s="2">
        <x:v>Message Sent</x:v>
      </x:c>
    </x:row>
    <x:row r="3092">
      <x:c r="A3092" t="str" s="2">
        <x:f>=HYPERLINK("https://rsms.futurehomex.com/lead/38690", "Guy Daniels")</x:f>
      </x:c>
      <x:c r="B3092" t="str" s="2">
        <x:v>Heritage Housing of Augusta</x:v>
      </x:c>
      <x:c r="C3092" t="str" s="2">
        <x:v/>
      </x:c>
      <x:c r="D3092" t="str" s="2">
        <x:v>7068339852</x:v>
      </x:c>
      <x:c r="E3092" t="str" s="2">
        <x:v>guy.daniels@comcast.net</x:v>
      </x:c>
      <x:c r="F3092" t="str" s="2">
        <x:v>Office Hot Calls</x:v>
      </x:c>
      <x:c r="G3092" t="str" s="2">
        <x:v>Faye Lively</x:v>
      </x:c>
      <x:c r="H3092" s="6">
        <x:v>46225.87492832176</x:v>
      </x:c>
      <x:c r="I3092" t="str" s="2">
        <x:v>Jennifer Johnson</x:v>
      </x:c>
      <x:c r="J3092" s="0"/>
      <x:c r="K3092" s="6">
        <x:v>46296</x:v>
      </x:c>
      <x:c r="L3092" t="str" s="2">
        <x:v>Message Sent</x:v>
      </x:c>
    </x:row>
    <x:row r="3093">
      <x:c r="A3093" t="str" s="2">
        <x:f>="Maria Alvarez"</x:f>
      </x:c>
      <x:c r="B3093" t="str" s="2">
        <x:v>Heritage Housing of Greenville</x:v>
      </x:c>
      <x:c r="C3093" t="str" s="2">
        <x:v/>
      </x:c>
      <x:c r="D3093" t="str" s="2">
        <x:v>9723753736</x:v>
      </x:c>
      <x:c r="E3093" t="str" s="2">
        <x:v>hugoalvarezdjb@yahoo.com</x:v>
      </x:c>
      <x:c r="F3093" t="str" s="2">
        <x:v>Meta Ads - Forms</x:v>
      </x:c>
      <x:c r="G3093" t="str" s="2">
        <x:v>Brooklynn Allen</x:v>
      </x:c>
      <x:c r="H3093" s="6">
        <x:v>46225.97490393519</x:v>
      </x:c>
      <x:c r="I3093" s="0"/>
      <x:c r="J3093" s="0"/>
      <x:c r="K3093" s="6">
        <x:v>46249</x:v>
      </x:c>
      <x:c r="L3093" t="str" s="2">
        <x:v>Message Sent</x:v>
      </x:c>
    </x:row>
    <x:row r="3094">
      <x:c r="A3094" t="str" s="2">
        <x:f>="Karen Anderson"</x:f>
      </x:c>
      <x:c r="B3094" t="str" s="2">
        <x:v>Heritage Housing of Canton</x:v>
      </x:c>
      <x:c r="C3094" t="str" s="2">
        <x:v/>
      </x:c>
      <x:c r="D3094" t="str" s="2">
        <x:v>9032274349</x:v>
      </x:c>
      <x:c r="E3094" t="str" s="2">
        <x:v>k_a_stogsdill@yahoo.com</x:v>
      </x:c>
      <x:c r="F3094" t="str" s="2">
        <x:v>Meta Ads - Forms</x:v>
      </x:c>
      <x:c r="G3094" t="str" s="2">
        <x:v>Maira Garcia</x:v>
      </x:c>
      <x:c r="H3094" s="6">
        <x:v>46226.00622696759</x:v>
      </x:c>
      <x:c r="I3094" s="0"/>
      <x:c r="J3094" s="0"/>
      <x:c r="K3094" s="6">
        <x:v>46259</x:v>
      </x:c>
      <x:c r="L3094" t="str" s="2">
        <x:v>Message Sent</x:v>
      </x:c>
    </x:row>
    <x:row r="3095">
      <x:c r="A3095" t="str" s="2">
        <x:f>="Tammy Barrington"</x:f>
      </x:c>
      <x:c r="B3095" t="str" s="2">
        <x:v>Heritage Housing Mt Pleasant</x:v>
      </x:c>
      <x:c r="C3095" t="str" s="2">
        <x:v/>
      </x:c>
      <x:c r="D3095" t="str" s="2">
        <x:v>5802120160</x:v>
      </x:c>
      <x:c r="E3095" t="str" s="2">
        <x:v>trbarrington1987@yahoo.com</x:v>
      </x:c>
      <x:c r="F3095" t="str" s="2">
        <x:v>Meta Ads - Forms</x:v>
      </x:c>
      <x:c r="G3095" t="str" s="2">
        <x:v>Sandra Saldana</x:v>
      </x:c>
      <x:c r="H3095" s="6">
        <x:v>46226.01453248843</x:v>
      </x:c>
      <x:c r="I3095" s="0"/>
      <x:c r="J3095" s="0"/>
      <x:c r="K3095" s="6">
        <x:v>46258</x:v>
      </x:c>
      <x:c r="L3095" t="str" s="2">
        <x:v>Message Sent</x:v>
      </x:c>
    </x:row>
    <x:row r="3096">
      <x:c r="A3096" t="str" s="2">
        <x:f>="Demetrious Carter"</x:f>
      </x:c>
      <x:c r="B3096" t="str" s="2">
        <x:v>Heritage Housing of Albany</x:v>
      </x:c>
      <x:c r="C3096" t="str" s="2">
        <x:v/>
      </x:c>
      <x:c r="D3096" t="str" s="2">
        <x:v>4789970750</x:v>
      </x:c>
      <x:c r="E3096" t="str" s="2">
        <x:v>nickiew64@gmail.com</x:v>
      </x:c>
      <x:c r="F3096" t="str" s="2">
        <x:v>Meta Ads - Forms</x:v>
      </x:c>
      <x:c r="G3096" t="str" s="2">
        <x:v>Yanet Alvarez</x:v>
      </x:c>
      <x:c r="H3096" s="6">
        <x:v>46226.016478125</x:v>
      </x:c>
      <x:c r="I3096" s="0"/>
      <x:c r="J3096" s="0"/>
      <x:c r="K3096" s="6">
        <x:v>46303</x:v>
      </x:c>
      <x:c r="L3096" t="str" s="2">
        <x:v>Message Sent</x:v>
      </x:c>
    </x:row>
    <x:row r="3097">
      <x:c r="A3097" t="str" s="2">
        <x:f>="Dawson Pelham"</x:f>
      </x:c>
      <x:c r="B3097" t="str" s="2">
        <x:v>Heritage Housing of Albany</x:v>
      </x:c>
      <x:c r="C3097" t="str" s="2">
        <x:v/>
      </x:c>
      <x:c r="D3097" t="str" s="2">
        <x:v>2294571014</x:v>
      </x:c>
      <x:c r="E3097" t="str" s="2">
        <x:v>dawsonpelham@yahoo.com</x:v>
      </x:c>
      <x:c r="F3097" t="str" s="2">
        <x:v>Financing Form</x:v>
      </x:c>
      <x:c r="G3097" t="str" s="2">
        <x:v>Yanet Alvarez</x:v>
      </x:c>
      <x:c r="H3097" s="6">
        <x:v>46226.090570636574</x:v>
      </x:c>
      <x:c r="I3097" s="0"/>
      <x:c r="J3097" s="0"/>
      <x:c r="K3097" s="6">
        <x:v>46303</x:v>
      </x:c>
      <x:c r="L3097" t="str" s="2">
        <x:v>Message Sent</x:v>
      </x:c>
    </x:row>
    <x:row r="3098">
      <x:c r="A3098" t="str" s="2">
        <x:f>="tina Farrow"</x:f>
      </x:c>
      <x:c r="B3098" t="str" s="2">
        <x:v>Heritage Housing of Canton</x:v>
      </x:c>
      <x:c r="C3098" t="str" s="2">
        <x:v/>
      </x:c>
      <x:c r="D3098" t="str" s="2">
        <x:v>9725133877</x:v>
      </x:c>
      <x:c r="E3098" t="str" s="2">
        <x:v>tinafarrow938@gmail.com</x:v>
      </x:c>
      <x:c r="F3098" t="str" s="2">
        <x:v>Meta Ads - Forms</x:v>
      </x:c>
      <x:c r="G3098" t="str" s="2">
        <x:v>Maira Garcia</x:v>
      </x:c>
      <x:c r="H3098" s="6">
        <x:v>46226.09499065972</x:v>
      </x:c>
      <x:c r="I3098" s="0"/>
      <x:c r="J3098" s="0"/>
      <x:c r="K3098" s="6">
        <x:v>46259</x:v>
      </x:c>
      <x:c r="L3098" t="str" s="2">
        <x:v>Message Sent</x:v>
      </x:c>
    </x:row>
    <x:row r="3099">
      <x:c r="A3099" t="str" s="2">
        <x:f>="Eugene Evans"</x:f>
      </x:c>
      <x:c r="B3099" t="str" s="2">
        <x:v>Heritage Housing Mt Pleasant</x:v>
      </x:c>
      <x:c r="C3099" t="str" s="2">
        <x:v/>
      </x:c>
      <x:c r="D3099" t="str" s="2">
        <x:v>9039441028</x:v>
      </x:c>
      <x:c r="E3099" t="str" s="2">
        <x:v>Eugeneevans196@gmail.com</x:v>
      </x:c>
      <x:c r="F3099" t="str" s="2">
        <x:v>Financing Form</x:v>
      </x:c>
      <x:c r="G3099" t="str" s="2">
        <x:v>Sandra Saldana</x:v>
      </x:c>
      <x:c r="H3099" s="6">
        <x:v>46226.21645011574</x:v>
      </x:c>
      <x:c r="I3099" s="0"/>
      <x:c r="J3099" s="0"/>
      <x:c r="K3099" s="6">
        <x:v>46258</x:v>
      </x:c>
      <x:c r="L3099" t="str" s="2">
        <x:v>Message Sent</x:v>
      </x:c>
    </x:row>
    <x:row r="3100">
      <x:c r="A3100" t="str" s="2">
        <x:f>="Dixie Kenner"</x:f>
      </x:c>
      <x:c r="B3100" t="str" s="2">
        <x:v>Heritage Housing of Oklahoma City</x:v>
      </x:c>
      <x:c r="C3100" t="str" s="2">
        <x:v>0/2</x:v>
      </x:c>
      <x:c r="D3100" t="str" s="2">
        <x:v>4059990472</x:v>
      </x:c>
      <x:c r="E3100" t="str" s="2">
        <x:v>kennerdixie0@gmail.com</x:v>
      </x:c>
      <x:c r="F3100" t="str" s="2">
        <x:v>Meta Ads - Forms</x:v>
      </x:c>
      <x:c r="G3100" t="str" s="2">
        <x:v>Trey Rixleben</x:v>
      </x:c>
      <x:c r="H3100" s="6">
        <x:v>46226.344797604164</x:v>
      </x:c>
      <x:c r="I3100" s="0"/>
      <x:c r="J3100" s="0"/>
      <x:c r="K3100" s="6">
        <x:v>46226.60605945602</x:v>
      </x:c>
      <x:c r="L3100" t="str" s="2">
        <x:v>Message Sent</x:v>
      </x:c>
    </x:row>
    <x:row r="3101">
      <x:c r="A3101" t="str" s="2">
        <x:f>="Ricky Cheatwood"</x:f>
      </x:c>
      <x:c r="B3101" t="str" s="2">
        <x:v>Heritage Housing Mt Pleasant</x:v>
      </x:c>
      <x:c r="C3101" t="str" s="2">
        <x:v/>
      </x:c>
      <x:c r="D3101" t="str" s="2" xml:space="preserve">
        <x:v> 9036474093    </x:v>
      </x:c>
      <x:c r="E3101" t="str" s="2">
        <x:v>rcheatwood@yahoo.com</x:v>
      </x:c>
      <x:c r="F3101" t="str" s="2">
        <x:v>Meta Ads - Forms</x:v>
      </x:c>
      <x:c r="G3101" t="str" s="2">
        <x:v>Yarelis Torres</x:v>
      </x:c>
      <x:c r="H3101" s="6">
        <x:v>46226.37740292824</x:v>
      </x:c>
      <x:c r="I3101" s="0"/>
      <x:c r="J3101" s="0"/>
      <x:c r="K3101" s="6">
        <x:v>46255</x:v>
      </x:c>
      <x:c r="L3101" t="str" s="2">
        <x:v>Message Sent</x:v>
      </x:c>
    </x:row>
    <x:row r="3102">
      <x:c r="A3102" t="str" s="2">
        <x:f>="Kathy Myers"</x:f>
      </x:c>
      <x:c r="B3102" t="str" s="2">
        <x:v>Heritage Housing of Jennings</x:v>
      </x:c>
      <x:c r="C3102" t="str" s="2">
        <x:v>0/6</x:v>
      </x:c>
      <x:c r="D3102" t="str" s="2">
        <x:v>3184034758</x:v>
      </x:c>
      <x:c r="E3102" t="str" s="2">
        <x:v>kathymyers347@gmail.com</x:v>
      </x:c>
      <x:c r="F3102" t="str" s="2">
        <x:v>Meta Ads - Forms</x:v>
      </x:c>
      <x:c r="G3102" t="str" s="2">
        <x:v>Mervin Leslie Smith</x:v>
      </x:c>
      <x:c r="H3102" s="6">
        <x:v>46226.399491550925</x:v>
      </x:c>
      <x:c r="I3102" s="0"/>
      <x:c r="J3102" s="0"/>
      <x:c r="K3102" s="6">
        <x:v>46284.712599502316</x:v>
      </x:c>
      <x:c r="L3102" t="str" s="2">
        <x:v>Message Sent</x:v>
      </x:c>
    </x:row>
    <x:row r="3103">
      <x:c r="A3103" t="str" s="2">
        <x:f>="Wilbert Reggans"</x:f>
      </x:c>
      <x:c r="B3103" t="str" s="2">
        <x:v>Heritage Housing Gainesville</x:v>
      </x:c>
      <x:c r="C3103" t="str" s="2">
        <x:v/>
      </x:c>
      <x:c r="D3103" t="str" s="2">
        <x:v>8174546301</x:v>
      </x:c>
      <x:c r="E3103" t="str" s="2">
        <x:v>wdreggans1450@att.net</x:v>
      </x:c>
      <x:c r="F3103" t="str" s="2">
        <x:v>Meta Ads - Forms</x:v>
      </x:c>
      <x:c r="G3103" t="str" s="2">
        <x:v>Kelly Ford</x:v>
      </x:c>
      <x:c r="H3103" s="6">
        <x:v>46226.492624224535</x:v>
      </x:c>
      <x:c r="I3103" s="0"/>
      <x:c r="J3103" s="0"/>
      <x:c r="K3103" s="6">
        <x:v>46283</x:v>
      </x:c>
      <x:c r="L3103" t="str" s="2">
        <x:v>Message Sent</x:v>
      </x:c>
    </x:row>
    <x:row r="3104">
      <x:c r="A3104" t="str" s="2">
        <x:f>="Joshua Sexton"</x:f>
      </x:c>
      <x:c r="B3104" t="str" s="2">
        <x:v>Heritage Housing of Jennings</x:v>
      </x:c>
      <x:c r="C3104" t="str" s="2">
        <x:v>0/1</x:v>
      </x:c>
      <x:c r="D3104" t="str" s="2">
        <x:v>9853204708</x:v>
      </x:c>
      <x:c r="E3104" t="str" s="2">
        <x:v>sexjoshua87@yahoo.com</x:v>
      </x:c>
      <x:c r="F3104" t="str" s="2">
        <x:v>LandingPage</x:v>
      </x:c>
      <x:c r="G3104" t="str" s="2">
        <x:v>Clint O'Neal</x:v>
      </x:c>
      <x:c r="H3104" s="6">
        <x:v>46226.49387465278</x:v>
      </x:c>
      <x:c r="I3104" s="0"/>
      <x:c r="J3104" s="0"/>
      <x:c r="K3104" s="6">
        <x:v>46226</x:v>
      </x:c>
      <x:c r="L3104" t="str" s="2">
        <x:v>Message Sent</x:v>
      </x:c>
    </x:row>
    <x:row r="3105">
      <x:c r="A3105" t="str" s="2">
        <x:f>="Jessie Jacksonn"</x:f>
      </x:c>
      <x:c r="B3105" t="str" s="2">
        <x:v>Heritage Housing of Oklahoma City</x:v>
      </x:c>
      <x:c r="C3105" t="str" s="2">
        <x:v>0/2</x:v>
      </x:c>
      <x:c r="D3105" t="str" s="2">
        <x:v>2107087663</x:v>
      </x:c>
      <x:c r="E3105" t="str" s="2">
        <x:v>Babygirljj1963@gmail.com</x:v>
      </x:c>
      <x:c r="F3105" t="str" s="2">
        <x:v>Meta Ads - Forms</x:v>
      </x:c>
      <x:c r="G3105" t="str" s="2">
        <x:v>Trey Rixleben</x:v>
      </x:c>
      <x:c r="H3105" s="6">
        <x:v>46226.54269915509</x:v>
      </x:c>
      <x:c r="I3105" s="0"/>
      <x:c r="J3105" s="0"/>
      <x:c r="K3105" s="6">
        <x:v>46230.96899961805</x:v>
      </x:c>
      <x:c r="L3105" t="str" s="2">
        <x:v>Message Sent</x:v>
      </x:c>
    </x:row>
    <x:row r="3106">
      <x:c r="A3106" t="str" s="2">
        <x:f>="Mignon Jones"</x:f>
      </x:c>
      <x:c r="B3106" t="str" s="2">
        <x:v>Heritage Housing of Augusta</x:v>
      </x:c>
      <x:c r="C3106" t="str" s="2">
        <x:v/>
      </x:c>
      <x:c r="D3106" t="str" s="2">
        <x:v>4049142299</x:v>
      </x:c>
      <x:c r="E3106" t="str" s="2">
        <x:v>glamornanaof2@yahoo.com</x:v>
      </x:c>
      <x:c r="F3106" t="str" s="2">
        <x:v>Meta Ads - Traffic</x:v>
      </x:c>
      <x:c r="G3106" t="str" s="2">
        <x:v>Faye Lively</x:v>
      </x:c>
      <x:c r="H3106" s="6">
        <x:v>46226.57655509259</x:v>
      </x:c>
      <x:c r="I3106" s="0"/>
      <x:c r="J3106" s="0"/>
      <x:c r="K3106" s="6">
        <x:v>46274</x:v>
      </x:c>
      <x:c r="L3106" t="str" s="2">
        <x:v>Message Sent</x:v>
      </x:c>
    </x:row>
    <x:row r="3107">
      <x:c r="A3107" t="str" s="2">
        <x:f>="DannyLup Villazana"</x:f>
      </x:c>
      <x:c r="B3107" t="str" s="2">
        <x:v>Heritage Housing of Greenville</x:v>
      </x:c>
      <x:c r="C3107" t="str" s="2">
        <x:v/>
      </x:c>
      <x:c r="D3107" t="str" s="2">
        <x:v>4699723879</x:v>
      </x:c>
      <x:c r="E3107" t="str" s="2">
        <x:v>chofi1883@gmail.com</x:v>
      </x:c>
      <x:c r="F3107" t="str" s="2">
        <x:v>Meta Ads - Forms</x:v>
      </x:c>
      <x:c r="G3107" t="str" s="2">
        <x:v>Brooklynn Allen</x:v>
      </x:c>
      <x:c r="H3107" s="6">
        <x:v>46226.58195015047</x:v>
      </x:c>
      <x:c r="I3107" s="0"/>
      <x:c r="J3107" s="0"/>
      <x:c r="K3107" s="6">
        <x:v>46249</x:v>
      </x:c>
      <x:c r="L3107" t="str" s="2">
        <x:v>Message Sent</x:v>
      </x:c>
    </x:row>
    <x:row r="3108">
      <x:c r="A3108" t="str" s="2">
        <x:f>="Christina Strickland"</x:f>
      </x:c>
      <x:c r="B3108" t="str" s="2">
        <x:v>Heritage Housing of Athens</x:v>
      </x:c>
      <x:c r="C3108" t="str" s="2">
        <x:v/>
      </x:c>
      <x:c r="D3108" t="str" s="2">
        <x:v>7622827177</x:v>
      </x:c>
      <x:c r="E3108" t="str" s="2">
        <x:v>christinastrickland1112@gmail.com</x:v>
      </x:c>
      <x:c r="F3108" t="str" s="2">
        <x:v>Meta Ads - Traffic</x:v>
      </x:c>
      <x:c r="G3108" t="str" s="2">
        <x:v>Nathan Bishop</x:v>
      </x:c>
      <x:c r="H3108" s="6">
        <x:v>46226.604549537034</x:v>
      </x:c>
      <x:c r="I3108" s="0"/>
      <x:c r="J3108" s="0"/>
      <x:c r="K3108" s="6">
        <x:v>46282</x:v>
      </x:c>
      <x:c r="L3108" t="str" s="2">
        <x:v>Message Sent</x:v>
      </x:c>
    </x:row>
    <x:row r="3109">
      <x:c r="A3109" t="str" s="2">
        <x:f>="Leslie Key"</x:f>
      </x:c>
      <x:c r="B3109" t="str" s="2">
        <x:v>Heritage Housing of Albany</x:v>
      </x:c>
      <x:c r="C3109" t="str" s="2">
        <x:v/>
      </x:c>
      <x:c r="D3109" t="str" s="2">
        <x:v>3348460047</x:v>
      </x:c>
      <x:c r="E3109" t="str" s="2">
        <x:v>Keyleslie373@gmail.com</x:v>
      </x:c>
      <x:c r="F3109" t="str" s="2">
        <x:v>Meta Ads - Forms</x:v>
      </x:c>
      <x:c r="G3109" t="str" s="2">
        <x:v>Yanet Alvarez</x:v>
      </x:c>
      <x:c r="H3109" s="6">
        <x:v>46226.66394799769</x:v>
      </x:c>
      <x:c r="I3109" s="0"/>
      <x:c r="J3109" s="0"/>
      <x:c r="K3109" s="6">
        <x:v>46307</x:v>
      </x:c>
      <x:c r="L3109" t="str" s="2">
        <x:v>Message Sent</x:v>
      </x:c>
    </x:row>
    <x:row r="3110">
      <x:c r="A3110" t="str" s="2">
        <x:f>="Shannon Deloney"</x:f>
      </x:c>
      <x:c r="B3110" t="str" s="2">
        <x:v>Heritage Housing of Greenville</x:v>
      </x:c>
      <x:c r="C3110" t="str" s="2">
        <x:v/>
      </x:c>
      <x:c r="D3110" t="str" s="2">
        <x:v>2143092281</x:v>
      </x:c>
      <x:c r="E3110" t="str" s="2">
        <x:v>shannondeloney93@gmail.com</x:v>
      </x:c>
      <x:c r="F3110" t="str" s="2">
        <x:v>Financing Form</x:v>
      </x:c>
      <x:c r="G3110" t="str" s="2">
        <x:v>Brooklynn Allen</x:v>
      </x:c>
      <x:c r="H3110" s="6">
        <x:v>46226.687829282404</x:v>
      </x:c>
      <x:c r="I3110" s="0"/>
      <x:c r="J3110" s="0"/>
      <x:c r="K3110" s="6">
        <x:v>46249</x:v>
      </x:c>
      <x:c r="L3110" t="str" s="2">
        <x:v>Message Sent</x:v>
      </x:c>
    </x:row>
    <x:row r="3111">
      <x:c r="A3111" t="str" s="2">
        <x:f>="Robert Mims"</x:f>
      </x:c>
      <x:c r="B3111" t="str" s="2">
        <x:v>Heritage Housing of Canton</x:v>
      </x:c>
      <x:c r="C3111" t="str" s="2">
        <x:v/>
      </x:c>
      <x:c r="D3111" t="str" s="2">
        <x:v>9795994081</x:v>
      </x:c>
      <x:c r="E3111" t="str" s="2">
        <x:v>robertmims51@gmail.com</x:v>
      </x:c>
      <x:c r="F3111" t="str" s="2">
        <x:v>Meta Ads - Forms</x:v>
      </x:c>
      <x:c r="G3111" t="str" s="2">
        <x:v>Maira Garcia</x:v>
      </x:c>
      <x:c r="H3111" s="6">
        <x:v>46226.71038653935</x:v>
      </x:c>
      <x:c r="I3111" s="0"/>
      <x:c r="J3111" s="0"/>
      <x:c r="K3111" s="6">
        <x:v>46259</x:v>
      </x:c>
      <x:c r="L3111" t="str" s="2">
        <x:v>Message Sent</x:v>
      </x:c>
    </x:row>
    <x:row r="3112">
      <x:c r="A3112" t="str" s="2">
        <x:f>="Blayden Stand"</x:f>
      </x:c>
      <x:c r="B3112" t="str" s="2">
        <x:v>Heritage Housing of Tulsa</x:v>
      </x:c>
      <x:c r="C3112" t="str" s="2">
        <x:v/>
      </x:c>
      <x:c r="D3112" t="str" s="2">
        <x:v>9185335454</x:v>
      </x:c>
      <x:c r="E3112" t="str" s="2">
        <x:v>blaydens@yahoo.com</x:v>
      </x:c>
      <x:c r="F3112" t="str" s="2">
        <x:v>LandingPage</x:v>
      </x:c>
      <x:c r="G3112" t="str" s="2">
        <x:v>Jenna Fransisco</x:v>
      </x:c>
      <x:c r="H3112" s="6">
        <x:v>46226.83725065972</x:v>
      </x:c>
      <x:c r="I3112" s="0"/>
      <x:c r="J3112" s="0"/>
      <x:c r="K3112" s="6">
        <x:v>46251</x:v>
      </x:c>
      <x:c r="L3112" t="str" s="2">
        <x:v>Message Sent</x:v>
      </x:c>
    </x:row>
    <x:row r="3113">
      <x:c r="A3113" t="str" s="2">
        <x:f>=HYPERLINK("https://rsms.futurehomex.com/lead/38711", "Jazmin Rivas")</x:f>
      </x:c>
      <x:c r="B3113" t="str" s="2">
        <x:v>Legacy Housing Corp. DBA Americasa</x:v>
      </x:c>
      <x:c r="C3113" t="str" s="2">
        <x:v/>
      </x:c>
      <x:c r="D3113" t="str" s="2">
        <x:v>8329833563</x:v>
      </x:c>
      <x:c r="E3113" t="str" s="2">
        <x:v>8329833563</x:v>
      </x:c>
      <x:c r="F3113" t="str" s="2">
        <x:v>Walk-in</x:v>
      </x:c>
      <x:c r="G3113" t="str" s="2">
        <x:v>Rodrigo Ramirez</x:v>
      </x:c>
      <x:c r="H3113" s="6">
        <x:v>46226.85623827546</x:v>
      </x:c>
      <x:c r="I3113" t="str" s="2">
        <x:v>Joey Marquez</x:v>
      </x:c>
      <x:c r="J3113" s="0"/>
      <x:c r="K3113" s="6">
        <x:v>46241</x:v>
      </x:c>
      <x:c r="L3113" t="str" s="2">
        <x:v>Message Sent</x:v>
      </x:c>
    </x:row>
    <x:row r="3114">
      <x:c r="A3114" t="str" s="2">
        <x:f>="Eddie Small"</x:f>
      </x:c>
      <x:c r="B3114" t="str" s="2">
        <x:v>Heritage Housing of Asheboro</x:v>
      </x:c>
      <x:c r="C3114" t="str" s="2">
        <x:v/>
      </x:c>
      <x:c r="D3114" t="str" s="2">
        <x:v>7577747332</x:v>
      </x:c>
      <x:c r="E3114" t="str" s="2">
        <x:v>Sealcoatingpro757@gmail.com</x:v>
      </x:c>
      <x:c r="F3114" t="str" s="2">
        <x:v>Financing Form</x:v>
      </x:c>
      <x:c r="G3114" t="str" s="2">
        <x:v>Maria Lopez</x:v>
      </x:c>
      <x:c r="H3114" s="6">
        <x:v>46226.86295633102</x:v>
      </x:c>
      <x:c r="I3114" s="0"/>
      <x:c r="J3114" s="0"/>
      <x:c r="K3114" s="6">
        <x:v>46255</x:v>
      </x:c>
      <x:c r="L3114" t="str" s="2">
        <x:v>Message Sent</x:v>
      </x:c>
    </x:row>
    <x:row r="3115">
      <x:c r="A3115" t="str" s="2">
        <x:f>=HYPERLINK("https://rsms.futurehomex.com/lead/38712", "Andrew Lunde")</x:f>
      </x:c>
      <x:c r="B3115" t="str" s="2">
        <x:v>Heritage Housing of Augusta</x:v>
      </x:c>
      <x:c r="C3115" t="str" s="2">
        <x:v/>
      </x:c>
      <x:c r="D3115" t="str" s="2">
        <x:v>7064210777</x:v>
      </x:c>
      <x:c r="E3115" t="str" s="2">
        <x:v>Andrewlunde0218@gmail.com</x:v>
      </x:c>
      <x:c r="F3115" t="str" s="2">
        <x:v>Office Hot Calls</x:v>
      </x:c>
      <x:c r="G3115" t="str" s="2">
        <x:v>Faye Lively</x:v>
      </x:c>
      <x:c r="H3115" s="6">
        <x:v>46226.87588572917</x:v>
      </x:c>
      <x:c r="I3115" t="str" s="2">
        <x:v>Jennifer Johnson</x:v>
      </x:c>
      <x:c r="J3115" s="0"/>
      <x:c r="K3115" s="6">
        <x:v>46303</x:v>
      </x:c>
      <x:c r="L3115" t="str" s="2">
        <x:v>Message Sent</x:v>
      </x:c>
    </x:row>
    <x:row r="3116">
      <x:c r="A3116" t="str" s="2">
        <x:f>="Heather Whitworth"</x:f>
      </x:c>
      <x:c r="B3116" t="str" s="2">
        <x:v>Heritage Housing of Oklahoma City</x:v>
      </x:c>
      <x:c r="C3116" t="str" s="2">
        <x:v>0/2</x:v>
      </x:c>
      <x:c r="D3116" t="str" s="2">
        <x:v>4056143099</x:v>
      </x:c>
      <x:c r="E3116" t="str" s="2">
        <x:v>whitworth6733@hotmail.com</x:v>
      </x:c>
      <x:c r="F3116" t="str" s="2">
        <x:v>Financing Form</x:v>
      </x:c>
      <x:c r="G3116" t="str" s="2">
        <x:v>Trey Rixleben</x:v>
      </x:c>
      <x:c r="H3116" s="6">
        <x:v>46226.87870332176</x:v>
      </x:c>
      <x:c r="I3116" s="0"/>
      <x:c r="J3116" s="0"/>
      <x:c r="K3116" s="6">
        <x:v>46227.895117789354</x:v>
      </x:c>
      <x:c r="L3116" t="str" s="2">
        <x:v>Message Sent</x:v>
      </x:c>
    </x:row>
    <x:row r="3117">
      <x:c r="A3117" t="str" s="2">
        <x:f>="David Rivera"</x:f>
      </x:c>
      <x:c r="B3117" t="str" s="2">
        <x:v>Heritage Housing of Tulsa</x:v>
      </x:c>
      <x:c r="C3117" t="str" s="2">
        <x:v/>
      </x:c>
      <x:c r="D3117" t="str" s="2">
        <x:v>5393228431</x:v>
      </x:c>
      <x:c r="E3117" t="str" s="2">
        <x:v>wheresdave52@gmail.com</x:v>
      </x:c>
      <x:c r="F3117" t="str" s="2">
        <x:v>Meta Ads - Forms</x:v>
      </x:c>
      <x:c r="G3117" t="str" s="2">
        <x:v>Jenna Fransisco</x:v>
      </x:c>
      <x:c r="H3117" s="6">
        <x:v>46226.95151446759</x:v>
      </x:c>
      <x:c r="I3117" s="0"/>
      <x:c r="J3117" s="0"/>
      <x:c r="K3117" s="6">
        <x:v>46251</x:v>
      </x:c>
      <x:c r="L3117" t="str" s="2">
        <x:v>Message Sent</x:v>
      </x:c>
    </x:row>
    <x:row r="3118">
      <x:c r="A3118" t="str" s="2">
        <x:f>="Adrian Arce"</x:f>
      </x:c>
      <x:c r="B3118" t="str" s="2">
        <x:v>Heritage Housing Mt Pleasant</x:v>
      </x:c>
      <x:c r="C3118" t="str" s="2">
        <x:v/>
      </x:c>
      <x:c r="D3118" t="str" s="2">
        <x:v>4697921165</x:v>
      </x:c>
      <x:c r="E3118" t="str" s="2">
        <x:v>4697921165</x:v>
      </x:c>
      <x:c r="F3118" t="str" s="2">
        <x:v>Vendor's Site to "Bandit Signs"</x:v>
      </x:c>
      <x:c r="G3118" t="str" s="2">
        <x:v>Yarelis Torres</x:v>
      </x:c>
      <x:c r="H3118" s="6">
        <x:v>46227.62508298611</x:v>
      </x:c>
      <x:c r="I3118" s="0"/>
      <x:c r="J3118" s="6">
        <x:v>46228.208333333336</x:v>
      </x:c>
      <x:c r="K3118" s="6">
        <x:v>46248</x:v>
      </x:c>
      <x:c r="L3118" t="str" s="2">
        <x:v>Message Sent</x:v>
      </x:c>
    </x:row>
    <x:row r="3119">
      <x:c r="A3119" t="str" s="2">
        <x:f>=HYPERLINK("https://rsms.futurehomex.com/lead/38721", "Deborah Boyd")</x:f>
      </x:c>
      <x:c r="B3119" t="str" s="2">
        <x:v>Heritage Housing of Augusta</x:v>
      </x:c>
      <x:c r="C3119" t="str" s="2">
        <x:v/>
      </x:c>
      <x:c r="D3119" t="str" s="2">
        <x:v>8032577367</x:v>
      </x:c>
      <x:c r="E3119" t="str" s="2">
        <x:v>8032577367</x:v>
      </x:c>
      <x:c r="F3119" t="str" s="2">
        <x:v>Walk-in</x:v>
      </x:c>
      <x:c r="G3119" t="str" s="2">
        <x:v>Faye Lively</x:v>
      </x:c>
      <x:c r="H3119" s="6">
        <x:v>46227.69116875</x:v>
      </x:c>
      <x:c r="I3119" t="str" s="2">
        <x:v>Jennifer Johnson</x:v>
      </x:c>
      <x:c r="J3119" s="0"/>
      <x:c r="K3119" s="6">
        <x:v>46294</x:v>
      </x:c>
      <x:c r="L3119" t="str" s="2">
        <x:v>Message Sent</x:v>
      </x:c>
    </x:row>
    <x:row r="3120">
      <x:c r="A3120" t="str" s="2">
        <x:f>=HYPERLINK("https://rsms.futurehomex.com/lead/38725", "Sheryl Cooper")</x:f>
      </x:c>
      <x:c r="B3120" t="str" s="2">
        <x:v>Heritage Housing Mt Pleasant</x:v>
      </x:c>
      <x:c r="C3120" t="str" s="2">
        <x:v/>
      </x:c>
      <x:c r="D3120" t="str" s="2">
        <x:v>9039208682</x:v>
      </x:c>
      <x:c r="E3120" t="str" s="2">
        <x:v>elizabeth_oman@yahoo.com</x:v>
      </x:c>
      <x:c r="F3120" t="str" s="2">
        <x:v>Walk-in</x:v>
      </x:c>
      <x:c r="G3120" t="str" s="2">
        <x:v>Yarelis Torres</x:v>
      </x:c>
      <x:c r="H3120" s="6">
        <x:v>46227.82054444445</x:v>
      </x:c>
      <x:c r="I3120" t="str" s="2">
        <x:v>Yarelis Torres</x:v>
      </x:c>
      <x:c r="J3120" s="0"/>
      <x:c r="K3120" s="6">
        <x:v>46248</x:v>
      </x:c>
      <x:c r="L3120" t="str" s="2">
        <x:v>Message Sent</x:v>
      </x:c>
    </x:row>
    <x:row r="3121">
      <x:c r="A3121" t="str" s="2">
        <x:f>="Gladys Rangel"</x:f>
      </x:c>
      <x:c r="B3121" t="str" s="2">
        <x:v>Heritage Housing of Asheboro</x:v>
      </x:c>
      <x:c r="C3121" t="str" s="2">
        <x:v/>
      </x:c>
      <x:c r="D3121" t="str" s="2">
        <x:v>9199374287</x:v>
      </x:c>
      <x:c r="E3121" t="str" s="2">
        <x:v>gladysrangelsantiago4@gmail.com</x:v>
      </x:c>
      <x:c r="F3121" t="str" s="2">
        <x:v>Financing Form</x:v>
      </x:c>
      <x:c r="G3121" t="str" s="2">
        <x:v>Maria Lopez</x:v>
      </x:c>
      <x:c r="H3121" s="6">
        <x:v>46227.879952511576</x:v>
      </x:c>
      <x:c r="I3121" s="0"/>
      <x:c r="J3121" s="0"/>
      <x:c r="K3121" s="6">
        <x:v>46261</x:v>
      </x:c>
      <x:c r="L3121" t="str" s="2">
        <x:v>Message Sent</x:v>
      </x:c>
    </x:row>
    <x:row r="3122">
      <x:c r="A3122" t="str" s="2">
        <x:f>=HYPERLINK("https://rsms.futurehomex.com/lead/38731", "Shonte Wright")</x:f>
      </x:c>
      <x:c r="B3122" t="str" s="2">
        <x:v>Heritage Housing of Augusta</x:v>
      </x:c>
      <x:c r="C3122" t="str" s="2">
        <x:v/>
      </x:c>
      <x:c r="D3122" t="str" s="2">
        <x:v>8435057255</x:v>
      </x:c>
      <x:c r="E3122" t="str" s="2">
        <x:v>wright.shonte@yahoo.com</x:v>
      </x:c>
      <x:c r="F3122" t="str" s="2">
        <x:v>Walk-in</x:v>
      </x:c>
      <x:c r="G3122" t="str" s="2">
        <x:v>Jennifer Johnson</x:v>
      </x:c>
      <x:c r="H3122" s="6">
        <x:v>46227.90104285879</x:v>
      </x:c>
      <x:c r="I3122" t="str" s="2">
        <x:v>Jennifer Johnson</x:v>
      </x:c>
      <x:c r="J3122" s="0"/>
      <x:c r="K3122" s="6">
        <x:v>46295</x:v>
      </x:c>
      <x:c r="L3122" t="str" s="2">
        <x:v>Message Sent</x:v>
      </x:c>
    </x:row>
    <x:row r="3123">
      <x:c r="A3123" t="str" s="2">
        <x:f>="Jennifer Tindol"</x:f>
      </x:c>
      <x:c r="B3123" t="str" s="2">
        <x:v>Heritage Housing of Albany</x:v>
      </x:c>
      <x:c r="C3123" t="str" s="2">
        <x:v/>
      </x:c>
      <x:c r="D3123" t="str" s="2">
        <x:v>2293144940</x:v>
      </x:c>
      <x:c r="E3123" t="str" s="2">
        <x:v>jjth22@yahoo.com</x:v>
      </x:c>
      <x:c r="F3123" t="str" s="2">
        <x:v>Financing Form</x:v>
      </x:c>
      <x:c r="G3123" t="str" s="2">
        <x:v>Yanet Alvarez</x:v>
      </x:c>
      <x:c r="H3123" s="6">
        <x:v>46228.02796813657</x:v>
      </x:c>
      <x:c r="I3123" s="0"/>
      <x:c r="J3123" s="0"/>
      <x:c r="K3123" s="6">
        <x:v>46307</x:v>
      </x:c>
      <x:c r="L3123" t="str" s="2">
        <x:v>Message Sent</x:v>
      </x:c>
    </x:row>
    <x:row r="3124">
      <x:c r="A3124" t="str" s="2">
        <x:f>="Taylor Gunter"</x:f>
      </x:c>
      <x:c r="B3124" t="str" s="2">
        <x:v>Heritage Housing of Oklahoma City</x:v>
      </x:c>
      <x:c r="C3124" t="str" s="2">
        <x:v>0/2</x:v>
      </x:c>
      <x:c r="D3124" t="str" s="2">
        <x:v>4792956100</x:v>
      </x:c>
      <x:c r="E3124" t="str" s="2">
        <x:v>taylorgunter92@gmail.com</x:v>
      </x:c>
      <x:c r="F3124" t="str" s="2">
        <x:v>Financing Form</x:v>
      </x:c>
      <x:c r="G3124" t="str" s="2">
        <x:v>Trey Rixleben</x:v>
      </x:c>
      <x:c r="H3124" s="6">
        <x:v>46228.052661608795</x:v>
      </x:c>
      <x:c r="I3124" s="0"/>
      <x:c r="J3124" s="0"/>
      <x:c r="K3124" s="6">
        <x:v>46230.96593391203</x:v>
      </x:c>
      <x:c r="L3124" t="str" s="2">
        <x:v>Message Sent</x:v>
      </x:c>
    </x:row>
    <x:row r="3125">
      <x:c r="A3125" t="str" s="2">
        <x:f>="Buy_hisi B_ggsiO"</x:f>
      </x:c>
      <x:c r="B3125" t="str" s="2">
        <x:v>Heritage Housing of Greenville</x:v>
      </x:c>
      <x:c r="C3125" t="str" s="2">
        <x:v/>
      </x:c>
      <x:c r="D3125" t="str" s="2">
        <x:v>88498219296</x:v>
      </x:c>
      <x:c r="E3125" t="str" s="2">
        <x:v>jxnihmu@dpkermq.xrv</x:v>
      </x:c>
      <x:c r="F3125" t="str" s="2">
        <x:v>Website</x:v>
      </x:c>
      <x:c r="G3125" t="str" s="2">
        <x:v>Ana Garcia</x:v>
      </x:c>
      <x:c r="H3125" s="6">
        <x:v>46228.10681712963</x:v>
      </x:c>
      <x:c r="I3125" s="0"/>
      <x:c r="J3125" s="0"/>
      <x:c r="K3125" s="6">
        <x:v>46231</x:v>
      </x:c>
      <x:c r="L3125" t="str" s="2">
        <x:v>Message Sent</x:v>
      </x:c>
    </x:row>
    <x:row r="3126">
      <x:c r="A3126" t="str" s="2">
        <x:f>=HYPERLINK("https://rsms.futurehomex.com/lead/38845", "Omar Mccrea")</x:f>
      </x:c>
      <x:c r="B3126" t="str" s="2">
        <x:v>Heritage Housing of Jennings</x:v>
      </x:c>
      <x:c r="C3126" t="str" s="2">
        <x:v>0/5</x:v>
      </x:c>
      <x:c r="D3126" t="str" s="2">
        <x:v>3379981046</x:v>
      </x:c>
      <x:c r="E3126" t="str" s="2">
        <x:v>omarmccrea23@yahoo.com</x:v>
      </x:c>
      <x:c r="F3126" t="str" s="2">
        <x:v>Financing Form</x:v>
      </x:c>
      <x:c r="G3126" t="str" s="2">
        <x:v>Mervin Leslie Smith</x:v>
      </x:c>
      <x:c r="H3126" s="6">
        <x:v>46228.17245520833</x:v>
      </x:c>
      <x:c r="I3126" t="str" s="2">
        <x:v>Mervin Leslie Smith</x:v>
      </x:c>
      <x:c r="J3126" s="0"/>
      <x:c r="K3126" s="6">
        <x:v>46308</x:v>
      </x:c>
      <x:c r="L3126" t="str" s="2">
        <x:v>Message Sent</x:v>
      </x:c>
    </x:row>
    <x:row r="3127">
      <x:c r="A3127" t="str" s="2">
        <x:f>="Angel Contreas"</x:f>
      </x:c>
      <x:c r="B3127" t="str" s="2">
        <x:v>Heritage Housing of Athens</x:v>
      </x:c>
      <x:c r="C3127" t="str" s="2">
        <x:v/>
      </x:c>
      <x:c r="D3127" t="str" s="2">
        <x:v>4709830812</x:v>
      </x:c>
      <x:c r="E3127" t="str" s="2">
        <x:v>angel324087@gmail.com</x:v>
      </x:c>
      <x:c r="F3127" t="str" s="2">
        <x:v>Financing Form</x:v>
      </x:c>
      <x:c r="G3127" t="str" s="2">
        <x:v>Brian Amato</x:v>
      </x:c>
      <x:c r="H3127" s="6">
        <x:v>46228.22867662037</x:v>
      </x:c>
      <x:c r="I3127" s="0"/>
      <x:c r="J3127" s="0"/>
      <x:c r="K3127" s="6">
        <x:v>46233.88484251157</x:v>
      </x:c>
      <x:c r="L3127" t="str" s="2">
        <x:v>Message Sent</x:v>
      </x:c>
    </x:row>
    <x:row r="3128">
      <x:c r="A3128" t="str" s="2">
        <x:f>="Teresa Pleze"</x:f>
      </x:c>
      <x:c r="B3128" t="str" s="2">
        <x:v>Heritage Housing of Augusta</x:v>
      </x:c>
      <x:c r="C3128" t="str" s="2">
        <x:v/>
      </x:c>
      <x:c r="D3128" t="str" s="2">
        <x:v>7068331273</x:v>
      </x:c>
      <x:c r="E3128" t="str" s="2">
        <x:v>tpleze@gmail.com</x:v>
      </x:c>
      <x:c r="F3128" t="str" s="2">
        <x:v>Website</x:v>
      </x:c>
      <x:c r="G3128" t="str" s="2">
        <x:v>Faye Lively</x:v>
      </x:c>
      <x:c r="H3128" s="6">
        <x:v>46228.46023587963</x:v>
      </x:c>
      <x:c r="I3128" s="0"/>
      <x:c r="J3128" s="0"/>
      <x:c r="K3128" s="6">
        <x:v>46274</x:v>
      </x:c>
      <x:c r="L3128" t="str" s="2">
        <x:v>Message Sent</x:v>
      </x:c>
    </x:row>
    <x:row r="3129">
      <x:c r="A3129" t="str" s="2">
        <x:f>=HYPERLINK("https://rsms.futurehomex.com/lead/38742", "Melinda Mansfield")</x:f>
      </x:c>
      <x:c r="B3129" t="str" s="2">
        <x:v>Heritage Housing of Augusta</x:v>
      </x:c>
      <x:c r="C3129" t="str" s="2">
        <x:v/>
      </x:c>
      <x:c r="D3129" t="str" s="2">
        <x:v>9045664770</x:v>
      </x:c>
      <x:c r="E3129" t="str" s="2">
        <x:v>9045664770</x:v>
      </x:c>
      <x:c r="F3129" t="str" s="2">
        <x:v>Walk-in</x:v>
      </x:c>
      <x:c r="G3129" t="str" s="2">
        <x:v>Faye Lively</x:v>
      </x:c>
      <x:c r="H3129" s="6">
        <x:v>46228.66400517361</x:v>
      </x:c>
      <x:c r="I3129" t="str" s="2">
        <x:v>Jennifer Johnson</x:v>
      </x:c>
      <x:c r="J3129" s="0"/>
      <x:c r="K3129" s="6">
        <x:v>46230</x:v>
      </x:c>
      <x:c r="L3129" t="str" s="2">
        <x:v>Message Sent</x:v>
      </x:c>
    </x:row>
    <x:row r="3130">
      <x:c r="A3130" t="str" s="2">
        <x:f>="Samantha Foster"</x:f>
      </x:c>
      <x:c r="B3130" t="str" s="2">
        <x:v>Heritage Housing of Canton</x:v>
      </x:c>
      <x:c r="C3130" t="str" s="2">
        <x:v/>
      </x:c>
      <x:c r="D3130" t="str" s="2">
        <x:v>9034131145</x:v>
      </x:c>
      <x:c r="E3130" t="str" s="2">
        <x:v>samanthaandryan2018@gmail.com</x:v>
      </x:c>
      <x:c r="F3130" t="str" s="2">
        <x:v>LandingPage</x:v>
      </x:c>
      <x:c r="G3130" t="str" s="2">
        <x:v>Jacob Hatten</x:v>
      </x:c>
      <x:c r="H3130" s="6">
        <x:v>46228.749127233794</x:v>
      </x:c>
      <x:c r="I3130" s="0"/>
      <x:c r="J3130" s="0"/>
      <x:c r="K3130" s="6">
        <x:v>46230</x:v>
      </x:c>
      <x:c r="L3130" t="str" s="2">
        <x:v>Message Sent</x:v>
      </x:c>
    </x:row>
    <x:row r="3131">
      <x:c r="A3131" t="str" s="2">
        <x:f>="Mercedes Pelaez"</x:f>
      </x:c>
      <x:c r="B3131" t="str" s="2">
        <x:v>Heritage Housing of Tulsa</x:v>
      </x:c>
      <x:c r="C3131" t="str" s="2">
        <x:v/>
      </x:c>
      <x:c r="D3131" t="str" s="2">
        <x:v>9185230264</x:v>
      </x:c>
      <x:c r="E3131" t="str" s="2">
        <x:v>mercedesmaximo66@gmail.com</x:v>
      </x:c>
      <x:c r="F3131" t="str" s="2">
        <x:v>Meta Ads - Forms</x:v>
      </x:c>
      <x:c r="G3131" t="str" s="2">
        <x:v>Jenna Fransisco</x:v>
      </x:c>
      <x:c r="H3131" s="6">
        <x:v>46228.76503611111</x:v>
      </x:c>
      <x:c r="I3131" s="0"/>
      <x:c r="J3131" s="0"/>
      <x:c r="K3131" s="6">
        <x:v>46251</x:v>
      </x:c>
      <x:c r="L3131" t="str" s="2">
        <x:v>Message Sent</x:v>
      </x:c>
    </x:row>
    <x:row r="3132">
      <x:c r="A3132" t="str" s="2">
        <x:f>="Stacy Shields"</x:f>
      </x:c>
      <x:c r="B3132" t="str" s="2">
        <x:v>Heritage Housing Mt Pleasant</x:v>
      </x:c>
      <x:c r="C3132" t="str" s="2">
        <x:v/>
      </x:c>
      <x:c r="D3132" t="str" s="2">
        <x:v>9039855105</x:v>
      </x:c>
      <x:c r="E3132" t="str" s="2">
        <x:v>stacyshields713@gmail.com</x:v>
      </x:c>
      <x:c r="F3132" t="str" s="2">
        <x:v>LandingPage</x:v>
      </x:c>
      <x:c r="G3132" t="str" s="2">
        <x:v>Sandra Saldana</x:v>
      </x:c>
      <x:c r="H3132" s="6">
        <x:v>46228.817943553244</x:v>
      </x:c>
      <x:c r="I3132" s="0"/>
      <x:c r="J3132" s="0"/>
      <x:c r="K3132" s="6">
        <x:v>46253</x:v>
      </x:c>
      <x:c r="L3132" t="str" s="2">
        <x:v>Message Sent</x:v>
      </x:c>
    </x:row>
    <x:row r="3133">
      <x:c r="A3133" t="str" s="2">
        <x:f>="Tanikaya Jackson"</x:f>
      </x:c>
      <x:c r="B3133" t="str" s="2">
        <x:v>Heritage Housing of Albany</x:v>
      </x:c>
      <x:c r="C3133" t="str" s="2">
        <x:v>0/3</x:v>
      </x:c>
      <x:c r="D3133" t="str" s="2">
        <x:v>2298151550</x:v>
      </x:c>
      <x:c r="E3133" t="str" s="2">
        <x:v>tanikayajackson81@gmail.com</x:v>
      </x:c>
      <x:c r="F3133" t="str" s="2">
        <x:v>Website</x:v>
      </x:c>
      <x:c r="G3133" t="str" s="2">
        <x:v>Yanet Alvarez</x:v>
      </x:c>
      <x:c r="H3133" s="6">
        <x:v>46228.84214065972</x:v>
      </x:c>
      <x:c r="I3133" s="0"/>
      <x:c r="J3133" s="0"/>
      <x:c r="K3133" s="6">
        <x:v>46307</x:v>
      </x:c>
      <x:c r="L3133" t="str" s="2">
        <x:v>Message Sent</x:v>
      </x:c>
    </x:row>
    <x:row r="3134">
      <x:c r="A3134" t="str" s="2">
        <x:f>=HYPERLINK("https://rsms.futurehomex.com/lead/38753", "Kareey Wilson")</x:f>
      </x:c>
      <x:c r="B3134" t="str" s="2">
        <x:v>Heritage Housing of Tulsa</x:v>
      </x:c>
      <x:c r="C3134" t="str" s="2">
        <x:v/>
      </x:c>
      <x:c r="D3134" t="str" s="2">
        <x:v>9189025980</x:v>
      </x:c>
      <x:c r="E3134" t="str" s="2">
        <x:v>9189025980</x:v>
      </x:c>
      <x:c r="F3134" t="str" s="2">
        <x:v>Walk-in</x:v>
      </x:c>
      <x:c r="G3134" t="str" s="2">
        <x:v>Jenna Fransisco</x:v>
      </x:c>
      <x:c r="H3134" s="6">
        <x:v>46228.86808958333</x:v>
      </x:c>
      <x:c r="I3134" t="str" s="2">
        <x:v>Derek Searcy</x:v>
      </x:c>
      <x:c r="J3134" s="0"/>
      <x:c r="K3134" s="6">
        <x:v>46261</x:v>
      </x:c>
      <x:c r="L3134" t="str" s="2">
        <x:v>Message Sent</x:v>
      </x:c>
    </x:row>
    <x:row r="3135">
      <x:c r="A3135" t="str" s="2">
        <x:f>="Evan Burris"</x:f>
      </x:c>
      <x:c r="B3135" t="str" s="2">
        <x:v>Heritage Housing of Tulsa</x:v>
      </x:c>
      <x:c r="C3135" t="str" s="2">
        <x:v/>
      </x:c>
      <x:c r="D3135" t="str" s="2">
        <x:v>6203060919</x:v>
      </x:c>
      <x:c r="E3135" t="str" s="2">
        <x:v>burrise41@gmail.com</x:v>
      </x:c>
      <x:c r="F3135" t="str" s="2">
        <x:v>Meta Ads - Forms</x:v>
      </x:c>
      <x:c r="G3135" t="str" s="2">
        <x:v>Jenna Fransisco</x:v>
      </x:c>
      <x:c r="H3135" s="6">
        <x:v>46228.95403981482</x:v>
      </x:c>
      <x:c r="I3135" s="0"/>
      <x:c r="J3135" s="0"/>
      <x:c r="K3135" s="6">
        <x:v>46251</x:v>
      </x:c>
      <x:c r="L3135" t="str" s="2">
        <x:v>Message Sent</x:v>
      </x:c>
    </x:row>
    <x:row r="3136">
      <x:c r="A3136" t="str" s="2">
        <x:f>="Blanca Navarro"</x:f>
      </x:c>
      <x:c r="B3136" t="str" s="2">
        <x:v>Heritage Housing of Asheboro</x:v>
      </x:c>
      <x:c r="C3136" t="str" s="2">
        <x:v/>
      </x:c>
      <x:c r="D3136" t="str" s="2">
        <x:v>7046063328</x:v>
      </x:c>
      <x:c r="E3136" t="str" s="2">
        <x:v>navarro120917@gmail.com</x:v>
      </x:c>
      <x:c r="F3136" t="str" s="2">
        <x:v>Website</x:v>
      </x:c>
      <x:c r="G3136" t="str" s="2">
        <x:v>Maria Lopez</x:v>
      </x:c>
      <x:c r="H3136" s="6">
        <x:v>46229.03813912037</x:v>
      </x:c>
      <x:c r="I3136" s="0"/>
      <x:c r="J3136" s="0"/>
      <x:c r="K3136" s="6">
        <x:v>46256</x:v>
      </x:c>
      <x:c r="L3136" t="str" s="2">
        <x:v>Message Sent</x:v>
      </x:c>
    </x:row>
    <x:row r="3137">
      <x:c r="A3137" t="str" s="2">
        <x:f>=HYPERLINK("https://rsms.futurehomex.com/lead/38945", "Carrie Houk")</x:f>
      </x:c>
      <x:c r="B3137" t="str" s="2">
        <x:v>Heritage Housing of Oklahoma City</x:v>
      </x:c>
      <x:c r="C3137" t="str" s="2">
        <x:v>0/1</x:v>
      </x:c>
      <x:c r="D3137" t="str" s="2">
        <x:v>5729970193</x:v>
      </x:c>
      <x:c r="E3137" t="str" s="2">
        <x:v>carriehouk04@gmail.com</x:v>
      </x:c>
      <x:c r="F3137" t="str" s="2">
        <x:v>Website</x:v>
      </x:c>
      <x:c r="G3137" t="str" s="2">
        <x:v>Steve Castell</x:v>
      </x:c>
      <x:c r="H3137" s="6">
        <x:v>46229.2716528125</x:v>
      </x:c>
      <x:c r="I3137" t="str" s="2">
        <x:v>Alejandra Calderon</x:v>
      </x:c>
      <x:c r="J3137" s="0"/>
      <x:c r="K3137" s="6">
        <x:v>46237.662844363425</x:v>
      </x:c>
      <x:c r="L3137" t="str" s="2">
        <x:v>Message Sent</x:v>
      </x:c>
    </x:row>
    <x:row r="3138">
      <x:c r="A3138" t="str" s="2">
        <x:f>="Cynthia Spain"</x:f>
      </x:c>
      <x:c r="B3138" t="str" s="2">
        <x:v>Heritage Housing of Tulsa</x:v>
      </x:c>
      <x:c r="C3138" t="str" s="2">
        <x:v/>
      </x:c>
      <x:c r="D3138" t="str" s="2">
        <x:v>6014339278</x:v>
      </x:c>
      <x:c r="E3138" t="str" s="2">
        <x:v>monkey_feet@icloud.com</x:v>
      </x:c>
      <x:c r="F3138" t="str" s="2">
        <x:v>Meta Ads - Forms</x:v>
      </x:c>
      <x:c r="G3138" t="str" s="2">
        <x:v>Jenna Fransisco</x:v>
      </x:c>
      <x:c r="H3138" s="6">
        <x:v>46229.3875846875</x:v>
      </x:c>
      <x:c r="I3138" s="0"/>
      <x:c r="J3138" s="0"/>
      <x:c r="K3138" s="6">
        <x:v>46251</x:v>
      </x:c>
      <x:c r="L3138" t="str" s="2">
        <x:v>Message Sent</x:v>
      </x:c>
    </x:row>
    <x:row r="3139">
      <x:c r="A3139" t="str" s="2">
        <x:f>="Dianne Foskey"</x:f>
      </x:c>
      <x:c r="B3139" t="str" s="2">
        <x:v>Heritage Housing of Augusta</x:v>
      </x:c>
      <x:c r="C3139" t="str" s="2">
        <x:v/>
      </x:c>
      <x:c r="D3139" t="str" s="2">
        <x:v>4782121264</x:v>
      </x:c>
      <x:c r="E3139" t="str" s="2">
        <x:v>diannefoskey@gmail.com</x:v>
      </x:c>
      <x:c r="F3139" t="str" s="2">
        <x:v>LandingPage</x:v>
      </x:c>
      <x:c r="G3139" t="str" s="2">
        <x:v>Faye Lively</x:v>
      </x:c>
      <x:c r="H3139" s="6">
        <x:v>46229.46224621528</x:v>
      </x:c>
      <x:c r="I3139" s="0"/>
      <x:c r="J3139" s="0"/>
      <x:c r="K3139" s="6">
        <x:v>46274</x:v>
      </x:c>
      <x:c r="L3139" t="str" s="2">
        <x:v>Message Sent</x:v>
      </x:c>
    </x:row>
    <x:row r="3140">
      <x:c r="A3140" t="str" s="2">
        <x:f>="Felicia Robinson"</x:f>
      </x:c>
      <x:c r="B3140" t="str" s="2">
        <x:v>Heritage Housing of Asheboro</x:v>
      </x:c>
      <x:c r="C3140" t="str" s="2">
        <x:v/>
      </x:c>
      <x:c r="D3140" t="str" s="2">
        <x:v>8436102143</x:v>
      </x:c>
      <x:c r="E3140" t="str" s="2">
        <x:v>robinsonfeliciar@aol.com</x:v>
      </x:c>
      <x:c r="F3140" t="str" s="2">
        <x:v>Website</x:v>
      </x:c>
      <x:c r="G3140" t="str" s="2">
        <x:v>Maria Lopez</x:v>
      </x:c>
      <x:c r="H3140" s="6">
        <x:v>46229.784816666666</x:v>
      </x:c>
      <x:c r="I3140" s="0"/>
      <x:c r="J3140" s="6">
        <x:v>46235.208333333336</x:v>
      </x:c>
      <x:c r="K3140" s="6">
        <x:v>46261</x:v>
      </x:c>
      <x:c r="L3140" t="str" s="2">
        <x:v>Message Sent</x:v>
      </x:c>
    </x:row>
    <x:row r="3141">
      <x:c r="A3141" t="str" s="2">
        <x:f>="Glendan Nunez, Ortega"</x:f>
      </x:c>
      <x:c r="B3141" t="str" s="2">
        <x:v>Heritage Housing of Asheboro</x:v>
      </x:c>
      <x:c r="C3141" t="str" s="2">
        <x:v/>
      </x:c>
      <x:c r="D3141" t="str" s="2">
        <x:v>7023379992</x:v>
      </x:c>
      <x:c r="E3141" t="str" s="2">
        <x:v>nunez6272@yahoo.com</x:v>
      </x:c>
      <x:c r="F3141" t="str" s="2">
        <x:v>Financing Form</x:v>
      </x:c>
      <x:c r="G3141" t="str" s="2">
        <x:v>Maria Lopez</x:v>
      </x:c>
      <x:c r="H3141" s="6">
        <x:v>46229.82437207176</x:v>
      </x:c>
      <x:c r="I3141" s="0"/>
      <x:c r="J3141" s="0"/>
      <x:c r="K3141" s="6">
        <x:v>46256</x:v>
      </x:c>
      <x:c r="L3141" t="str" s="2">
        <x:v>Message Sent</x:v>
      </x:c>
    </x:row>
    <x:row r="3142">
      <x:c r="A3142" t="str" s="2">
        <x:f>=HYPERLINK("https://rsms.futurehomex.com/lead/38791", "Taylor Cearley")</x:f>
      </x:c>
      <x:c r="B3142" t="str" s="2">
        <x:v>Heritage Housing of Oklahoma City</x:v>
      </x:c>
      <x:c r="C3142" t="str" s="2">
        <x:v>0/1</x:v>
      </x:c>
      <x:c r="D3142" t="str" s="2">
        <x:v>4056763606</x:v>
      </x:c>
      <x:c r="E3142" t="str" s="2">
        <x:v>cearleycorean@gmail.com</x:v>
      </x:c>
      <x:c r="F3142" t="str" s="2">
        <x:v>Financing Form</x:v>
      </x:c>
      <x:c r="G3142" t="str" s="2">
        <x:v>Trey Rixleben</x:v>
      </x:c>
      <x:c r="H3142" s="6">
        <x:v>46229.825652430554</x:v>
      </x:c>
      <x:c r="I3142" t="str" s="2">
        <x:v>Trey Rixleben</x:v>
      </x:c>
      <x:c r="J3142" s="0"/>
      <x:c r="K3142" s="6">
        <x:v>46230.57955787037</x:v>
      </x:c>
      <x:c r="L3142" t="str" s="2">
        <x:v>Message Sent</x:v>
      </x:c>
    </x:row>
    <x:row r="3143">
      <x:c r="A3143" t="str" s="2">
        <x:f>="Yolonda Perry"</x:f>
      </x:c>
      <x:c r="B3143" t="str" s="2">
        <x:v>Heritage Housing of Augusta</x:v>
      </x:c>
      <x:c r="C3143" t="str" s="2">
        <x:v/>
      </x:c>
      <x:c r="D3143" t="str" s="2">
        <x:v>7066279337</x:v>
      </x:c>
      <x:c r="E3143" t="str" s="2">
        <x:v>londaperry@yahoo.com</x:v>
      </x:c>
      <x:c r="F3143" t="str" s="2">
        <x:v>Website</x:v>
      </x:c>
      <x:c r="G3143" t="str" s="2">
        <x:v>Faye Lively</x:v>
      </x:c>
      <x:c r="H3143" s="6">
        <x:v>46229.86113556713</x:v>
      </x:c>
      <x:c r="I3143" s="0"/>
      <x:c r="J3143" s="0"/>
      <x:c r="K3143" s="6">
        <x:v>46274</x:v>
      </x:c>
      <x:c r="L3143" t="str" s="2">
        <x:v>Message Sent</x:v>
      </x:c>
    </x:row>
    <x:row r="3144">
      <x:c r="A3144" t="str" s="2">
        <x:f>="Asherlee B Calloway"</x:f>
      </x:c>
      <x:c r="B3144" t="str" s="2">
        <x:v>Heritage Housing of Canton</x:v>
      </x:c>
      <x:c r="C3144" t="str" s="2">
        <x:v/>
      </x:c>
      <x:c r="D3144" t="str" s="2">
        <x:v>9037241515</x:v>
      </x:c>
      <x:c r="E3144" t="str" s="2">
        <x:v>asherleebc11@gmail.com</x:v>
      </x:c>
      <x:c r="F3144" t="str" s="2">
        <x:v>LandingPage</x:v>
      </x:c>
      <x:c r="G3144" t="str" s="2">
        <x:v>Jacob Hatten</x:v>
      </x:c>
      <x:c r="H3144" s="6">
        <x:v>46230.06252248843</x:v>
      </x:c>
      <x:c r="I3144" s="0"/>
      <x:c r="J3144" s="0"/>
      <x:c r="K3144" s="6">
        <x:v>46258</x:v>
      </x:c>
      <x:c r="L3144" t="str" s="2">
        <x:v>Message Sent</x:v>
      </x:c>
    </x:row>
    <x:row r="3145">
      <x:c r="A3145" t="str" s="2">
        <x:f>="William D McPeak"</x:f>
      </x:c>
      <x:c r="B3145" t="str" s="2">
        <x:v>Heritage Housing of Oklahoma City</x:v>
      </x:c>
      <x:c r="C3145" t="str" s="2">
        <x:v>0/1</x:v>
      </x:c>
      <x:c r="D3145" t="str" s="2">
        <x:v>5129702160</x:v>
      </x:c>
      <x:c r="E3145" t="str" s="2">
        <x:v>wdougmcp@aol.com</x:v>
      </x:c>
      <x:c r="F3145" t="str" s="2">
        <x:v>Meta Ads - Forms</x:v>
      </x:c>
      <x:c r="G3145" t="str" s="2">
        <x:v>Trey Rixleben</x:v>
      </x:c>
      <x:c r="H3145" s="6">
        <x:v>46230.10627276621</x:v>
      </x:c>
      <x:c r="I3145" s="0"/>
      <x:c r="J3145" s="0"/>
      <x:c r="K3145" s="6">
        <x:v>46232.623326423614</x:v>
      </x:c>
      <x:c r="L3145" t="str" s="2">
        <x:v>Message Sent</x:v>
      </x:c>
    </x:row>
    <x:row r="3146">
      <x:c r="A3146" t="str" s="2">
        <x:f>="Obuchenie_tcEn O_gwEnO"</x:f>
      </x:c>
      <x:c r="B3146" t="str" s="2">
        <x:v>Heritage Housing of Greenville</x:v>
      </x:c>
      <x:c r="C3146" t="str" s="2">
        <x:v/>
      </x:c>
      <x:c r="D3146" t="str" s="2">
        <x:v>86952772197</x:v>
      </x:c>
      <x:c r="E3146" t="str" s="2">
        <x:v>xabtctv@delqmvm.ont</x:v>
      </x:c>
      <x:c r="F3146" t="str" s="2">
        <x:v>Website</x:v>
      </x:c>
      <x:c r="G3146" t="str" s="2">
        <x:v>Brooklynn Allen</x:v>
      </x:c>
      <x:c r="H3146" s="6">
        <x:v>46230.315832175926</x:v>
      </x:c>
      <x:c r="I3146" s="0"/>
      <x:c r="J3146" s="0"/>
      <x:c r="K3146" s="6">
        <x:v>46249</x:v>
      </x:c>
      <x:c r="L3146" t="str" s="2">
        <x:v>Message Sent</x:v>
      </x:c>
    </x:row>
    <x:row r="3147">
      <x:c r="A3147" t="str" s="2">
        <x:f>=HYPERLINK("https://rsms.futurehomex.com/lead/38762", "CHRIS Johnson")</x:f>
      </x:c>
      <x:c r="B3147" t="str" s="2">
        <x:v>Heritage Housing of Augusta</x:v>
      </x:c>
      <x:c r="C3147" t="str" s="2">
        <x:v/>
      </x:c>
      <x:c r="D3147" t="str" s="2">
        <x:v>8034506770</x:v>
      </x:c>
      <x:c r="E3147" t="str" s="2">
        <x:v>Chrisdjohnson11@yahoo.com</x:v>
      </x:c>
      <x:c r="F3147" t="str" s="2">
        <x:v>Facebook Messenger</x:v>
      </x:c>
      <x:c r="G3147" t="str" s="2">
        <x:v>Faye Lively</x:v>
      </x:c>
      <x:c r="H3147" s="6">
        <x:v>46230.537563460646</x:v>
      </x:c>
      <x:c r="I3147" t="str" s="2">
        <x:v>Faye Lively</x:v>
      </x:c>
      <x:c r="J3147" s="0"/>
      <x:c r="K3147" s="6">
        <x:v>46268</x:v>
      </x:c>
      <x:c r="L3147" t="str" s="2">
        <x:v>Message Sent</x:v>
      </x:c>
    </x:row>
    <x:row r="3148">
      <x:c r="A3148" t="str" s="2">
        <x:f>="Nakeisha Robinson"</x:f>
      </x:c>
      <x:c r="B3148" t="str" s="2">
        <x:v>Heritage Housing Mt Pleasant</x:v>
      </x:c>
      <x:c r="C3148" t="str" s="2">
        <x:v/>
      </x:c>
      <x:c r="D3148" t="str" s="2">
        <x:v>9036901083</x:v>
      </x:c>
      <x:c r="E3148" t="str" s="2">
        <x:v>9036901083</x:v>
      </x:c>
      <x:c r="F3148" t="str" s="2">
        <x:v>Facebook Messenger</x:v>
      </x:c>
      <x:c r="G3148" t="str" s="2">
        <x:v>Yarelis Torres</x:v>
      </x:c>
      <x:c r="H3148" s="6">
        <x:v>46230.61421987269</x:v>
      </x:c>
      <x:c r="I3148" s="0"/>
      <x:c r="J3148" s="6">
        <x:v>46235.666666666664</x:v>
      </x:c>
      <x:c r="K3148" s="6">
        <x:v>46248</x:v>
      </x:c>
      <x:c r="L3148" t="str" s="2">
        <x:v>Message Sent</x:v>
      </x:c>
    </x:row>
    <x:row r="3149">
      <x:c r="A3149" t="str" s="2">
        <x:f>=HYPERLINK("https://rsms.futurehomex.com/lead/38764", "Melvin Glenn")</x:f>
      </x:c>
      <x:c r="B3149" t="str" s="2">
        <x:v>Heritage Housing of Augusta</x:v>
      </x:c>
      <x:c r="C3149" t="str" s="2">
        <x:v/>
      </x:c>
      <x:c r="D3149" t="str" s="2">
        <x:v>7068250586</x:v>
      </x:c>
      <x:c r="E3149" t="str" s="2">
        <x:v>feevag@gmail.com</x:v>
      </x:c>
      <x:c r="F3149" t="str" s="2">
        <x:v>Walk-in</x:v>
      </x:c>
      <x:c r="G3149" t="str" s="2">
        <x:v>Jennifer Johnson</x:v>
      </x:c>
      <x:c r="H3149" s="6">
        <x:v>46230.62202638889</x:v>
      </x:c>
      <x:c r="I3149" t="str" s="2">
        <x:v>Jennifer Johnson</x:v>
      </x:c>
      <x:c r="J3149" s="0"/>
      <x:c r="K3149" s="6">
        <x:v>46297</x:v>
      </x:c>
      <x:c r="L3149" t="str" s="2">
        <x:v>Message Sent</x:v>
      </x:c>
    </x:row>
    <x:row r="3150">
      <x:c r="A3150" t="str" s="2">
        <x:f>=HYPERLINK("https://rsms.futurehomex.com/lead/40338", "Melvin Glenn")</x:f>
      </x:c>
      <x:c r="B3150" t="str" s="2">
        <x:v>Heritage Housing of Augusta</x:v>
      </x:c>
      <x:c r="C3150" t="str" s="2">
        <x:v/>
      </x:c>
      <x:c r="D3150" t="str" s="2">
        <x:v>7068250586</x:v>
      </x:c>
      <x:c r="E3150" t="str" s="2">
        <x:v>feevag@gmail.com</x:v>
      </x:c>
      <x:c r="F3150" t="str" s="2">
        <x:v>Walk-in</x:v>
      </x:c>
      <x:c r="G3150" t="str" s="2">
        <x:v>Jennifer Johnson</x:v>
      </x:c>
      <x:c r="H3150" s="6">
        <x:v>46230.62202638889</x:v>
      </x:c>
      <x:c r="I3150" t="str" s="2">
        <x:v>Jennifer Johnson</x:v>
      </x:c>
      <x:c r="J3150" s="0"/>
      <x:c r="K3150" s="6">
        <x:v>46297</x:v>
      </x:c>
      <x:c r="L3150" t="str" s="2">
        <x:v>Message Sent</x:v>
      </x:c>
    </x:row>
    <x:row r="3151">
      <x:c r="A3151" t="str" s="2">
        <x:f>=HYPERLINK("https://rsms.futurehomex.com/lead/38770", "Jason Beasley")</x:f>
      </x:c>
      <x:c r="B3151" t="str" s="2">
        <x:v>Heritage Housing of Augusta</x:v>
      </x:c>
      <x:c r="C3151" t="str" s="2">
        <x:v/>
      </x:c>
      <x:c r="D3151" t="str" s="2">
        <x:v>7067260703</x:v>
      </x:c>
      <x:c r="E3151" t="str" s="2">
        <x:v>beasleyswrecker87@gmail.com</x:v>
      </x:c>
      <x:c r="F3151" t="str" s="2">
        <x:v>Walk-in</x:v>
      </x:c>
      <x:c r="G3151" t="str" s="2">
        <x:v>Jennifer Johnson</x:v>
      </x:c>
      <x:c r="H3151" s="6">
        <x:v>46230.68172820602</x:v>
      </x:c>
      <x:c r="I3151" t="str" s="2">
        <x:v>Jennifer Johnson</x:v>
      </x:c>
      <x:c r="J3151" s="0"/>
      <x:c r="K3151" s="6">
        <x:v>46232.56195960648</x:v>
      </x:c>
      <x:c r="L3151" t="str" s="2">
        <x:v>Message Sent</x:v>
      </x:c>
    </x:row>
    <x:row r="3152">
      <x:c r="A3152" t="str" s="2">
        <x:f>="Ray Gordan"</x:f>
      </x:c>
      <x:c r="B3152" t="str" s="2">
        <x:v>Heritage Housing of Asheboro</x:v>
      </x:c>
      <x:c r="C3152" t="str" s="2">
        <x:v/>
      </x:c>
      <x:c r="D3152" t="str" s="2">
        <x:v>7372372736</x:v>
      </x:c>
      <x:c r="E3152" t="str" s="2">
        <x:v>ray@cadtri.com</x:v>
      </x:c>
      <x:c r="F3152" t="str" s="2">
        <x:v>Website</x:v>
      </x:c>
      <x:c r="G3152" t="str" s="2">
        <x:v>Maria Lopez</x:v>
      </x:c>
      <x:c r="H3152" s="6">
        <x:v>46230.69857943287</x:v>
      </x:c>
      <x:c r="I3152" s="0"/>
      <x:c r="J3152" s="0"/>
      <x:c r="K3152" s="6">
        <x:v>46255</x:v>
      </x:c>
      <x:c r="L3152" t="str" s="2">
        <x:v>Message Sent</x:v>
      </x:c>
    </x:row>
    <x:row r="3153">
      <x:c r="A3153" t="str" s="2">
        <x:f>=HYPERLINK("https://rsms.futurehomex.com/lead/38774", "Hector Barrera")</x:f>
      </x:c>
      <x:c r="B3153" t="str" s="2">
        <x:v>Heritage Housing Mt Pleasant</x:v>
      </x:c>
      <x:c r="C3153" t="str" s="2">
        <x:v/>
      </x:c>
      <x:c r="D3153" t="str" s="2">
        <x:v>9033055850</x:v>
      </x:c>
      <x:c r="E3153" t="str" s="2">
        <x:v>9033055850</x:v>
      </x:c>
      <x:c r="F3153" t="str" s="2">
        <x:v>Meta Ads - Messenger</x:v>
      </x:c>
      <x:c r="G3153" t="str" s="2">
        <x:v>Sandra Saldana</x:v>
      </x:c>
      <x:c r="H3153" s="6">
        <x:v>46230.71567769676</x:v>
      </x:c>
      <x:c r="I3153" t="str" s="2">
        <x:v>Sandra Saldana</x:v>
      </x:c>
      <x:c r="J3153" s="0"/>
      <x:c r="K3153" s="6">
        <x:v>46231</x:v>
      </x:c>
      <x:c r="L3153" t="str" s="2">
        <x:v>Message Sent</x:v>
      </x:c>
    </x:row>
    <x:row r="3154">
      <x:c r="A3154" t="str" s="2">
        <x:f>="Kinsie Flannery"</x:f>
      </x:c>
      <x:c r="B3154" t="str" s="2">
        <x:v>Heritage Housing of Asheboro</x:v>
      </x:c>
      <x:c r="C3154" t="str" s="2">
        <x:v/>
      </x:c>
      <x:c r="D3154" t="str" s="2">
        <x:v>3368435298</x:v>
      </x:c>
      <x:c r="E3154" t="str" s="2">
        <x:v>kcrook6792@gmail.com</x:v>
      </x:c>
      <x:c r="F3154" t="str" s="2">
        <x:v>Financing Form</x:v>
      </x:c>
      <x:c r="G3154" t="str" s="2">
        <x:v>Maria Lopez</x:v>
      </x:c>
      <x:c r="H3154" s="6">
        <x:v>46230.720565393516</x:v>
      </x:c>
      <x:c r="I3154" s="0"/>
      <x:c r="J3154" s="6">
        <x:v>46232.625</x:v>
      </x:c>
      <x:c r="K3154" s="6">
        <x:v>46261</x:v>
      </x:c>
      <x:c r="L3154" t="str" s="2">
        <x:v>Message Sent</x:v>
      </x:c>
    </x:row>
    <x:row r="3155">
      <x:c r="A3155" t="str" s="2">
        <x:f>=HYPERLINK("https://rsms.futurehomex.com/lead/38778", "Karla Anchondo")</x:f>
      </x:c>
      <x:c r="B3155" t="str" s="2">
        <x:v>Heritage Housing Marble Falls</x:v>
      </x:c>
      <x:c r="C3155" t="str" s="2">
        <x:v/>
      </x:c>
      <x:c r="D3155" t="str" s="2">
        <x:v>5122342338</x:v>
      </x:c>
      <x:c r="E3155" t="str" s="2">
        <x:v>Karlaandjay325@gmail.com</x:v>
      </x:c>
      <x:c r="F3155" t="str" s="2">
        <x:v>Other</x:v>
      </x:c>
      <x:c r="G3155" t="str" s="2">
        <x:v>Stephen Sanders</x:v>
      </x:c>
      <x:c r="H3155" s="6">
        <x:v>46230.77594907407</x:v>
      </x:c>
      <x:c r="I3155" t="str" s="2">
        <x:v>Stephen Sanders</x:v>
      </x:c>
      <x:c r="J3155" s="0"/>
      <x:c r="K3155" s="6">
        <x:v>46267</x:v>
      </x:c>
      <x:c r="L3155" t="str" s="2">
        <x:v>Message Sent</x:v>
      </x:c>
    </x:row>
    <x:row r="3156">
      <x:c r="A3156" t="str" s="2">
        <x:f>="Xion Dooley"</x:f>
      </x:c>
      <x:c r="B3156" t="str" s="2">
        <x:v>Heritage Housing of Tulsa</x:v>
      </x:c>
      <x:c r="C3156" t="str" s="2">
        <x:v/>
      </x:c>
      <x:c r="D3156" t="str" s="2">
        <x:v>9189146444</x:v>
      </x:c>
      <x:c r="E3156" t="str" s="2">
        <x:v>xion.dooley2024@icloud.com</x:v>
      </x:c>
      <x:c r="F3156" t="str" s="2">
        <x:v>Meta Ads - Forms</x:v>
      </x:c>
      <x:c r="G3156" t="str" s="2">
        <x:v>Jenna Fransisco</x:v>
      </x:c>
      <x:c r="H3156" s="6">
        <x:v>46230.8208653125</x:v>
      </x:c>
      <x:c r="I3156" s="0"/>
      <x:c r="J3156" s="0"/>
      <x:c r="K3156" s="6">
        <x:v>46241</x:v>
      </x:c>
      <x:c r="L3156" t="str" s="2">
        <x:v>Message Sent</x:v>
      </x:c>
    </x:row>
    <x:row r="3157">
      <x:c r="A3157" t="str" s="2">
        <x:f>=HYPERLINK("https://rsms.futurehomex.com/lead/38786", "Ashley Murphy")</x:f>
      </x:c>
      <x:c r="B3157" t="str" s="2">
        <x:v>Heritage Housing Mt Pleasant</x:v>
      </x:c>
      <x:c r="C3157" t="str" s="2">
        <x:v/>
      </x:c>
      <x:c r="D3157" t="str" s="2">
        <x:v>9032352110</x:v>
      </x:c>
      <x:c r="E3157" t="str" s="2">
        <x:v>easttexascleaning10@outlook.com</x:v>
      </x:c>
      <x:c r="F3157" t="str" s="2">
        <x:v>Walk-in</x:v>
      </x:c>
      <x:c r="G3157" t="str" s="2">
        <x:v>Yarelis Torres</x:v>
      </x:c>
      <x:c r="H3157" s="6">
        <x:v>46230.84445628472</x:v>
      </x:c>
      <x:c r="I3157" t="str" s="2">
        <x:v>Yarelis Torres</x:v>
      </x:c>
      <x:c r="J3157" s="0"/>
      <x:c r="K3157" s="6">
        <x:v>46248</x:v>
      </x:c>
      <x:c r="L3157" t="str" s="2">
        <x:v>Message Sent</x:v>
      </x:c>
    </x:row>
    <x:row r="3158">
      <x:c r="A3158" t="str" s="2">
        <x:f>="Brenda Waggoner"</x:f>
      </x:c>
      <x:c r="B3158" t="str" s="2">
        <x:v>Heritage Housing of Oklahoma City</x:v>
      </x:c>
      <x:c r="C3158" t="str" s="2">
        <x:v>0/4</x:v>
      </x:c>
      <x:c r="D3158" t="str" s="2">
        <x:v>5202085233</x:v>
      </x:c>
      <x:c r="E3158" t="str" s="2">
        <x:v>brendakate316@yahoo.com</x:v>
      </x:c>
      <x:c r="F3158" t="str" s="2">
        <x:v>Meta Ads - Forms</x:v>
      </x:c>
      <x:c r="G3158" t="str" s="2">
        <x:v>Trey Rixleben</x:v>
      </x:c>
      <x:c r="H3158" s="6">
        <x:v>46230.94702638889</x:v>
      </x:c>
      <x:c r="I3158" s="0"/>
      <x:c r="J3158" s="0"/>
      <x:c r="K3158" s="6">
        <x:v>46247.667657488426</x:v>
      </x:c>
      <x:c r="L3158" t="str" s="2">
        <x:v>Message Sent</x:v>
      </x:c>
    </x:row>
    <x:row r="3159">
      <x:c r="A3159" t="str" s="2">
        <x:f>="Melissa Spinks"</x:f>
      </x:c>
      <x:c r="B3159" t="str" s="2">
        <x:v>Heritage Housing of Asheboro</x:v>
      </x:c>
      <x:c r="C3159" t="str" s="2">
        <x:v/>
      </x:c>
      <x:c r="D3159" t="str" s="2">
        <x:v>3364654767</x:v>
      </x:c>
      <x:c r="E3159" t="str" s="2">
        <x:v>spinks5115@gmail.com</x:v>
      </x:c>
      <x:c r="F3159" t="str" s="2">
        <x:v>LandingPage</x:v>
      </x:c>
      <x:c r="G3159" t="str" s="2">
        <x:v>Maria Lopez</x:v>
      </x:c>
      <x:c r="H3159" s="6">
        <x:v>46231.04132777778</x:v>
      </x:c>
      <x:c r="I3159" s="0"/>
      <x:c r="J3159" s="0"/>
      <x:c r="K3159" s="6">
        <x:v>46261</x:v>
      </x:c>
      <x:c r="L3159" t="str" s="2">
        <x:v>Message Sent</x:v>
      </x:c>
    </x:row>
    <x:row r="3160">
      <x:c r="A3160" t="str" s="2">
        <x:f>="Derrick Watie"</x:f>
      </x:c>
      <x:c r="B3160" t="str" s="2">
        <x:v>Heritage Housing of Oklahoma City</x:v>
      </x:c>
      <x:c r="C3160" t="str" s="2">
        <x:v/>
      </x:c>
      <x:c r="D3160" t="str" s="2">
        <x:v>3167719711</x:v>
      </x:c>
      <x:c r="E3160" t="str" s="2">
        <x:v>ebkwatie21@gmail.com</x:v>
      </x:c>
      <x:c r="F3160" t="str" s="2">
        <x:v>Meta Ads - Forms</x:v>
      </x:c>
      <x:c r="G3160" t="str" s="2">
        <x:v>Trey Rixleben</x:v>
      </x:c>
      <x:c r="H3160" s="6">
        <x:v>46231.21250231482</x:v>
      </x:c>
      <x:c r="I3160" s="0"/>
      <x:c r="J3160" s="0"/>
      <x:c r="K3160" s="6">
        <x:v>46231.80739811343</x:v>
      </x:c>
      <x:c r="L3160" t="str" s="2">
        <x:v>Message Sent</x:v>
      </x:c>
    </x:row>
    <x:row r="3161">
      <x:c r="A3161" t="str" s="2">
        <x:f>="Alex’s Maddox"</x:f>
      </x:c>
      <x:c r="B3161" t="str" s="2">
        <x:v>Heritage Housing of Tulsa</x:v>
      </x:c>
      <x:c r="C3161" t="str" s="2">
        <x:v/>
      </x:c>
      <x:c r="D3161" t="str" s="2">
        <x:v>9188948826</x:v>
      </x:c>
      <x:c r="E3161" t="str" s="2">
        <x:v>alexismaddox361@icloud.com</x:v>
      </x:c>
      <x:c r="F3161" t="str" s="2">
        <x:v>Website</x:v>
      </x:c>
      <x:c r="G3161" t="str" s="2">
        <x:v>Jenna Fransisco</x:v>
      </x:c>
      <x:c r="H3161" s="6">
        <x:v>46231.3627815162</x:v>
      </x:c>
      <x:c r="I3161" s="0"/>
      <x:c r="J3161" s="0"/>
      <x:c r="K3161" s="6">
        <x:v>46251</x:v>
      </x:c>
      <x:c r="L3161" t="str" s="2">
        <x:v>Message Sent</x:v>
      </x:c>
    </x:row>
    <x:row r="3162">
      <x:c r="A3162" t="str" s="2">
        <x:f>="Sikem Caceres"</x:f>
      </x:c>
      <x:c r="B3162" t="str" s="2">
        <x:v>Heritage Housing of Asheboro</x:v>
      </x:c>
      <x:c r="C3162" t="str" s="2">
        <x:v/>
      </x:c>
      <x:c r="D3162" t="str" s="2">
        <x:v>9194750649</x:v>
      </x:c>
      <x:c r="E3162" t="str" s="2">
        <x:v>sikemcaceres@gmail.com</x:v>
      </x:c>
      <x:c r="F3162" t="str" s="2">
        <x:v>Financing Form</x:v>
      </x:c>
      <x:c r="G3162" t="str" s="2">
        <x:v>Maria Lopez</x:v>
      </x:c>
      <x:c r="H3162" s="6">
        <x:v>46231.525338541665</x:v>
      </x:c>
      <x:c r="I3162" s="0"/>
      <x:c r="J3162" s="0"/>
      <x:c r="K3162" s="6">
        <x:v>46256</x:v>
      </x:c>
      <x:c r="L3162" t="str" s="2">
        <x:v>Message Sent</x:v>
      </x:c>
    </x:row>
    <x:row r="3163">
      <x:c r="A3163" t="str" s="2">
        <x:f>="Michael Banks"</x:f>
      </x:c>
      <x:c r="B3163" t="str" s="2">
        <x:v>Heritage Housing of Canton</x:v>
      </x:c>
      <x:c r="C3163" t="str" s="2">
        <x:v/>
      </x:c>
      <x:c r="D3163" t="str" s="2">
        <x:v>4302071956</x:v>
      </x:c>
      <x:c r="E3163" t="str" s="2">
        <x:v>mibanks2912@gmail.com</x:v>
      </x:c>
      <x:c r="F3163" t="str" s="2">
        <x:v>Financing Form</x:v>
      </x:c>
      <x:c r="G3163" t="str" s="2">
        <x:v>Maira Garcia</x:v>
      </x:c>
      <x:c r="H3163" s="6">
        <x:v>46231.54545853009</x:v>
      </x:c>
      <x:c r="I3163" s="0"/>
      <x:c r="J3163" s="0"/>
      <x:c r="K3163" s="6">
        <x:v>46234</x:v>
      </x:c>
      <x:c r="L3163" t="str" s="2">
        <x:v>Message Sent</x:v>
      </x:c>
    </x:row>
    <x:row r="3164">
      <x:c r="A3164" t="str" s="2">
        <x:f>=HYPERLINK("https://rsms.futurehomex.com/lead/38794", "Hahari Higueros")</x:f>
      </x:c>
      <x:c r="B3164" t="str" s="2">
        <x:v>Heritage Housing of Asheboro</x:v>
      </x:c>
      <x:c r="C3164" t="str" s="2">
        <x:v/>
      </x:c>
      <x:c r="D3164" t="str" s="2">
        <x:v>9195233982</x:v>
      </x:c>
      <x:c r="E3164" t="str" s="2">
        <x:v>9195233982</x:v>
      </x:c>
      <x:c r="F3164" t="str" s="2">
        <x:v>Meta Marketplace</x:v>
      </x:c>
      <x:c r="G3164" t="str" s="2">
        <x:v>Maria Lopez</x:v>
      </x:c>
      <x:c r="H3164" s="6">
        <x:v>46231.624965625</x:v>
      </x:c>
      <x:c r="I3164" t="str" s="2">
        <x:v>Maria Lopez</x:v>
      </x:c>
      <x:c r="J3164" s="0"/>
      <x:c r="K3164" s="6">
        <x:v>46295</x:v>
      </x:c>
      <x:c r="L3164" t="str" s="2">
        <x:v>Message Sent</x:v>
      </x:c>
    </x:row>
    <x:row r="3165">
      <x:c r="A3165" t="str" s="2">
        <x:f>="Jeremy Anderson"</x:f>
      </x:c>
      <x:c r="B3165" t="str" s="2">
        <x:v>Heritage Housing of Oklahoma City</x:v>
      </x:c>
      <x:c r="C3165" t="str" s="2">
        <x:v>0/3</x:v>
      </x:c>
      <x:c r="D3165" t="str" s="2">
        <x:v>4053187882</x:v>
      </x:c>
      <x:c r="E3165" t="str" s="2">
        <x:v>4053187882</x:v>
      </x:c>
      <x:c r="F3165" t="str" s="2">
        <x:v>Facebook Messenger</x:v>
      </x:c>
      <x:c r="G3165" t="str" s="2">
        <x:v>Steve Castell</x:v>
      </x:c>
      <x:c r="H3165" s="6">
        <x:v>46231.734507256944</x:v>
      </x:c>
      <x:c r="I3165" s="0"/>
      <x:c r="J3165" s="6">
        <x:v>46231.875</x:v>
      </x:c>
      <x:c r="K3165" s="6">
        <x:v>46249</x:v>
      </x:c>
      <x:c r="L3165" t="str" s="2">
        <x:v>Message Sent</x:v>
      </x:c>
    </x:row>
    <x:row r="3166">
      <x:c r="A3166" t="str" s="2">
        <x:f>="Raylin Dubois"</x:f>
      </x:c>
      <x:c r="B3166" t="str" s="2">
        <x:v>Heritage Housing of Tulsa</x:v>
      </x:c>
      <x:c r="C3166" t="str" s="2">
        <x:v/>
      </x:c>
      <x:c r="D3166" t="str" s="2">
        <x:v>9186880417</x:v>
      </x:c>
      <x:c r="E3166" t="str" s="2">
        <x:v>raylindubois@yahoo.com</x:v>
      </x:c>
      <x:c r="F3166" t="str" s="2">
        <x:v>Meta Ads - Forms</x:v>
      </x:c>
      <x:c r="G3166" t="str" s="2">
        <x:v>Jenna Fransisco</x:v>
      </x:c>
      <x:c r="H3166" s="6">
        <x:v>46231.74673197917</x:v>
      </x:c>
      <x:c r="I3166" s="0"/>
      <x:c r="J3166" s="0"/>
      <x:c r="K3166" s="6">
        <x:v>46251</x:v>
      </x:c>
      <x:c r="L3166" t="str" s="2">
        <x:v>Message Sent</x:v>
      </x:c>
    </x:row>
    <x:row r="3167">
      <x:c r="A3167" t="str" s="2">
        <x:f>="emma Stripling"</x:f>
      </x:c>
      <x:c r="B3167" t="str" s="2">
        <x:v>Heritage Housing of Canton</x:v>
      </x:c>
      <x:c r="C3167" t="str" s="2">
        <x:v/>
      </x:c>
      <x:c r="D3167" t="str" s="2">
        <x:v>9038793691</x:v>
      </x:c>
      <x:c r="E3167" t="str" s="2">
        <x:v>emmastripling046@gmail.com</x:v>
      </x:c>
      <x:c r="F3167" t="str" s="2">
        <x:v>Website</x:v>
      </x:c>
      <x:c r="G3167" t="str" s="2">
        <x:v>Jacob Hatten</x:v>
      </x:c>
      <x:c r="H3167" s="6">
        <x:v>46231.76274614583</x:v>
      </x:c>
      <x:c r="I3167" s="0"/>
      <x:c r="J3167" s="0"/>
      <x:c r="K3167" s="6">
        <x:v>46232</x:v>
      </x:c>
      <x:c r="L3167" t="str" s="2">
        <x:v>Message Sent</x:v>
      </x:c>
    </x:row>
    <x:row r="3168">
      <x:c r="A3168" t="str" s="2">
        <x:f>="Kathleen Johnson"</x:f>
      </x:c>
      <x:c r="B3168" t="str" s="2">
        <x:v>Heritage Housing of Asheboro</x:v>
      </x:c>
      <x:c r="C3168" t="str" s="2">
        <x:v/>
      </x:c>
      <x:c r="D3168" t="str" s="2">
        <x:v>3013516115</x:v>
      </x:c>
      <x:c r="E3168" t="str" s="2">
        <x:v>kjshort1948@gmail.com</x:v>
      </x:c>
      <x:c r="F3168" t="str" s="2">
        <x:v>Website</x:v>
      </x:c>
      <x:c r="G3168" t="str" s="2">
        <x:v>Maria Lopez</x:v>
      </x:c>
      <x:c r="H3168" s="6">
        <x:v>46231.85104980324</x:v>
      </x:c>
      <x:c r="I3168" s="0"/>
      <x:c r="J3168" s="0"/>
      <x:c r="K3168" s="6">
        <x:v>46256</x:v>
      </x:c>
      <x:c r="L3168" t="str" s="2">
        <x:v>Message Sent</x:v>
      </x:c>
    </x:row>
    <x:row r="3169">
      <x:c r="A3169" t="str" s="2">
        <x:f>="Jane Vaughn"</x:f>
      </x:c>
      <x:c r="B3169" t="str" s="2">
        <x:v>Heritage Housing of Tulsa</x:v>
      </x:c>
      <x:c r="C3169" t="str" s="2">
        <x:v/>
      </x:c>
      <x:c r="D3169" t="str" s="2">
        <x:v>5397665885</x:v>
      </x:c>
      <x:c r="E3169" t="str" s="2">
        <x:v>vaughnjane828@gmail.com</x:v>
      </x:c>
      <x:c r="F3169" t="str" s="2">
        <x:v>Meta Ads - Forms</x:v>
      </x:c>
      <x:c r="G3169" t="str" s="2">
        <x:v>Jenna Fransisco</x:v>
      </x:c>
      <x:c r="H3169" s="6">
        <x:v>46231.87145185185</x:v>
      </x:c>
      <x:c r="I3169" s="0"/>
      <x:c r="J3169" s="0"/>
      <x:c r="K3169" s="6">
        <x:v>46251</x:v>
      </x:c>
      <x:c r="L3169" t="str" s="2">
        <x:v>Message Sent</x:v>
      </x:c>
    </x:row>
    <x:row r="3170">
      <x:c r="A3170" t="str" s="2">
        <x:f>="Raul Sevilla"</x:f>
      </x:c>
      <x:c r="B3170" t="str" s="2">
        <x:v>Heritage Housing Mt Pleasant</x:v>
      </x:c>
      <x:c r="C3170" t="str" s="2">
        <x:v/>
      </x:c>
      <x:c r="D3170" t="str" s="2">
        <x:v>9038191435</x:v>
      </x:c>
      <x:c r="E3170" t="str" s="2">
        <x:v>9038191435</x:v>
      </x:c>
      <x:c r="F3170" t="str" s="2">
        <x:v>Meta Ads - Messenger</x:v>
      </x:c>
      <x:c r="G3170" t="str" s="2">
        <x:v>Sandra Saldana</x:v>
      </x:c>
      <x:c r="H3170" s="6">
        <x:v>46231.892154594905</x:v>
      </x:c>
      <x:c r="I3170" s="0"/>
      <x:c r="J3170" s="6">
        <x:v>46235.770833333336</x:v>
      </x:c>
      <x:c r="K3170" s="6">
        <x:v>46301</x:v>
      </x:c>
      <x:c r="L3170" t="str" s="2">
        <x:v>Message Sent</x:v>
      </x:c>
    </x:row>
    <x:row r="3171">
      <x:c r="A3171" t="str" s="2">
        <x:f>="Rhonda Guthrie"</x:f>
      </x:c>
      <x:c r="B3171" t="str" s="2">
        <x:v>Heritage Housing of Tulsa</x:v>
      </x:c>
      <x:c r="C3171" t="str" s="2">
        <x:v/>
      </x:c>
      <x:c r="D3171" t="str" s="2">
        <x:v>8168839372</x:v>
      </x:c>
      <x:c r="E3171" t="str" s="2">
        <x:v>fosdickrhonda62@gmail.com</x:v>
      </x:c>
      <x:c r="F3171" t="str" s="2">
        <x:v>Meta Ads - Forms</x:v>
      </x:c>
      <x:c r="G3171" t="str" s="2">
        <x:v>Jenna Fransisco</x:v>
      </x:c>
      <x:c r="H3171" s="6">
        <x:v>46231.89714525463</x:v>
      </x:c>
      <x:c r="I3171" s="0"/>
      <x:c r="J3171" s="0"/>
      <x:c r="K3171" s="6">
        <x:v>46251</x:v>
      </x:c>
      <x:c r="L3171" t="str" s="2">
        <x:v>Message Sent</x:v>
      </x:c>
    </x:row>
    <x:row r="3172">
      <x:c r="A3172" t="str" s="2">
        <x:f>="JoAnn Bowditch"</x:f>
      </x:c>
      <x:c r="B3172" t="str" s="2">
        <x:v>Heritage Housing of Asheboro</x:v>
      </x:c>
      <x:c r="C3172" t="str" s="2">
        <x:v>0/1</x:v>
      </x:c>
      <x:c r="D3172" t="str" s="2">
        <x:v>8439096615</x:v>
      </x:c>
      <x:c r="E3172" t="str" s="2">
        <x:v>1joannjordan@gmail.com</x:v>
      </x:c>
      <x:c r="F3172" t="str" s="2">
        <x:v>Financing Form</x:v>
      </x:c>
      <x:c r="G3172" t="str" s="2">
        <x:v>Maria Lopez</x:v>
      </x:c>
      <x:c r="H3172" s="6">
        <x:v>46231.90690228009</x:v>
      </x:c>
      <x:c r="I3172" s="0"/>
      <x:c r="J3172" s="0"/>
      <x:c r="K3172" s="6">
        <x:v>46256</x:v>
      </x:c>
      <x:c r="L3172" t="str" s="2">
        <x:v>Message Sent</x:v>
      </x:c>
    </x:row>
    <x:row r="3173">
      <x:c r="A3173" t="str" s="2">
        <x:f>="Christopher Domino"</x:f>
      </x:c>
      <x:c r="B3173" t="str" s="2">
        <x:v>Heritage Housing of Augusta</x:v>
      </x:c>
      <x:c r="C3173" t="str" s="2">
        <x:v/>
      </x:c>
      <x:c r="D3173" t="str" s="2">
        <x:v>8039911287</x:v>
      </x:c>
      <x:c r="E3173" t="str" s="2">
        <x:v>cmrdomino@gmail.com</x:v>
      </x:c>
      <x:c r="F3173" t="str" s="2">
        <x:v>LandingPage</x:v>
      </x:c>
      <x:c r="G3173" t="str" s="2">
        <x:v>Faye Lively</x:v>
      </x:c>
      <x:c r="H3173" s="6">
        <x:v>46231.916474652775</x:v>
      </x:c>
      <x:c r="I3173" s="0"/>
      <x:c r="J3173" s="0"/>
      <x:c r="K3173" s="6">
        <x:v>46274</x:v>
      </x:c>
      <x:c r="L3173" t="str" s="2">
        <x:v>Message Sent</x:v>
      </x:c>
    </x:row>
    <x:row r="3174">
      <x:c r="A3174" t="str" s="2">
        <x:f>="Shakendra Peacock"</x:f>
      </x:c>
      <x:c r="B3174" t="str" s="2">
        <x:v>Heritage Housing of Augusta</x:v>
      </x:c>
      <x:c r="C3174" t="str" s="2">
        <x:v/>
      </x:c>
      <x:c r="D3174" t="str" s="2">
        <x:v>4782516728</x:v>
      </x:c>
      <x:c r="E3174" t="str" s="2">
        <x:v>shakendrap207@gmail.com</x:v>
      </x:c>
      <x:c r="F3174" t="str" s="2">
        <x:v>Financing Form</x:v>
      </x:c>
      <x:c r="G3174" t="str" s="2">
        <x:v>Faye Lively</x:v>
      </x:c>
      <x:c r="H3174" s="6">
        <x:v>46231.99085512732</x:v>
      </x:c>
      <x:c r="I3174" s="0"/>
      <x:c r="J3174" s="0"/>
      <x:c r="K3174" s="6">
        <x:v>46274</x:v>
      </x:c>
      <x:c r="L3174" t="str" s="2">
        <x:v>Message Sent</x:v>
      </x:c>
    </x:row>
    <x:row r="3175">
      <x:c r="A3175" t="str" s="2">
        <x:f>="Hazel Mosier"</x:f>
      </x:c>
      <x:c r="B3175" t="str" s="2">
        <x:v>Heritage Housing of Tulsa</x:v>
      </x:c>
      <x:c r="C3175" t="str" s="2">
        <x:v/>
      </x:c>
      <x:c r="D3175" t="str" s="2">
        <x:v>9182842024</x:v>
      </x:c>
      <x:c r="E3175" t="str" s="2">
        <x:v>okie1952@yahoo.com</x:v>
      </x:c>
      <x:c r="F3175" t="str" s="2">
        <x:v>Landing_BPM</x:v>
      </x:c>
      <x:c r="G3175" t="str" s="2">
        <x:v>Jenna Fransisco</x:v>
      </x:c>
      <x:c r="H3175" s="6">
        <x:v>46232.03986392361</x:v>
      </x:c>
      <x:c r="I3175" s="0"/>
      <x:c r="J3175" s="0"/>
      <x:c r="K3175" s="6">
        <x:v>46247</x:v>
      </x:c>
      <x:c r="L3175" t="str" s="2">
        <x:v>Message Sent</x:v>
      </x:c>
    </x:row>
    <x:row r="3176">
      <x:c r="A3176" t="str" s="2">
        <x:f>="Heather Williams"</x:f>
      </x:c>
      <x:c r="B3176" t="str" s="2">
        <x:v>Heritage Housing of Asheboro</x:v>
      </x:c>
      <x:c r="C3176" t="str" s="2">
        <x:v/>
      </x:c>
      <x:c r="D3176" t="str" s="2">
        <x:v>3363017219</x:v>
      </x:c>
      <x:c r="E3176" t="str" s="2">
        <x:v>hw02662@gmail.com</x:v>
      </x:c>
      <x:c r="F3176" t="str" s="2">
        <x:v>Website</x:v>
      </x:c>
      <x:c r="G3176" t="str" s="2">
        <x:v>Maria Lopez</x:v>
      </x:c>
      <x:c r="H3176" s="6">
        <x:v>46232.105169710645</x:v>
      </x:c>
      <x:c r="I3176" s="0"/>
      <x:c r="J3176" s="0"/>
      <x:c r="K3176" s="6">
        <x:v>46256</x:v>
      </x:c>
      <x:c r="L3176" t="str" s="2">
        <x:v>Message Sent</x:v>
      </x:c>
    </x:row>
    <x:row r="3177">
      <x:c r="A3177" t="str" s="2">
        <x:f>="Cynthia Murphy"</x:f>
      </x:c>
      <x:c r="B3177" t="str" s="2">
        <x:v>Heritage Housing of Tulsa</x:v>
      </x:c>
      <x:c r="C3177" t="str" s="2">
        <x:v>1/3</x:v>
      </x:c>
      <x:c r="D3177" t="str" s="2">
        <x:v>9189914547</x:v>
      </x:c>
      <x:c r="E3177" t="str" s="2">
        <x:v>cynmurphy47@gmail.com</x:v>
      </x:c>
      <x:c r="F3177" t="str" s="2">
        <x:v>Meta Ads - Forms</x:v>
      </x:c>
      <x:c r="G3177" t="str" s="2">
        <x:v>Jenna Fransisco</x:v>
      </x:c>
      <x:c r="H3177" s="6">
        <x:v>46232.10674537037</x:v>
      </x:c>
      <x:c r="I3177" s="0"/>
      <x:c r="J3177" s="0"/>
      <x:c r="K3177" s="6">
        <x:v>46266</x:v>
      </x:c>
      <x:c r="L3177" t="str" s="2">
        <x:v>Message Sent</x:v>
      </x:c>
    </x:row>
    <x:row r="3178">
      <x:c r="A3178" t="str" s="2">
        <x:f>="Aniya Harris"</x:f>
      </x:c>
      <x:c r="B3178" t="str" s="2">
        <x:v>Heritage Housing of Oklahoma City</x:v>
      </x:c>
      <x:c r="C3178" t="str" s="2">
        <x:v>0/1</x:v>
      </x:c>
      <x:c r="D3178" t="str" s="2">
        <x:v>3165509812</x:v>
      </x:c>
      <x:c r="E3178" t="str" s="2">
        <x:v>harrisaniya221@gmail.com</x:v>
      </x:c>
      <x:c r="F3178" t="str" s="2">
        <x:v>Meta Ads - Forms</x:v>
      </x:c>
      <x:c r="G3178" t="str" s="2">
        <x:v>Trey Rixleben</x:v>
      </x:c>
      <x:c r="H3178" s="6">
        <x:v>46232.16052372685</x:v>
      </x:c>
      <x:c r="I3178" s="0"/>
      <x:c r="J3178" s="0"/>
      <x:c r="K3178" s="6">
        <x:v>46232.91750836805</x:v>
      </x:c>
      <x:c r="L3178" t="str" s="2">
        <x:v>Message Sent</x:v>
      </x:c>
    </x:row>
    <x:row r="3179">
      <x:c r="A3179" t="str" s="2">
        <x:f>=HYPERLINK("https://rsms.futurehomex.com/lead/38835", "Amber Hymes")</x:f>
      </x:c>
      <x:c r="B3179" t="str" s="2">
        <x:v>Heritage Housing of Oklahoma City</x:v>
      </x:c>
      <x:c r="C3179" t="str" s="2">
        <x:v/>
      </x:c>
      <x:c r="D3179" t="str" s="2">
        <x:v>6232758519</x:v>
      </x:c>
      <x:c r="E3179" t="str" s="2">
        <x:v>ambkelhymes@gmail.com</x:v>
      </x:c>
      <x:c r="F3179" t="str" s="2">
        <x:v>Financing Form</x:v>
      </x:c>
      <x:c r="G3179" t="str" s="2">
        <x:v>Steve Castell</x:v>
      </x:c>
      <x:c r="H3179" s="6">
        <x:v>46232.22398850694</x:v>
      </x:c>
      <x:c r="I3179" t="str" s="2">
        <x:v>Alejandra Calderon</x:v>
      </x:c>
      <x:c r="J3179" s="0"/>
      <x:c r="K3179" s="6">
        <x:v>46234</x:v>
      </x:c>
      <x:c r="L3179" t="str" s="2">
        <x:v>Message Sent</x:v>
      </x:c>
    </x:row>
    <x:row r="3180">
      <x:c r="A3180" t="str" s="2">
        <x:f>="Hunter Anderson"</x:f>
      </x:c>
      <x:c r="B3180" t="str" s="2">
        <x:v>Heritage Housing of Canton</x:v>
      </x:c>
      <x:c r="C3180" t="str" s="2">
        <x:v/>
      </x:c>
      <x:c r="D3180" t="str" s="2">
        <x:v>9033407900</x:v>
      </x:c>
      <x:c r="E3180" t="str" s="2">
        <x:v>hunta100@yahoo.com</x:v>
      </x:c>
      <x:c r="F3180" t="str" s="2">
        <x:v>LandingPage</x:v>
      </x:c>
      <x:c r="G3180" t="str" s="2">
        <x:v>Maira Garcia</x:v>
      </x:c>
      <x:c r="H3180" s="6">
        <x:v>46232.24117288194</x:v>
      </x:c>
      <x:c r="I3180" s="0"/>
      <x:c r="J3180" s="0"/>
      <x:c r="K3180" s="6">
        <x:v>46232</x:v>
      </x:c>
      <x:c r="L3180" t="str" s="2">
        <x:v>Message Sent</x:v>
      </x:c>
    </x:row>
    <x:row r="3181">
      <x:c r="A3181" t="str" s="2">
        <x:f>="Kramer LaCour"</x:f>
      </x:c>
      <x:c r="B3181" t="str" s="2">
        <x:v>Heritage Housing of Oklahoma City</x:v>
      </x:c>
      <x:c r="C3181" t="str" s="2">
        <x:v>0/1</x:v>
      </x:c>
      <x:c r="D3181" t="str" s="2">
        <x:v>5018375590</x:v>
      </x:c>
      <x:c r="E3181" t="str" s="2">
        <x:v>Krmlcr@sbcglobal.net</x:v>
      </x:c>
      <x:c r="F3181" t="str" s="2">
        <x:v>Meta Ads - Forms</x:v>
      </x:c>
      <x:c r="G3181" t="str" s="2">
        <x:v>Trey Rixleben</x:v>
      </x:c>
      <x:c r="H3181" s="6">
        <x:v>46232.46527233796</x:v>
      </x:c>
      <x:c r="I3181" s="0"/>
      <x:c r="J3181" s="0"/>
      <x:c r="K3181" s="6">
        <x:v>46232.59773741898</x:v>
      </x:c>
      <x:c r="L3181" t="str" s="2">
        <x:v>Message Sent</x:v>
      </x:c>
    </x:row>
    <x:row r="3182">
      <x:c r="A3182" t="str" s="2">
        <x:f>=HYPERLINK("https://rsms.futurehomex.com/lead/38814", "Juwan Harrison")</x:f>
      </x:c>
      <x:c r="B3182" t="str" s="2">
        <x:v>Heritage Housing of Augusta</x:v>
      </x:c>
      <x:c r="C3182" t="str" s="2">
        <x:v/>
      </x:c>
      <x:c r="D3182" t="str" s="2">
        <x:v>5108761895</x:v>
      </x:c>
      <x:c r="E3182" t="str" s="2">
        <x:v>juwanharrison96@gmail.com</x:v>
      </x:c>
      <x:c r="F3182" t="str" s="2">
        <x:v>Walk-in</x:v>
      </x:c>
      <x:c r="G3182" t="str" s="2">
        <x:v>Jennifer Johnson</x:v>
      </x:c>
      <x:c r="H3182" s="6">
        <x:v>46232.668345983795</x:v>
      </x:c>
      <x:c r="I3182" t="str" s="2">
        <x:v>Jennifer Johnson</x:v>
      </x:c>
      <x:c r="J3182" s="0"/>
      <x:c r="K3182" s="6">
        <x:v>46301</x:v>
      </x:c>
      <x:c r="L3182" t="str" s="2">
        <x:v>Message Sent</x:v>
      </x:c>
    </x:row>
    <x:row r="3183">
      <x:c r="A3183" t="str" s="2">
        <x:f>="Natalie Barrett"</x:f>
      </x:c>
      <x:c r="B3183" t="str" s="2">
        <x:v>Heritage Housing of Oklahoma City</x:v>
      </x:c>
      <x:c r="C3183" t="str" s="2">
        <x:v/>
      </x:c>
      <x:c r="D3183" t="str" s="2">
        <x:v>4052191967</x:v>
      </x:c>
      <x:c r="E3183" t="str" s="2">
        <x:v>ourelevatedgatherings@gmail.com</x:v>
      </x:c>
      <x:c r="F3183" t="str" s="2">
        <x:v>Website</x:v>
      </x:c>
      <x:c r="G3183" t="str" s="2">
        <x:v>Steve Castell</x:v>
      </x:c>
      <x:c r="H3183" s="6">
        <x:v>46232.683097835645</x:v>
      </x:c>
      <x:c r="I3183" s="0"/>
      <x:c r="J3183" s="0"/>
      <x:c r="K3183" s="6">
        <x:v>46238</x:v>
      </x:c>
      <x:c r="L3183" t="str" s="2">
        <x:v>Message Sent</x:v>
      </x:c>
    </x:row>
    <x:row r="3184">
      <x:c r="A3184" t="str" s="2">
        <x:f>=HYPERLINK("https://rsms.futurehomex.com/lead/39560", "Rachelle Williams")</x:f>
      </x:c>
      <x:c r="B3184" t="str" s="2">
        <x:v>Heritage Housing of Oklahoma City</x:v>
      </x:c>
      <x:c r="C3184" t="str" s="2">
        <x:v>0/1</x:v>
      </x:c>
      <x:c r="D3184" t="str" s="2">
        <x:v>5722397326</x:v>
      </x:c>
      <x:c r="E3184" t="str" s="2">
        <x:v>rachelle10708rena@gmail.com</x:v>
      </x:c>
      <x:c r="F3184" t="str" s="2">
        <x:v>Financing Form</x:v>
      </x:c>
      <x:c r="G3184" t="str" s="2">
        <x:v>Steve Castell</x:v>
      </x:c>
      <x:c r="H3184" s="6">
        <x:v>46232.70944305556</x:v>
      </x:c>
      <x:c r="I3184" t="str" s="2">
        <x:v>Steve Castell</x:v>
      </x:c>
      <x:c r="J3184" s="0"/>
      <x:c r="K3184" s="6">
        <x:v>46266</x:v>
      </x:c>
      <x:c r="L3184" t="str" s="2">
        <x:v>Message Sent</x:v>
      </x:c>
    </x:row>
    <x:row r="3185">
      <x:c r="A3185" t="str" s="2">
        <x:f>=HYPERLINK("https://rsms.futurehomex.com/lead/38818", "HOWARD TURNER")</x:f>
      </x:c>
      <x:c r="B3185" t="str" s="2">
        <x:v>Heritage Housing of Augusta</x:v>
      </x:c>
      <x:c r="C3185" t="str" s="2">
        <x:v/>
      </x:c>
      <x:c r="D3185" t="str" s="2">
        <x:v>5599153266</x:v>
      </x:c>
      <x:c r="E3185" t="str" s="2">
        <x:v>HOWARDTURNER59@GMAIL.COM</x:v>
      </x:c>
      <x:c r="F3185" t="str" s="2">
        <x:v>Walk-in</x:v>
      </x:c>
      <x:c r="G3185" t="str" s="2">
        <x:v>Faye Lively</x:v>
      </x:c>
      <x:c r="H3185" s="6">
        <x:v>46232.72727311343</x:v>
      </x:c>
      <x:c r="I3185" t="str" s="2">
        <x:v>Faye Lively</x:v>
      </x:c>
      <x:c r="J3185" s="0"/>
      <x:c r="K3185" s="6">
        <x:v>46268</x:v>
      </x:c>
      <x:c r="L3185" t="str" s="2">
        <x:v>Message Sent</x:v>
      </x:c>
    </x:row>
    <x:row r="3186">
      <x:c r="A3186" t="str" s="2">
        <x:f>=HYPERLINK("https://rsms.futurehomex.com/lead/38894", "Luis Lopez")</x:f>
      </x:c>
      <x:c r="B3186" t="str" s="2">
        <x:v>Legacy Housing Corp. DBA Americasa</x:v>
      </x:c>
      <x:c r="C3186" t="str" s="2">
        <x:v/>
      </x:c>
      <x:c r="D3186" t="str" s="2">
        <x:v>8324802460</x:v>
      </x:c>
      <x:c r="E3186" t="str" s="2">
        <x:v>8324802460</x:v>
      </x:c>
      <x:c r="F3186" t="str" s="2">
        <x:v>Meta Marketplace</x:v>
      </x:c>
      <x:c r="G3186" t="str" s="2">
        <x:v>Rodrigo Ramirez</x:v>
      </x:c>
      <x:c r="H3186" s="6">
        <x:v>46232.74196678241</x:v>
      </x:c>
      <x:c r="I3186" t="str" s="2">
        <x:v>Joey Marquez</x:v>
      </x:c>
      <x:c r="J3186" s="6">
        <x:v>46235.708333333336</x:v>
      </x:c>
      <x:c r="K3186" s="6">
        <x:v>46287</x:v>
      </x:c>
      <x:c r="L3186" t="str" s="2">
        <x:v>Message Sent</x:v>
      </x:c>
    </x:row>
    <x:row r="3187">
      <x:c r="A3187" t="str" s="2">
        <x:f>=HYPERLINK("https://rsms.futurehomex.com/lead/38825", "KRISTEN SKEENS")</x:f>
      </x:c>
      <x:c r="B3187" t="str" s="2">
        <x:v>Heritage Housing of Augusta</x:v>
      </x:c>
      <x:c r="C3187" t="str" s="2">
        <x:v/>
      </x:c>
      <x:c r="D3187" t="str" s="2">
        <x:v>7068717723</x:v>
      </x:c>
      <x:c r="E3187" t="str" s="2">
        <x:v>icremsneeks77@gmail.com</x:v>
      </x:c>
      <x:c r="F3187" t="str" s="2">
        <x:v>Walk-in</x:v>
      </x:c>
      <x:c r="G3187" t="str" s="2">
        <x:v>Faye Lively</x:v>
      </x:c>
      <x:c r="H3187" s="6">
        <x:v>46232.805796064815</x:v>
      </x:c>
      <x:c r="I3187" t="str" s="2">
        <x:v>Faye Lively</x:v>
      </x:c>
      <x:c r="J3187" s="0"/>
      <x:c r="K3187" s="6">
        <x:v>46246.6071246875</x:v>
      </x:c>
      <x:c r="L3187" t="str" s="2">
        <x:v>Message Sent</x:v>
      </x:c>
    </x:row>
    <x:row r="3188">
      <x:c r="A3188" t="str" s="2">
        <x:f>="Leta Hayes"</x:f>
      </x:c>
      <x:c r="B3188" t="str" s="2">
        <x:v>Heritage Housing of Oklahoma City</x:v>
      </x:c>
      <x:c r="C3188" t="str" s="2">
        <x:v>0/2</x:v>
      </x:c>
      <x:c r="D3188" t="str" s="2">
        <x:v>5804213395</x:v>
      </x:c>
      <x:c r="E3188" t="str" s="2">
        <x:v>letaraglandhayes@yahoo.com</x:v>
      </x:c>
      <x:c r="F3188" t="str" s="2">
        <x:v>Financing Form</x:v>
      </x:c>
      <x:c r="G3188" t="str" s="2">
        <x:v>Trey Rixleben</x:v>
      </x:c>
      <x:c r="H3188" s="6">
        <x:v>46232.84255825231</x:v>
      </x:c>
      <x:c r="I3188" s="0"/>
      <x:c r="J3188" s="0"/>
      <x:c r="K3188" s="6">
        <x:v>46232.91738368056</x:v>
      </x:c>
      <x:c r="L3188" t="str" s="2">
        <x:v>Message Sent</x:v>
      </x:c>
    </x:row>
    <x:row r="3189">
      <x:c r="A3189" t="str" s="2">
        <x:f>="Kendall Minter"</x:f>
      </x:c>
      <x:c r="B3189" t="str" s="2">
        <x:v>Heritage Housing Mt Pleasant</x:v>
      </x:c>
      <x:c r="C3189" t="str" s="2">
        <x:v/>
      </x:c>
      <x:c r="D3189" t="str" s="2">
        <x:v>9033808750</x:v>
      </x:c>
      <x:c r="E3189" t="str" s="2">
        <x:v>kminter12620@gmail.com</x:v>
      </x:c>
      <x:c r="F3189" t="str" s="2">
        <x:v>Financing Form</x:v>
      </x:c>
      <x:c r="G3189" t="str" s="2">
        <x:v>Sandra Saldana</x:v>
      </x:c>
      <x:c r="H3189" s="6">
        <x:v>46232.86473758102</x:v>
      </x:c>
      <x:c r="I3189" s="0"/>
      <x:c r="J3189" s="0"/>
      <x:c r="K3189" s="6">
        <x:v>46267</x:v>
      </x:c>
      <x:c r="L3189" t="str" s="2">
        <x:v>Message Sent</x:v>
      </x:c>
    </x:row>
    <x:row r="3190">
      <x:c r="A3190" t="str" s="2">
        <x:f>="Lauren Martinez"</x:f>
      </x:c>
      <x:c r="B3190" t="str" s="2">
        <x:v>Legacy Housing Corp. DBA Americasa</x:v>
      </x:c>
      <x:c r="C3190" t="str" s="2">
        <x:v/>
      </x:c>
      <x:c r="D3190" t="str" s="2">
        <x:v>8324932593</x:v>
      </x:c>
      <x:c r="E3190" t="str" s="2">
        <x:v>martinezlaurentaylor2000@gmail.com</x:v>
      </x:c>
      <x:c r="F3190" t="str" s="2">
        <x:v>Website</x:v>
      </x:c>
      <x:c r="G3190" t="str" s="2">
        <x:v>Jose Parada</x:v>
      </x:c>
      <x:c r="H3190" s="6">
        <x:v>46233.025579629626</x:v>
      </x:c>
      <x:c r="I3190" s="0"/>
      <x:c r="J3190" s="0"/>
      <x:c r="K3190" s="6">
        <x:v>46233</x:v>
      </x:c>
      <x:c r="L3190" t="str" s="2">
        <x:v>Message Sent</x:v>
      </x:c>
    </x:row>
    <x:row r="3191">
      <x:c r="A3191" t="str" s="2">
        <x:f>="Rahima Payne"</x:f>
      </x:c>
      <x:c r="B3191" t="str" s="2">
        <x:v>Heritage Housing of Tulsa</x:v>
      </x:c>
      <x:c r="C3191" t="str" s="2">
        <x:v/>
      </x:c>
      <x:c r="D3191" t="str" s="2">
        <x:v>5394446393</x:v>
      </x:c>
      <x:c r="E3191" t="str" s="2">
        <x:v>himadawg@yahoo.com</x:v>
      </x:c>
      <x:c r="F3191" t="str" s="2">
        <x:v>LandingPage</x:v>
      </x:c>
      <x:c r="G3191" t="str" s="2">
        <x:v>Jenna Fransisco</x:v>
      </x:c>
      <x:c r="H3191" s="6">
        <x:v>46233.08431990741</x:v>
      </x:c>
      <x:c r="I3191" s="0"/>
      <x:c r="J3191" s="0"/>
      <x:c r="K3191" s="6">
        <x:v>46251</x:v>
      </x:c>
      <x:c r="L3191" t="str" s="2">
        <x:v>Message Sent</x:v>
      </x:c>
    </x:row>
    <x:row r="3192">
      <x:c r="A3192" t="str" s="2">
        <x:f>="Nga Le"</x:f>
      </x:c>
      <x:c r="B3192" t="str" s="2">
        <x:v>Heritage Housing of Jennings</x:v>
      </x:c>
      <x:c r="C3192" t="str" s="2">
        <x:v>0/1</x:v>
      </x:c>
      <x:c r="D3192" t="str" s="2">
        <x:v>3182907276</x:v>
      </x:c>
      <x:c r="E3192" t="str" s="2">
        <x:v>ngale832@yahoo.com</x:v>
      </x:c>
      <x:c r="F3192" t="str" s="2">
        <x:v>Website</x:v>
      </x:c>
      <x:c r="G3192" t="str" s="2">
        <x:v>Clint O'Neal</x:v>
      </x:c>
      <x:c r="H3192" s="6">
        <x:v>46233.123445335645</x:v>
      </x:c>
      <x:c r="I3192" s="0"/>
      <x:c r="J3192" s="0"/>
      <x:c r="K3192" s="6">
        <x:v>46284.73933144676</x:v>
      </x:c>
      <x:c r="L3192" t="str" s="2">
        <x:v>Message Sent</x:v>
      </x:c>
    </x:row>
    <x:row r="3193">
      <x:c r="A3193" t="str" s="2">
        <x:f>=HYPERLINK("https://rsms.futurehomex.com/lead/38840", "Sherry Chaffin")</x:f>
      </x:c>
      <x:c r="B3193" t="str" s="2">
        <x:v>Heritage Housing of Oklahoma City</x:v>
      </x:c>
      <x:c r="C3193" t="str" s="2">
        <x:v/>
      </x:c>
      <x:c r="D3193" t="str" s="2">
        <x:v>4052551290</x:v>
      </x:c>
      <x:c r="E3193" t="str" s="2">
        <x:v>wendymagnus1@aol.com</x:v>
      </x:c>
      <x:c r="F3193" t="str" s="2">
        <x:v>Facebook Messenger</x:v>
      </x:c>
      <x:c r="G3193" t="str" s="2">
        <x:v>Steve Castell</x:v>
      </x:c>
      <x:c r="H3193" s="6">
        <x:v>46233.64431512731</x:v>
      </x:c>
      <x:c r="I3193" t="str" s="2">
        <x:v>Steve Castell</x:v>
      </x:c>
      <x:c r="J3193" s="0"/>
      <x:c r="K3193" s="6">
        <x:v>46249</x:v>
      </x:c>
      <x:c r="L3193" t="str" s="2">
        <x:v>Message Sent</x:v>
      </x:c>
    </x:row>
    <x:row r="3194">
      <x:c r="A3194" t="str" s="2">
        <x:f>="Wanda Bankston"</x:f>
      </x:c>
      <x:c r="B3194" t="str" s="2">
        <x:v>Heritage Housing of Oklahoma City</x:v>
      </x:c>
      <x:c r="C3194" t="str" s="2">
        <x:v>0/1</x:v>
      </x:c>
      <x:c r="D3194" t="str" s="2">
        <x:v>9188166448</x:v>
      </x:c>
      <x:c r="E3194" t="str" s="2">
        <x:v>sistahwa@gmail.com</x:v>
      </x:c>
      <x:c r="F3194" t="str" s="2">
        <x:v>Meta Ads - Forms</x:v>
      </x:c>
      <x:c r="G3194" t="str" s="2">
        <x:v>Trey Rixleben</x:v>
      </x:c>
      <x:c r="H3194" s="6">
        <x:v>46233.78273518519</x:v>
      </x:c>
      <x:c r="I3194" s="0"/>
      <x:c r="J3194" s="0"/>
      <x:c r="K3194" s="6">
        <x:v>46233.85323880787</x:v>
      </x:c>
      <x:c r="L3194" t="str" s="2">
        <x:v>Message Sent</x:v>
      </x:c>
    </x:row>
    <x:row r="3195">
      <x:c r="A3195" t="str" s="2">
        <x:f>="Rick Boshears"</x:f>
      </x:c>
      <x:c r="B3195" t="str" s="2">
        <x:v>Heritage Housing of Tulsa</x:v>
      </x:c>
      <x:c r="C3195" t="str" s="2">
        <x:v/>
      </x:c>
      <x:c r="D3195" t="str" s="2">
        <x:v>9182896631</x:v>
      </x:c>
      <x:c r="E3195" t="str" s="2">
        <x:v>rboshearsuphill@yahoo.com</x:v>
      </x:c>
      <x:c r="F3195" t="str" s="2">
        <x:v>Meta Ads - Forms</x:v>
      </x:c>
      <x:c r="G3195" t="str" s="2">
        <x:v>Jenna Fransisco</x:v>
      </x:c>
      <x:c r="H3195" s="6">
        <x:v>46233.8388533912</x:v>
      </x:c>
      <x:c r="I3195" s="0"/>
      <x:c r="J3195" s="0"/>
      <x:c r="K3195" s="6">
        <x:v>46251</x:v>
      </x:c>
      <x:c r="L3195" t="str" s="2">
        <x:v>Message Sent</x:v>
      </x:c>
    </x:row>
    <x:row r="3196">
      <x:c r="A3196" t="str" s="2">
        <x:f>=HYPERLINK("https://rsms.futurehomex.com/lead/38850", "Brandi Daluge")</x:f>
      </x:c>
      <x:c r="B3196" t="str" s="2">
        <x:v>Heritage Housing of Tulsa</x:v>
      </x:c>
      <x:c r="C3196" t="str" s="2">
        <x:v>1/2</x:v>
      </x:c>
      <x:c r="D3196" t="str" s="2">
        <x:v>9165831959</x:v>
      </x:c>
      <x:c r="E3196" t="str" s="2">
        <x:v>brandidaluge@gmail.com</x:v>
      </x:c>
      <x:c r="F3196" t="str" s="2">
        <x:v>HH - Tulsa</x:v>
      </x:c>
      <x:c r="G3196" t="str" s="2">
        <x:v>Jenna Fransisco</x:v>
      </x:c>
      <x:c r="H3196" s="6">
        <x:v>46233.88465486111</x:v>
      </x:c>
      <x:c r="I3196" t="str" s="2">
        <x:v>Jenna Fransisco</x:v>
      </x:c>
      <x:c r="J3196" s="0"/>
      <x:c r="K3196" s="6">
        <x:v>46266</x:v>
      </x:c>
      <x:c r="L3196" t="str" s="2">
        <x:v>Message Sent</x:v>
      </x:c>
    </x:row>
    <x:row r="3197">
      <x:c r="A3197" t="str" s="2">
        <x:f>="Beva Morales"</x:f>
      </x:c>
      <x:c r="B3197" t="str" s="2">
        <x:v>Heritage Housing of Oklahoma City</x:v>
      </x:c>
      <x:c r="C3197" t="str" s="2">
        <x:v>0/2</x:v>
      </x:c>
      <x:c r="D3197" t="str" s="2">
        <x:v>4059334657</x:v>
      </x:c>
      <x:c r="E3197" t="str" s="2">
        <x:v>G.lilly1981@icloud.com</x:v>
      </x:c>
      <x:c r="F3197" t="str" s="2">
        <x:v>Meta Ads - Forms</x:v>
      </x:c>
      <x:c r="G3197" t="str" s="2">
        <x:v>Steve Castell</x:v>
      </x:c>
      <x:c r="H3197" s="6">
        <x:v>46234.1914375</x:v>
      </x:c>
      <x:c r="I3197" s="0"/>
      <x:c r="J3197" s="0"/>
      <x:c r="K3197" s="6">
        <x:v>46247</x:v>
      </x:c>
      <x:c r="L3197" t="str" s="2">
        <x:v>Message Sent</x:v>
      </x:c>
    </x:row>
    <x:row r="3198">
      <x:c r="A3198" t="str" s="2">
        <x:f>="Mattie Jean Hibbs"</x:f>
      </x:c>
      <x:c r="B3198" t="str" s="2">
        <x:v>Heritage Housing of Oklahoma City</x:v>
      </x:c>
      <x:c r="C3198" t="str" s="2">
        <x:v>0/1</x:v>
      </x:c>
      <x:c r="D3198" t="str" s="2">
        <x:v>4056514845</x:v>
      </x:c>
      <x:c r="E3198" t="str" s="2">
        <x:v>mjean.hibbs@gmail.com</x:v>
      </x:c>
      <x:c r="F3198" t="str" s="2">
        <x:v>Meta Ads - Forms</x:v>
      </x:c>
      <x:c r="G3198" t="str" s="2">
        <x:v>Trey Rixleben</x:v>
      </x:c>
      <x:c r="H3198" s="6">
        <x:v>46234.297336539355</x:v>
      </x:c>
      <x:c r="I3198" s="0"/>
      <x:c r="J3198" s="0"/>
      <x:c r="K3198" s="6">
        <x:v>46234.6461587963</x:v>
      </x:c>
      <x:c r="L3198" t="str" s="2">
        <x:v>Message Sent</x:v>
      </x:c>
    </x:row>
    <x:row r="3199">
      <x:c r="A3199" t="str" s="2">
        <x:f>="Ronnica Stroud"</x:f>
      </x:c>
      <x:c r="B3199" t="str" s="2">
        <x:v>Heritage Housing of Greenville</x:v>
      </x:c>
      <x:c r="C3199" t="str" s="2">
        <x:v/>
      </x:c>
      <x:c r="D3199" t="str" s="2">
        <x:v>4693387530</x:v>
      </x:c>
      <x:c r="E3199" t="str" s="2">
        <x:v>ronnicastroud@ymail.com</x:v>
      </x:c>
      <x:c r="F3199" t="str" s="2">
        <x:v>Financing Form</x:v>
      </x:c>
      <x:c r="G3199" t="str" s="2">
        <x:v>Brooklynn Allen</x:v>
      </x:c>
      <x:c r="H3199" s="6">
        <x:v>46234.54132758102</x:v>
      </x:c>
      <x:c r="I3199" s="0"/>
      <x:c r="J3199" s="0"/>
      <x:c r="K3199" s="6">
        <x:v>46249</x:v>
      </x:c>
      <x:c r="L3199" t="str" s="2">
        <x:v>Message Sent</x:v>
      </x:c>
    </x:row>
    <x:row r="3200">
      <x:c r="A3200" t="str" s="2">
        <x:f>="Kenneth Scott"</x:f>
      </x:c>
      <x:c r="B3200" t="str" s="2">
        <x:v>Heritage Housing of Asheboro</x:v>
      </x:c>
      <x:c r="C3200" t="str" s="2">
        <x:v/>
      </x:c>
      <x:c r="D3200" t="str" s="2">
        <x:v>4347101446</x:v>
      </x:c>
      <x:c r="E3200" t="str" s="2">
        <x:v>kenneth24540@gmail.com</x:v>
      </x:c>
      <x:c r="F3200" t="str" s="2">
        <x:v>Landing_BPM</x:v>
      </x:c>
      <x:c r="G3200" t="str" s="2">
        <x:v>Maria Lopez</x:v>
      </x:c>
      <x:c r="H3200" s="6">
        <x:v>46234.54985563657</x:v>
      </x:c>
      <x:c r="I3200" s="0"/>
      <x:c r="J3200" s="0"/>
      <x:c r="K3200" s="6">
        <x:v>46261</x:v>
      </x:c>
      <x:c r="L3200" t="str" s="2">
        <x:v>Message Sent</x:v>
      </x:c>
    </x:row>
    <x:row r="3201">
      <x:c r="A3201" t="str" s="2">
        <x:f>="Vinson Mahogany"</x:f>
      </x:c>
      <x:c r="B3201" t="str" s="2">
        <x:v>Heritage Housing of Augusta</x:v>
      </x:c>
      <x:c r="C3201" t="str" s="2">
        <x:v/>
      </x:c>
      <x:c r="D3201" t="str" s="2">
        <x:v>9124108349</x:v>
      </x:c>
      <x:c r="E3201" t="str" s="2">
        <x:v>hoggiebaby22@gmail.com</x:v>
      </x:c>
      <x:c r="F3201" t="str" s="2">
        <x:v>Landing_BPM</x:v>
      </x:c>
      <x:c r="G3201" t="str" s="2">
        <x:v>Faye Lively</x:v>
      </x:c>
      <x:c r="H3201" s="6">
        <x:v>46234.62885552083</x:v>
      </x:c>
      <x:c r="I3201" s="0"/>
      <x:c r="J3201" s="0"/>
      <x:c r="K3201" s="6">
        <x:v>46273</x:v>
      </x:c>
      <x:c r="L3201" t="str" s="2">
        <x:v>Message Sent</x:v>
      </x:c>
    </x:row>
    <x:row r="3202">
      <x:c r="A3202" t="str" s="2">
        <x:f>="Jaquelin Gonzales"</x:f>
      </x:c>
      <x:c r="B3202" t="str" s="2">
        <x:v>Heritage Housing of Asheboro</x:v>
      </x:c>
      <x:c r="C3202" t="str" s="2">
        <x:v/>
      </x:c>
      <x:c r="D3202" t="str" s="2">
        <x:v>7043008198</x:v>
      </x:c>
      <x:c r="E3202" t="str" s="2">
        <x:v>xo.joanna03@gmail.com</x:v>
      </x:c>
      <x:c r="F3202" t="str" s="2">
        <x:v>Landing_BPM</x:v>
      </x:c>
      <x:c r="G3202" t="str" s="2">
        <x:v>Maria Lopez</x:v>
      </x:c>
      <x:c r="H3202" s="6">
        <x:v>46234.659116284725</x:v>
      </x:c>
      <x:c r="I3202" s="0"/>
      <x:c r="J3202" s="0"/>
      <x:c r="K3202" s="6">
        <x:v>46261</x:v>
      </x:c>
      <x:c r="L3202" t="str" s="2">
        <x:v>Message Sent</x:v>
      </x:c>
    </x:row>
    <x:row r="3203">
      <x:c r="A3203" t="str" s="2">
        <x:f>="James Addison"</x:f>
      </x:c>
      <x:c r="B3203" t="str" s="2">
        <x:v>Heritage Housing of Asheboro</x:v>
      </x:c>
      <x:c r="C3203" t="str" s="2">
        <x:v/>
      </x:c>
      <x:c r="D3203" t="str" s="2">
        <x:v>7042407020</x:v>
      </x:c>
      <x:c r="E3203" t="str" s="2">
        <x:v>belladelylah0607@gmail.com</x:v>
      </x:c>
      <x:c r="F3203" t="str" s="2">
        <x:v>Financing Form</x:v>
      </x:c>
      <x:c r="G3203" t="str" s="2">
        <x:v>Maria Lopez</x:v>
      </x:c>
      <x:c r="H3203" s="6">
        <x:v>46234.71018765046</x:v>
      </x:c>
      <x:c r="I3203" s="0"/>
      <x:c r="J3203" s="0"/>
      <x:c r="K3203" s="6">
        <x:v>46261</x:v>
      </x:c>
      <x:c r="L3203" t="str" s="2">
        <x:v>Message Sent</x:v>
      </x:c>
    </x:row>
    <x:row r="3204">
      <x:c r="A3204" t="str" s="2">
        <x:f>="Rosalyn Lee"</x:f>
      </x:c>
      <x:c r="B3204" t="str" s="2">
        <x:v>Heritage Housing of Athens</x:v>
      </x:c>
      <x:c r="C3204" t="str" s="2">
        <x:v>0/1</x:v>
      </x:c>
      <x:c r="D3204" t="str" s="2">
        <x:v>4044558816</x:v>
      </x:c>
      <x:c r="E3204" t="str" s="2">
        <x:v>mersadezlee69.rl@gmail.com</x:v>
      </x:c>
      <x:c r="F3204" t="str" s="2">
        <x:v>Landing_BPM</x:v>
      </x:c>
      <x:c r="G3204" t="str" s="2">
        <x:v>Nathan Bishop</x:v>
      </x:c>
      <x:c r="H3204" s="6">
        <x:v>46234.753454398146</x:v>
      </x:c>
      <x:c r="I3204" s="0"/>
      <x:c r="J3204" s="0"/>
      <x:c r="K3204" s="6">
        <x:v>46279</x:v>
      </x:c>
      <x:c r="L3204" t="str" s="2">
        <x:v>Message Sent</x:v>
      </x:c>
    </x:row>
    <x:row r="3205">
      <x:c r="A3205" t="str" s="2">
        <x:f>="Crystal Gray Gray"</x:f>
      </x:c>
      <x:c r="B3205" t="str" s="2">
        <x:v>Heritage Housing of Asheboro</x:v>
      </x:c>
      <x:c r="C3205" t="str" s="2">
        <x:v/>
      </x:c>
      <x:c r="D3205" t="str" s="2">
        <x:v>7043962228</x:v>
      </x:c>
      <x:c r="E3205" t="str" s="2">
        <x:v>ms.50shades911@gmail.com</x:v>
      </x:c>
      <x:c r="F3205" t="str" s="2">
        <x:v>Landing_BPM</x:v>
      </x:c>
      <x:c r="G3205" t="str" s="2">
        <x:v>Maria Lopez</x:v>
      </x:c>
      <x:c r="H3205" s="6">
        <x:v>46234.82998931713</x:v>
      </x:c>
      <x:c r="I3205" s="0"/>
      <x:c r="J3205" s="0"/>
      <x:c r="K3205" s="6">
        <x:v>46261</x:v>
      </x:c>
      <x:c r="L3205" t="str" s="2">
        <x:v>Message Sent</x:v>
      </x:c>
    </x:row>
    <x:row r="3206">
      <x:c r="A3206" t="str" s="2">
        <x:f>="Jackie Duke"</x:f>
      </x:c>
      <x:c r="B3206" t="str" s="2">
        <x:v>Heritage Housing of Asheboro</x:v>
      </x:c>
      <x:c r="C3206" t="str" s="2">
        <x:v/>
      </x:c>
      <x:c r="D3206" t="str" s="2">
        <x:v>4257603543</x:v>
      </x:c>
      <x:c r="E3206" t="str" s="2">
        <x:v>jlynnduke22@yahoo.com</x:v>
      </x:c>
      <x:c r="F3206" t="str" s="2">
        <x:v>Financing Form</x:v>
      </x:c>
      <x:c r="G3206" t="str" s="2">
        <x:v>Maria Lopez</x:v>
      </x:c>
      <x:c r="H3206" s="6">
        <x:v>46234.93786987269</x:v>
      </x:c>
      <x:c r="I3206" s="0"/>
      <x:c r="J3206" s="0"/>
      <x:c r="K3206" s="6">
        <x:v>46235</x:v>
      </x:c>
      <x:c r="L3206" t="str" s="2">
        <x:v>Message Sent</x:v>
      </x:c>
    </x:row>
    <x:row r="3207">
      <x:c r="A3207" t="str" s="2">
        <x:f>="Benjamin Rowe"</x:f>
      </x:c>
      <x:c r="B3207" t="str" s="2">
        <x:v>Heritage Housing of Athens</x:v>
      </x:c>
      <x:c r="C3207" t="str" s="2">
        <x:v>0/2</x:v>
      </x:c>
      <x:c r="D3207" t="str" s="2">
        <x:v>7622341145</x:v>
      </x:c>
      <x:c r="E3207" t="str" s="2">
        <x:v>browe3960@gmail.com</x:v>
      </x:c>
      <x:c r="F3207" t="str" s="2">
        <x:v>Landing_BPM</x:v>
      </x:c>
      <x:c r="G3207" t="str" s="2">
        <x:v>Nathan Bishop</x:v>
      </x:c>
      <x:c r="H3207" s="6">
        <x:v>46234.987480902775</x:v>
      </x:c>
      <x:c r="I3207" s="0"/>
      <x:c r="J3207" s="0"/>
      <x:c r="K3207" s="6">
        <x:v>46282</x:v>
      </x:c>
      <x:c r="L3207" t="str" s="2">
        <x:v>Message Sent</x:v>
      </x:c>
    </x:row>
    <x:row r="3208">
      <x:c r="A3208" t="str" s="2">
        <x:f>="brianna burns"</x:f>
      </x:c>
      <x:c r="B3208" t="str" s="2">
        <x:v>Legacy Housing Corp. DBA Americasa</x:v>
      </x:c>
      <x:c r="C3208" t="str" s="2">
        <x:v/>
      </x:c>
      <x:c r="D3208" t="str" s="2">
        <x:v>4092398329</x:v>
      </x:c>
      <x:c r="E3208" t="str" s="2">
        <x:v>burnsbr06@gmail.com</x:v>
      </x:c>
      <x:c r="F3208" t="str" s="2">
        <x:v>Landing_BPM</x:v>
      </x:c>
      <x:c r="G3208" t="str" s="2">
        <x:v>Rodrigo Ramirez</x:v>
      </x:c>
      <x:c r="H3208" s="6">
        <x:v>46235.235067395835</x:v>
      </x:c>
      <x:c r="I3208" s="0"/>
      <x:c r="J3208" s="0"/>
      <x:c r="K3208" s="6">
        <x:v>46282</x:v>
      </x:c>
      <x:c r="L3208" t="str" s="2">
        <x:v>Message Sent</x:v>
      </x:c>
    </x:row>
    <x:row r="3209">
      <x:c r="A3209" t="str" s="2">
        <x:f>="Janet Tyson"</x:f>
      </x:c>
      <x:c r="B3209" t="str" s="2">
        <x:v>Heritage Housing of Asheboro</x:v>
      </x:c>
      <x:c r="C3209" t="str" s="2">
        <x:v/>
      </x:c>
      <x:c r="D3209" t="str" s="2">
        <x:v>8284766038</x:v>
      </x:c>
      <x:c r="E3209" t="str" s="2">
        <x:v>nannyjanet2828@gmail.com</x:v>
      </x:c>
      <x:c r="F3209" t="str" s="2">
        <x:v>Landing_BPM</x:v>
      </x:c>
      <x:c r="G3209" t="str" s="2">
        <x:v>Maria Lopez</x:v>
      </x:c>
      <x:c r="H3209" s="6">
        <x:v>46235.23775177083</x:v>
      </x:c>
      <x:c r="I3209" s="0"/>
      <x:c r="J3209" s="0"/>
      <x:c r="K3209" s="6">
        <x:v>46256</x:v>
      </x:c>
      <x:c r="L3209" t="str" s="2">
        <x:v>Message Sent</x:v>
      </x:c>
    </x:row>
    <x:row r="3210">
      <x:c r="A3210" t="str" s="2">
        <x:f>="Rickie Hobbs"</x:f>
      </x:c>
      <x:c r="B3210" t="str" s="2">
        <x:v>Heritage Housing of Asheboro</x:v>
      </x:c>
      <x:c r="C3210" t="str" s="2">
        <x:v/>
      </x:c>
      <x:c r="D3210" t="str" s="2">
        <x:v>3362802684</x:v>
      </x:c>
      <x:c r="E3210" t="str" s="2">
        <x:v>rykrelynneskyre12@gmail.com</x:v>
      </x:c>
      <x:c r="F3210" t="str" s="2">
        <x:v>Landing_BPM</x:v>
      </x:c>
      <x:c r="G3210" t="str" s="2">
        <x:v>Maria Lopez</x:v>
      </x:c>
      <x:c r="H3210" s="6">
        <x:v>46235.39065505787</x:v>
      </x:c>
      <x:c r="I3210" s="0"/>
      <x:c r="J3210" s="0"/>
      <x:c r="K3210" s="6">
        <x:v>46261</x:v>
      </x:c>
      <x:c r="L3210" t="str" s="2">
        <x:v>Message Sent</x:v>
      </x:c>
    </x:row>
    <x:row r="3211">
      <x:c r="A3211" t="str" s="2">
        <x:f>="Chelesea Collins"</x:f>
      </x:c>
      <x:c r="B3211" t="str" s="2">
        <x:v>Legacy Housing Corp. DBA Americasa</x:v>
      </x:c>
      <x:c r="C3211" t="str" s="2">
        <x:v/>
      </x:c>
      <x:c r="D3211" t="str" s="2">
        <x:v>2817854611</x:v>
      </x:c>
      <x:c r="E3211" t="str" s="2">
        <x:v>chelesea.workday@gmail.com</x:v>
      </x:c>
      <x:c r="F3211" t="str" s="2">
        <x:v>Landing_BPM</x:v>
      </x:c>
      <x:c r="G3211" t="str" s="2">
        <x:v>Rodrigo Ramirez</x:v>
      </x:c>
      <x:c r="H3211" s="6">
        <x:v>46235.41839788194</x:v>
      </x:c>
      <x:c r="I3211" s="0"/>
      <x:c r="J3211" s="0"/>
      <x:c r="K3211" s="6">
        <x:v>46290</x:v>
      </x:c>
      <x:c r="L3211" t="str" s="2">
        <x:v>Message Sent</x:v>
      </x:c>
    </x:row>
    <x:row r="3212">
      <x:c r="A3212" t="str" s="2">
        <x:f>="Bill McCartney"</x:f>
      </x:c>
      <x:c r="B3212" t="str" s="2">
        <x:v>Heritage Housing of Oklahoma City</x:v>
      </x:c>
      <x:c r="C3212" t="str" s="2">
        <x:v>0/1</x:v>
      </x:c>
      <x:c r="D3212" t="str" s="2">
        <x:v>4054797262</x:v>
      </x:c>
      <x:c r="E3212" t="str" s="2">
        <x:v>billmccrtn@gmail.com</x:v>
      </x:c>
      <x:c r="F3212" t="str" s="2">
        <x:v>Website</x:v>
      </x:c>
      <x:c r="G3212" t="str" s="2">
        <x:v>Steve Castell</x:v>
      </x:c>
      <x:c r="H3212" s="6">
        <x:v>46235.42745732639</x:v>
      </x:c>
      <x:c r="I3212" s="0"/>
      <x:c r="J3212" s="0"/>
      <x:c r="K3212" s="6">
        <x:v>46241.01531099537</x:v>
      </x:c>
      <x:c r="L3212" t="str" s="2">
        <x:v>Message Sent</x:v>
      </x:c>
    </x:row>
    <x:row r="3213">
      <x:c r="A3213" t="str" s="2">
        <x:f>="Deborah Hernandez"</x:f>
      </x:c>
      <x:c r="B3213" t="str" s="2">
        <x:v>Heritage Housing of Asheboro</x:v>
      </x:c>
      <x:c r="C3213" t="str" s="2">
        <x:v/>
      </x:c>
      <x:c r="D3213" t="str" s="2">
        <x:v>3369009533</x:v>
      </x:c>
      <x:c r="E3213" t="str" s="2">
        <x:v>Dellahernan2012@gmail.com</x:v>
      </x:c>
      <x:c r="F3213" t="str" s="2">
        <x:v>Landing_BPM</x:v>
      </x:c>
      <x:c r="G3213" t="str" s="2">
        <x:v>Maria Lopez</x:v>
      </x:c>
      <x:c r="H3213" s="6">
        <x:v>46235.53441099537</x:v>
      </x:c>
      <x:c r="I3213" s="0"/>
      <x:c r="J3213" s="0"/>
      <x:c r="K3213" s="6">
        <x:v>46261</x:v>
      </x:c>
      <x:c r="L3213" t="str" s="2">
        <x:v>Message Sent</x:v>
      </x:c>
    </x:row>
    <x:row r="3214">
      <x:c r="A3214" t="str" s="2">
        <x:f>="Eva Bautista Bautista Bautista"</x:f>
      </x:c>
      <x:c r="B3214" t="str" s="2">
        <x:v>Heritage Housing of Tulsa</x:v>
      </x:c>
      <x:c r="C3214" t="str" s="2">
        <x:v/>
      </x:c>
      <x:c r="D3214" t="str" s="2">
        <x:v>9189075635</x:v>
      </x:c>
      <x:c r="E3214" t="str" s="2">
        <x:v>evazanches.69@gmail.com</x:v>
      </x:c>
      <x:c r="F3214" t="str" s="2">
        <x:v>Landing_BPM</x:v>
      </x:c>
      <x:c r="G3214" t="str" s="2">
        <x:v>Jenna Fransisco</x:v>
      </x:c>
      <x:c r="H3214" s="6">
        <x:v>46235.56168047454</x:v>
      </x:c>
      <x:c r="I3214" s="0"/>
      <x:c r="J3214" s="0"/>
      <x:c r="K3214" s="6">
        <x:v>46251</x:v>
      </x:c>
      <x:c r="L3214" t="str" s="2">
        <x:v>Message Sent</x:v>
      </x:c>
    </x:row>
    <x:row r="3215">
      <x:c r="A3215" t="str" s="2">
        <x:f>=HYPERLINK("https://rsms.futurehomex.com/lead/38876", "Rachel Elizalde")</x:f>
      </x:c>
      <x:c r="B3215" t="str" s="2">
        <x:v>Heritage Housing of Oklahoma City</x:v>
      </x:c>
      <x:c r="C3215" t="str" s="2">
        <x:v/>
      </x:c>
      <x:c r="D3215" t="str" s="2">
        <x:v>7276549140</x:v>
      </x:c>
      <x:c r="E3215" t="str" s="2">
        <x:v>7276549140</x:v>
      </x:c>
      <x:c r="F3215" t="str" s="2">
        <x:v>Facebook Messenger</x:v>
      </x:c>
      <x:c r="G3215" t="str" s="2">
        <x:v>Steve Castell</x:v>
      </x:c>
      <x:c r="H3215" s="6">
        <x:v>46235.655307256944</x:v>
      </x:c>
      <x:c r="I3215" t="str" s="2">
        <x:v>Alejandra Calderon</x:v>
      </x:c>
      <x:c r="J3215" s="0"/>
      <x:c r="K3215" s="6">
        <x:v>46270</x:v>
      </x:c>
      <x:c r="L3215" t="str" s="2">
        <x:v>Message Sent</x:v>
      </x:c>
    </x:row>
    <x:row r="3216">
      <x:c r="A3216" t="str" s="2">
        <x:f>=HYPERLINK("https://rsms.futurehomex.com/lead/38878", "MARK DILLON")</x:f>
      </x:c>
      <x:c r="B3216" t="str" s="2">
        <x:v>Heritage Housing of Augusta</x:v>
      </x:c>
      <x:c r="C3216" t="str" s="2">
        <x:v/>
      </x:c>
      <x:c r="D3216" t="str" s="2">
        <x:v>7065512020</x:v>
      </x:c>
      <x:c r="E3216" t="str" s="2">
        <x:v>mdillon@southernindustries.com</x:v>
      </x:c>
      <x:c r="F3216" t="str" s="2">
        <x:v>Walk-in</x:v>
      </x:c>
      <x:c r="G3216" t="str" s="2">
        <x:v>Faye Lively</x:v>
      </x:c>
      <x:c r="H3216" s="6">
        <x:v>46235.666965972225</x:v>
      </x:c>
      <x:c r="I3216" t="str" s="2">
        <x:v>Faye Lively</x:v>
      </x:c>
      <x:c r="J3216" s="0"/>
      <x:c r="K3216" s="6">
        <x:v>46274</x:v>
      </x:c>
      <x:c r="L3216" t="str" s="2">
        <x:v>Message Sent</x:v>
      </x:c>
    </x:row>
    <x:row r="3217">
      <x:c r="A3217" t="str" s="2">
        <x:f>="Jonathan Joiner"</x:f>
      </x:c>
      <x:c r="B3217" t="str" s="2">
        <x:v>Heritage Housing of Canton</x:v>
      </x:c>
      <x:c r="C3217" t="str" s="2">
        <x:v/>
      </x:c>
      <x:c r="D3217" t="str" s="2">
        <x:v>9032793690</x:v>
      </x:c>
      <x:c r="E3217" t="str" s="2">
        <x:v>jjoiner25@gmail.com</x:v>
      </x:c>
      <x:c r="F3217" t="str" s="2">
        <x:v>Financing Form</x:v>
      </x:c>
      <x:c r="G3217" t="str" s="2">
        <x:v>Jacob Hatten</x:v>
      </x:c>
      <x:c r="H3217" s="6">
        <x:v>46235.711417708335</x:v>
      </x:c>
      <x:c r="I3217" s="0"/>
      <x:c r="J3217" s="0"/>
      <x:c r="K3217" s="6">
        <x:v>46293</x:v>
      </x:c>
      <x:c r="L3217" t="str" s="2">
        <x:v>Message Sent</x:v>
      </x:c>
    </x:row>
    <x:row r="3218">
      <x:c r="A3218" t="str" s="2">
        <x:f>="Karen Moses"</x:f>
      </x:c>
      <x:c r="B3218" t="str" s="2">
        <x:v>Heritage Housing of Tulsa</x:v>
      </x:c>
      <x:c r="C3218" t="str" s="2">
        <x:v/>
      </x:c>
      <x:c r="D3218" t="str" s="2">
        <x:v>5104841140</x:v>
      </x:c>
      <x:c r="E3218" t="str" s="2">
        <x:v>kmoses.cali@netzero.com</x:v>
      </x:c>
      <x:c r="F3218" t="str" s="2">
        <x:v>Landing_BPM</x:v>
      </x:c>
      <x:c r="G3218" t="str" s="2">
        <x:v>Jenna Fransisco</x:v>
      </x:c>
      <x:c r="H3218" s="6">
        <x:v>46235.72694181713</x:v>
      </x:c>
      <x:c r="I3218" s="0"/>
      <x:c r="J3218" s="0"/>
      <x:c r="K3218" s="6">
        <x:v>46251</x:v>
      </x:c>
      <x:c r="L3218" t="str" s="2">
        <x:v>Message Sent</x:v>
      </x:c>
    </x:row>
    <x:row r="3219">
      <x:c r="A3219" t="str" s="2">
        <x:f>="Sherry Serrata"</x:f>
      </x:c>
      <x:c r="B3219" t="str" s="2">
        <x:v>Heritage Housing Mt Pleasant</x:v>
      </x:c>
      <x:c r="C3219" t="str" s="2">
        <x:v/>
      </x:c>
      <x:c r="D3219" t="str" s="2">
        <x:v>2543003096</x:v>
      </x:c>
      <x:c r="E3219" t="str" s="2">
        <x:v>Sherryserrata@gmail.com</x:v>
      </x:c>
      <x:c r="F3219" t="str" s="2">
        <x:v>Landing_BPM</x:v>
      </x:c>
      <x:c r="G3219" t="str" s="2">
        <x:v>Sandra Saldana</x:v>
      </x:c>
      <x:c r="H3219" s="6">
        <x:v>46235.727972650464</x:v>
      </x:c>
      <x:c r="I3219" s="0"/>
      <x:c r="J3219" s="0"/>
      <x:c r="K3219" s="6">
        <x:v>46253</x:v>
      </x:c>
      <x:c r="L3219" t="str" s="2">
        <x:v>Message Sent</x:v>
      </x:c>
    </x:row>
    <x:row r="3220">
      <x:c r="A3220" t="str" s="2">
        <x:f>="Ashley Katchanovski"</x:f>
      </x:c>
      <x:c r="B3220" t="str" s="2">
        <x:v>Heritage Housing of Greenville</x:v>
      </x:c>
      <x:c r="C3220" t="str" s="2">
        <x:v/>
      </x:c>
      <x:c r="D3220" t="str" s="2">
        <x:v>6825642203</x:v>
      </x:c>
      <x:c r="E3220" t="str" s="2">
        <x:v>akab0622@gmail.com</x:v>
      </x:c>
      <x:c r="F3220" t="str" s="2">
        <x:v>Landing_BPM</x:v>
      </x:c>
      <x:c r="G3220" t="str" s="2">
        <x:v>Brooklynn Allen</x:v>
      </x:c>
      <x:c r="H3220" s="6">
        <x:v>46235.771952233794</x:v>
      </x:c>
      <x:c r="I3220" s="0"/>
      <x:c r="J3220" s="0"/>
      <x:c r="K3220" s="6">
        <x:v>46249</x:v>
      </x:c>
      <x:c r="L3220" t="str" s="2">
        <x:v>Message Sent</x:v>
      </x:c>
    </x:row>
    <x:row r="3221">
      <x:c r="A3221" t="str" s="2">
        <x:f>="Kaly Mcmanus"</x:f>
      </x:c>
      <x:c r="B3221" t="str" s="2">
        <x:v>Heritage Housing of Tulsa</x:v>
      </x:c>
      <x:c r="C3221" t="str" s="2">
        <x:v/>
      </x:c>
      <x:c r="D3221" t="str" s="2">
        <x:v>9187294834</x:v>
      </x:c>
      <x:c r="E3221" t="str" s="2">
        <x:v>kalymcmanus221@gmail.com</x:v>
      </x:c>
      <x:c r="F3221" t="str" s="2">
        <x:v>Landing_BPM</x:v>
      </x:c>
      <x:c r="G3221" t="str" s="2">
        <x:v>Jenna Fransisco</x:v>
      </x:c>
      <x:c r="H3221" s="6">
        <x:v>46235.813178125</x:v>
      </x:c>
      <x:c r="I3221" s="0"/>
      <x:c r="J3221" s="0"/>
      <x:c r="K3221" s="6">
        <x:v>46251</x:v>
      </x:c>
      <x:c r="L3221" t="str" s="2">
        <x:v>Message Sent</x:v>
      </x:c>
    </x:row>
    <x:row r="3222">
      <x:c r="A3222" t="str" s="2">
        <x:f>="Temple Hinson"</x:f>
      </x:c>
      <x:c r="B3222" t="str" s="2">
        <x:v>Heritage Housing of Asheboro</x:v>
      </x:c>
      <x:c r="C3222" t="str" s="2">
        <x:v/>
      </x:c>
      <x:c r="D3222" t="str" s="2">
        <x:v>4789723345</x:v>
      </x:c>
      <x:c r="E3222" t="str" s="2">
        <x:v>templehinson@gmail.com</x:v>
      </x:c>
      <x:c r="F3222" t="str" s="2">
        <x:v>Landing_BPM</x:v>
      </x:c>
      <x:c r="G3222" t="str" s="2">
        <x:v>Maria Lopez</x:v>
      </x:c>
      <x:c r="H3222" s="6">
        <x:v>46235.83955170139</x:v>
      </x:c>
      <x:c r="I3222" s="0"/>
      <x:c r="J3222" s="0"/>
      <x:c r="K3222" s="6">
        <x:v>46237</x:v>
      </x:c>
      <x:c r="L3222" t="str" s="2">
        <x:v>Message Sent</x:v>
      </x:c>
    </x:row>
    <x:row r="3223">
      <x:c r="A3223" t="str" s="2">
        <x:f>="Jesus Perz"</x:f>
      </x:c>
      <x:c r="B3223" t="str" s="2">
        <x:v>Heritage Housing of Oklahoma City</x:v>
      </x:c>
      <x:c r="C3223" t="str" s="2">
        <x:v/>
      </x:c>
      <x:c r="D3223" t="str" s="2">
        <x:v>4054262904</x:v>
      </x:c>
      <x:c r="E3223" t="str" s="2">
        <x:v>jesusperezfraire20@gmail.com</x:v>
      </x:c>
      <x:c r="F3223" t="str" s="2">
        <x:v>Landing_BPM</x:v>
      </x:c>
      <x:c r="G3223" t="str" s="2">
        <x:v>Trey Rixleben</x:v>
      </x:c>
      <x:c r="H3223" s="6">
        <x:v>46235.87638148148</x:v>
      </x:c>
      <x:c r="I3223" s="0"/>
      <x:c r="J3223" s="0"/>
      <x:c r="K3223" s="6">
        <x:v>46237.5912758912</x:v>
      </x:c>
      <x:c r="L3223" t="str" s="2">
        <x:v>Message Sent</x:v>
      </x:c>
    </x:row>
    <x:row r="3224">
      <x:c r="A3224" t="str" s="2">
        <x:f>="Rhonda Jackson"</x:f>
      </x:c>
      <x:c r="B3224" t="str" s="2">
        <x:v>Heritage Housing of Asheboro</x:v>
      </x:c>
      <x:c r="C3224" t="str" s="2">
        <x:v/>
      </x:c>
      <x:c r="D3224" t="str" s="2">
        <x:v>7046401112</x:v>
      </x:c>
      <x:c r="E3224" t="str" s="2">
        <x:v>reneetalley1976@yahoo.com</x:v>
      </x:c>
      <x:c r="F3224" t="str" s="2">
        <x:v>Landing_BPM</x:v>
      </x:c>
      <x:c r="G3224" t="str" s="2">
        <x:v>Maria Lopez</x:v>
      </x:c>
      <x:c r="H3224" s="6">
        <x:v>46235.91417881945</x:v>
      </x:c>
      <x:c r="I3224" s="0"/>
      <x:c r="J3224" s="0"/>
      <x:c r="K3224" s="6">
        <x:v>46261</x:v>
      </x:c>
      <x:c r="L3224" t="str" s="2">
        <x:v>Message Sent</x:v>
      </x:c>
    </x:row>
    <x:row r="3225">
      <x:c r="A3225" t="str" s="2">
        <x:f>="Bailee Richards"</x:f>
      </x:c>
      <x:c r="B3225" t="str" s="2">
        <x:v>Heritage Housing of Augusta</x:v>
      </x:c>
      <x:c r="C3225" t="str" s="2">
        <x:v/>
      </x:c>
      <x:c r="D3225" t="str" s="2">
        <x:v>4782413775</x:v>
      </x:c>
      <x:c r="E3225" t="str" s="2">
        <x:v>baileerchrds@gmail.com</x:v>
      </x:c>
      <x:c r="F3225" t="str" s="2">
        <x:v>Landing_BPM</x:v>
      </x:c>
      <x:c r="G3225" t="str" s="2">
        <x:v>Faye Lively</x:v>
      </x:c>
      <x:c r="H3225" s="6">
        <x:v>46235.935479479165</x:v>
      </x:c>
      <x:c r="I3225" s="0"/>
      <x:c r="J3225" s="0"/>
      <x:c r="K3225" s="6">
        <x:v>46274</x:v>
      </x:c>
      <x:c r="L3225" t="str" s="2">
        <x:v>Message Sent</x:v>
      </x:c>
    </x:row>
    <x:row r="3226">
      <x:c r="A3226" t="str" s="2">
        <x:f>="Edward Wessel"</x:f>
      </x:c>
      <x:c r="B3226" t="str" s="2">
        <x:v>Heritage Housing of Albany</x:v>
      </x:c>
      <x:c r="C3226" t="str" s="2">
        <x:v/>
      </x:c>
      <x:c r="D3226" t="str" s="2">
        <x:v>6782750252</x:v>
      </x:c>
      <x:c r="E3226" t="str" s="2">
        <x:v>countrydog713@gmail.com</x:v>
      </x:c>
      <x:c r="F3226" t="str" s="2">
        <x:v>Website</x:v>
      </x:c>
      <x:c r="G3226" t="str" s="2">
        <x:v>Yanet Alvarez</x:v>
      </x:c>
      <x:c r="H3226" s="6">
        <x:v>46236.00236875</x:v>
      </x:c>
      <x:c r="I3226" s="0"/>
      <x:c r="J3226" s="0"/>
      <x:c r="K3226" s="6">
        <x:v>46283</x:v>
      </x:c>
      <x:c r="L3226" t="str" s="2">
        <x:v>Message Sent</x:v>
      </x:c>
    </x:row>
    <x:row r="3227">
      <x:c r="A3227" t="str" s="2">
        <x:f>="Deion Blue"</x:f>
      </x:c>
      <x:c r="B3227" t="str" s="2">
        <x:v>Heritage Housing of Asheboro</x:v>
      </x:c>
      <x:c r="C3227" t="str" s="2">
        <x:v/>
      </x:c>
      <x:c r="D3227" t="str" s="2">
        <x:v>9842495967</x:v>
      </x:c>
      <x:c r="E3227" t="str" s="2">
        <x:v>deionblue83@gmail.com</x:v>
      </x:c>
      <x:c r="F3227" t="str" s="2">
        <x:v>Landing_BPM</x:v>
      </x:c>
      <x:c r="G3227" t="str" s="2">
        <x:v>Maria Lopez</x:v>
      </x:c>
      <x:c r="H3227" s="6">
        <x:v>46236.00698611111</x:v>
      </x:c>
      <x:c r="I3227" s="0"/>
      <x:c r="J3227" s="0"/>
      <x:c r="K3227" s="6">
        <x:v>46258</x:v>
      </x:c>
      <x:c r="L3227" t="str" s="2">
        <x:v>Message Sent</x:v>
      </x:c>
    </x:row>
    <x:row r="3228">
      <x:c r="A3228" t="str" s="2">
        <x:f>="John Flynn"</x:f>
      </x:c>
      <x:c r="B3228" t="str" s="2">
        <x:v>Heritage Housing of Asheboro</x:v>
      </x:c>
      <x:c r="C3228" t="str" s="2">
        <x:v/>
      </x:c>
      <x:c r="D3228" t="str" s="2">
        <x:v>3369200484</x:v>
      </x:c>
      <x:c r="E3228" t="str" s="2">
        <x:v>cameronflynn36@gmail.com</x:v>
      </x:c>
      <x:c r="F3228" t="str" s="2">
        <x:v>Website</x:v>
      </x:c>
      <x:c r="G3228" t="str" s="2">
        <x:v>Maria Lopez</x:v>
      </x:c>
      <x:c r="H3228" s="6">
        <x:v>46236.11484667824</x:v>
      </x:c>
      <x:c r="I3228" s="0"/>
      <x:c r="J3228" s="0"/>
      <x:c r="K3228" s="6">
        <x:v>46258</x:v>
      </x:c>
      <x:c r="L3228" t="str" s="2">
        <x:v>Message Sent</x:v>
      </x:c>
    </x:row>
    <x:row r="3229">
      <x:c r="A3229" t="str" s="2">
        <x:f>="Timothy Lee"</x:f>
      </x:c>
      <x:c r="B3229" t="str" s="2">
        <x:v>Heritage Housing of Oklahoma City</x:v>
      </x:c>
      <x:c r="C3229" t="str" s="2">
        <x:v>0/1</x:v>
      </x:c>
      <x:c r="D3229" t="str" s="2">
        <x:v>4057643039</x:v>
      </x:c>
      <x:c r="E3229" t="str" s="2">
        <x:v>mctdl9876@gmail.com</x:v>
      </x:c>
      <x:c r="F3229" t="str" s="2">
        <x:v>Financing Form</x:v>
      </x:c>
      <x:c r="G3229" t="str" s="2">
        <x:v>Trey Rixleben</x:v>
      </x:c>
      <x:c r="H3229" s="6">
        <x:v>46236.141939583336</x:v>
      </x:c>
      <x:c r="I3229" s="0"/>
      <x:c r="J3229" s="0"/>
      <x:c r="K3229" s="6">
        <x:v>46237.59109679398</x:v>
      </x:c>
      <x:c r="L3229" t="str" s="2">
        <x:v>Message Sent</x:v>
      </x:c>
    </x:row>
    <x:row r="3230">
      <x:c r="A3230" t="str" s="2">
        <x:f>="Rickey Boudreaux Boudreaux"</x:f>
      </x:c>
      <x:c r="B3230" t="str" s="2">
        <x:v>Heritage Housing of Jennings</x:v>
      </x:c>
      <x:c r="C3230" t="str" s="2">
        <x:v>0/2</x:v>
      </x:c>
      <x:c r="D3230" t="str" s="2">
        <x:v>rickeyboudreaux1501@gmail.com</x:v>
      </x:c>
      <x:c r="E3230" t="str" s="2">
        <x:v>rickeyboudreaux1501@gmail.com</x:v>
      </x:c>
      <x:c r="F3230" t="str" s="2">
        <x:v>Landing_BPM</x:v>
      </x:c>
      <x:c r="G3230" t="str" s="2">
        <x:v>Mervin Leslie Smith</x:v>
      </x:c>
      <x:c r="H3230" s="6">
        <x:v>46236.21429082176</x:v>
      </x:c>
      <x:c r="I3230" s="0"/>
      <x:c r="J3230" s="0"/>
      <x:c r="K3230" s="6">
        <x:v>46284</x:v>
      </x:c>
      <x:c r="L3230" t="str" s="2">
        <x:v>Message Sent</x:v>
      </x:c>
    </x:row>
    <x:row r="3231">
      <x:c r="A3231" t="str" s="2">
        <x:f>="Robert Waldon"</x:f>
      </x:c>
      <x:c r="B3231" t="str" s="2">
        <x:v>Heritage Housing of Oklahoma City</x:v>
      </x:c>
      <x:c r="C3231" t="str" s="2">
        <x:v/>
      </x:c>
      <x:c r="D3231" t="str" s="2">
        <x:v>4053809334</x:v>
      </x:c>
      <x:c r="E3231" t="str" s="2">
        <x:v>therealrobertw2@gmail.com</x:v>
      </x:c>
      <x:c r="F3231" t="str" s="2">
        <x:v>Landing_BPM</x:v>
      </x:c>
      <x:c r="G3231" t="str" s="2">
        <x:v>Steve Castell</x:v>
      </x:c>
      <x:c r="H3231" s="6">
        <x:v>46236.22535208333</x:v>
      </x:c>
      <x:c r="I3231" s="0"/>
      <x:c r="J3231" s="0"/>
      <x:c r="K3231" s="6">
        <x:v>46237.66296570602</x:v>
      </x:c>
      <x:c r="L3231" t="str" s="2">
        <x:v>Message Sent</x:v>
      </x:c>
    </x:row>
    <x:row r="3232">
      <x:c r="A3232" t="str" s="2">
        <x:f>="Ashley Vail"</x:f>
      </x:c>
      <x:c r="B3232" t="str" s="2">
        <x:v>Heritage Housing of Canton</x:v>
      </x:c>
      <x:c r="C3232" t="str" s="2">
        <x:v/>
      </x:c>
      <x:c r="D3232" t="str" s="2">
        <x:v>9794221368</x:v>
      </x:c>
      <x:c r="E3232" t="str" s="2">
        <x:v>ashleyvail1022@gmail.com</x:v>
      </x:c>
      <x:c r="F3232" t="str" s="2">
        <x:v>Financing Form</x:v>
      </x:c>
      <x:c r="G3232" t="str" s="2">
        <x:v>Maira Garcia</x:v>
      </x:c>
      <x:c r="H3232" s="6">
        <x:v>46236.270259606485</x:v>
      </x:c>
      <x:c r="I3232" s="0"/>
      <x:c r="J3232" s="0"/>
      <x:c r="K3232" s="6">
        <x:v>46236</x:v>
      </x:c>
      <x:c r="L3232" t="str" s="2">
        <x:v>Message Sent</x:v>
      </x:c>
    </x:row>
    <x:row r="3233">
      <x:c r="A3233" t="str" s="2">
        <x:f>="Rhonda Smithers"</x:f>
      </x:c>
      <x:c r="B3233" t="str" s="2">
        <x:v>Heritage Housing of Asheboro</x:v>
      </x:c>
      <x:c r="C3233" t="str" s="2">
        <x:v/>
      </x:c>
      <x:c r="D3233" t="str" s="2">
        <x:v>9196951050</x:v>
      </x:c>
      <x:c r="E3233" t="str" s="2">
        <x:v>rhondasmithers768@gmail.com</x:v>
      </x:c>
      <x:c r="F3233" t="str" s="2">
        <x:v>Landing_BPM</x:v>
      </x:c>
      <x:c r="G3233" t="str" s="2">
        <x:v>Maria Lopez</x:v>
      </x:c>
      <x:c r="H3233" s="6">
        <x:v>46236.29415289352</x:v>
      </x:c>
      <x:c r="I3233" s="0"/>
      <x:c r="J3233" s="0"/>
      <x:c r="K3233" s="6">
        <x:v>46261</x:v>
      </x:c>
      <x:c r="L3233" t="str" s="2">
        <x:v>Message Sent</x:v>
      </x:c>
    </x:row>
    <x:row r="3234">
      <x:c r="A3234" t="str" s="2">
        <x:f>="Crystal Senn"</x:f>
      </x:c>
      <x:c r="B3234" t="str" s="2">
        <x:v>Heritage Housing of Asheboro</x:v>
      </x:c>
      <x:c r="C3234" t="str" s="2">
        <x:v/>
      </x:c>
      <x:c r="D3234" t="str" s="2">
        <x:v>8035871449</x:v>
      </x:c>
      <x:c r="E3234" t="str" s="2">
        <x:v>senncrystal12@gmail.com</x:v>
      </x:c>
      <x:c r="F3234" t="str" s="2">
        <x:v>Landing_BPM</x:v>
      </x:c>
      <x:c r="G3234" t="str" s="2">
        <x:v>Maria Lopez</x:v>
      </x:c>
      <x:c r="H3234" s="6">
        <x:v>46236.3351340625</x:v>
      </x:c>
      <x:c r="I3234" s="0"/>
      <x:c r="J3234" s="0"/>
      <x:c r="K3234" s="6">
        <x:v>46258</x:v>
      </x:c>
      <x:c r="L3234" t="str" s="2">
        <x:v>Message Sent</x:v>
      </x:c>
    </x:row>
    <x:row r="3235">
      <x:c r="A3235" t="str" s="2">
        <x:f>="Jamell Freeman"</x:f>
      </x:c>
      <x:c r="B3235" t="str" s="2">
        <x:v>Heritage Housing of Athens</x:v>
      </x:c>
      <x:c r="C3235" t="str" s="2">
        <x:v/>
      </x:c>
      <x:c r="D3235" t="str" s="2">
        <x:v>jamellfreeman16@gmail.com</x:v>
      </x:c>
      <x:c r="E3235" t="str" s="2">
        <x:v>jamellfreeman16@gmail.com</x:v>
      </x:c>
      <x:c r="F3235" t="str" s="2">
        <x:v>Landing_BPM</x:v>
      </x:c>
      <x:c r="G3235" t="str" s="2">
        <x:v>Nathan Bishop</x:v>
      </x:c>
      <x:c r="H3235" s="6">
        <x:v>46236.44070042824</x:v>
      </x:c>
      <x:c r="I3235" s="0"/>
      <x:c r="J3235" s="0"/>
      <x:c r="K3235" s="6">
        <x:v>46289.740589733796</x:v>
      </x:c>
      <x:c r="L3235" t="str" s="2">
        <x:v>Message Sent</x:v>
      </x:c>
    </x:row>
    <x:row r="3236">
      <x:c r="A3236" t="str" s="2">
        <x:f>="Wesley Price Price"</x:f>
      </x:c>
      <x:c r="B3236" t="str" s="2">
        <x:v>Heritage Housing of Asheboro</x:v>
      </x:c>
      <x:c r="C3236" t="str" s="2">
        <x:v/>
      </x:c>
      <x:c r="D3236" t="str" s="2">
        <x:v>13363919499</x:v>
      </x:c>
      <x:c r="E3236" t="str" s="2">
        <x:v>pool9157@icloud.com</x:v>
      </x:c>
      <x:c r="F3236" t="str" s="2">
        <x:v>Landing_BPM</x:v>
      </x:c>
      <x:c r="G3236" t="str" s="2">
        <x:v>Maria Lopez</x:v>
      </x:c>
      <x:c r="H3236" s="6">
        <x:v>46236.457099074076</x:v>
      </x:c>
      <x:c r="I3236" s="0"/>
      <x:c r="J3236" s="0"/>
      <x:c r="K3236" s="6">
        <x:v>46258</x:v>
      </x:c>
      <x:c r="L3236" t="str" s="2">
        <x:v>Message Sent</x:v>
      </x:c>
    </x:row>
    <x:row r="3237">
      <x:c r="A3237" t="str" s="2">
        <x:f>="Barbara Pratt"</x:f>
      </x:c>
      <x:c r="B3237" t="str" s="2">
        <x:v>Heritage Housing of Oklahoma City</x:v>
      </x:c>
      <x:c r="C3237" t="str" s="2">
        <x:v>0/2</x:v>
      </x:c>
      <x:c r="D3237" t="str" s="2">
        <x:v>4053265875</x:v>
      </x:c>
      <x:c r="E3237" t="str" s="2">
        <x:v>prattmichelle244@gmail.com</x:v>
      </x:c>
      <x:c r="F3237" t="str" s="2">
        <x:v>Landing_BPM</x:v>
      </x:c>
      <x:c r="G3237" t="str" s="2">
        <x:v>Trey Rixleben</x:v>
      </x:c>
      <x:c r="H3237" s="6">
        <x:v>46236.570548414355</x:v>
      </x:c>
      <x:c r="I3237" s="0"/>
      <x:c r="J3237" s="0"/>
      <x:c r="K3237" s="6">
        <x:v>46239.83014864584</x:v>
      </x:c>
      <x:c r="L3237" t="str" s="2">
        <x:v>Message Sent</x:v>
      </x:c>
    </x:row>
    <x:row r="3238">
      <x:c r="A3238" t="str" s="2">
        <x:f>="Gary Ratliff"</x:f>
      </x:c>
      <x:c r="B3238" t="str" s="2">
        <x:v>Heritage Housing of Asheboro</x:v>
      </x:c>
      <x:c r="C3238" t="str" s="2">
        <x:v/>
      </x:c>
      <x:c r="D3238" t="str" s="2">
        <x:v>2524249643</x:v>
      </x:c>
      <x:c r="E3238" t="str" s="2">
        <x:v>ratlips34@gmail.com</x:v>
      </x:c>
      <x:c r="F3238" t="str" s="2">
        <x:v>Landing_BPM</x:v>
      </x:c>
      <x:c r="G3238" t="str" s="2">
        <x:v>Maria Lopez</x:v>
      </x:c>
      <x:c r="H3238" s="6">
        <x:v>46236.5722321412</x:v>
      </x:c>
      <x:c r="I3238" s="0"/>
      <x:c r="J3238" s="0"/>
      <x:c r="K3238" s="6">
        <x:v>46258</x:v>
      </x:c>
      <x:c r="L3238" t="str" s="2">
        <x:v>Message Sent</x:v>
      </x:c>
    </x:row>
    <x:row r="3239">
      <x:c r="A3239" t="str" s="2">
        <x:f>="sherry Donaldson"</x:f>
      </x:c>
      <x:c r="B3239" t="str" s="2">
        <x:v>Heritage Housing of Oklahoma City</x:v>
      </x:c>
      <x:c r="C3239" t="str" s="2">
        <x:v>0/2</x:v>
      </x:c>
      <x:c r="D3239" t="str" s="2">
        <x:v>4055468243</x:v>
      </x:c>
      <x:c r="E3239" t="str" s="2">
        <x:v>sherrydon9109@gmail.com</x:v>
      </x:c>
      <x:c r="F3239" t="str" s="2">
        <x:v>Landing_BPM</x:v>
      </x:c>
      <x:c r="G3239" t="str" s="2">
        <x:v>Steve Castell</x:v>
      </x:c>
      <x:c r="H3239" s="6">
        <x:v>46236.57847450231</x:v>
      </x:c>
      <x:c r="I3239" s="0"/>
      <x:c r="J3239" s="0"/>
      <x:c r="K3239" s="6">
        <x:v>46237.6631559838</x:v>
      </x:c>
      <x:c r="L3239" t="str" s="2">
        <x:v>Message Sent</x:v>
      </x:c>
    </x:row>
    <x:row r="3240">
      <x:c r="A3240" t="str" s="2">
        <x:f>="Luz Santiago Santiago"</x:f>
      </x:c>
      <x:c r="B3240" t="str" s="2">
        <x:v>Heritage Housing of Athens</x:v>
      </x:c>
      <x:c r="C3240" t="str" s="2">
        <x:v>1/1</x:v>
      </x:c>
      <x:c r="D3240" t="str" s="2">
        <x:v>6787352077</x:v>
      </x:c>
      <x:c r="E3240" t="str" s="2">
        <x:v>lucydecor@live.com</x:v>
      </x:c>
      <x:c r="F3240" t="str" s="2">
        <x:v>Landing_BPM</x:v>
      </x:c>
      <x:c r="G3240" t="str" s="2">
        <x:v>Nathan Bishop</x:v>
      </x:c>
      <x:c r="H3240" s="6">
        <x:v>46236.58825552083</x:v>
      </x:c>
      <x:c r="I3240" s="0"/>
      <x:c r="J3240" s="0"/>
      <x:c r="K3240" s="6">
        <x:v>46307.868445451386</x:v>
      </x:c>
      <x:c r="L3240" t="str" s="2">
        <x:v>Message Sent</x:v>
      </x:c>
    </x:row>
    <x:row r="3241">
      <x:c r="A3241" t="str" s="2">
        <x:f>="Mary Wardle Wardle"</x:f>
      </x:c>
      <x:c r="B3241" t="str" s="2">
        <x:v>Heritage Housing of Athens</x:v>
      </x:c>
      <x:c r="C3241" t="str" s="2">
        <x:v/>
      </x:c>
      <x:c r="D3241" t="str" s="2">
        <x:v>12295483030</x:v>
      </x:c>
      <x:c r="E3241" t="str" s="2">
        <x:v>marlwar@live.com</x:v>
      </x:c>
      <x:c r="F3241" t="str" s="2">
        <x:v>Landing_BPM</x:v>
      </x:c>
      <x:c r="G3241" t="str" s="2">
        <x:v>Nathan Bishop</x:v>
      </x:c>
      <x:c r="H3241" s="6">
        <x:v>46236.63571519676</x:v>
      </x:c>
      <x:c r="I3241" s="0"/>
      <x:c r="J3241" s="0"/>
      <x:c r="K3241" s="6">
        <x:v>46283</x:v>
      </x:c>
      <x:c r="L3241" t="str" s="2">
        <x:v>Message Sent</x:v>
      </x:c>
    </x:row>
    <x:row r="3242">
      <x:c r="A3242" t="str" s="2">
        <x:f>="Lona Currie"</x:f>
      </x:c>
      <x:c r="B3242" t="str" s="2">
        <x:v>Heritage Housing of Asheboro</x:v>
      </x:c>
      <x:c r="C3242" t="str" s="2">
        <x:v/>
      </x:c>
      <x:c r="D3242" t="str" s="2">
        <x:v>9104435940</x:v>
      </x:c>
      <x:c r="E3242" t="str" s="2">
        <x:v>harn.riseup@gmail.com</x:v>
      </x:c>
      <x:c r="F3242" t="str" s="2">
        <x:v>Financing Form</x:v>
      </x:c>
      <x:c r="G3242" t="str" s="2">
        <x:v>Maria Lopez</x:v>
      </x:c>
      <x:c r="H3242" s="6">
        <x:v>46236.642508680554</x:v>
      </x:c>
      <x:c r="I3242" s="0"/>
      <x:c r="J3242" s="0"/>
      <x:c r="K3242" s="6">
        <x:v>46261</x:v>
      </x:c>
      <x:c r="L3242" t="str" s="2">
        <x:v>Message Sent</x:v>
      </x:c>
    </x:row>
    <x:row r="3243">
      <x:c r="A3243" t="str" s="2">
        <x:f>="DArrica Day"</x:f>
      </x:c>
      <x:c r="B3243" t="str" s="2">
        <x:v>Heritage Housing of Asheboro</x:v>
      </x:c>
      <x:c r="C3243" t="str" s="2">
        <x:v/>
      </x:c>
      <x:c r="D3243" t="str" s="2">
        <x:v>2402340148</x:v>
      </x:c>
      <x:c r="E3243" t="str" s="2">
        <x:v>bonuses.abode_5t@icloud.com</x:v>
      </x:c>
      <x:c r="F3243" t="str" s="2">
        <x:v>Financing Form</x:v>
      </x:c>
      <x:c r="G3243" t="str" s="2">
        <x:v>Jeremy Jacques</x:v>
      </x:c>
      <x:c r="H3243" s="6">
        <x:v>46236.650155787036</x:v>
      </x:c>
      <x:c r="I3243" s="0"/>
      <x:c r="J3243" s="0"/>
      <x:c r="K3243" s="6">
        <x:v>46236</x:v>
      </x:c>
      <x:c r="L3243" t="str" s="2">
        <x:v>Message Sent</x:v>
      </x:c>
    </x:row>
    <x:row r="3244">
      <x:c r="A3244" t="str" s="2">
        <x:f>="Michael Bowens"</x:f>
      </x:c>
      <x:c r="B3244" t="str" s="2">
        <x:v>Heritage Housing of Canton</x:v>
      </x:c>
      <x:c r="C3244" t="str" s="2">
        <x:v/>
      </x:c>
      <x:c r="D3244" t="str" s="2">
        <x:v>8179381305</x:v>
      </x:c>
      <x:c r="E3244" t="str" s="2">
        <x:v>mike_bowens@live.com</x:v>
      </x:c>
      <x:c r="F3244" t="str" s="2">
        <x:v>Landing_BPM</x:v>
      </x:c>
      <x:c r="G3244" t="str" s="2">
        <x:v>Jacob Hatten</x:v>
      </x:c>
      <x:c r="H3244" s="6">
        <x:v>46236.69275142361</x:v>
      </x:c>
      <x:c r="I3244" s="0"/>
      <x:c r="J3244" s="0"/>
      <x:c r="K3244" s="6">
        <x:v>46293</x:v>
      </x:c>
      <x:c r="L3244" t="str" s="2">
        <x:v>Message Sent</x:v>
      </x:c>
    </x:row>
    <x:row r="3245">
      <x:c r="A3245" t="str" s="2">
        <x:f>=HYPERLINK("https://rsms.futurehomex.com/lead/39184", "Donald Sherlin")</x:f>
      </x:c>
      <x:c r="B3245" t="str" s="2">
        <x:v>Heritage Housing of Oklahoma City</x:v>
      </x:c>
      <x:c r="C3245" t="str" s="2">
        <x:v>0/2</x:v>
      </x:c>
      <x:c r="D3245" t="str" s="2">
        <x:v>5807990663</x:v>
      </x:c>
      <x:c r="E3245" t="str" s="2">
        <x:v>mistisherlin@yahoo.com</x:v>
      </x:c>
      <x:c r="F3245" t="str" s="2">
        <x:v>Financing Form</x:v>
      </x:c>
      <x:c r="G3245" t="str" s="2">
        <x:v>Steve Castell</x:v>
      </x:c>
      <x:c r="H3245" s="6">
        <x:v>46236.71303684028</x:v>
      </x:c>
      <x:c r="I3245" t="str" s="2">
        <x:v>Steve Castell</x:v>
      </x:c>
      <x:c r="J3245" s="0"/>
      <x:c r="K3245" s="6">
        <x:v>46266</x:v>
      </x:c>
      <x:c r="L3245" t="str" s="2">
        <x:v>Message Sent</x:v>
      </x:c>
    </x:row>
    <x:row r="3246">
      <x:c r="A3246" t="str" s="2">
        <x:f>="Jason Valdez"</x:f>
      </x:c>
      <x:c r="B3246" t="str" s="2">
        <x:v>Legacy Housing Corp. DBA Americasa</x:v>
      </x:c>
      <x:c r="C3246" t="str" s="2">
        <x:v/>
      </x:c>
      <x:c r="D3246" t="str" s="2">
        <x:v>2147794878</x:v>
      </x:c>
      <x:c r="E3246" t="str" s="2">
        <x:v>jasonvaldez1971@gmail.com</x:v>
      </x:c>
      <x:c r="F3246" t="str" s="2">
        <x:v>Landing_BPM</x:v>
      </x:c>
      <x:c r="G3246" t="str" s="2">
        <x:v>Rodrigo Ramirez</x:v>
      </x:c>
      <x:c r="H3246" s="6">
        <x:v>46236.718506481484</x:v>
      </x:c>
      <x:c r="I3246" s="0"/>
      <x:c r="J3246" s="0"/>
      <x:c r="K3246" s="6">
        <x:v>46296</x:v>
      </x:c>
      <x:c r="L3246" t="str" s="2">
        <x:v>Message Sent</x:v>
      </x:c>
    </x:row>
    <x:row r="3247">
      <x:c r="A3247" t="str" s="2">
        <x:f>="Katelyn Craig"</x:f>
      </x:c>
      <x:c r="B3247" t="str" s="2">
        <x:v>Heritage Housing of Asheboro</x:v>
      </x:c>
      <x:c r="C3247" t="str" s="2">
        <x:v/>
      </x:c>
      <x:c r="D3247" t="str" s="2">
        <x:v>4345695226</x:v>
      </x:c>
      <x:c r="E3247" t="str" s="2">
        <x:v>craigkatelyn17@gmail.com</x:v>
      </x:c>
      <x:c r="F3247" t="str" s="2">
        <x:v>Financing Form</x:v>
      </x:c>
      <x:c r="G3247" t="str" s="2">
        <x:v>Maria Lopez</x:v>
      </x:c>
      <x:c r="H3247" s="6">
        <x:v>46236.76976461805</x:v>
      </x:c>
      <x:c r="I3247" s="0"/>
      <x:c r="J3247" s="0"/>
      <x:c r="K3247" s="6">
        <x:v>46258</x:v>
      </x:c>
      <x:c r="L3247" t="str" s="2">
        <x:v>Message Sent</x:v>
      </x:c>
    </x:row>
    <x:row r="3248">
      <x:c r="A3248" t="str" s="2">
        <x:f>="Lola Luthe Luthe"</x:f>
      </x:c>
      <x:c r="B3248" t="str" s="2">
        <x:v>Heritage Housing Marble Falls</x:v>
      </x:c>
      <x:c r="C3248" t="str" s="2">
        <x:v/>
      </x:c>
      <x:c r="D3248" t="str" s="2">
        <x:v>3252345696</x:v>
      </x:c>
      <x:c r="E3248" t="str" s="2">
        <x:v>lluthe61@gmail.com</x:v>
      </x:c>
      <x:c r="F3248" t="str" s="2">
        <x:v>Landing_BPM</x:v>
      </x:c>
      <x:c r="G3248" t="str" s="2">
        <x:v>Stephen Sanders</x:v>
      </x:c>
      <x:c r="H3248" s="6">
        <x:v>46236.776147303244</x:v>
      </x:c>
      <x:c r="I3248" s="0"/>
      <x:c r="J3248" s="0"/>
      <x:c r="K3248" s="6">
        <x:v>46274</x:v>
      </x:c>
      <x:c r="L3248" t="str" s="2">
        <x:v>Message Sent</x:v>
      </x:c>
    </x:row>
    <x:row r="3249">
      <x:c r="A3249" t="str" s="2">
        <x:f>="Allen Erma Johnson Marshall"</x:f>
      </x:c>
      <x:c r="B3249" t="str" s="2">
        <x:v>Legacy Housing Corp. DBA Americasa</x:v>
      </x:c>
      <x:c r="C3249" t="str" s="2">
        <x:v/>
      </x:c>
      <x:c r="D3249" t="str" s="2">
        <x:v>8329026796</x:v>
      </x:c>
      <x:c r="E3249" t="str" s="2">
        <x:v>allenjohson1954j@gmail.com</x:v>
      </x:c>
      <x:c r="F3249" t="str" s="2">
        <x:v>Landing_BPM</x:v>
      </x:c>
      <x:c r="G3249" t="str" s="2">
        <x:v>Rodrigo Ramirez</x:v>
      </x:c>
      <x:c r="H3249" s="6">
        <x:v>46236.84383417824</x:v>
      </x:c>
      <x:c r="I3249" s="0"/>
      <x:c r="J3249" s="0"/>
      <x:c r="K3249" s="6">
        <x:v>46296</x:v>
      </x:c>
      <x:c r="L3249" t="str" s="2">
        <x:v>Message Sent</x:v>
      </x:c>
    </x:row>
    <x:row r="3250">
      <x:c r="A3250" t="str" s="2">
        <x:f>="Destany Bagley"</x:f>
      </x:c>
      <x:c r="B3250" t="str" s="2">
        <x:v>Heritage Housing Gainesville</x:v>
      </x:c>
      <x:c r="C3250" t="str" s="2">
        <x:v/>
      </x:c>
      <x:c r="D3250" t="str" s="2">
        <x:v>9452910482</x:v>
      </x:c>
      <x:c r="E3250" t="str" s="2">
        <x:v>destanybagley@outlook.com</x:v>
      </x:c>
      <x:c r="F3250" t="str" s="2">
        <x:v>Landing_BPM</x:v>
      </x:c>
      <x:c r="G3250" t="str" s="2">
        <x:v>Jeniffer Arellano</x:v>
      </x:c>
      <x:c r="H3250" s="6">
        <x:v>46236.84627288194</x:v>
      </x:c>
      <x:c r="I3250" s="0"/>
      <x:c r="J3250" s="0"/>
      <x:c r="K3250" s="6">
        <x:v>46290</x:v>
      </x:c>
      <x:c r="L3250" t="str" s="2">
        <x:v>Message Sent</x:v>
      </x:c>
    </x:row>
    <x:row r="3251">
      <x:c r="A3251" t="str" s="2">
        <x:f>="Todd Fowler"</x:f>
      </x:c>
      <x:c r="B3251" t="str" s="2">
        <x:v>Legacy Housing Corp. DBA Americasa</x:v>
      </x:c>
      <x:c r="C3251" t="str" s="2">
        <x:v/>
      </x:c>
      <x:c r="D3251" t="str" s="2">
        <x:v>2817328001</x:v>
      </x:c>
      <x:c r="E3251" t="str" s="2">
        <x:v>toddfowler98@gmail.com</x:v>
      </x:c>
      <x:c r="F3251" t="str" s="2">
        <x:v>Landing_BPM</x:v>
      </x:c>
      <x:c r="G3251" t="str" s="2">
        <x:v>Jose Parada</x:v>
      </x:c>
      <x:c r="H3251" s="6">
        <x:v>46236.84926646991</x:v>
      </x:c>
      <x:c r="I3251" s="0"/>
      <x:c r="J3251" s="0"/>
      <x:c r="K3251" s="6">
        <x:v>46296</x:v>
      </x:c>
      <x:c r="L3251" t="str" s="2">
        <x:v>Message Sent</x:v>
      </x:c>
    </x:row>
    <x:row r="3252">
      <x:c r="A3252" t="str" s="2">
        <x:f>=HYPERLINK("https://rsms.futurehomex.com/lead/38939", "Lynesha Hentz")</x:f>
      </x:c>
      <x:c r="B3252" t="str" s="2">
        <x:v>Heritage Housing of Augusta</x:v>
      </x:c>
      <x:c r="C3252" t="str" s="2">
        <x:v/>
      </x:c>
      <x:c r="D3252" t="str" s="2">
        <x:v>8644073398</x:v>
      </x:c>
      <x:c r="E3252" t="str" s="2">
        <x:v>tb6782400@gmail.com</x:v>
      </x:c>
      <x:c r="F3252" t="str" s="2">
        <x:v>Landing_BPM</x:v>
      </x:c>
      <x:c r="G3252" t="str" s="2">
        <x:v>Jennifer Johnson</x:v>
      </x:c>
      <x:c r="H3252" s="6">
        <x:v>46236.85352253472</x:v>
      </x:c>
      <x:c r="I3252" t="str" s="2">
        <x:v>Alex Jones</x:v>
      </x:c>
      <x:c r="J3252" s="0"/>
      <x:c r="K3252" s="6">
        <x:v>46253</x:v>
      </x:c>
      <x:c r="L3252" t="str" s="2">
        <x:v>Message Sent</x:v>
      </x:c>
    </x:row>
    <x:row r="3253">
      <x:c r="A3253" t="str" s="2">
        <x:f>="Maynard Thomas"</x:f>
      </x:c>
      <x:c r="B3253" t="str" s="2">
        <x:v>Heritage Housing of Jennings</x:v>
      </x:c>
      <x:c r="C3253" t="str" s="2">
        <x:v>1/2</x:v>
      </x:c>
      <x:c r="D3253" t="str" s="2">
        <x:v>2813523437</x:v>
      </x:c>
      <x:c r="E3253" t="str" s="2">
        <x:v>maynard.thomas@houstontx.gov</x:v>
      </x:c>
      <x:c r="F3253" t="str" s="2">
        <x:v>Website</x:v>
      </x:c>
      <x:c r="G3253" t="str" s="2">
        <x:v>Mervin Leslie Smith</x:v>
      </x:c>
      <x:c r="H3253" s="6">
        <x:v>46236.89648333333</x:v>
      </x:c>
      <x:c r="I3253" s="0"/>
      <x:c r="J3253" s="0"/>
      <x:c r="K3253" s="6">
        <x:v>46284</x:v>
      </x:c>
      <x:c r="L3253" t="str" s="2">
        <x:v>Message Sent</x:v>
      </x:c>
    </x:row>
    <x:row r="3254">
      <x:c r="A3254" t="str" s="2">
        <x:f>="Zefani Moss Moss"</x:f>
      </x:c>
      <x:c r="B3254" t="str" s="2">
        <x:v>Legacy Housing Corp. DBA Americasa</x:v>
      </x:c>
      <x:c r="C3254" t="str" s="2">
        <x:v/>
      </x:c>
      <x:c r="D3254" t="str" s="2">
        <x:v>4709911470</x:v>
      </x:c>
      <x:c r="E3254" t="str" s="2">
        <x:v>zefanimoss45@gmail.com</x:v>
      </x:c>
      <x:c r="F3254" t="str" s="2">
        <x:v>Website</x:v>
      </x:c>
      <x:c r="G3254" t="str" s="2">
        <x:v>Rodrigo Ramirez</x:v>
      </x:c>
      <x:c r="H3254" s="6">
        <x:v>46236.91210706018</x:v>
      </x:c>
      <x:c r="I3254" s="0"/>
      <x:c r="J3254" s="0"/>
      <x:c r="K3254" s="6">
        <x:v>46296</x:v>
      </x:c>
      <x:c r="L3254" t="str" s="2">
        <x:v>Message Sent</x:v>
      </x:c>
    </x:row>
    <x:row r="3255">
      <x:c r="A3255" t="str" s="2">
        <x:f>="qpqpqpq wowowowow"</x:f>
      </x:c>
      <x:c r="B3255" t="str" s="2">
        <x:v>Heritage Housing of Asheboro</x:v>
      </x:c>
      <x:c r="C3255" t="str" s="2">
        <x:v/>
      </x:c>
      <x:c r="D3255" t="str" s="2">
        <x:v>5556661234</x:v>
      </x:c>
      <x:c r="E3255" t="str" s="2">
        <x:v>qpqpwowo@qppqwowo.com</x:v>
      </x:c>
      <x:c r="F3255" t="str" s="2">
        <x:v>Landing_BPM</x:v>
      </x:c>
      <x:c r="G3255" t="str" s="2">
        <x:v>Maria Lopez</x:v>
      </x:c>
      <x:c r="H3255" s="6">
        <x:v>46237.059308599535</x:v>
      </x:c>
      <x:c r="I3255" s="0"/>
      <x:c r="J3255" s="0"/>
      <x:c r="K3255" s="6">
        <x:v>46258</x:v>
      </x:c>
      <x:c r="L3255" t="str" s="2">
        <x:v>Message Sent</x:v>
      </x:c>
    </x:row>
    <x:row r="3256">
      <x:c r="A3256" t="str" s="2">
        <x:f>="Daniel Villegas"</x:f>
      </x:c>
      <x:c r="B3256" t="str" s="2">
        <x:v>Heritage Housing Marble Falls</x:v>
      </x:c>
      <x:c r="C3256" t="str" s="2">
        <x:v/>
      </x:c>
      <x:c r="D3256" t="str" s="2">
        <x:v>9566014298</x:v>
      </x:c>
      <x:c r="E3256" t="str" s="2">
        <x:v>danielvllegas200dv@gmail.com</x:v>
      </x:c>
      <x:c r="F3256" t="str" s="2">
        <x:v>Landing_BPM</x:v>
      </x:c>
      <x:c r="G3256" t="str" s="2">
        <x:v>Stephen Sanders</x:v>
      </x:c>
      <x:c r="H3256" s="6">
        <x:v>46237.11943244213</x:v>
      </x:c>
      <x:c r="I3256" s="0"/>
      <x:c r="J3256" s="0"/>
      <x:c r="K3256" s="6">
        <x:v>46274</x:v>
      </x:c>
      <x:c r="L3256" t="str" s="2">
        <x:v>Message Sent</x:v>
      </x:c>
    </x:row>
    <x:row r="3257">
      <x:c r="A3257" t="str" s="2">
        <x:f>="Ignacio Mendez Mendez"</x:f>
      </x:c>
      <x:c r="B3257" t="str" s="2">
        <x:v>Heritage Housing of Asheboro</x:v>
      </x:c>
      <x:c r="C3257" t="str" s="2">
        <x:v/>
      </x:c>
      <x:c r="D3257" t="str" s="2">
        <x:v>9198974013</x:v>
      </x:c>
      <x:c r="E3257" t="str" s="2">
        <x:v>m.jennar@icloud.con</x:v>
      </x:c>
      <x:c r="F3257" t="str" s="2">
        <x:v>Landing_BPM</x:v>
      </x:c>
      <x:c r="G3257" t="str" s="2">
        <x:v>Jeremy Jacques</x:v>
      </x:c>
      <x:c r="H3257" s="6">
        <x:v>46237.11955054398</x:v>
      </x:c>
      <x:c r="I3257" s="0"/>
      <x:c r="J3257" s="0"/>
      <x:c r="K3257" s="6">
        <x:v>46238</x:v>
      </x:c>
      <x:c r="L3257" t="str" s="2">
        <x:v>Message Sent</x:v>
      </x:c>
    </x:row>
    <x:row r="3258">
      <x:c r="A3258" t="str" s="2">
        <x:f>="Ora Miles"</x:f>
      </x:c>
      <x:c r="B3258" t="str" s="2">
        <x:v>Heritage Housing of Canton</x:v>
      </x:c>
      <x:c r="C3258" t="str" s="2">
        <x:v/>
      </x:c>
      <x:c r="D3258" t="str" s="2">
        <x:v>9039000566</x:v>
      </x:c>
      <x:c r="E3258" t="str" s="2">
        <x:v>oramiles@gmail.com</x:v>
      </x:c>
      <x:c r="F3258" t="str" s="2">
        <x:v>Landing_BPM</x:v>
      </x:c>
      <x:c r="G3258" t="str" s="2">
        <x:v>Maira Garcia</x:v>
      </x:c>
      <x:c r="H3258" s="6">
        <x:v>46237.12014652778</x:v>
      </x:c>
      <x:c r="I3258" s="0"/>
      <x:c r="J3258" s="0"/>
      <x:c r="K3258" s="6">
        <x:v>46237</x:v>
      </x:c>
      <x:c r="L3258" t="str" s="2">
        <x:v>Message Sent</x:v>
      </x:c>
    </x:row>
    <x:row r="3259">
      <x:c r="A3259" t="str" s="2">
        <x:f>="roger terrell"</x:f>
      </x:c>
      <x:c r="B3259" t="str" s="2">
        <x:v>Heritage Housing of Athens</x:v>
      </x:c>
      <x:c r="C3259" t="str" s="2">
        <x:v/>
      </x:c>
      <x:c r="D3259" t="str" s="2">
        <x:v>706-949-2105</x:v>
      </x:c>
      <x:c r="E3259" t="str" s="2">
        <x:v>rogereterrell@gmail.com</x:v>
      </x:c>
      <x:c r="F3259" t="str" s="2">
        <x:v>Website</x:v>
      </x:c>
      <x:c r="G3259" t="str" s="2">
        <x:v>Nathan Bishop</x:v>
      </x:c>
      <x:c r="H3259" s="6">
        <x:v>46237.21694583333</x:v>
      </x:c>
      <x:c r="I3259" s="0"/>
      <x:c r="J3259" s="0"/>
      <x:c r="K3259" s="6">
        <x:v>46283</x:v>
      </x:c>
      <x:c r="L3259" t="str" s="2">
        <x:v>Message Sent</x:v>
      </x:c>
    </x:row>
    <x:row r="3260">
      <x:c r="A3260" t="str" s="2">
        <x:f>=HYPERLINK("https://rsms.futurehomex.com/lead/38909", "Toni Wertz")</x:f>
      </x:c>
      <x:c r="B3260" t="str" s="2">
        <x:v>Heritage Housing of Augusta</x:v>
      </x:c>
      <x:c r="C3260" t="str" s="2">
        <x:v/>
      </x:c>
      <x:c r="D3260" t="str" s="2">
        <x:v>8436058694</x:v>
      </x:c>
      <x:c r="E3260" t="str" s="2">
        <x:v>gofftt@gmail.com</x:v>
      </x:c>
      <x:c r="F3260" t="str" s="2">
        <x:v>Landing_BPM</x:v>
      </x:c>
      <x:c r="G3260" t="str" s="2">
        <x:v>Jennifer Johnson</x:v>
      </x:c>
      <x:c r="H3260" s="6">
        <x:v>46237.26168966435</x:v>
      </x:c>
      <x:c r="I3260" t="str" s="2">
        <x:v>Jennifer Johnson</x:v>
      </x:c>
      <x:c r="J3260" s="0"/>
      <x:c r="K3260" s="6">
        <x:v>46301</x:v>
      </x:c>
      <x:c r="L3260" t="str" s="2">
        <x:v>Message Sent</x:v>
      </x:c>
    </x:row>
    <x:row r="3261">
      <x:c r="A3261" t="str" s="2">
        <x:f>="Carlos taveras taveras"</x:f>
      </x:c>
      <x:c r="B3261" t="str" s="2">
        <x:v>Heritage Housing of Tulsa</x:v>
      </x:c>
      <x:c r="C3261" t="str" s="2">
        <x:v/>
      </x:c>
      <x:c r="D3261" t="str" s="2">
        <x:v>3476153374</x:v>
      </x:c>
      <x:c r="E3261" t="str" s="2">
        <x:v>djnightcore002@gmail.com</x:v>
      </x:c>
      <x:c r="F3261" t="str" s="2">
        <x:v>Landing_BPM</x:v>
      </x:c>
      <x:c r="G3261" t="str" s="2">
        <x:v>Jenna Fransisco</x:v>
      </x:c>
      <x:c r="H3261" s="6">
        <x:v>46237.51321438658</x:v>
      </x:c>
      <x:c r="I3261" s="0"/>
      <x:c r="J3261" s="0"/>
      <x:c r="K3261" s="6">
        <x:v>46251</x:v>
      </x:c>
      <x:c r="L3261" t="str" s="2">
        <x:v>Message Sent</x:v>
      </x:c>
    </x:row>
    <x:row r="3262">
      <x:c r="A3262" t="str" s="2">
        <x:f>="ismael Diaz"</x:f>
      </x:c>
      <x:c r="B3262" t="str" s="2">
        <x:v>Heritage Housing of Asheboro</x:v>
      </x:c>
      <x:c r="C3262" t="str" s="2">
        <x:v/>
      </x:c>
      <x:c r="D3262" t="str" s="2">
        <x:v>9843858398</x:v>
      </x:c>
      <x:c r="E3262" t="str" s="2">
        <x:v>ismadz@gmail.com</x:v>
      </x:c>
      <x:c r="F3262" t="str" s="2">
        <x:v>Landing_BPM</x:v>
      </x:c>
      <x:c r="G3262" t="str" s="2">
        <x:v>Maria Lopez</x:v>
      </x:c>
      <x:c r="H3262" s="6">
        <x:v>46237.590399189816</x:v>
      </x:c>
      <x:c r="I3262" s="0"/>
      <x:c r="J3262" s="0"/>
      <x:c r="K3262" s="6">
        <x:v>46261</x:v>
      </x:c>
      <x:c r="L3262" t="str" s="2">
        <x:v>Message Sent</x:v>
      </x:c>
    </x:row>
    <x:row r="3263">
      <x:c r="A3263" t="str" s="2">
        <x:f>="Cortney Newton"</x:f>
      </x:c>
      <x:c r="B3263" t="str" s="2">
        <x:v>Heritage Housing of Albany</x:v>
      </x:c>
      <x:c r="C3263" t="str" s="2">
        <x:v/>
      </x:c>
      <x:c r="D3263" t="str" s="2">
        <x:v>2295296130</x:v>
      </x:c>
      <x:c r="E3263" t="str" s="2">
        <x:v>thecraftedknot@gmail.com</x:v>
      </x:c>
      <x:c r="F3263" t="str" s="2">
        <x:v>Landing_BPM</x:v>
      </x:c>
      <x:c r="G3263" t="str" s="2">
        <x:v>Yanet Alvarez</x:v>
      </x:c>
      <x:c r="H3263" s="6">
        <x:v>46237.64670292824</x:v>
      </x:c>
      <x:c r="I3263" s="0"/>
      <x:c r="J3263" s="0"/>
      <x:c r="K3263" s="6">
        <x:v>46303.95279945602</x:v>
      </x:c>
      <x:c r="L3263" t="str" s="2">
        <x:v>Message Sent</x:v>
      </x:c>
    </x:row>
    <x:row r="3264">
      <x:c r="A3264" t="str" s="2">
        <x:f>="Travis wells"</x:f>
      </x:c>
      <x:c r="B3264" t="str" s="2">
        <x:v>Heritage Housing Mt Pleasant</x:v>
      </x:c>
      <x:c r="C3264" t="str" s="2">
        <x:v>0/1</x:v>
      </x:c>
      <x:c r="D3264" t="str" s="2">
        <x:v>9032789898</x:v>
      </x:c>
      <x:c r="E3264" t="str" s="2">
        <x:v>mattwells0205@gmail.com</x:v>
      </x:c>
      <x:c r="F3264" t="str" s="2">
        <x:v>Landing_BPM</x:v>
      </x:c>
      <x:c r="G3264" t="str" s="2">
        <x:v>Sandra Saldana</x:v>
      </x:c>
      <x:c r="H3264" s="6">
        <x:v>46237.67365775463</x:v>
      </x:c>
      <x:c r="I3264" s="0"/>
      <x:c r="J3264" s="0"/>
      <x:c r="K3264" s="6">
        <x:v>46259</x:v>
      </x:c>
      <x:c r="L3264" t="str" s="2">
        <x:v>Message Sent</x:v>
      </x:c>
    </x:row>
    <x:row r="3265">
      <x:c r="A3265" t="str" s="2">
        <x:f>="Austin Webster"</x:f>
      </x:c>
      <x:c r="B3265" t="str" s="2">
        <x:v>Heritage Housing of Asheboro</x:v>
      </x:c>
      <x:c r="C3265" t="str" s="2">
        <x:v>0/1</x:v>
      </x:c>
      <x:c r="D3265" t="str" s="2">
        <x:v>3368949556</x:v>
      </x:c>
      <x:c r="E3265" t="str" s="2">
        <x:v>adub1026@yahoo.com</x:v>
      </x:c>
      <x:c r="F3265" t="str" s="2">
        <x:v>Financing Form</x:v>
      </x:c>
      <x:c r="G3265" t="str" s="2">
        <x:v>Maria Lopez</x:v>
      </x:c>
      <x:c r="H3265" s="6">
        <x:v>46237.70464606481</x:v>
      </x:c>
      <x:c r="I3265" s="0"/>
      <x:c r="J3265" s="6">
        <x:v>46237.729166666664</x:v>
      </x:c>
      <x:c r="K3265" s="6">
        <x:v>46253</x:v>
      </x:c>
      <x:c r="L3265" t="str" s="2">
        <x:v>Message Sent</x:v>
      </x:c>
    </x:row>
    <x:row r="3266">
      <x:c r="A3266" t="str" s="2">
        <x:f>="Tabeitha Mann"</x:f>
      </x:c>
      <x:c r="B3266" t="str" s="2">
        <x:v>Heritage Housing of Asheboro</x:v>
      </x:c>
      <x:c r="C3266" t="str" s="2">
        <x:v/>
      </x:c>
      <x:c r="D3266" t="str" s="2">
        <x:v>7577907086</x:v>
      </x:c>
      <x:c r="E3266" t="str" s="2">
        <x:v>tabeitha@gmail.com</x:v>
      </x:c>
      <x:c r="F3266" t="str" s="2">
        <x:v>Landing_BPM</x:v>
      </x:c>
      <x:c r="G3266" t="str" s="2">
        <x:v>Jeremy Jacques</x:v>
      </x:c>
      <x:c r="H3266" s="6">
        <x:v>46237.75753900463</x:v>
      </x:c>
      <x:c r="I3266" s="0"/>
      <x:c r="J3266" s="0"/>
      <x:c r="K3266" s="6">
        <x:v>46238</x:v>
      </x:c>
      <x:c r="L3266" t="str" s="2">
        <x:v>Message Sent</x:v>
      </x:c>
    </x:row>
    <x:row r="3267">
      <x:c r="A3267" t="str" s="2">
        <x:f>="Melanie Condra"</x:f>
      </x:c>
      <x:c r="B3267" t="str" s="2">
        <x:v>Heritage Housing of Oklahoma City</x:v>
      </x:c>
      <x:c r="C3267" t="str" s="2">
        <x:v>0/3</x:v>
      </x:c>
      <x:c r="D3267" t="str" s="2">
        <x:v>4059159835</x:v>
      </x:c>
      <x:c r="E3267" t="str" s="2">
        <x:v>condramelanie@gmail.com</x:v>
      </x:c>
      <x:c r="F3267" t="str" s="2">
        <x:v>Landing_BPM</x:v>
      </x:c>
      <x:c r="G3267" t="str" s="2">
        <x:v>Trey Rixleben</x:v>
      </x:c>
      <x:c r="H3267" s="6">
        <x:v>46237.82316431713</x:v>
      </x:c>
      <x:c r="I3267" s="0"/>
      <x:c r="J3267" s="0"/>
      <x:c r="K3267" s="6">
        <x:v>46237.96907704861</x:v>
      </x:c>
      <x:c r="L3267" t="str" s="2">
        <x:v>Message Sent</x:v>
      </x:c>
    </x:row>
    <x:row r="3268">
      <x:c r="A3268" t="str" s="2">
        <x:f>="Annalisa Olivares"</x:f>
      </x:c>
      <x:c r="B3268" t="str" s="2">
        <x:v>Legacy Housing Corp. DBA Americasa</x:v>
      </x:c>
      <x:c r="C3268" t="str" s="2">
        <x:v/>
      </x:c>
      <x:c r="D3268" t="str" s="2">
        <x:v>7138360049</x:v>
      </x:c>
      <x:c r="E3268" t="str" s="2">
        <x:v>Annalisaliv2017@gmail.com</x:v>
      </x:c>
      <x:c r="F3268" t="str" s="2">
        <x:v>Financing Form</x:v>
      </x:c>
      <x:c r="G3268" t="str" s="2">
        <x:v>Jose Parada</x:v>
      </x:c>
      <x:c r="H3268" s="6">
        <x:v>46237.85021542824</x:v>
      </x:c>
      <x:c r="I3268" s="0"/>
      <x:c r="J3268" s="0"/>
      <x:c r="K3268" s="6">
        <x:v>46296</x:v>
      </x:c>
      <x:c r="L3268" t="str" s="2">
        <x:v>Message Sent</x:v>
      </x:c>
    </x:row>
    <x:row r="3269">
      <x:c r="A3269" t="str" s="2">
        <x:f>=HYPERLINK("https://rsms.futurehomex.com/lead/38924", "Christopher Rosson")</x:f>
      </x:c>
      <x:c r="B3269" t="str" s="2">
        <x:v>Heritage Housing of Jennings</x:v>
      </x:c>
      <x:c r="C3269" t="str" s="2">
        <x:v/>
      </x:c>
      <x:c r="D3269" t="str" s="2">
        <x:v>9855095611</x:v>
      </x:c>
      <x:c r="E3269" t="str" s="2">
        <x:v>christopherrosson77@icloud.com</x:v>
      </x:c>
      <x:c r="F3269" t="str" s="2">
        <x:v>Landing_BPM</x:v>
      </x:c>
      <x:c r="G3269" t="str" s="2">
        <x:v>Clint O'Neal</x:v>
      </x:c>
      <x:c r="H3269" s="6">
        <x:v>46237.86385821759</x:v>
      </x:c>
      <x:c r="I3269" t="str" s="2">
        <x:v>Clint O'Neal</x:v>
      </x:c>
      <x:c r="J3269" s="0"/>
      <x:c r="K3269" s="6">
        <x:v>46240</x:v>
      </x:c>
      <x:c r="L3269" t="str" s="2">
        <x:v>Message Sent</x:v>
      </x:c>
    </x:row>
    <x:row r="3270">
      <x:c r="A3270" t="str" s="2">
        <x:f>="Lacy Jahn"</x:f>
      </x:c>
      <x:c r="B3270" t="str" s="2">
        <x:v>Heritage Housing of Asheboro</x:v>
      </x:c>
      <x:c r="C3270" t="str" s="2">
        <x:v/>
      </x:c>
      <x:c r="D3270" t="str" s="2">
        <x:v>9109834911</x:v>
      </x:c>
      <x:c r="E3270" t="str" s="2">
        <x:v>lacyj803@gmail.com</x:v>
      </x:c>
      <x:c r="F3270" t="str" s="2">
        <x:v>Financing Form</x:v>
      </x:c>
      <x:c r="G3270" t="str" s="2">
        <x:v>Maria Lopez</x:v>
      </x:c>
      <x:c r="H3270" s="6">
        <x:v>46237.92812276621</x:v>
      </x:c>
      <x:c r="I3270" s="0"/>
      <x:c r="J3270" s="0"/>
      <x:c r="K3270" s="6">
        <x:v>46258</x:v>
      </x:c>
      <x:c r="L3270" t="str" s="2">
        <x:v>Message Sent</x:v>
      </x:c>
    </x:row>
    <x:row r="3271">
      <x:c r="A3271" t="str" s="2">
        <x:f>="Jeczalih Dias"</x:f>
      </x:c>
      <x:c r="B3271" t="str" s="2">
        <x:v>Heritage Housing Mt Pleasant</x:v>
      </x:c>
      <x:c r="C3271" t="str" s="2">
        <x:v/>
      </x:c>
      <x:c r="D3271" t="str" s="2">
        <x:v>9037807018</x:v>
      </x:c>
      <x:c r="E3271" t="str" s="2">
        <x:v>9037807018</x:v>
      </x:c>
      <x:c r="F3271" t="str" s="2">
        <x:v>Facebook Messenger</x:v>
      </x:c>
      <x:c r="G3271" t="str" s="2">
        <x:v>Yarelis Torres</x:v>
      </x:c>
      <x:c r="H3271" s="6">
        <x:v>46237.95856721065</x:v>
      </x:c>
      <x:c r="I3271" s="0"/>
      <x:c r="J3271" s="6">
        <x:v>46241.895833333336</x:v>
      </x:c>
      <x:c r="K3271" s="6">
        <x:v>46248</x:v>
      </x:c>
      <x:c r="L3271" t="str" s="2">
        <x:v>Message Sent</x:v>
      </x:c>
    </x:row>
    <x:row r="3272">
      <x:c r="A3272" t="str" s="2">
        <x:f>="Nancy Pellot"</x:f>
      </x:c>
      <x:c r="B3272" t="str" s="2">
        <x:v>Legacy Housing Corp. DBA Americasa</x:v>
      </x:c>
      <x:c r="C3272" t="str" s="2">
        <x:v/>
      </x:c>
      <x:c r="D3272" t="str" s="2">
        <x:v>3473579384</x:v>
      </x:c>
      <x:c r="E3272" t="str" s="2">
        <x:v>ashleypellot@gmail.com</x:v>
      </x:c>
      <x:c r="F3272" t="str" s="2">
        <x:v>Financing Form</x:v>
      </x:c>
      <x:c r="G3272" t="str" s="2">
        <x:v>Rodrigo Ramirez</x:v>
      </x:c>
      <x:c r="H3272" s="6">
        <x:v>46237.992434293985</x:v>
      </x:c>
      <x:c r="I3272" s="0"/>
      <x:c r="J3272" s="0"/>
      <x:c r="K3272" s="6">
        <x:v>46296</x:v>
      </x:c>
      <x:c r="L3272" t="str" s="2">
        <x:v>Message Sent</x:v>
      </x:c>
    </x:row>
    <x:row r="3273">
      <x:c r="A3273" t="str" s="2">
        <x:f>="Anna Soileau Soileau"</x:f>
      </x:c>
      <x:c r="B3273" t="str" s="2">
        <x:v>Heritage Housing of Jennings</x:v>
      </x:c>
      <x:c r="C3273" t="str" s="2">
        <x:v/>
      </x:c>
      <x:c r="D3273" t="str" s="2">
        <x:v>3375924936</x:v>
      </x:c>
      <x:c r="E3273" t="str" s="2">
        <x:v>anna.soileau76@gmail.com</x:v>
      </x:c>
      <x:c r="F3273" t="str" s="2">
        <x:v>Landing_BPM</x:v>
      </x:c>
      <x:c r="G3273" t="str" s="2">
        <x:v>Clint O'Neal</x:v>
      </x:c>
      <x:c r="H3273" s="6">
        <x:v>46238.0920712963</x:v>
      </x:c>
      <x:c r="I3273" s="0"/>
      <x:c r="J3273" s="0"/>
      <x:c r="K3273" s="6">
        <x:v>46284.73990922454</x:v>
      </x:c>
      <x:c r="L3273" t="str" s="2">
        <x:v>Message Sent</x:v>
      </x:c>
    </x:row>
    <x:row r="3274">
      <x:c r="A3274" t="str" s="2">
        <x:f>="Tyler Waggoner Waggoner"</x:f>
      </x:c>
      <x:c r="B3274" t="str" s="2">
        <x:v>Heritage Housing of Tulsa</x:v>
      </x:c>
      <x:c r="C3274" t="str" s="2">
        <x:v/>
      </x:c>
      <x:c r="D3274" t="str" s="2">
        <x:v>7024264263</x:v>
      </x:c>
      <x:c r="E3274" t="str" s="2">
        <x:v>tmw388@gmail.com</x:v>
      </x:c>
      <x:c r="F3274" t="str" s="2">
        <x:v>Landing_BPM</x:v>
      </x:c>
      <x:c r="G3274" t="str" s="2">
        <x:v>Jenna Fransisco</x:v>
      </x:c>
      <x:c r="H3274" s="6">
        <x:v>46238.097077164355</x:v>
      </x:c>
      <x:c r="I3274" s="0"/>
      <x:c r="J3274" s="0"/>
      <x:c r="K3274" s="6">
        <x:v>46302</x:v>
      </x:c>
      <x:c r="L3274" t="str" s="2">
        <x:v>Message Sent</x:v>
      </x:c>
    </x:row>
    <x:row r="3275">
      <x:c r="A3275" t="str" s="2">
        <x:f>="Johnny Williams"</x:f>
      </x:c>
      <x:c r="B3275" t="str" s="2">
        <x:v>Heritage Housing of Albany</x:v>
      </x:c>
      <x:c r="C3275" t="str" s="2">
        <x:v/>
      </x:c>
      <x:c r="D3275" t="str" s="2">
        <x:v>2293197504</x:v>
      </x:c>
      <x:c r="E3275" t="str" s="2">
        <x:v>johnnywilliams36@gmail.com</x:v>
      </x:c>
      <x:c r="F3275" t="str" s="2">
        <x:v>Website</x:v>
      </x:c>
      <x:c r="G3275" t="str" s="2">
        <x:v>Yanet Alvarez</x:v>
      </x:c>
      <x:c r="H3275" s="6">
        <x:v>46238.1052025463</x:v>
      </x:c>
      <x:c r="I3275" s="0"/>
      <x:c r="J3275" s="0"/>
      <x:c r="K3275" s="6">
        <x:v>46303</x:v>
      </x:c>
      <x:c r="L3275" t="str" s="2">
        <x:v>Message Sent</x:v>
      </x:c>
    </x:row>
    <x:row r="3276">
      <x:c r="A3276" t="str" s="2">
        <x:f>="Stephanie Dreger"</x:f>
      </x:c>
      <x:c r="B3276" t="str" s="2">
        <x:v>Heritage Housing of Tulsa</x:v>
      </x:c>
      <x:c r="C3276" t="str" s="2">
        <x:v/>
      </x:c>
      <x:c r="D3276" t="str" s="2">
        <x:v>9189385377</x:v>
      </x:c>
      <x:c r="E3276" t="str" s="2">
        <x:v>lynniedreger2@gmail.com</x:v>
      </x:c>
      <x:c r="F3276" t="str" s="2">
        <x:v>Landing_BPM</x:v>
      </x:c>
      <x:c r="G3276" t="str" s="2">
        <x:v>Jenna Fransisco</x:v>
      </x:c>
      <x:c r="H3276" s="6">
        <x:v>46238.27944216435</x:v>
      </x:c>
      <x:c r="I3276" s="0"/>
      <x:c r="J3276" s="0"/>
      <x:c r="K3276" s="6">
        <x:v>46251</x:v>
      </x:c>
      <x:c r="L3276" t="str" s="2">
        <x:v>Message Sent</x:v>
      </x:c>
    </x:row>
    <x:row r="3277">
      <x:c r="A3277" t="str" s="2">
        <x:f>="David Adams"</x:f>
      </x:c>
      <x:c r="B3277" t="str" s="2">
        <x:v>Heritage Housing of Athens</x:v>
      </x:c>
      <x:c r="C3277" t="str" s="2">
        <x:v/>
      </x:c>
      <x:c r="D3277" t="str" s="2">
        <x:v>4704573090</x:v>
      </x:c>
      <x:c r="E3277" t="str" s="2">
        <x:v>gainesvillega1201@gmail.com</x:v>
      </x:c>
      <x:c r="F3277" t="str" s="2">
        <x:v>Landing_BPM</x:v>
      </x:c>
      <x:c r="G3277" t="str" s="2">
        <x:v>Nathan Bishop</x:v>
      </x:c>
      <x:c r="H3277" s="6">
        <x:v>46238.39389837963</x:v>
      </x:c>
      <x:c r="I3277" s="0"/>
      <x:c r="J3277" s="0"/>
      <x:c r="K3277" s="6">
        <x:v>46283</x:v>
      </x:c>
      <x:c r="L3277" t="str" s="2">
        <x:v>Message Sent</x:v>
      </x:c>
    </x:row>
    <x:row r="3278">
      <x:c r="A3278" t="str" s="2">
        <x:f>="Shamecia Bryant"</x:f>
      </x:c>
      <x:c r="B3278" t="str" s="2">
        <x:v>Heritage Housing of Albany</x:v>
      </x:c>
      <x:c r="C3278" t="str" s="2">
        <x:v/>
      </x:c>
      <x:c r="D3278" t="str" s="2">
        <x:v>2296021644</x:v>
      </x:c>
      <x:c r="E3278" t="str" s="2">
        <x:v>shameciab@yahoo.com</x:v>
      </x:c>
      <x:c r="F3278" t="str" s="2">
        <x:v>Landing_BPM</x:v>
      </x:c>
      <x:c r="G3278" t="str" s="2">
        <x:v>Yanet Alvarez</x:v>
      </x:c>
      <x:c r="H3278" s="6">
        <x:v>46238.44725621528</x:v>
      </x:c>
      <x:c r="I3278" s="0"/>
      <x:c r="J3278" s="0"/>
      <x:c r="K3278" s="6">
        <x:v>46286.671140659724</x:v>
      </x:c>
      <x:c r="L3278" t="str" s="2">
        <x:v>Message Sent</x:v>
      </x:c>
    </x:row>
    <x:row r="3279">
      <x:c r="A3279" t="str" s="2">
        <x:f>="DIANA JACKSON"</x:f>
      </x:c>
      <x:c r="B3279" t="str" s="2">
        <x:v>Heritage Housing of Albany</x:v>
      </x:c>
      <x:c r="C3279" t="str" s="2">
        <x:v/>
      </x:c>
      <x:c r="D3279" t="str" s="2">
        <x:v>7705682222</x:v>
      </x:c>
      <x:c r="E3279" t="str" s="2">
        <x:v>DIANAMOORE@HOTMAIL.COM</x:v>
      </x:c>
      <x:c r="F3279" t="str" s="2">
        <x:v>Landing_BPM</x:v>
      </x:c>
      <x:c r="G3279" t="str" s="2">
        <x:v>Yanet Alvarez</x:v>
      </x:c>
      <x:c r="H3279" s="6">
        <x:v>46238.617933912035</x:v>
      </x:c>
      <x:c r="I3279" s="0"/>
      <x:c r="J3279" s="0"/>
      <x:c r="K3279" s="6">
        <x:v>46303</x:v>
      </x:c>
      <x:c r="L3279" t="str" s="2">
        <x:v>Message Sent</x:v>
      </x:c>
    </x:row>
    <x:row r="3280">
      <x:c r="A3280" t="str" s="2">
        <x:f>="Shelli McMasters"</x:f>
      </x:c>
      <x:c r="B3280" t="str" s="2">
        <x:v>Heritage Housing of Canton</x:v>
      </x:c>
      <x:c r="C3280" t="str" s="2">
        <x:v/>
      </x:c>
      <x:c r="D3280" t="str" s="2">
        <x:v>9707866126</x:v>
      </x:c>
      <x:c r="E3280" t="str" s="2">
        <x:v>srmcm0826@gmail.com</x:v>
      </x:c>
      <x:c r="F3280" t="str" s="2">
        <x:v>Landing_BPM</x:v>
      </x:c>
      <x:c r="G3280" t="str" s="2">
        <x:v>Maira Garcia</x:v>
      </x:c>
      <x:c r="H3280" s="6">
        <x:v>46238.72109652778</x:v>
      </x:c>
      <x:c r="I3280" s="0"/>
      <x:c r="J3280" s="0"/>
      <x:c r="K3280" s="6">
        <x:v>46238</x:v>
      </x:c>
      <x:c r="L3280" t="str" s="2">
        <x:v>Message Sent</x:v>
      </x:c>
    </x:row>
    <x:row r="3281">
      <x:c r="A3281" t="str" s="2">
        <x:f>="Cadedra Roberts"</x:f>
      </x:c>
      <x:c r="B3281" t="str" s="2">
        <x:v>Heritage Housing of Asheboro</x:v>
      </x:c>
      <x:c r="C3281" t="str" s="2">
        <x:v/>
      </x:c>
      <x:c r="D3281" t="str" s="2">
        <x:v>9802298512</x:v>
      </x:c>
      <x:c r="E3281" t="str" s="2">
        <x:v>cadedra1@gmail.com</x:v>
      </x:c>
      <x:c r="F3281" t="str" s="2">
        <x:v>Landing_BPM</x:v>
      </x:c>
      <x:c r="G3281" t="str" s="2">
        <x:v>Jeremy Jacques</x:v>
      </x:c>
      <x:c r="H3281" s="6">
        <x:v>46238.73385370371</x:v>
      </x:c>
      <x:c r="I3281" s="0"/>
      <x:c r="J3281" s="0"/>
      <x:c r="K3281" s="6">
        <x:v>46239</x:v>
      </x:c>
      <x:c r="L3281" t="str" s="2">
        <x:v>Message Sent</x:v>
      </x:c>
    </x:row>
    <x:row r="3282">
      <x:c r="A3282" t="str" s="2">
        <x:f>="Justina Thomas"</x:f>
      </x:c>
      <x:c r="B3282" t="str" s="2">
        <x:v>Heritage Housing of Canton</x:v>
      </x:c>
      <x:c r="C3282" t="str" s="2">
        <x:v/>
      </x:c>
      <x:c r="D3282" t="str" s="2">
        <x:v>3185272371</x:v>
      </x:c>
      <x:c r="E3282" t="str" s="2">
        <x:v>justinathomas992@gmail.com</x:v>
      </x:c>
      <x:c r="F3282" t="str" s="2">
        <x:v>Landing_BPM</x:v>
      </x:c>
      <x:c r="G3282" t="str" s="2">
        <x:v>Maira Garcia</x:v>
      </x:c>
      <x:c r="H3282" s="6">
        <x:v>46238.73890914352</x:v>
      </x:c>
      <x:c r="I3282" s="0"/>
      <x:c r="J3282" s="0"/>
      <x:c r="K3282" s="6">
        <x:v>46241</x:v>
      </x:c>
      <x:c r="L3282" t="str" s="2">
        <x:v>Message Sent</x:v>
      </x:c>
    </x:row>
    <x:row r="3283">
      <x:c r="A3283" t="str" s="2">
        <x:f>="Cary Witherspoon"</x:f>
      </x:c>
      <x:c r="B3283" t="str" s="2">
        <x:v>Heritage Housing of Augusta</x:v>
      </x:c>
      <x:c r="C3283" t="str" s="2">
        <x:v/>
      </x:c>
      <x:c r="D3283" t="str" s="2">
        <x:v>9123048813</x:v>
      </x:c>
      <x:c r="E3283" t="str" s="2">
        <x:v>cary9500@gmail.com</x:v>
      </x:c>
      <x:c r="F3283" t="str" s="2">
        <x:v>Landing_BPM</x:v>
      </x:c>
      <x:c r="G3283" t="str" s="2">
        <x:v>Faye Lively</x:v>
      </x:c>
      <x:c r="H3283" s="6">
        <x:v>46238.82363063657</x:v>
      </x:c>
      <x:c r="I3283" s="0"/>
      <x:c r="J3283" s="0"/>
      <x:c r="K3283" s="6">
        <x:v>46273</x:v>
      </x:c>
      <x:c r="L3283" t="str" s="2">
        <x:v>Message Sent</x:v>
      </x:c>
    </x:row>
    <x:row r="3284">
      <x:c r="A3284" t="str" s="2">
        <x:f>="Joanne Eckard"</x:f>
      </x:c>
      <x:c r="B3284" t="str" s="2">
        <x:v>Heritage Housing of Asheboro</x:v>
      </x:c>
      <x:c r="C3284" t="str" s="2">
        <x:v/>
      </x:c>
      <x:c r="D3284" t="str" s="2">
        <x:v>8289992580</x:v>
      </x:c>
      <x:c r="E3284" t="str" s="2">
        <x:v>mojo1571@gmail.com</x:v>
      </x:c>
      <x:c r="F3284" t="str" s="2">
        <x:v>Landing_BPM</x:v>
      </x:c>
      <x:c r="G3284" t="str" s="2">
        <x:v>Maria Lopez</x:v>
      </x:c>
      <x:c r="H3284" s="6">
        <x:v>46238.82496362268</x:v>
      </x:c>
      <x:c r="I3284" s="0"/>
      <x:c r="J3284" s="0"/>
      <x:c r="K3284" s="6">
        <x:v>46253</x:v>
      </x:c>
      <x:c r="L3284" t="str" s="2">
        <x:v>Message Sent</x:v>
      </x:c>
    </x:row>
    <x:row r="3285">
      <x:c r="A3285" t="str" s="2">
        <x:f>="Nicholas Begley"</x:f>
      </x:c>
      <x:c r="B3285" t="str" s="2">
        <x:v>Heritage Housing of Oklahoma City</x:v>
      </x:c>
      <x:c r="C3285" t="str" s="2">
        <x:v/>
      </x:c>
      <x:c r="D3285" t="str" s="2">
        <x:v>4054774791</x:v>
      </x:c>
      <x:c r="E3285" t="str" s="2">
        <x:v>nickbegley04@gmail.com</x:v>
      </x:c>
      <x:c r="F3285" t="str" s="2">
        <x:v>Landing_BPM</x:v>
      </x:c>
      <x:c r="G3285" t="str" s="2">
        <x:v>Steve Castell</x:v>
      </x:c>
      <x:c r="H3285" s="6">
        <x:v>46238.844263425926</x:v>
      </x:c>
      <x:c r="I3285" s="0"/>
      <x:c r="J3285" s="0"/>
      <x:c r="K3285" s="6">
        <x:v>46238</x:v>
      </x:c>
      <x:c r="L3285" t="str" s="2">
        <x:v>Message Sent</x:v>
      </x:c>
    </x:row>
    <x:row r="3286">
      <x:c r="A3286" t="str" s="2">
        <x:f>="Jeffrey Williams"</x:f>
      </x:c>
      <x:c r="B3286" t="str" s="2">
        <x:v>Legacy Housing Corp. DBA Americasa</x:v>
      </x:c>
      <x:c r="C3286" t="str" s="2">
        <x:v/>
      </x:c>
      <x:c r="D3286" t="str" s="2">
        <x:v>9365631130</x:v>
      </x:c>
      <x:c r="E3286" t="str" s="2">
        <x:v>Jeffrey.williams@actribe.org</x:v>
      </x:c>
      <x:c r="F3286" t="str" s="2">
        <x:v>Google Ads</x:v>
      </x:c>
      <x:c r="G3286" t="str" s="2">
        <x:v>Rodrigo Ramirez</x:v>
      </x:c>
      <x:c r="H3286" s="6">
        <x:v>46238.848610416666</x:v>
      </x:c>
      <x:c r="I3286" s="0"/>
      <x:c r="J3286" s="0"/>
      <x:c r="K3286" s="6">
        <x:v>46296</x:v>
      </x:c>
      <x:c r="L3286" t="str" s="2">
        <x:v>Message Sent</x:v>
      </x:c>
    </x:row>
    <x:row r="3287">
      <x:c r="A3287" t="str" s="2">
        <x:f>="Jesús Balcázar"</x:f>
      </x:c>
      <x:c r="B3287" t="str" s="2">
        <x:v>Heritage Housing of Augusta</x:v>
      </x:c>
      <x:c r="C3287" t="str" s="2">
        <x:v/>
      </x:c>
      <x:c r="D3287" t="str" s="2">
        <x:v>7044212937</x:v>
      </x:c>
      <x:c r="E3287" t="str" s="2">
        <x:v>jesustorres402@gmail.com</x:v>
      </x:c>
      <x:c r="F3287" t="str" s="2">
        <x:v>Landing_BPM</x:v>
      </x:c>
      <x:c r="G3287" t="str" s="2">
        <x:v>Faye Lively</x:v>
      </x:c>
      <x:c r="H3287" s="6">
        <x:v>46238.870047337965</x:v>
      </x:c>
      <x:c r="I3287" s="0"/>
      <x:c r="J3287" s="0"/>
      <x:c r="K3287" s="6">
        <x:v>46274</x:v>
      </x:c>
      <x:c r="L3287" t="str" s="2">
        <x:v>Message Sent</x:v>
      </x:c>
    </x:row>
    <x:row r="3288">
      <x:c r="A3288" t="str" s="2">
        <x:f>="Amaan Khan"</x:f>
      </x:c>
      <x:c r="B3288" t="str" s="2">
        <x:v>Legacy Housing Corp. DBA Americasa</x:v>
      </x:c>
      <x:c r="C3288" t="str" s="2">
        <x:v/>
      </x:c>
      <x:c r="D3288" t="str" s="2">
        <x:v>3467025951</x:v>
      </x:c>
      <x:c r="E3288" t="str" s="2">
        <x:v>amaanandkaren@gmail.com</x:v>
      </x:c>
      <x:c r="F3288" t="str" s="2">
        <x:v>Landing_BPM</x:v>
      </x:c>
      <x:c r="G3288" t="str" s="2">
        <x:v>Jose Parada</x:v>
      </x:c>
      <x:c r="H3288" s="6">
        <x:v>46238.91093935185</x:v>
      </x:c>
      <x:c r="I3288" s="0"/>
      <x:c r="J3288" s="0"/>
      <x:c r="K3288" s="6">
        <x:v>46296</x:v>
      </x:c>
      <x:c r="L3288" t="str" s="2">
        <x:v>Message Sent</x:v>
      </x:c>
    </x:row>
    <x:row r="3289">
      <x:c r="A3289" t="str" s="2">
        <x:f>="Ashlie Rice Rice"</x:f>
      </x:c>
      <x:c r="B3289" t="str" s="2">
        <x:v>Legacy Housing Corp. DBA Americasa</x:v>
      </x:c>
      <x:c r="C3289" t="str" s="2">
        <x:v/>
      </x:c>
      <x:c r="D3289" t="str" s="2">
        <x:v>7138759008</x:v>
      </x:c>
      <x:c r="E3289" t="str" s="2">
        <x:v>ashalana117@gmail.com</x:v>
      </x:c>
      <x:c r="F3289" t="str" s="2">
        <x:v>Landing_BPM</x:v>
      </x:c>
      <x:c r="G3289" t="str" s="2">
        <x:v>Rodrigo Ramirez</x:v>
      </x:c>
      <x:c r="H3289" s="6">
        <x:v>46238.99139667824</x:v>
      </x:c>
      <x:c r="I3289" s="0"/>
      <x:c r="J3289" s="0"/>
      <x:c r="K3289" s="6">
        <x:v>46296</x:v>
      </x:c>
      <x:c r="L3289" t="str" s="2">
        <x:v>Message Sent</x:v>
      </x:c>
    </x:row>
    <x:row r="3290">
      <x:c r="A3290" t="str" s="2">
        <x:f>=HYPERLINK("https://rsms.futurehomex.com/lead/38954", "Brandon Hutchins")</x:f>
      </x:c>
      <x:c r="B3290" t="str" s="2">
        <x:v>Heritage Housing Gainesville</x:v>
      </x:c>
      <x:c r="C3290" t="str" s="2">
        <x:v/>
      </x:c>
      <x:c r="D3290" t="str" s="2">
        <x:v>9406419067</x:v>
      </x:c>
      <x:c r="E3290" t="str" s="2">
        <x:v>brandonhutchins32@gmail.com</x:v>
      </x:c>
      <x:c r="F3290" t="str" s="2">
        <x:v>Financing Form</x:v>
      </x:c>
      <x:c r="G3290" t="str" s="2">
        <x:v>Jeniffer Arellano</x:v>
      </x:c>
      <x:c r="H3290" s="6">
        <x:v>46239.04753321759</x:v>
      </x:c>
      <x:c r="I3290" t="str" s="2">
        <x:v>Kelly Ford</x:v>
      </x:c>
      <x:c r="J3290" s="0"/>
      <x:c r="K3290" s="6">
        <x:v>46261</x:v>
      </x:c>
      <x:c r="L3290" t="str" s="2">
        <x:v>Message Sent</x:v>
      </x:c>
    </x:row>
    <x:row r="3291">
      <x:c r="A3291" t="str" s="2">
        <x:f>="Kaylin Whitaker"</x:f>
      </x:c>
      <x:c r="B3291" t="str" s="2">
        <x:v>Heritage Housing of Asheboro</x:v>
      </x:c>
      <x:c r="C3291" t="str" s="2">
        <x:v/>
      </x:c>
      <x:c r="D3291" t="str" s="2">
        <x:v>9102806881</x:v>
      </x:c>
      <x:c r="E3291" t="str" s="2">
        <x:v>kaytrey24@yahoo.com</x:v>
      </x:c>
      <x:c r="F3291" t="str" s="2">
        <x:v>Landing_BPM</x:v>
      </x:c>
      <x:c r="G3291" t="str" s="2">
        <x:v>Maria Lopez</x:v>
      </x:c>
      <x:c r="H3291" s="6">
        <x:v>46239.05387954861</x:v>
      </x:c>
      <x:c r="I3291" s="0"/>
      <x:c r="J3291" s="0"/>
      <x:c r="K3291" s="6">
        <x:v>46253</x:v>
      </x:c>
      <x:c r="L3291" t="str" s="2">
        <x:v>Message Sent</x:v>
      </x:c>
    </x:row>
    <x:row r="3292">
      <x:c r="A3292" t="str" s="2">
        <x:f>="Demetria Anderson"</x:f>
      </x:c>
      <x:c r="B3292" t="str" s="2">
        <x:v>Heritage Housing Mt Pleasant</x:v>
      </x:c>
      <x:c r="C3292" t="str" s="2">
        <x:v/>
      </x:c>
      <x:c r="D3292" t="str" s="2">
        <x:v>3182001627</x:v>
      </x:c>
      <x:c r="E3292" t="str" s="2">
        <x:v>demetrialashea@gmail.com</x:v>
      </x:c>
      <x:c r="F3292" t="str" s="2">
        <x:v>Financing Form</x:v>
      </x:c>
      <x:c r="G3292" t="str" s="2">
        <x:v>Sandra Saldana</x:v>
      </x:c>
      <x:c r="H3292" s="6">
        <x:v>46239.05525228009</x:v>
      </x:c>
      <x:c r="I3292" s="0"/>
      <x:c r="J3292" s="0"/>
      <x:c r="K3292" s="6">
        <x:v>46254</x:v>
      </x:c>
      <x:c r="L3292" t="str" s="2">
        <x:v>Message Sent</x:v>
      </x:c>
    </x:row>
    <x:row r="3293">
      <x:c r="A3293" t="str" s="2">
        <x:f>="Melissa Gasaway"</x:f>
      </x:c>
      <x:c r="B3293" t="str" s="2">
        <x:v>Heritage Housing of Jennings</x:v>
      </x:c>
      <x:c r="C3293" t="str" s="2">
        <x:v>0/2</x:v>
      </x:c>
      <x:c r="D3293" t="str" s="2">
        <x:v>4098779506</x:v>
      </x:c>
      <x:c r="E3293" t="str" s="2">
        <x:v>gasawaymissy@gmail.com</x:v>
      </x:c>
      <x:c r="F3293" t="str" s="2">
        <x:v>Landing_BPM</x:v>
      </x:c>
      <x:c r="G3293" t="str" s="2">
        <x:v>Clint O'Neal</x:v>
      </x:c>
      <x:c r="H3293" s="6">
        <x:v>46239.142226041666</x:v>
      </x:c>
      <x:c r="I3293" s="0"/>
      <x:c r="J3293" s="0"/>
      <x:c r="K3293" s="6">
        <x:v>46284.740775844904</x:v>
      </x:c>
      <x:c r="L3293" t="str" s="2">
        <x:v>Message Sent</x:v>
      </x:c>
    </x:row>
    <x:row r="3294">
      <x:c r="A3294" t="str" s="2">
        <x:f>="Savannah Hulsey"</x:f>
      </x:c>
      <x:c r="B3294" t="str" s="2">
        <x:v>Heritage Housing Mt Pleasant</x:v>
      </x:c>
      <x:c r="C3294" t="str" s="2">
        <x:v/>
      </x:c>
      <x:c r="D3294" t="str" s="2">
        <x:v>9034268206</x:v>
      </x:c>
      <x:c r="E3294" t="str" s="2">
        <x:v>savannahhulsey94@gmail.com</x:v>
      </x:c>
      <x:c r="F3294" t="str" s="2">
        <x:v>Landing_BPM</x:v>
      </x:c>
      <x:c r="G3294" t="str" s="2">
        <x:v>Yarelis Torres</x:v>
      </x:c>
      <x:c r="H3294" s="6">
        <x:v>46239.146210266204</x:v>
      </x:c>
      <x:c r="I3294" s="0"/>
      <x:c r="J3294" s="0"/>
      <x:c r="K3294" s="6">
        <x:v>46280</x:v>
      </x:c>
      <x:c r="L3294" t="str" s="2">
        <x:v>Message Sent</x:v>
      </x:c>
    </x:row>
    <x:row r="3295">
      <x:c r="A3295" t="str" s="2">
        <x:f>="Kaitlyn Ortiz"</x:f>
      </x:c>
      <x:c r="B3295" t="str" s="2">
        <x:v>Heritage Housing of Athens</x:v>
      </x:c>
      <x:c r="C3295" t="str" s="2">
        <x:v/>
      </x:c>
      <x:c r="D3295" t="str" s="2">
        <x:v>7062476163</x:v>
      </x:c>
      <x:c r="E3295" t="str" s="2">
        <x:v>kaitlynortiz354@gmail.com</x:v>
      </x:c>
      <x:c r="F3295" t="str" s="2">
        <x:v>Landing_BPM</x:v>
      </x:c>
      <x:c r="G3295" t="str" s="2">
        <x:v>Nathan Bishop</x:v>
      </x:c>
      <x:c r="H3295" s="6">
        <x:v>46239.17023920139</x:v>
      </x:c>
      <x:c r="I3295" s="0"/>
      <x:c r="J3295" s="0"/>
      <x:c r="K3295" s="6">
        <x:v>46283</x:v>
      </x:c>
      <x:c r="L3295" t="str" s="2">
        <x:v>Message Sent</x:v>
      </x:c>
    </x:row>
    <x:row r="3296">
      <x:c r="A3296" t="str" s="2">
        <x:f>=HYPERLINK("https://rsms.futurehomex.com/lead/39342", "Marcella Lanehart")</x:f>
      </x:c>
      <x:c r="B3296" t="str" s="2">
        <x:v>Legacy Housing Corp. DBA Americasa</x:v>
      </x:c>
      <x:c r="C3296" t="str" s="2">
        <x:v/>
      </x:c>
      <x:c r="D3296" t="str" s="2">
        <x:v>2815158746</x:v>
      </x:c>
      <x:c r="E3296" t="str" s="2">
        <x:v>ayallamarcy@gmail.com</x:v>
      </x:c>
      <x:c r="F3296" t="str" s="2">
        <x:v>Landing_BPM</x:v>
      </x:c>
      <x:c r="G3296" t="str" s="2">
        <x:v>Rodrigo Ramirez</x:v>
      </x:c>
      <x:c r="H3296" s="6">
        <x:v>46239.2184878125</x:v>
      </x:c>
      <x:c r="I3296" t="str" s="2">
        <x:v>Joey Marquez</x:v>
      </x:c>
      <x:c r="J3296" s="6">
        <x:v>46256.666666666664</x:v>
      </x:c>
      <x:c r="K3296" s="6">
        <x:v>46308</x:v>
      </x:c>
      <x:c r="L3296" t="str" s="2">
        <x:v>Message Sent</x:v>
      </x:c>
    </x:row>
    <x:row r="3297">
      <x:c r="A3297" t="str" s="2">
        <x:f>="Antonio Woods"</x:f>
      </x:c>
      <x:c r="B3297" t="str" s="2">
        <x:v>Legacy Housing Corp. DBA Americasa</x:v>
      </x:c>
      <x:c r="C3297" t="str" s="2">
        <x:v/>
      </x:c>
      <x:c r="D3297" t="str" s="2">
        <x:v>3467336523</x:v>
      </x:c>
      <x:c r="E3297" t="str" s="2">
        <x:v>antoniowoods198@gmail.com</x:v>
      </x:c>
      <x:c r="F3297" t="str" s="2">
        <x:v>Landing_BPM</x:v>
      </x:c>
      <x:c r="G3297" t="str" s="2">
        <x:v>Jose Parada</x:v>
      </x:c>
      <x:c r="H3297" s="6">
        <x:v>46239.28695818287</x:v>
      </x:c>
      <x:c r="I3297" s="0"/>
      <x:c r="J3297" s="0"/>
      <x:c r="K3297" s="6">
        <x:v>46296</x:v>
      </x:c>
      <x:c r="L3297" t="str" s="2">
        <x:v>Message Sent</x:v>
      </x:c>
    </x:row>
    <x:row r="3298">
      <x:c r="A3298" t="str" s="2">
        <x:f>="Damerious Prater"</x:f>
      </x:c>
      <x:c r="B3298" t="str" s="2">
        <x:v>Legacy Housing Corp. DBA Americasa</x:v>
      </x:c>
      <x:c r="C3298" t="str" s="2">
        <x:v/>
      </x:c>
      <x:c r="D3298" t="str" s="2">
        <x:v>4092338543</x:v>
      </x:c>
      <x:c r="E3298" t="str" s="2">
        <x:v>dangerousdemi7@gmail.com</x:v>
      </x:c>
      <x:c r="F3298" t="str" s="2">
        <x:v>Landing_BPM</x:v>
      </x:c>
      <x:c r="G3298" t="str" s="2">
        <x:v>Rodrigo Ramirez</x:v>
      </x:c>
      <x:c r="H3298" s="6">
        <x:v>46239.363116168985</x:v>
      </x:c>
      <x:c r="I3298" s="0"/>
      <x:c r="J3298" s="0"/>
      <x:c r="K3298" s="6">
        <x:v>46296</x:v>
      </x:c>
      <x:c r="L3298" t="str" s="2">
        <x:v>Message Sent</x:v>
      </x:c>
    </x:row>
    <x:row r="3299">
      <x:c r="A3299" t="str" s="2">
        <x:f>="William Johnson"</x:f>
      </x:c>
      <x:c r="B3299" t="str" s="2">
        <x:v>Heritage Housing of Asheboro</x:v>
      </x:c>
      <x:c r="C3299" t="str" s="2">
        <x:v/>
      </x:c>
      <x:c r="D3299" t="str" s="2">
        <x:v>7042391643</x:v>
      </x:c>
      <x:c r="E3299" t="str" s="2">
        <x:v>gusjohnson58@gmail.com</x:v>
      </x:c>
      <x:c r="F3299" t="str" s="2">
        <x:v>Landing_BPM</x:v>
      </x:c>
      <x:c r="G3299" t="str" s="2">
        <x:v>Jeremy Jacques</x:v>
      </x:c>
      <x:c r="H3299" s="6">
        <x:v>46239.37761913194</x:v>
      </x:c>
      <x:c r="I3299" s="0"/>
      <x:c r="J3299" s="0"/>
      <x:c r="K3299" s="6">
        <x:v>46239</x:v>
      </x:c>
      <x:c r="L3299" t="str" s="2">
        <x:v>Message Sent</x:v>
      </x:c>
    </x:row>
    <x:row r="3300">
      <x:c r="A3300" t="str" s="2">
        <x:f>="ANGELA HITE"</x:f>
      </x:c>
      <x:c r="B3300" t="str" s="2">
        <x:v>Heritage Housing of Oklahoma City</x:v>
      </x:c>
      <x:c r="C3300" t="str" s="2">
        <x:v>0/1</x:v>
      </x:c>
      <x:c r="D3300" t="str" s="2">
        <x:v>4054046201</x:v>
      </x:c>
      <x:c r="E3300" t="str" s="2">
        <x:v>angelksy68@gmail.com</x:v>
      </x:c>
      <x:c r="F3300" t="str" s="2">
        <x:v>Landing_BPM</x:v>
      </x:c>
      <x:c r="G3300" t="str" s="2">
        <x:v>Trey Rixleben</x:v>
      </x:c>
      <x:c r="H3300" s="6">
        <x:v>46239.54433700231</x:v>
      </x:c>
      <x:c r="I3300" s="0"/>
      <x:c r="J3300" s="0"/>
      <x:c r="K3300" s="6">
        <x:v>46240.98599097222</x:v>
      </x:c>
      <x:c r="L3300" t="str" s="2">
        <x:v>Message Sent</x:v>
      </x:c>
    </x:row>
    <x:row r="3301">
      <x:c r="A3301" t="str" s="2">
        <x:f>="Morgan Howard"</x:f>
      </x:c>
      <x:c r="B3301" t="str" s="2">
        <x:v>Heritage Housing of Jennings</x:v>
      </x:c>
      <x:c r="C3301" t="str" s="2">
        <x:v/>
      </x:c>
      <x:c r="D3301" t="str" s="2">
        <x:v>3379094204</x:v>
      </x:c>
      <x:c r="E3301" t="str" s="2">
        <x:v>morganhoward21@gmail.com</x:v>
      </x:c>
      <x:c r="F3301" t="str" s="2">
        <x:v>Landing_BPM</x:v>
      </x:c>
      <x:c r="G3301" t="str" s="2">
        <x:v>Mervin Leslie Smith</x:v>
      </x:c>
      <x:c r="H3301" s="6">
        <x:v>46239.549904363426</x:v>
      </x:c>
      <x:c r="I3301" s="0"/>
      <x:c r="J3301" s="0"/>
      <x:c r="K3301" s="6">
        <x:v>46284</x:v>
      </x:c>
      <x:c r="L3301" t="str" s="2">
        <x:v>Message Sent</x:v>
      </x:c>
    </x:row>
    <x:row r="3302">
      <x:c r="A3302" t="str" s="2">
        <x:f>="Carmen Welker Welker"</x:f>
      </x:c>
      <x:c r="B3302" t="str" s="2">
        <x:v>Heritage Housing of Asheboro</x:v>
      </x:c>
      <x:c r="C3302" t="str" s="2">
        <x:v/>
      </x:c>
      <x:c r="D3302" t="str" s="2">
        <x:v>8646088875</x:v>
      </x:c>
      <x:c r="E3302" t="str" s="2">
        <x:v>welker.carmena1@gmail.com</x:v>
      </x:c>
      <x:c r="F3302" t="str" s="2">
        <x:v>Landing_BPM</x:v>
      </x:c>
      <x:c r="G3302" t="str" s="2">
        <x:v>Maria Lopez</x:v>
      </x:c>
      <x:c r="H3302" s="6">
        <x:v>46239.57414675926</x:v>
      </x:c>
      <x:c r="I3302" s="0"/>
      <x:c r="J3302" s="0"/>
      <x:c r="K3302" s="6">
        <x:v>46253</x:v>
      </x:c>
      <x:c r="L3302" t="str" s="2">
        <x:v>Message Sent</x:v>
      </x:c>
    </x:row>
    <x:row r="3303">
      <x:c r="A3303" t="str" s="2">
        <x:f>="Courtney Moore"</x:f>
      </x:c>
      <x:c r="B3303" t="str" s="2">
        <x:v>Heritage Housing of Augusta</x:v>
      </x:c>
      <x:c r="C3303" t="str" s="2">
        <x:v/>
      </x:c>
      <x:c r="D3303" t="str" s="2">
        <x:v>8645153207</x:v>
      </x:c>
      <x:c r="E3303" t="str" s="2">
        <x:v>courtneyshomecare2010@gmail.com</x:v>
      </x:c>
      <x:c r="F3303" t="str" s="2">
        <x:v>Landing_BPM</x:v>
      </x:c>
      <x:c r="G3303" t="str" s="2">
        <x:v>Faye Lively</x:v>
      </x:c>
      <x:c r="H3303" s="6">
        <x:v>46239.59557488426</x:v>
      </x:c>
      <x:c r="I3303" s="0"/>
      <x:c r="J3303" s="0"/>
      <x:c r="K3303" s="6">
        <x:v>46273</x:v>
      </x:c>
      <x:c r="L3303" t="str" s="2">
        <x:v>Message Sent</x:v>
      </x:c>
    </x:row>
    <x:row r="3304">
      <x:c r="A3304" t="str" s="2">
        <x:f>="Jonathan a Simpson"</x:f>
      </x:c>
      <x:c r="B3304" t="str" s="2">
        <x:v>Heritage Housing of Athens</x:v>
      </x:c>
      <x:c r="C3304" t="str" s="2">
        <x:v>0/1</x:v>
      </x:c>
      <x:c r="D3304" t="str" s="2">
        <x:v>6789365112</x:v>
      </x:c>
      <x:c r="E3304" t="str" s="2">
        <x:v>calebsimp1@icloud.com</x:v>
      </x:c>
      <x:c r="F3304" t="str" s="2">
        <x:v>LandingPage</x:v>
      </x:c>
      <x:c r="G3304" t="str" s="2">
        <x:v>Nathan Bishop</x:v>
      </x:c>
      <x:c r="H3304" s="6">
        <x:v>46239.60998637731</x:v>
      </x:c>
      <x:c r="I3304" s="0"/>
      <x:c r="J3304" s="0"/>
      <x:c r="K3304" s="6">
        <x:v>46283</x:v>
      </x:c>
      <x:c r="L3304" t="str" s="2">
        <x:v>Message Sent</x:v>
      </x:c>
    </x:row>
    <x:row r="3305">
      <x:c r="A3305" t="str" s="2">
        <x:f>="Alivia Acuna"</x:f>
      </x:c>
      <x:c r="B3305" t="str" s="2">
        <x:v>Heritage Housing of Oklahoma City</x:v>
      </x:c>
      <x:c r="C3305" t="str" s="2">
        <x:v>0/2</x:v>
      </x:c>
      <x:c r="D3305" t="str" s="2">
        <x:v>4055316185</x:v>
      </x:c>
      <x:c r="E3305" t="str" s="2">
        <x:v>alovia.dacuna@gmail.com</x:v>
      </x:c>
      <x:c r="F3305" t="str" s="2">
        <x:v>Landing_BPM</x:v>
      </x:c>
      <x:c r="G3305" t="str" s="2">
        <x:v>Steve Castell</x:v>
      </x:c>
      <x:c r="H3305" s="6">
        <x:v>46239.69656435185</x:v>
      </x:c>
      <x:c r="I3305" s="0"/>
      <x:c r="J3305" s="0"/>
      <x:c r="K3305" s="6">
        <x:v>46239</x:v>
      </x:c>
      <x:c r="L3305" t="str" s="2">
        <x:v>Message Sent</x:v>
      </x:c>
    </x:row>
    <x:row r="3306">
      <x:c r="A3306" t="str" s="2">
        <x:f>="David Careley"</x:f>
      </x:c>
      <x:c r="B3306" t="str" s="2">
        <x:v>Heritage Housing Mt Pleasant</x:v>
      </x:c>
      <x:c r="C3306" t="str" s="2">
        <x:v/>
      </x:c>
      <x:c r="D3306" t="str" s="2">
        <x:v>8173449197</x:v>
      </x:c>
      <x:c r="E3306" t="str" s="2">
        <x:v>8173449197</x:v>
      </x:c>
      <x:c r="F3306" t="str" s="2">
        <x:v>Facebook Messenger</x:v>
      </x:c>
      <x:c r="G3306" t="str" s="2">
        <x:v>Yarelis Torres</x:v>
      </x:c>
      <x:c r="H3306" s="6">
        <x:v>46239.7099659375</x:v>
      </x:c>
      <x:c r="I3306" s="0"/>
      <x:c r="J3306" s="6">
        <x:v>46241.875</x:v>
      </x:c>
      <x:c r="K3306" s="6">
        <x:v>46248</x:v>
      </x:c>
      <x:c r="L3306" t="str" s="2">
        <x:v>Message Sent</x:v>
      </x:c>
    </x:row>
    <x:row r="3307">
      <x:c r="A3307" t="str" s="2">
        <x:f>="Jaquadrian Scott"</x:f>
      </x:c>
      <x:c r="B3307" t="str" s="2">
        <x:v>Heritage Housing Gainesville</x:v>
      </x:c>
      <x:c r="C3307" t="str" s="2">
        <x:v/>
      </x:c>
      <x:c r="D3307" t="str" s="2">
        <x:v>9032271540</x:v>
      </x:c>
      <x:c r="E3307" t="str" s="2">
        <x:v>scottjaquadrian2@gmail.com</x:v>
      </x:c>
      <x:c r="F3307" t="str" s="2">
        <x:v>Landing_BPM</x:v>
      </x:c>
      <x:c r="G3307" t="str" s="2">
        <x:v>Kelly Ford</x:v>
      </x:c>
      <x:c r="H3307" s="6">
        <x:v>46239.76606423611</x:v>
      </x:c>
      <x:c r="I3307" s="0"/>
      <x:c r="J3307" s="0"/>
      <x:c r="K3307" s="6">
        <x:v>46297</x:v>
      </x:c>
      <x:c r="L3307" t="str" s="2">
        <x:v>Message Sent</x:v>
      </x:c>
    </x:row>
    <x:row r="3308">
      <x:c r="A3308" t="str" s="2">
        <x:f>="Theresa Vermette-Chapman"</x:f>
      </x:c>
      <x:c r="B3308" t="str" s="2">
        <x:v>Heritage Housing of Asheboro</x:v>
      </x:c>
      <x:c r="C3308" t="str" s="2">
        <x:v>0/1</x:v>
      </x:c>
      <x:c r="D3308" t="str" s="2">
        <x:v>9103645959</x:v>
      </x:c>
      <x:c r="E3308" t="str" s="2">
        <x:v>theresabvermette@gmail.com</x:v>
      </x:c>
      <x:c r="F3308" t="str" s="2">
        <x:v>Website</x:v>
      </x:c>
      <x:c r="G3308" t="str" s="2">
        <x:v>Maria Lopez</x:v>
      </x:c>
      <x:c r="H3308" s="6">
        <x:v>46239.773189618056</x:v>
      </x:c>
      <x:c r="I3308" s="0"/>
      <x:c r="J3308" s="0"/>
      <x:c r="K3308" s="6">
        <x:v>46286</x:v>
      </x:c>
      <x:c r="L3308" t="str" s="2">
        <x:v>Message Sent</x:v>
      </x:c>
    </x:row>
    <x:row r="3309">
      <x:c r="A3309" t="str" s="2">
        <x:f>="Angelina Cortez"</x:f>
      </x:c>
      <x:c r="B3309" t="str" s="2">
        <x:v>Heritage Housing of Tulsa</x:v>
      </x:c>
      <x:c r="C3309" t="str" s="2">
        <x:v/>
      </x:c>
      <x:c r="D3309" t="str" s="2">
        <x:v>9899850174</x:v>
      </x:c>
      <x:c r="E3309" t="str" s="2">
        <x:v>Angelinacortez711@yahoo.com</x:v>
      </x:c>
      <x:c r="F3309" t="str" s="2">
        <x:v>Landing_BPM</x:v>
      </x:c>
      <x:c r="G3309" t="str" s="2">
        <x:v>Jenna Fransisco</x:v>
      </x:c>
      <x:c r="H3309" s="6">
        <x:v>46239.824930902774</x:v>
      </x:c>
      <x:c r="I3309" s="0"/>
      <x:c r="J3309" s="0"/>
      <x:c r="K3309" s="6">
        <x:v>46251</x:v>
      </x:c>
      <x:c r="L3309" t="str" s="2">
        <x:v>Message Sent</x:v>
      </x:c>
    </x:row>
    <x:row r="3310">
      <x:c r="A3310" t="str" s="2">
        <x:f>="Sheila Morris"</x:f>
      </x:c>
      <x:c r="B3310" t="str" s="2">
        <x:v>Heritage Housing of Asheboro</x:v>
      </x:c>
      <x:c r="C3310" t="str" s="2">
        <x:v/>
      </x:c>
      <x:c r="D3310" t="str" s="2">
        <x:v>9106355474</x:v>
      </x:c>
      <x:c r="E3310" t="str" s="2">
        <x:v>Mwingerter7114@gmail.com</x:v>
      </x:c>
      <x:c r="F3310" t="str" s="2">
        <x:v>Website</x:v>
      </x:c>
      <x:c r="G3310" t="str" s="2">
        <x:v>Maria Lopez</x:v>
      </x:c>
      <x:c r="H3310" s="6">
        <x:v>46239.845012384256</x:v>
      </x:c>
      <x:c r="I3310" s="0"/>
      <x:c r="J3310" s="0"/>
      <x:c r="K3310" s="6">
        <x:v>46304</x:v>
      </x:c>
      <x:c r="L3310" t="str" s="2">
        <x:v>Message Sent</x:v>
      </x:c>
    </x:row>
    <x:row r="3311">
      <x:c r="A3311" t="str" s="2">
        <x:f>="Carl Brown"</x:f>
      </x:c>
      <x:c r="B3311" t="str" s="2">
        <x:v>Heritage Housing of Tulsa</x:v>
      </x:c>
      <x:c r="C3311" t="str" s="2">
        <x:v/>
      </x:c>
      <x:c r="D3311" t="str" s="2">
        <x:v>6785588148</x:v>
      </x:c>
      <x:c r="E3311" t="str" s="2">
        <x:v>carlbrownfitness@gmail.com</x:v>
      </x:c>
      <x:c r="F3311" t="str" s="2">
        <x:v>Landing_BPM</x:v>
      </x:c>
      <x:c r="G3311" t="str" s="2">
        <x:v>Jenna Fransisco</x:v>
      </x:c>
      <x:c r="H3311" s="6">
        <x:v>46239.85160436342</x:v>
      </x:c>
      <x:c r="I3311" s="0"/>
      <x:c r="J3311" s="0"/>
      <x:c r="K3311" s="6">
        <x:v>46251</x:v>
      </x:c>
      <x:c r="L3311" t="str" s="2">
        <x:v>Message Sent</x:v>
      </x:c>
    </x:row>
    <x:row r="3312">
      <x:c r="A3312" t="str" s="2">
        <x:f>="tiktok tikitiki"</x:f>
      </x:c>
      <x:c r="B3312" t="str" s="2">
        <x:v>Heritage Housing of Athens</x:v>
      </x:c>
      <x:c r="C3312" t="str" s="2">
        <x:v/>
      </x:c>
      <x:c r="D3312" t="str" s="2">
        <x:v>5252636325</x:v>
      </x:c>
      <x:c r="E3312" t="str" s="2">
        <x:v>tiktikt@tiktitki.com</x:v>
      </x:c>
      <x:c r="F3312" t="str" s="2">
        <x:v>TikTok</x:v>
      </x:c>
      <x:c r="G3312" t="str" s="2">
        <x:v>Nathan Bishop</x:v>
      </x:c>
      <x:c r="H3312" s="6">
        <x:v>46239.91215204861</x:v>
      </x:c>
      <x:c r="I3312" s="0"/>
      <x:c r="J3312" s="0"/>
      <x:c r="K3312" s="6">
        <x:v>46274</x:v>
      </x:c>
      <x:c r="L3312" t="str" s="2">
        <x:v>Message Sent</x:v>
      </x:c>
    </x:row>
    <x:row r="3313">
      <x:c r="A3313" t="str" s="2">
        <x:f>="Phillip Guidry Guidry"</x:f>
      </x:c>
      <x:c r="B3313" t="str" s="2">
        <x:v>Legacy Housing Corp. DBA Americasa</x:v>
      </x:c>
      <x:c r="C3313" t="str" s="2">
        <x:v/>
      </x:c>
      <x:c r="D3313" t="str" s="2">
        <x:v>4095995423</x:v>
      </x:c>
      <x:c r="E3313" t="str" s="2">
        <x:v>phillipg700@gmail.com</x:v>
      </x:c>
      <x:c r="F3313" t="str" s="2">
        <x:v>Landing_BPM</x:v>
      </x:c>
      <x:c r="G3313" t="str" s="2">
        <x:v>Jose Parada</x:v>
      </x:c>
      <x:c r="H3313" s="6">
        <x:v>46239.92886508102</x:v>
      </x:c>
      <x:c r="I3313" s="0"/>
      <x:c r="J3313" s="0"/>
      <x:c r="K3313" s="6">
        <x:v>46296</x:v>
      </x:c>
      <x:c r="L3313" t="str" s="2">
        <x:v>Message Sent</x:v>
      </x:c>
    </x:row>
    <x:row r="3314">
      <x:c r="A3314" t="str" s="2">
        <x:f>="Marte Phillip Phillip"</x:f>
      </x:c>
      <x:c r="B3314" t="str" s="2">
        <x:v>Legacy Housing Corp. DBA Americasa</x:v>
      </x:c>
      <x:c r="C3314" t="str" s="2">
        <x:v/>
      </x:c>
      <x:c r="D3314" t="str" s="2">
        <x:v>3462681662</x:v>
      </x:c>
      <x:c r="E3314" t="str" s="2">
        <x:v>marte.phillip@gmail.com</x:v>
      </x:c>
      <x:c r="F3314" t="str" s="2">
        <x:v>Landing_BPM</x:v>
      </x:c>
      <x:c r="G3314" t="str" s="2">
        <x:v>Rodrigo Ramirez</x:v>
      </x:c>
      <x:c r="H3314" s="6">
        <x:v>46239.94148943287</x:v>
      </x:c>
      <x:c r="I3314" s="0"/>
      <x:c r="J3314" s="0"/>
      <x:c r="K3314" s="6">
        <x:v>46296</x:v>
      </x:c>
      <x:c r="L3314" t="str" s="2">
        <x:v>Message Sent</x:v>
      </x:c>
    </x:row>
    <x:row r="3315">
      <x:c r="A3315" t="str" s="2">
        <x:f>="Jennifer Pirkle"</x:f>
      </x:c>
      <x:c r="B3315" t="str" s="2">
        <x:v>Heritage Housing of Athens</x:v>
      </x:c>
      <x:c r="C3315" t="str" s="2">
        <x:v/>
      </x:c>
      <x:c r="D3315" t="str" s="2">
        <x:v>8439816304</x:v>
      </x:c>
      <x:c r="E3315" t="str" s="2">
        <x:v>letsemailjen@gmail.com</x:v>
      </x:c>
      <x:c r="F3315" t="str" s="2">
        <x:v>Financing Form</x:v>
      </x:c>
      <x:c r="G3315" t="str" s="2">
        <x:v>Nathan Bishop</x:v>
      </x:c>
      <x:c r="H3315" s="6">
        <x:v>46239.9818846875</x:v>
      </x:c>
      <x:c r="I3315" s="0"/>
      <x:c r="J3315" s="0"/>
      <x:c r="K3315" s="6">
        <x:v>46274</x:v>
      </x:c>
      <x:c r="L3315" t="str" s="2">
        <x:v>Message Sent</x:v>
      </x:c>
    </x:row>
    <x:row r="3316">
      <x:c r="A3316" t="str" s="2">
        <x:f>="Kelly Hooker"</x:f>
      </x:c>
      <x:c r="B3316" t="str" s="2">
        <x:v>Heritage Housing of Asheboro</x:v>
      </x:c>
      <x:c r="C3316" t="str" s="2">
        <x:v/>
      </x:c>
      <x:c r="D3316" t="str" s="2">
        <x:v>5088263464</x:v>
      </x:c>
      <x:c r="E3316" t="str" s="2">
        <x:v>kahooner14@gmail.com</x:v>
      </x:c>
      <x:c r="F3316" t="str" s="2">
        <x:v>Landing_BPM</x:v>
      </x:c>
      <x:c r="G3316" t="str" s="2">
        <x:v>Maria Lopez</x:v>
      </x:c>
      <x:c r="H3316" s="6">
        <x:v>46240.00860543981</x:v>
      </x:c>
      <x:c r="I3316" s="0"/>
      <x:c r="J3316" s="0"/>
      <x:c r="K3316" s="6">
        <x:v>46254</x:v>
      </x:c>
      <x:c r="L3316" t="str" s="2">
        <x:v>Message Sent</x:v>
      </x:c>
    </x:row>
    <x:row r="3317">
      <x:c r="A3317" t="str" s="2">
        <x:f>="Omya Davis"</x:f>
      </x:c>
      <x:c r="B3317" t="str" s="2">
        <x:v>Heritage Housing of Augusta</x:v>
      </x:c>
      <x:c r="C3317" t="str" s="2">
        <x:v>0/1</x:v>
      </x:c>
      <x:c r="D3317" t="str" s="2">
        <x:v>7064016991</x:v>
      </x:c>
      <x:c r="E3317" t="str" s="2">
        <x:v>davisomya15@gmail.com</x:v>
      </x:c>
      <x:c r="F3317" t="str" s="2">
        <x:v>Landing_BPM</x:v>
      </x:c>
      <x:c r="G3317" t="str" s="2">
        <x:v>Faye Lively</x:v>
      </x:c>
      <x:c r="H3317" s="6">
        <x:v>46240.01342415509</x:v>
      </x:c>
      <x:c r="I3317" s="0"/>
      <x:c r="J3317" s="0"/>
      <x:c r="K3317" s="6">
        <x:v>46274</x:v>
      </x:c>
      <x:c r="L3317" t="str" s="2">
        <x:v>Message Sent</x:v>
      </x:c>
    </x:row>
    <x:row r="3318">
      <x:c r="A3318" t="str" s="2">
        <x:f>="Brennon Doss"</x:f>
      </x:c>
      <x:c r="B3318" t="str" s="2">
        <x:v>Heritage Housing Marble Falls</x:v>
      </x:c>
      <x:c r="C3318" t="str" s="2">
        <x:v/>
      </x:c>
      <x:c r="D3318" t="str" s="2">
        <x:v>3254235534</x:v>
      </x:c>
      <x:c r="E3318" t="str" s="2">
        <x:v>brennondoss03@gmail.com</x:v>
      </x:c>
      <x:c r="F3318" t="str" s="2">
        <x:v>Landing_BPM</x:v>
      </x:c>
      <x:c r="G3318" t="str" s="2">
        <x:v>Stephen Sanders</x:v>
      </x:c>
      <x:c r="H3318" s="6">
        <x:v>46240.102244016205</x:v>
      </x:c>
      <x:c r="I3318" s="0"/>
      <x:c r="J3318" s="0"/>
      <x:c r="K3318" s="6">
        <x:v>46274</x:v>
      </x:c>
      <x:c r="L3318" t="str" s="2">
        <x:v>Message Sent</x:v>
      </x:c>
    </x:row>
    <x:row r="3319">
      <x:c r="A3319" t="str" s="2">
        <x:f>="Eddy Perez"</x:f>
      </x:c>
      <x:c r="B3319" t="str" s="2">
        <x:v>Heritage Housing of Canton</x:v>
      </x:c>
      <x:c r="C3319" t="str" s="2">
        <x:v/>
      </x:c>
      <x:c r="D3319" t="str" s="2">
        <x:v>7273071157</x:v>
      </x:c>
      <x:c r="E3319" t="str" s="2">
        <x:v>eddy67perez@gmail.com</x:v>
      </x:c>
      <x:c r="F3319" t="str" s="2">
        <x:v>Landing_BPM</x:v>
      </x:c>
      <x:c r="G3319" t="str" s="2">
        <x:v>Maira Garcia</x:v>
      </x:c>
      <x:c r="H3319" s="6">
        <x:v>46240.349509837964</x:v>
      </x:c>
      <x:c r="I3319" s="0"/>
      <x:c r="J3319" s="0"/>
      <x:c r="K3319" s="6">
        <x:v>46241</x:v>
      </x:c>
      <x:c r="L3319" t="str" s="2">
        <x:v>Message Sent</x:v>
      </x:c>
    </x:row>
    <x:row r="3320">
      <x:c r="A3320" t="str" s="2">
        <x:f>="Devarcio Henderson"</x:f>
      </x:c>
      <x:c r="B3320" t="str" s="2">
        <x:v>Heritage Housing of Albany</x:v>
      </x:c>
      <x:c r="C3320" t="str" s="2">
        <x:v/>
      </x:c>
      <x:c r="D3320" t="str" s="2">
        <x:v>2296033350</x:v>
      </x:c>
      <x:c r="E3320" t="str" s="2">
        <x:v>devarciohenderson2@gmail.com</x:v>
      </x:c>
      <x:c r="F3320" t="str" s="2">
        <x:v>Financing Form</x:v>
      </x:c>
      <x:c r="G3320" t="str" s="2">
        <x:v>Yanet Alvarez</x:v>
      </x:c>
      <x:c r="H3320" s="6">
        <x:v>46240.3523653125</x:v>
      </x:c>
      <x:c r="I3320" s="0"/>
      <x:c r="J3320" s="0"/>
      <x:c r="K3320" s="6">
        <x:v>46303</x:v>
      </x:c>
      <x:c r="L3320" t="str" s="2">
        <x:v>Message Sent</x:v>
      </x:c>
    </x:row>
    <x:row r="3321">
      <x:c r="A3321" t="str" s="2">
        <x:f>="Makenna Milam"</x:f>
      </x:c>
      <x:c r="B3321" t="str" s="2">
        <x:v>Heritage Housing Mt Pleasant</x:v>
      </x:c>
      <x:c r="C3321" t="str" s="2">
        <x:v/>
      </x:c>
      <x:c r="D3321" t="str" s="2">
        <x:v>9455462004</x:v>
      </x:c>
      <x:c r="E3321" t="str" s="2">
        <x:v>kennamilam1@gmail.com</x:v>
      </x:c>
      <x:c r="F3321" t="str" s="2">
        <x:v>Landing_BPM</x:v>
      </x:c>
      <x:c r="G3321" t="str" s="2">
        <x:v>Yarelis Torres</x:v>
      </x:c>
      <x:c r="H3321" s="6">
        <x:v>46240.36281076389</x:v>
      </x:c>
      <x:c r="I3321" s="0"/>
      <x:c r="J3321" s="0"/>
      <x:c r="K3321" s="6">
        <x:v>46280</x:v>
      </x:c>
      <x:c r="L3321" t="str" s="2">
        <x:v>Message Sent</x:v>
      </x:c>
    </x:row>
    <x:row r="3322">
      <x:c r="A3322" t="str" s="2">
        <x:f>="Ashley Stacey"</x:f>
      </x:c>
      <x:c r="B3322" t="str" s="2">
        <x:v>Heritage Housing of Augusta</x:v>
      </x:c>
      <x:c r="C3322" t="str" s="2">
        <x:v>0/2</x:v>
      </x:c>
      <x:c r="D3322" t="str" s="2">
        <x:v>4783090585</x:v>
      </x:c>
      <x:c r="E3322" t="str" s="2">
        <x:v>ashleystacey0320@gmail.com</x:v>
      </x:c>
      <x:c r="F3322" t="str" s="2">
        <x:v>Landing_BPM</x:v>
      </x:c>
      <x:c r="G3322" t="str" s="2">
        <x:v>Faye Lively</x:v>
      </x:c>
      <x:c r="H3322" s="6">
        <x:v>46240.56443298611</x:v>
      </x:c>
      <x:c r="I3322" s="0"/>
      <x:c r="J3322" s="0"/>
      <x:c r="K3322" s="6">
        <x:v>46279</x:v>
      </x:c>
      <x:c r="L3322" t="str" s="2">
        <x:v>Message Sent</x:v>
      </x:c>
    </x:row>
    <x:row r="3323">
      <x:c r="A3323" t="str" s="2">
        <x:f>="Harmoni Amir"</x:f>
      </x:c>
      <x:c r="B3323" t="str" s="2">
        <x:v>Legacy Housing Corp. DBA Americasa</x:v>
      </x:c>
      <x:c r="C3323" t="str" s="2">
        <x:v/>
      </x:c>
      <x:c r="D3323" t="str" s="2">
        <x:v>3462029928</x:v>
      </x:c>
      <x:c r="E3323" t="str" s="2">
        <x:v>1harmoniamir@gmail.com</x:v>
      </x:c>
      <x:c r="F3323" t="str" s="2">
        <x:v>Website</x:v>
      </x:c>
      <x:c r="G3323" t="str" s="2">
        <x:v>Rodrigo Ramirez</x:v>
      </x:c>
      <x:c r="H3323" s="6">
        <x:v>46240.57555069445</x:v>
      </x:c>
      <x:c r="I3323" s="0"/>
      <x:c r="J3323" s="0"/>
      <x:c r="K3323" s="6">
        <x:v>46296</x:v>
      </x:c>
      <x:c r="L3323" t="str" s="2">
        <x:v>Message Sent</x:v>
      </x:c>
    </x:row>
    <x:row r="3324">
      <x:c r="A3324" t="str" s="2">
        <x:f>="Donavon Bradley"</x:f>
      </x:c>
      <x:c r="B3324" t="str" s="2">
        <x:v>Heritage Housing of Augusta</x:v>
      </x:c>
      <x:c r="C3324" t="str" s="2">
        <x:v>0/2</x:v>
      </x:c>
      <x:c r="D3324" t="str" s="2">
        <x:v>7069412402</x:v>
      </x:c>
      <x:c r="E3324" t="str" s="2">
        <x:v>donavonbradley93@gmail.com</x:v>
      </x:c>
      <x:c r="F3324" t="str" s="2">
        <x:v>Financing Form</x:v>
      </x:c>
      <x:c r="G3324" t="str" s="2">
        <x:v>Faye Lively</x:v>
      </x:c>
      <x:c r="H3324" s="6">
        <x:v>46240.588663344904</x:v>
      </x:c>
      <x:c r="I3324" s="0"/>
      <x:c r="J3324" s="0"/>
      <x:c r="K3324" s="6">
        <x:v>46273</x:v>
      </x:c>
      <x:c r="L3324" t="str" s="2">
        <x:v>Message Sent</x:v>
      </x:c>
    </x:row>
    <x:row r="3325">
      <x:c r="A3325" t="str" s="2">
        <x:f>="Manuel Berber"</x:f>
      </x:c>
      <x:c r="B3325" t="str" s="2">
        <x:v>Heritage Housing of Canton</x:v>
      </x:c>
      <x:c r="C3325" t="str" s="2">
        <x:v/>
      </x:c>
      <x:c r="D3325" t="str" s="2">
        <x:v>4696689655</x:v>
      </x:c>
      <x:c r="E3325" t="str" s="2">
        <x:v>valma490@gmail.com</x:v>
      </x:c>
      <x:c r="F3325" t="str" s="2">
        <x:v>Landing_BPM</x:v>
      </x:c>
      <x:c r="G3325" t="str" s="2">
        <x:v>Jacob Hatten</x:v>
      </x:c>
      <x:c r="H3325" s="6">
        <x:v>46240.63317230324</x:v>
      </x:c>
      <x:c r="I3325" s="0"/>
      <x:c r="J3325" s="0"/>
      <x:c r="K3325" s="6">
        <x:v>46293</x:v>
      </x:c>
      <x:c r="L3325" t="str" s="2">
        <x:v>Message Sent</x:v>
      </x:c>
    </x:row>
    <x:row r="3326">
      <x:c r="A3326" t="str" s="2">
        <x:f>="Brian Bates"</x:f>
      </x:c>
      <x:c r="B3326" t="str" s="2">
        <x:v>Legacy Housing Corp. DBA Americasa</x:v>
      </x:c>
      <x:c r="C3326" t="str" s="2">
        <x:v/>
      </x:c>
      <x:c r="D3326" t="str" s="2">
        <x:v>7132658680</x:v>
      </x:c>
      <x:c r="E3326" t="str" s="2">
        <x:v>brianbates1110@yahoo.com</x:v>
      </x:c>
      <x:c r="F3326" t="str" s="2">
        <x:v>Landing_BPM</x:v>
      </x:c>
      <x:c r="G3326" t="str" s="2">
        <x:v>Rodrigo Ramirez</x:v>
      </x:c>
      <x:c r="H3326" s="6">
        <x:v>46240.65182662037</x:v>
      </x:c>
      <x:c r="I3326" s="0"/>
      <x:c r="J3326" s="0"/>
      <x:c r="K3326" s="6">
        <x:v>46296</x:v>
      </x:c>
      <x:c r="L3326" t="str" s="2">
        <x:v>Message Sent</x:v>
      </x:c>
    </x:row>
    <x:row r="3327">
      <x:c r="A3327" t="str" s="2">
        <x:f>="Henrietta Ellis Ellis"</x:f>
      </x:c>
      <x:c r="B3327" t="str" s="2">
        <x:v>Heritage Housing of Jennings</x:v>
      </x:c>
      <x:c r="C3327" t="str" s="2">
        <x:v>0/3</x:v>
      </x:c>
      <x:c r="D3327" t="str" s="2">
        <x:v>13372632862</x:v>
      </x:c>
      <x:c r="E3327" t="str" s="2">
        <x:v>henrietta1_98_70@yahoo.com</x:v>
      </x:c>
      <x:c r="F3327" t="str" s="2">
        <x:v>Landing_BPM</x:v>
      </x:c>
      <x:c r="G3327" t="str" s="2">
        <x:v>Mervin Leslie Smith</x:v>
      </x:c>
      <x:c r="H3327" s="6">
        <x:v>46240.655118518516</x:v>
      </x:c>
      <x:c r="I3327" s="0"/>
      <x:c r="J3327" s="0"/>
      <x:c r="K3327" s="6">
        <x:v>46303</x:v>
      </x:c>
      <x:c r="L3327" t="str" s="2">
        <x:v>Message Sent</x:v>
      </x:c>
    </x:row>
    <x:row r="3328">
      <x:c r="A3328" t="str" s="2">
        <x:f>="Laura Gonzalez"</x:f>
      </x:c>
      <x:c r="B3328" t="str" s="2">
        <x:v>Heritage Housing Mt Pleasant</x:v>
      </x:c>
      <x:c r="C3328" t="str" s="2">
        <x:v/>
      </x:c>
      <x:c r="D3328" t="str" s="2">
        <x:v>4699204498</x:v>
      </x:c>
      <x:c r="E3328" t="str" s="2">
        <x:v>mascorrolaura4518@gmail.com</x:v>
      </x:c>
      <x:c r="F3328" t="str" s="2">
        <x:v>Landing_BPM</x:v>
      </x:c>
      <x:c r="G3328" t="str" s="2">
        <x:v>Yarelis Torres</x:v>
      </x:c>
      <x:c r="H3328" s="6">
        <x:v>46240.65975528935</x:v>
      </x:c>
      <x:c r="I3328" s="0"/>
      <x:c r="J3328" s="0"/>
      <x:c r="K3328" s="6">
        <x:v>46280</x:v>
      </x:c>
      <x:c r="L3328" t="str" s="2">
        <x:v>Message Sent</x:v>
      </x:c>
    </x:row>
    <x:row r="3329">
      <x:c r="A3329" t="str" s="2">
        <x:f>="Angel Altieri"</x:f>
      </x:c>
      <x:c r="B3329" t="str" s="2">
        <x:v>Heritage Housing of Asheboro</x:v>
      </x:c>
      <x:c r="C3329" t="str" s="2">
        <x:v/>
      </x:c>
      <x:c r="D3329" t="str" s="2">
        <x:v>9106337887</x:v>
      </x:c>
      <x:c r="E3329" t="str" s="2">
        <x:v>angel1989@gmail.com</x:v>
      </x:c>
      <x:c r="F3329" t="str" s="2">
        <x:v>Financing Form</x:v>
      </x:c>
      <x:c r="G3329" t="str" s="2">
        <x:v>Jeremy Jacques</x:v>
      </x:c>
      <x:c r="H3329" s="6">
        <x:v>46240.719313657406</x:v>
      </x:c>
      <x:c r="I3329" s="0"/>
      <x:c r="J3329" s="0"/>
      <x:c r="K3329" s="6">
        <x:v>46244</x:v>
      </x:c>
      <x:c r="L3329" t="str" s="2">
        <x:v>Message Sent</x:v>
      </x:c>
    </x:row>
    <x:row r="3330">
      <x:c r="A3330" t="str" s="2">
        <x:f>="Taylor Hendrix"</x:f>
      </x:c>
      <x:c r="B3330" t="str" s="2">
        <x:v>Heritage Housing of Tulsa</x:v>
      </x:c>
      <x:c r="C3330" t="str" s="2">
        <x:v/>
      </x:c>
      <x:c r="D3330" t="str" s="2">
        <x:v>9187587923</x:v>
      </x:c>
      <x:c r="E3330" t="str" s="2">
        <x:v>tayrenee1415@gmail.com</x:v>
      </x:c>
      <x:c r="F3330" t="str" s="2">
        <x:v>Landing_BPM</x:v>
      </x:c>
      <x:c r="G3330" t="str" s="2">
        <x:v>Jenna Fransisco</x:v>
      </x:c>
      <x:c r="H3330" s="6">
        <x:v>46240.725023148145</x:v>
      </x:c>
      <x:c r="I3330" s="0"/>
      <x:c r="J3330" s="0"/>
      <x:c r="K3330" s="6">
        <x:v>46251</x:v>
      </x:c>
      <x:c r="L3330" t="str" s="2">
        <x:v>Message Sent</x:v>
      </x:c>
    </x:row>
    <x:row r="3331">
      <x:c r="A3331" t="str" s="2">
        <x:f>="Purvis HEWITT"</x:f>
      </x:c>
      <x:c r="B3331" t="str" s="2">
        <x:v>Heritage Housing of Augusta</x:v>
      </x:c>
      <x:c r="C3331" t="str" s="2">
        <x:v/>
      </x:c>
      <x:c r="D3331" t="str" s="2">
        <x:v>7622917180</x:v>
      </x:c>
      <x:c r="E3331" t="str" s="2">
        <x:v>purvishewitt01@gmail.com</x:v>
      </x:c>
      <x:c r="F3331" t="str" s="2">
        <x:v>Financing Form</x:v>
      </x:c>
      <x:c r="G3331" t="str" s="2">
        <x:v>Faye Lively</x:v>
      </x:c>
      <x:c r="H3331" s="6">
        <x:v>46240.72564690972</x:v>
      </x:c>
      <x:c r="I3331" s="0"/>
      <x:c r="J3331" s="0"/>
      <x:c r="K3331" s="6">
        <x:v>46274</x:v>
      </x:c>
      <x:c r="L3331" t="str" s="2">
        <x:v>Message Sent</x:v>
      </x:c>
    </x:row>
    <x:row r="3332">
      <x:c r="A3332" t="str" s="2">
        <x:f>="April April Rodriguez"</x:f>
      </x:c>
      <x:c r="B3332" t="str" s="2">
        <x:v>Heritage Housing of Tulsa</x:v>
      </x:c>
      <x:c r="C3332" t="str" s="2">
        <x:v/>
      </x:c>
      <x:c r="D3332" t="str" s="2">
        <x:v>8702439044</x:v>
      </x:c>
      <x:c r="E3332" t="str" s="2">
        <x:v>ayproofing@gmail.com</x:v>
      </x:c>
      <x:c r="F3332" t="str" s="2">
        <x:v>Landing_BPM</x:v>
      </x:c>
      <x:c r="G3332" t="str" s="2">
        <x:v>Jenna Fransisco</x:v>
      </x:c>
      <x:c r="H3332" s="6">
        <x:v>46240.76814533565</x:v>
      </x:c>
      <x:c r="I3332" s="0"/>
      <x:c r="J3332" s="0"/>
      <x:c r="K3332" s="6">
        <x:v>46251</x:v>
      </x:c>
      <x:c r="L3332" t="str" s="2">
        <x:v>Message Sent</x:v>
      </x:c>
    </x:row>
    <x:row r="3333">
      <x:c r="A3333" t="str" s="2">
        <x:f>="Karinne Mason"</x:f>
      </x:c>
      <x:c r="B3333" t="str" s="2">
        <x:v>Legacy Housing Corp. DBA Americasa</x:v>
      </x:c>
      <x:c r="C3333" t="str" s="2">
        <x:v/>
      </x:c>
      <x:c r="D3333" t="str" s="2">
        <x:v>7138592815</x:v>
      </x:c>
      <x:c r="E3333" t="str" s="2">
        <x:v>karinneamy@gmail.com</x:v>
      </x:c>
      <x:c r="F3333" t="str" s="2">
        <x:v>Website</x:v>
      </x:c>
      <x:c r="G3333" t="str" s="2">
        <x:v>Rodrigo Ramirez</x:v>
      </x:c>
      <x:c r="H3333" s="6">
        <x:v>46240.77022893519</x:v>
      </x:c>
      <x:c r="I3333" s="0"/>
      <x:c r="J3333" s="0"/>
      <x:c r="K3333" s="6">
        <x:v>46296</x:v>
      </x:c>
      <x:c r="L3333" t="str" s="2">
        <x:v>Message Sent</x:v>
      </x:c>
    </x:row>
    <x:row r="3334">
      <x:c r="A3334" t="str" s="2">
        <x:f>="Linda Powell"</x:f>
      </x:c>
      <x:c r="B3334" t="str" s="2">
        <x:v>Heritage Housing of Tulsa</x:v>
      </x:c>
      <x:c r="C3334" t="str" s="2">
        <x:v/>
      </x:c>
      <x:c r="D3334" t="str" s="2">
        <x:v>9183701624</x:v>
      </x:c>
      <x:c r="E3334" t="str" s="2">
        <x:v>allaces81@yahoo.com</x:v>
      </x:c>
      <x:c r="F3334" t="str" s="2">
        <x:v>Financing Form</x:v>
      </x:c>
      <x:c r="G3334" t="str" s="2">
        <x:v>Jenna Fransisco</x:v>
      </x:c>
      <x:c r="H3334" s="6">
        <x:v>46240.77052615741</x:v>
      </x:c>
      <x:c r="I3334" s="0"/>
      <x:c r="J3334" s="0"/>
      <x:c r="K3334" s="6">
        <x:v>46251</x:v>
      </x:c>
      <x:c r="L3334" t="str" s="2">
        <x:v>Message Sent</x:v>
      </x:c>
    </x:row>
    <x:row r="3335">
      <x:c r="A3335" t="str" s="2">
        <x:f>="Alexa Valencia"</x:f>
      </x:c>
      <x:c r="B3335" t="str" s="2">
        <x:v>Heritage Housing of Asheboro</x:v>
      </x:c>
      <x:c r="C3335" t="str" s="2">
        <x:v/>
      </x:c>
      <x:c r="D3335" t="str" s="2">
        <x:v>3369912805</x:v>
      </x:c>
      <x:c r="E3335" t="str" s="2">
        <x:v>valenciaalexa08@icloud.com</x:v>
      </x:c>
      <x:c r="F3335" t="str" s="2">
        <x:v>Financing Form</x:v>
      </x:c>
      <x:c r="G3335" t="str" s="2">
        <x:v>Maria Lopez</x:v>
      </x:c>
      <x:c r="H3335" s="6">
        <x:v>46240.783878159724</x:v>
      </x:c>
      <x:c r="I3335" s="0"/>
      <x:c r="J3335" s="0"/>
      <x:c r="K3335" s="6">
        <x:v>46254</x:v>
      </x:c>
      <x:c r="L3335" t="str" s="2">
        <x:v>Message Sent</x:v>
      </x:c>
    </x:row>
    <x:row r="3336">
      <x:c r="A3336" t="str" s="2">
        <x:f>="Hayley Six"</x:f>
      </x:c>
      <x:c r="B3336" t="str" s="2">
        <x:v>Heritage Housing of Tulsa</x:v>
      </x:c>
      <x:c r="C3336" t="str" s="2">
        <x:v/>
      </x:c>
      <x:c r="D3336" t="str" s="2">
        <x:v>5392519578</x:v>
      </x:c>
      <x:c r="E3336" t="str" s="2">
        <x:v>sixhayley1@gmail.com</x:v>
      </x:c>
      <x:c r="F3336" t="str" s="2">
        <x:v>Landing_BPM</x:v>
      </x:c>
      <x:c r="G3336" t="str" s="2">
        <x:v>Jenna Fransisco</x:v>
      </x:c>
      <x:c r="H3336" s="6">
        <x:v>46240.88652878472</x:v>
      </x:c>
      <x:c r="I3336" s="0"/>
      <x:c r="J3336" s="0"/>
      <x:c r="K3336" s="6">
        <x:v>46251</x:v>
      </x:c>
      <x:c r="L3336" t="str" s="2">
        <x:v>Message Sent</x:v>
      </x:c>
    </x:row>
    <x:row r="3337">
      <x:c r="A3337" t="str" s="2">
        <x:f>="Holly Casteel"</x:f>
      </x:c>
      <x:c r="B3337" t="str" s="2">
        <x:v>Heritage Housing of Tulsa</x:v>
      </x:c>
      <x:c r="C3337" t="str" s="2">
        <x:v>1/1</x:v>
      </x:c>
      <x:c r="D3337" t="str" s="2">
        <x:v>9187242268</x:v>
      </x:c>
      <x:c r="E3337" t="str" s="2">
        <x:v>holly.casteel@yahoo.com</x:v>
      </x:c>
      <x:c r="F3337" t="str" s="2">
        <x:v>Landing_BPM</x:v>
      </x:c>
      <x:c r="G3337" t="str" s="2">
        <x:v>Jenna Fransisco</x:v>
      </x:c>
      <x:c r="H3337" s="6">
        <x:v>46240.89059633102</x:v>
      </x:c>
      <x:c r="I3337" s="0"/>
      <x:c r="J3337" s="0"/>
      <x:c r="K3337" s="6">
        <x:v>46251</x:v>
      </x:c>
      <x:c r="L3337" t="str" s="2">
        <x:v>Message Sent</x:v>
      </x:c>
    </x:row>
    <x:row r="3338">
      <x:c r="A3338" t="str" s="2">
        <x:f>="Tana Dartez"</x:f>
      </x:c>
      <x:c r="B3338" t="str" s="2">
        <x:v>Heritage Housing of Jennings</x:v>
      </x:c>
      <x:c r="C3338" t="str" s="2">
        <x:v/>
      </x:c>
      <x:c r="D3338" t="str" s="2">
        <x:v>3373291058</x:v>
      </x:c>
      <x:c r="E3338" t="str" s="2">
        <x:v>darteztana82@gmail.com</x:v>
      </x:c>
      <x:c r="F3338" t="str" s="2">
        <x:v>Landing_BPM</x:v>
      </x:c>
      <x:c r="G3338" t="str" s="2">
        <x:v>Clint O'Neal</x:v>
      </x:c>
      <x:c r="H3338" s="6">
        <x:v>46241.007165243056</x:v>
      </x:c>
      <x:c r="I3338" s="0"/>
      <x:c r="J3338" s="0"/>
      <x:c r="K3338" s="6">
        <x:v>46301</x:v>
      </x:c>
      <x:c r="L3338" t="str" s="2">
        <x:v>Message Sent</x:v>
      </x:c>
    </x:row>
    <x:row r="3339">
      <x:c r="A3339" t="str" s="2">
        <x:f>="destiny mason"</x:f>
      </x:c>
      <x:c r="B3339" t="str" s="2">
        <x:v>Heritage Housing of Greenville</x:v>
      </x:c>
      <x:c r="C3339" t="str" s="2">
        <x:v/>
      </x:c>
      <x:c r="D3339" t="str" s="2">
        <x:v>4696571014</x:v>
      </x:c>
      <x:c r="E3339" t="str" s="2">
        <x:v>mason.destiny01@gmail.com</x:v>
      </x:c>
      <x:c r="F3339" t="str" s="2">
        <x:v>Landing_BPM</x:v>
      </x:c>
      <x:c r="G3339" t="str" s="2">
        <x:v>Brooklynn Allen</x:v>
      </x:c>
      <x:c r="H3339" s="6">
        <x:v>46241.069785266205</x:v>
      </x:c>
      <x:c r="I3339" s="0"/>
      <x:c r="J3339" s="0"/>
      <x:c r="K3339" s="6">
        <x:v>46249</x:v>
      </x:c>
      <x:c r="L3339" t="str" s="2">
        <x:v>Message Sent</x:v>
      </x:c>
    </x:row>
    <x:row r="3340">
      <x:c r="A3340" t="str" s="2">
        <x:f>="Danny McCoy"</x:f>
      </x:c>
      <x:c r="B3340" t="str" s="2">
        <x:v>Heritage Housing of Oklahoma City</x:v>
      </x:c>
      <x:c r="C3340" t="str" s="2">
        <x:v>0/1</x:v>
      </x:c>
      <x:c r="D3340" t="str" s="2">
        <x:v>4052695538</x:v>
      </x:c>
      <x:c r="E3340" t="str" s="2">
        <x:v>otoesooner@live.com</x:v>
      </x:c>
      <x:c r="F3340" t="str" s="2">
        <x:v>Landing_BPM</x:v>
      </x:c>
      <x:c r="G3340" t="str" s="2">
        <x:v>Trey Rixleben</x:v>
      </x:c>
      <x:c r="H3340" s="6">
        <x:v>46241.07166342592</x:v>
      </x:c>
      <x:c r="I3340" s="0"/>
      <x:c r="J3340" s="0"/>
      <x:c r="K3340" s="6">
        <x:v>46241.84418190972</x:v>
      </x:c>
      <x:c r="L3340" t="str" s="2">
        <x:v>Message Sent</x:v>
      </x:c>
    </x:row>
    <x:row r="3341">
      <x:c r="A3341" t="str" s="2">
        <x:f>="Jennifer Dunomes"</x:f>
      </x:c>
      <x:c r="B3341" t="str" s="2">
        <x:v>Heritage Housing of Canton</x:v>
      </x:c>
      <x:c r="C3341" t="str" s="2">
        <x:v/>
      </x:c>
      <x:c r="D3341" t="str" s="2">
        <x:v>2542060218</x:v>
      </x:c>
      <x:c r="E3341" t="str" s="2">
        <x:v>jennlibra10@gmail.com</x:v>
      </x:c>
      <x:c r="F3341" t="str" s="2">
        <x:v>Landing_BPM</x:v>
      </x:c>
      <x:c r="G3341" t="str" s="2">
        <x:v>Maira Garcia</x:v>
      </x:c>
      <x:c r="H3341" s="6">
        <x:v>46241.08819679398</x:v>
      </x:c>
      <x:c r="I3341" s="0"/>
      <x:c r="J3341" s="0"/>
      <x:c r="K3341" s="6">
        <x:v>46241</x:v>
      </x:c>
      <x:c r="L3341" t="str" s="2">
        <x:v>Message Sent</x:v>
      </x:c>
    </x:row>
    <x:row r="3342">
      <x:c r="A3342" t="str" s="2">
        <x:f>="BoNee Dixon"</x:f>
      </x:c>
      <x:c r="B3342" t="str" s="2">
        <x:v>Heritage Housing of Augusta</x:v>
      </x:c>
      <x:c r="C3342" t="str" s="2">
        <x:v>0/1</x:v>
      </x:c>
      <x:c r="D3342" t="str" s="2">
        <x:v>7622121780</x:v>
      </x:c>
      <x:c r="E3342" t="str" s="2">
        <x:v>boneeldixon@yahoo.com</x:v>
      </x:c>
      <x:c r="F3342" t="str" s="2">
        <x:v>Landing_BPM</x:v>
      </x:c>
      <x:c r="G3342" t="str" s="2">
        <x:v>Faye Lively</x:v>
      </x:c>
      <x:c r="H3342" s="6">
        <x:v>46241.098539004626</x:v>
      </x:c>
      <x:c r="I3342" s="0"/>
      <x:c r="J3342" s="0"/>
      <x:c r="K3342" s="6">
        <x:v>46274</x:v>
      </x:c>
      <x:c r="L3342" t="str" s="2">
        <x:v>Message Sent</x:v>
      </x:c>
    </x:row>
    <x:row r="3343">
      <x:c r="A3343" t="str" s="2">
        <x:f>="Latoya Terry"</x:f>
      </x:c>
      <x:c r="B3343" t="str" s="2">
        <x:v>Heritage Housing of Albany</x:v>
      </x:c>
      <x:c r="C3343" t="str" s="2">
        <x:v/>
      </x:c>
      <x:c r="D3343" t="str" s="2">
        <x:v>2298055983</x:v>
      </x:c>
      <x:c r="E3343" t="str" s="2">
        <x:v>latoyaterry8@gmail.com</x:v>
      </x:c>
      <x:c r="F3343" t="str" s="2">
        <x:v>Financing Form</x:v>
      </x:c>
      <x:c r="G3343" t="str" s="2">
        <x:v>Yanet Alvarez</x:v>
      </x:c>
      <x:c r="H3343" s="6">
        <x:v>46241.10986709491</x:v>
      </x:c>
      <x:c r="I3343" s="0"/>
      <x:c r="J3343" s="0"/>
      <x:c r="K3343" s="6">
        <x:v>46303</x:v>
      </x:c>
      <x:c r="L3343" t="str" s="2">
        <x:v>Message Sent</x:v>
      </x:c>
    </x:row>
    <x:row r="3344">
      <x:c r="A3344" t="str" s="2">
        <x:f>="Jacolla Meekd"</x:f>
      </x:c>
      <x:c r="B3344" t="str" s="2">
        <x:v>Heritage Housing of Tulsa</x:v>
      </x:c>
      <x:c r="C3344" t="str" s="2">
        <x:v>1/2</x:v>
      </x:c>
      <x:c r="D3344" t="str" s="2">
        <x:v>9189820968</x:v>
      </x:c>
      <x:c r="E3344" t="str" s="2">
        <x:v>kayrisham@gmail.com</x:v>
      </x:c>
      <x:c r="F3344" t="str" s="2">
        <x:v>Landing_BPM</x:v>
      </x:c>
      <x:c r="G3344" t="str" s="2">
        <x:v>Jenna Fransisco</x:v>
      </x:c>
      <x:c r="H3344" s="6">
        <x:v>46241.12120729167</x:v>
      </x:c>
      <x:c r="I3344" s="0"/>
      <x:c r="J3344" s="0"/>
      <x:c r="K3344" s="6">
        <x:v>46266</x:v>
      </x:c>
      <x:c r="L3344" t="str" s="2">
        <x:v>Message Sent</x:v>
      </x:c>
    </x:row>
    <x:row r="3345">
      <x:c r="A3345" t="str" s="2">
        <x:f>="Joshua Thompson"</x:f>
      </x:c>
      <x:c r="B3345" t="str" s="2">
        <x:v>Heritage Housing of Oklahoma City</x:v>
      </x:c>
      <x:c r="C3345" t="str" s="2">
        <x:v>0/2</x:v>
      </x:c>
      <x:c r="D3345" t="str" s="2">
        <x:v>4054504647</x:v>
      </x:c>
      <x:c r="E3345" t="str" s="2">
        <x:v>joshthompson2051@gmail.com</x:v>
      </x:c>
      <x:c r="F3345" t="str" s="2">
        <x:v>Landing_BPM</x:v>
      </x:c>
      <x:c r="G3345" t="str" s="2">
        <x:v>Steve Castell</x:v>
      </x:c>
      <x:c r="H3345" s="6">
        <x:v>46241.230425775466</x:v>
      </x:c>
      <x:c r="I3345" s="0"/>
      <x:c r="J3345" s="0"/>
      <x:c r="K3345" s="6">
        <x:v>46241</x:v>
      </x:c>
      <x:c r="L3345" t="str" s="2">
        <x:v>Message Sent</x:v>
      </x:c>
    </x:row>
    <x:row r="3346">
      <x:c r="A3346" t="str" s="2">
        <x:f>="Teresa Pedersen"</x:f>
      </x:c>
      <x:c r="B3346" t="str" s="2">
        <x:v>Heritage Housing Mt Pleasant</x:v>
      </x:c>
      <x:c r="C3346" t="str" s="2">
        <x:v/>
      </x:c>
      <x:c r="D3346" t="str" s="2">
        <x:v>4307580480</x:v>
      </x:c>
      <x:c r="E3346" t="str" s="2">
        <x:v>teresapedersen2023@gmail.com</x:v>
      </x:c>
      <x:c r="F3346" t="str" s="2">
        <x:v>Landing_BPM</x:v>
      </x:c>
      <x:c r="G3346" t="str" s="2">
        <x:v>Sandra Saldana</x:v>
      </x:c>
      <x:c r="H3346" s="6">
        <x:v>46241.28898434028</x:v>
      </x:c>
      <x:c r="I3346" s="0"/>
      <x:c r="J3346" s="0"/>
      <x:c r="K3346" s="6">
        <x:v>46253</x:v>
      </x:c>
      <x:c r="L3346" t="str" s="2">
        <x:v>Message Sent</x:v>
      </x:c>
    </x:row>
    <x:row r="3347">
      <x:c r="A3347" t="str" s="2">
        <x:f>="Danny Smith"</x:f>
      </x:c>
      <x:c r="B3347" t="str" s="2">
        <x:v>Heritage Housing of Asheboro</x:v>
      </x:c>
      <x:c r="C3347" t="str" s="2">
        <x:v>0/1</x:v>
      </x:c>
      <x:c r="D3347" t="str" s="2">
        <x:v>7042230858</x:v>
      </x:c>
      <x:c r="E3347" t="str" s="2">
        <x:v>djaismith0609@gmail.com</x:v>
      </x:c>
      <x:c r="F3347" t="str" s="2">
        <x:v>Landing_BPM</x:v>
      </x:c>
      <x:c r="G3347" t="str" s="2">
        <x:v>Maria Lopez</x:v>
      </x:c>
      <x:c r="H3347" s="6">
        <x:v>46241.545649224536</x:v>
      </x:c>
      <x:c r="I3347" s="0"/>
      <x:c r="J3347" s="0"/>
      <x:c r="K3347" s="6">
        <x:v>46253</x:v>
      </x:c>
      <x:c r="L3347" t="str" s="2">
        <x:v>Message Sent</x:v>
      </x:c>
    </x:row>
    <x:row r="3348">
      <x:c r="A3348" t="str" s="2">
        <x:f>=HYPERLINK("https://rsms.futurehomex.com/lead/39003", "Luis Cruz")</x:f>
      </x:c>
      <x:c r="B3348" t="str" s="2">
        <x:v>Legacy Housing Corp. DBA Americasa</x:v>
      </x:c>
      <x:c r="C3348" t="str" s="2">
        <x:v/>
      </x:c>
      <x:c r="D3348" t="str" s="2">
        <x:v>9794811796</x:v>
      </x:c>
      <x:c r="E3348" t="str" s="2">
        <x:v>cruzluis@hotmail.com</x:v>
      </x:c>
      <x:c r="F3348" t="str" s="2">
        <x:v>Website</x:v>
      </x:c>
      <x:c r="G3348" t="str" s="2">
        <x:v>Jose Parada</x:v>
      </x:c>
      <x:c r="H3348" s="6">
        <x:v>46241.64333005787</x:v>
      </x:c>
      <x:c r="I3348" t="str" s="2">
        <x:v>Rodrigo Ramirez</x:v>
      </x:c>
      <x:c r="J3348" s="0"/>
      <x:c r="K3348" s="6">
        <x:v>46241</x:v>
      </x:c>
      <x:c r="L3348" t="str" s="2">
        <x:v>Message Sent</x:v>
      </x:c>
    </x:row>
    <x:row r="3349">
      <x:c r="A3349" t="str" s="2">
        <x:f>="Josue Alaniz"</x:f>
      </x:c>
      <x:c r="B3349" t="str" s="2">
        <x:v>Legacy Housing Corp. DBA Americasa</x:v>
      </x:c>
      <x:c r="C3349" t="str" s="2">
        <x:v/>
      </x:c>
      <x:c r="D3349" t="str" s="2">
        <x:v>8329745597</x:v>
      </x:c>
      <x:c r="E3349" t="str" s="2">
        <x:v>adrianalaniz011@gmail.com</x:v>
      </x:c>
      <x:c r="F3349" t="str" s="2">
        <x:v>Landing_BPM</x:v>
      </x:c>
      <x:c r="G3349" t="str" s="2">
        <x:v>Rodrigo Ramirez</x:v>
      </x:c>
      <x:c r="H3349" s="6">
        <x:v>46241.673013657404</x:v>
      </x:c>
      <x:c r="I3349" s="0"/>
      <x:c r="J3349" s="0"/>
      <x:c r="K3349" s="6">
        <x:v>46296</x:v>
      </x:c>
      <x:c r="L3349" t="str" s="2">
        <x:v>Message Sent</x:v>
      </x:c>
    </x:row>
    <x:row r="3350">
      <x:c r="A3350" t="str" s="2">
        <x:f>="Antoinette Wilson"</x:f>
      </x:c>
      <x:c r="B3350" t="str" s="2">
        <x:v>Legacy Housing Corp. DBA Americasa</x:v>
      </x:c>
      <x:c r="C3350" t="str" s="2">
        <x:v/>
      </x:c>
      <x:c r="D3350" t="str" s="2">
        <x:v>832-292-7751</x:v>
      </x:c>
      <x:c r="E3350" t="str" s="2">
        <x:v>nette.aw2002@gmail.com</x:v>
      </x:c>
      <x:c r="F3350" t="str" s="2">
        <x:v>Landing_BPM</x:v>
      </x:c>
      <x:c r="G3350" t="str" s="2">
        <x:v>Rodrigo Ramirez</x:v>
      </x:c>
      <x:c r="H3350" s="6">
        <x:v>46241.68203969907</x:v>
      </x:c>
      <x:c r="I3350" s="0"/>
      <x:c r="J3350" s="0"/>
      <x:c r="K3350" s="6">
        <x:v>46296</x:v>
      </x:c>
      <x:c r="L3350" t="str" s="2">
        <x:v>Message Sent</x:v>
      </x:c>
    </x:row>
    <x:row r="3351">
      <x:c r="A3351" t="str" s="2">
        <x:f>="Teddy Simpson"</x:f>
      </x:c>
      <x:c r="B3351" t="str" s="2">
        <x:v>Heritage Housing of Oklahoma City</x:v>
      </x:c>
      <x:c r="C3351" t="str" s="2">
        <x:v>0/1</x:v>
      </x:c>
      <x:c r="D3351" t="str" s="2">
        <x:v>5015518987</x:v>
      </x:c>
      <x:c r="E3351" t="str" s="2">
        <x:v>simpsonteddy@gmail.com</x:v>
      </x:c>
      <x:c r="F3351" t="str" s="2">
        <x:v>Landing_BPM</x:v>
      </x:c>
      <x:c r="G3351" t="str" s="2">
        <x:v>Trey Rixleben</x:v>
      </x:c>
      <x:c r="H3351" s="6">
        <x:v>46241.7009815162</x:v>
      </x:c>
      <x:c r="I3351" s="0"/>
      <x:c r="J3351" s="0"/>
      <x:c r="K3351" s="6">
        <x:v>46241.839778090274</x:v>
      </x:c>
      <x:c r="L3351" t="str" s="2">
        <x:v>Message Sent</x:v>
      </x:c>
    </x:row>
    <x:row r="3352">
      <x:c r="A3352" t="str" s="2">
        <x:f>="Israel Rodriguez"</x:f>
      </x:c>
      <x:c r="B3352" t="str" s="2">
        <x:v>Legacy Housing Corp. DBA Americasa</x:v>
      </x:c>
      <x:c r="C3352" t="str" s="2">
        <x:v/>
      </x:c>
      <x:c r="D3352" t="str" s="2">
        <x:v>9794881372</x:v>
      </x:c>
      <x:c r="E3352" t="str" s="2">
        <x:v>israelrodriguez402@gmail.com</x:v>
      </x:c>
      <x:c r="F3352" t="str" s="2">
        <x:v>Landing_BPM</x:v>
      </x:c>
      <x:c r="G3352" t="str" s="2">
        <x:v>Jose Parada</x:v>
      </x:c>
      <x:c r="H3352" s="6">
        <x:v>46241.7127602662</x:v>
      </x:c>
      <x:c r="I3352" s="0"/>
      <x:c r="J3352" s="0"/>
      <x:c r="K3352" s="6">
        <x:v>46296</x:v>
      </x:c>
      <x:c r="L3352" t="str" s="2">
        <x:v>Message Sent</x:v>
      </x:c>
    </x:row>
    <x:row r="3353">
      <x:c r="A3353" t="str" s="2">
        <x:f>="Marc Wade Wade"</x:f>
      </x:c>
      <x:c r="B3353" t="str" s="2">
        <x:v>Heritage Housing of Asheboro</x:v>
      </x:c>
      <x:c r="C3353" t="str" s="2">
        <x:v/>
      </x:c>
      <x:c r="D3353" t="str" s="2">
        <x:v>7047050727</x:v>
      </x:c>
      <x:c r="E3353" t="str" s="2">
        <x:v>mdwade76@gmail.com</x:v>
      </x:c>
      <x:c r="F3353" t="str" s="2">
        <x:v>Landing_BPM</x:v>
      </x:c>
      <x:c r="G3353" t="str" s="2">
        <x:v>Jeremy Jacques</x:v>
      </x:c>
      <x:c r="H3353" s="6">
        <x:v>46241.76744513889</x:v>
      </x:c>
      <x:c r="I3353" s="0"/>
      <x:c r="J3353" s="0"/>
      <x:c r="K3353" s="6">
        <x:v>46244</x:v>
      </x:c>
      <x:c r="L3353" t="str" s="2">
        <x:v>Message Sent</x:v>
      </x:c>
    </x:row>
    <x:row r="3354">
      <x:c r="A3354" t="str" s="2">
        <x:f>="Terrie Burton Burton"</x:f>
      </x:c>
      <x:c r="B3354" t="str" s="2">
        <x:v>Legacy Housing Corp. DBA Americasa</x:v>
      </x:c>
      <x:c r="C3354" t="str" s="2">
        <x:v/>
      </x:c>
      <x:c r="D3354" t="str" s="2">
        <x:v>4092188734</x:v>
      </x:c>
      <x:c r="E3354" t="str" s="2">
        <x:v>terrieburton65@gmail.com</x:v>
      </x:c>
      <x:c r="F3354" t="str" s="2">
        <x:v>Landing_BPM</x:v>
      </x:c>
      <x:c r="G3354" t="str" s="2">
        <x:v>Rodrigo Ramirez</x:v>
      </x:c>
      <x:c r="H3354" s="6">
        <x:v>46241.805880127315</x:v>
      </x:c>
      <x:c r="I3354" s="0"/>
      <x:c r="J3354" s="0"/>
      <x:c r="K3354" s="6">
        <x:v>46296</x:v>
      </x:c>
      <x:c r="L3354" t="str" s="2">
        <x:v>Message Sent</x:v>
      </x:c>
    </x:row>
    <x:row r="3355">
      <x:c r="A3355" t="str" s="2">
        <x:f>=HYPERLINK("https://rsms.futurehomex.com/lead/39162", "Bertha Vergara")</x:f>
      </x:c>
      <x:c r="B3355" t="str" s="2">
        <x:v>Legacy Housing Corp. DBA Americasa</x:v>
      </x:c>
      <x:c r="C3355" t="str" s="2">
        <x:v/>
      </x:c>
      <x:c r="D3355" t="str" s="2">
        <x:v>9362861999</x:v>
      </x:c>
      <x:c r="E3355" t="str" s="2" xml:space="preserve">
        <x:v>bertha@gmail.com </x:v>
      </x:c>
      <x:c r="F3355" t="str" s="2">
        <x:v>Referrals</x:v>
      </x:c>
      <x:c r="G3355" t="str" s="2">
        <x:v>Rodrigo Ramirez</x:v>
      </x:c>
      <x:c r="H3355" s="6">
        <x:v>46241.83903993056</x:v>
      </x:c>
      <x:c r="I3355" t="str" s="2">
        <x:v>Joey Marquez</x:v>
      </x:c>
      <x:c r="J3355" s="6">
        <x:v>46247.666666666664</x:v>
      </x:c>
      <x:c r="K3355" s="6">
        <x:v>46287</x:v>
      </x:c>
      <x:c r="L3355" t="str" s="2">
        <x:v>Message Sent</x:v>
      </x:c>
    </x:row>
    <x:row r="3356">
      <x:c r="A3356" t="str" s="2">
        <x:f>="Tekelia Horace"</x:f>
      </x:c>
      <x:c r="B3356" t="str" s="2">
        <x:v>Heritage Housing of Asheboro</x:v>
      </x:c>
      <x:c r="C3356" t="str" s="2">
        <x:v/>
      </x:c>
      <x:c r="D3356" t="str" s="2">
        <x:v>3527213450</x:v>
      </x:c>
      <x:c r="E3356" t="str" s="2">
        <x:v>TEKELIA1960@YAHOO.COM</x:v>
      </x:c>
      <x:c r="F3356" t="str" s="2">
        <x:v>Landing_BPM</x:v>
      </x:c>
      <x:c r="G3356" t="str" s="2">
        <x:v>Maria Lopez</x:v>
      </x:c>
      <x:c r="H3356" s="6">
        <x:v>46241.87874047454</x:v>
      </x:c>
      <x:c r="I3356" s="0"/>
      <x:c r="J3356" s="0"/>
      <x:c r="K3356" s="6">
        <x:v>46254</x:v>
      </x:c>
      <x:c r="L3356" t="str" s="2">
        <x:v>Message Sent</x:v>
      </x:c>
    </x:row>
    <x:row r="3357">
      <x:c r="A3357" t="str" s="2">
        <x:f>="Deana Owens"</x:f>
      </x:c>
      <x:c r="B3357" t="str" s="2">
        <x:v>Heritage Housing of Albany</x:v>
      </x:c>
      <x:c r="C3357" t="str" s="2">
        <x:v>0/1</x:v>
      </x:c>
      <x:c r="D3357" t="str" s="2">
        <x:v>8137399958</x:v>
      </x:c>
      <x:c r="E3357" t="str" s="2">
        <x:v>owensdeana6@gmail.com</x:v>
      </x:c>
      <x:c r="F3357" t="str" s="2">
        <x:v>Landing_BPM</x:v>
      </x:c>
      <x:c r="G3357" t="str" s="2">
        <x:v>Yanet Alvarez</x:v>
      </x:c>
      <x:c r="H3357" s="6">
        <x:v>46241.88591331019</x:v>
      </x:c>
      <x:c r="I3357" s="0"/>
      <x:c r="J3357" s="0"/>
      <x:c r="K3357" s="6">
        <x:v>46303</x:v>
      </x:c>
      <x:c r="L3357" t="str" s="2">
        <x:v>Message Sent</x:v>
      </x:c>
    </x:row>
    <x:row r="3358">
      <x:c r="A3358" t="str" s="2">
        <x:f>=HYPERLINK("https://rsms.futurehomex.com/lead/39161", "Manuel Lopez")</x:f>
      </x:c>
      <x:c r="B3358" t="str" s="2">
        <x:v>Legacy Housing Corp. DBA Americasa</x:v>
      </x:c>
      <x:c r="C3358" t="str" s="2">
        <x:v/>
      </x:c>
      <x:c r="D3358" t="str" s="2">
        <x:v>8323736118</x:v>
      </x:c>
      <x:c r="E3358" t="str" s="2">
        <x:v>Manuellopez@gmail.com</x:v>
      </x:c>
      <x:c r="F3358" t="str" s="2">
        <x:v>Website</x:v>
      </x:c>
      <x:c r="G3358" t="str" s="2">
        <x:v>Rodrigo Ramirez</x:v>
      </x:c>
      <x:c r="H3358" s="6">
        <x:v>46241.966296377315</x:v>
      </x:c>
      <x:c r="I3358" t="str" s="2">
        <x:v>Jose Parada</x:v>
      </x:c>
      <x:c r="J3358" s="6">
        <x:v>46246.666666666664</x:v>
      </x:c>
      <x:c r="K3358" s="6">
        <x:v>46293</x:v>
      </x:c>
      <x:c r="L3358" t="str" s="2">
        <x:v>Message Sent</x:v>
      </x:c>
    </x:row>
    <x:row r="3359">
      <x:c r="A3359" t="str" s="2">
        <x:f>="Pamela Maness"</x:f>
      </x:c>
      <x:c r="B3359" t="str" s="2">
        <x:v>Legacy Housing Corp. DBA Americasa</x:v>
      </x:c>
      <x:c r="C3359" t="str" s="2">
        <x:v/>
      </x:c>
      <x:c r="D3359" t="str" s="2">
        <x:v>8324742875</x:v>
      </x:c>
      <x:c r="E3359" t="str" s="2">
        <x:v>pamlmaness@outlook.com</x:v>
      </x:c>
      <x:c r="F3359" t="str" s="2">
        <x:v>Landing_BPM</x:v>
      </x:c>
      <x:c r="G3359" t="str" s="2">
        <x:v>Rodrigo Ramirez</x:v>
      </x:c>
      <x:c r="H3359" s="6">
        <x:v>46242.06672106482</x:v>
      </x:c>
      <x:c r="I3359" s="0"/>
      <x:c r="J3359" s="0"/>
      <x:c r="K3359" s="6">
        <x:v>46296</x:v>
      </x:c>
      <x:c r="L3359" t="str" s="2">
        <x:v>Message Sent</x:v>
      </x:c>
    </x:row>
    <x:row r="3360">
      <x:c r="A3360" t="str" s="2">
        <x:f>="Salomon Cordoba"</x:f>
      </x:c>
      <x:c r="B3360" t="str" s="2">
        <x:v>Heritage Housing of Asheboro</x:v>
      </x:c>
      <x:c r="C3360" t="str" s="2">
        <x:v/>
      </x:c>
      <x:c r="D3360" t="str" s="2">
        <x:v>3375774597</x:v>
      </x:c>
      <x:c r="E3360" t="str" s="2">
        <x:v>salomonvidalcordoba@gmail.com</x:v>
      </x:c>
      <x:c r="F3360" t="str" s="2">
        <x:v>Landing_BPM</x:v>
      </x:c>
      <x:c r="G3360" t="str" s="2">
        <x:v>Maria Lopez</x:v>
      </x:c>
      <x:c r="H3360" s="6">
        <x:v>46242.095287303244</x:v>
      </x:c>
      <x:c r="I3360" s="0"/>
      <x:c r="J3360" s="0"/>
      <x:c r="K3360" s="6">
        <x:v>46253</x:v>
      </x:c>
      <x:c r="L3360" t="str" s="2">
        <x:v>Message Sent</x:v>
      </x:c>
    </x:row>
    <x:row r="3361">
      <x:c r="A3361" t="str" s="2">
        <x:f>="Meagan Hester"</x:f>
      </x:c>
      <x:c r="B3361" t="str" s="2">
        <x:v>Heritage Housing of Oklahoma City</x:v>
      </x:c>
      <x:c r="C3361" t="str" s="2">
        <x:v/>
      </x:c>
      <x:c r="D3361" t="str" s="2">
        <x:v>4057160209</x:v>
      </x:c>
      <x:c r="E3361" t="str" s="2">
        <x:v>Lovemylife.meg@gmail.com</x:v>
      </x:c>
      <x:c r="F3361" t="str" s="2">
        <x:v>Landing_BPM</x:v>
      </x:c>
      <x:c r="G3361" t="str" s="2">
        <x:v>Steve Castell</x:v>
      </x:c>
      <x:c r="H3361" s="6">
        <x:v>46242.10034903935</x:v>
      </x:c>
      <x:c r="I3361" s="0"/>
      <x:c r="J3361" s="0"/>
      <x:c r="K3361" s="6">
        <x:v>46242</x:v>
      </x:c>
      <x:c r="L3361" t="str" s="2">
        <x:v>Message Sent</x:v>
      </x:c>
    </x:row>
    <x:row r="3362">
      <x:c r="A3362" t="str" s="2">
        <x:f>="Adolfo Perez"</x:f>
      </x:c>
      <x:c r="B3362" t="str" s="2">
        <x:v>Heritage Housing of Augusta</x:v>
      </x:c>
      <x:c r="C3362" t="str" s="2">
        <x:v/>
      </x:c>
      <x:c r="D3362" t="str" s="2">
        <x:v>7066315987</x:v>
      </x:c>
      <x:c r="E3362" t="str" s="2">
        <x:v>perezsaraoz2407@gmail.com</x:v>
      </x:c>
      <x:c r="F3362" t="str" s="2">
        <x:v>Landing_BPM</x:v>
      </x:c>
      <x:c r="G3362" t="str" s="2">
        <x:v>Faye Lively</x:v>
      </x:c>
      <x:c r="H3362" s="6">
        <x:v>46242.12873596065</x:v>
      </x:c>
      <x:c r="I3362" s="0"/>
      <x:c r="J3362" s="0"/>
      <x:c r="K3362" s="6">
        <x:v>46274</x:v>
      </x:c>
      <x:c r="L3362" t="str" s="2">
        <x:v>Message Sent</x:v>
      </x:c>
    </x:row>
    <x:row r="3363">
      <x:c r="A3363" t="str" s="2">
        <x:f>="Jammie Bethel"</x:f>
      </x:c>
      <x:c r="B3363" t="str" s="2">
        <x:v>Heritage Housing of Tulsa</x:v>
      </x:c>
      <x:c r="C3363" t="str" s="2">
        <x:v/>
      </x:c>
      <x:c r="D3363" t="str" s="2">
        <x:v>9188922806</x:v>
      </x:c>
      <x:c r="E3363" t="str" s="2">
        <x:v>jaystyles430@gmail.com</x:v>
      </x:c>
      <x:c r="F3363" t="str" s="2">
        <x:v>Landing_BPM</x:v>
      </x:c>
      <x:c r="G3363" t="str" s="2">
        <x:v>Jenna Fransisco</x:v>
      </x:c>
      <x:c r="H3363" s="6">
        <x:v>46242.25169479167</x:v>
      </x:c>
      <x:c r="I3363" s="0"/>
      <x:c r="J3363" s="0"/>
      <x:c r="K3363" s="6">
        <x:v>46251</x:v>
      </x:c>
      <x:c r="L3363" t="str" s="2">
        <x:v>Message Sent</x:v>
      </x:c>
    </x:row>
    <x:row r="3364">
      <x:c r="A3364" t="str" s="2">
        <x:f>="Lisa REECE"</x:f>
      </x:c>
      <x:c r="B3364" t="str" s="2">
        <x:v>Heritage Housing of Augusta</x:v>
      </x:c>
      <x:c r="C3364" t="str" s="2">
        <x:v/>
      </x:c>
      <x:c r="D3364" t="str" s="2">
        <x:v>8645000262</x:v>
      </x:c>
      <x:c r="E3364" t="str" s="2">
        <x:v>lsreece316@gmail.coml</x:v>
      </x:c>
      <x:c r="F3364" t="str" s="2">
        <x:v>Landing_BPM</x:v>
      </x:c>
      <x:c r="G3364" t="str" s="2">
        <x:v>Faye Lively</x:v>
      </x:c>
      <x:c r="H3364" s="6">
        <x:v>46242.25477291667</x:v>
      </x:c>
      <x:c r="I3364" s="0"/>
      <x:c r="J3364" s="0"/>
      <x:c r="K3364" s="6">
        <x:v>46277</x:v>
      </x:c>
      <x:c r="L3364" t="str" s="2">
        <x:v>Message Sent</x:v>
      </x:c>
    </x:row>
    <x:row r="3365">
      <x:c r="A3365" t="str" s="2">
        <x:f>="Shianne Johns"</x:f>
      </x:c>
      <x:c r="B3365" t="str" s="2">
        <x:v>Heritage Housing of Oklahoma City</x:v>
      </x:c>
      <x:c r="C3365" t="str" s="2">
        <x:v>0/2</x:v>
      </x:c>
      <x:c r="D3365" t="str" s="2">
        <x:v>4792341786</x:v>
      </x:c>
      <x:c r="E3365" t="str" s="2">
        <x:v>johnsshianne@gmail.com</x:v>
      </x:c>
      <x:c r="F3365" t="str" s="2">
        <x:v>Landing_BPM</x:v>
      </x:c>
      <x:c r="G3365" t="str" s="2">
        <x:v>Steve Castell</x:v>
      </x:c>
      <x:c r="H3365" s="6">
        <x:v>46242.27354568287</x:v>
      </x:c>
      <x:c r="I3365" s="0"/>
      <x:c r="J3365" s="0"/>
      <x:c r="K3365" s="6">
        <x:v>46242</x:v>
      </x:c>
      <x:c r="L3365" t="str" s="2">
        <x:v>Message Sent</x:v>
      </x:c>
    </x:row>
    <x:row r="3366">
      <x:c r="A3366" t="str" s="2">
        <x:f>="Angela Sasser"</x:f>
      </x:c>
      <x:c r="B3366" t="str" s="2">
        <x:v>Heritage Housing of Greenville</x:v>
      </x:c>
      <x:c r="C3366" t="str" s="2">
        <x:v/>
      </x:c>
      <x:c r="D3366" t="str" s="2">
        <x:v>4697761001</x:v>
      </x:c>
      <x:c r="E3366" t="str" s="2">
        <x:v>angelasasser82@gmail.com</x:v>
      </x:c>
      <x:c r="F3366" t="str" s="2">
        <x:v>Landing_BPM</x:v>
      </x:c>
      <x:c r="G3366" t="str" s="2">
        <x:v>Brooklynn Allen</x:v>
      </x:c>
      <x:c r="H3366" s="6">
        <x:v>46242.276557094905</x:v>
      </x:c>
      <x:c r="I3366" s="0"/>
      <x:c r="J3366" s="0"/>
      <x:c r="K3366" s="6">
        <x:v>46244</x:v>
      </x:c>
      <x:c r="L3366" t="str" s="2">
        <x:v>Message Sent</x:v>
      </x:c>
    </x:row>
    <x:row r="3367">
      <x:c r="A3367" t="str" s="2">
        <x:f>="April-Therese Wood"</x:f>
      </x:c>
      <x:c r="B3367" t="str" s="2">
        <x:v>Heritage Housing of Asheboro</x:v>
      </x:c>
      <x:c r="C3367" t="str" s="2">
        <x:v/>
      </x:c>
      <x:c r="D3367" t="str" s="2">
        <x:v>9105146997</x:v>
      </x:c>
      <x:c r="E3367" t="str" s="2">
        <x:v>aprilcapps1980@gmail.com</x:v>
      </x:c>
      <x:c r="F3367" t="str" s="2">
        <x:v>Landing_BPM</x:v>
      </x:c>
      <x:c r="G3367" t="str" s="2">
        <x:v>Jeremy Jacques</x:v>
      </x:c>
      <x:c r="H3367" s="6">
        <x:v>46242.31285806713</x:v>
      </x:c>
      <x:c r="I3367" s="0"/>
      <x:c r="J3367" s="0"/>
      <x:c r="K3367" s="6">
        <x:v>46244</x:v>
      </x:c>
      <x:c r="L3367" t="str" s="2">
        <x:v>Message Sent</x:v>
      </x:c>
    </x:row>
    <x:row r="3368">
      <x:c r="A3368" t="str" s="2">
        <x:f>="Rhonda Piercefield"</x:f>
      </x:c>
      <x:c r="B3368" t="str" s="2">
        <x:v>Heritage Housing of Tulsa</x:v>
      </x:c>
      <x:c r="C3368" t="str" s="2">
        <x:v/>
      </x:c>
      <x:c r="D3368" t="str" s="2">
        <x:v>4794290726</x:v>
      </x:c>
      <x:c r="E3368" t="str" s="2">
        <x:v>rhondapiercefield@gmail.com</x:v>
      </x:c>
      <x:c r="F3368" t="str" s="2">
        <x:v>Landing_BPM</x:v>
      </x:c>
      <x:c r="G3368" t="str" s="2">
        <x:v>Jenna Fransisco</x:v>
      </x:c>
      <x:c r="H3368" s="6">
        <x:v>46242.37753005787</x:v>
      </x:c>
      <x:c r="I3368" s="0"/>
      <x:c r="J3368" s="0"/>
      <x:c r="K3368" s="6">
        <x:v>46252</x:v>
      </x:c>
      <x:c r="L3368" t="str" s="2">
        <x:v>Message Sent</x:v>
      </x:c>
    </x:row>
    <x:row r="3369">
      <x:c r="A3369" t="str" s="2">
        <x:f>="Arika Brock"</x:f>
      </x:c>
      <x:c r="B3369" t="str" s="2">
        <x:v>Heritage Housing of Athens</x:v>
      </x:c>
      <x:c r="C3369" t="str" s="2">
        <x:v/>
      </x:c>
      <x:c r="D3369" t="str" s="2">
        <x:v>7063472949</x:v>
      </x:c>
      <x:c r="E3369" t="str" s="2">
        <x:v>aribroja514@gmail.com</x:v>
      </x:c>
      <x:c r="F3369" t="str" s="2">
        <x:v>Financing Form</x:v>
      </x:c>
      <x:c r="G3369" t="str" s="2">
        <x:v>Nathan Bishop</x:v>
      </x:c>
      <x:c r="H3369" s="6">
        <x:v>46242.47288325232</x:v>
      </x:c>
      <x:c r="I3369" s="0"/>
      <x:c r="J3369" s="0"/>
      <x:c r="K3369" s="6">
        <x:v>46289.63239575231</x:v>
      </x:c>
      <x:c r="L3369" t="str" s="2">
        <x:v>Message Sent</x:v>
      </x:c>
    </x:row>
    <x:row r="3370">
      <x:c r="A3370" t="str" s="2">
        <x:f>="Eric Bean"</x:f>
      </x:c>
      <x:c r="B3370" t="str" s="2">
        <x:v>Heritage Housing of Tulsa</x:v>
      </x:c>
      <x:c r="C3370" t="str" s="2">
        <x:v>1/3</x:v>
      </x:c>
      <x:c r="D3370" t="str" s="2">
        <x:v>4055312744</x:v>
      </x:c>
      <x:c r="E3370" t="str" s="2">
        <x:v>eric@te-us.net</x:v>
      </x:c>
      <x:c r="F3370" t="str" s="2">
        <x:v>Website</x:v>
      </x:c>
      <x:c r="G3370" t="str" s="2">
        <x:v>Jenna Fransisco</x:v>
      </x:c>
      <x:c r="H3370" s="6">
        <x:v>46242.49767619213</x:v>
      </x:c>
      <x:c r="I3370" s="0"/>
      <x:c r="J3370" s="0"/>
      <x:c r="K3370" s="6">
        <x:v>46260</x:v>
      </x:c>
      <x:c r="L3370" t="str" s="2">
        <x:v>Message Sent</x:v>
      </x:c>
    </x:row>
    <x:row r="3371">
      <x:c r="A3371" t="str" s="2">
        <x:f>="Damaria Harris"</x:f>
      </x:c>
      <x:c r="B3371" t="str" s="2">
        <x:v>Heritage Housing of Asheboro</x:v>
      </x:c>
      <x:c r="C3371" t="str" s="2">
        <x:v/>
      </x:c>
      <x:c r="D3371" t="str" s="2">
        <x:v>3367505161</x:v>
      </x:c>
      <x:c r="E3371" t="str" s="2">
        <x:v>damaharr4404@gmail.com</x:v>
      </x:c>
      <x:c r="F3371" t="str" s="2">
        <x:v>Landing_BPM</x:v>
      </x:c>
      <x:c r="G3371" t="str" s="2">
        <x:v>Maria Lopez</x:v>
      </x:c>
      <x:c r="H3371" s="6">
        <x:v>46242.5147784375</x:v>
      </x:c>
      <x:c r="I3371" s="0"/>
      <x:c r="J3371" s="0"/>
      <x:c r="K3371" s="6">
        <x:v>46253</x:v>
      </x:c>
      <x:c r="L3371" t="str" s="2">
        <x:v>Message Sent</x:v>
      </x:c>
    </x:row>
    <x:row r="3372">
      <x:c r="A3372" t="str" s="2">
        <x:f>="Dequesha Bell"</x:f>
      </x:c>
      <x:c r="B3372" t="str" s="2">
        <x:v>Legacy Housing Corp. DBA Americasa</x:v>
      </x:c>
      <x:c r="C3372" t="str" s="2">
        <x:v/>
      </x:c>
      <x:c r="D3372" t="str" s="2">
        <x:v>2143979673</x:v>
      </x:c>
      <x:c r="E3372" t="str" s="2">
        <x:v>dequeshabell@gmail.com</x:v>
      </x:c>
      <x:c r="F3372" t="str" s="2">
        <x:v>Landing_BPM</x:v>
      </x:c>
      <x:c r="G3372" t="str" s="2">
        <x:v>Jose Parada</x:v>
      </x:c>
      <x:c r="H3372" s="6">
        <x:v>46242.54690335648</x:v>
      </x:c>
      <x:c r="I3372" s="0"/>
      <x:c r="J3372" s="0"/>
      <x:c r="K3372" s="6">
        <x:v>46296</x:v>
      </x:c>
      <x:c r="L3372" t="str" s="2">
        <x:v>Message Sent</x:v>
      </x:c>
    </x:row>
    <x:row r="3373">
      <x:c r="A3373" t="str" s="2">
        <x:f>="Kayla wilson"</x:f>
      </x:c>
      <x:c r="B3373" t="str" s="2">
        <x:v>Legacy Housing Corp. DBA Americasa</x:v>
      </x:c>
      <x:c r="C3373" t="str" s="2">
        <x:v/>
      </x:c>
      <x:c r="D3373" t="str" s="2">
        <x:v>8325641912</x:v>
      </x:c>
      <x:c r="E3373" t="str" s="2">
        <x:v>wilsonkayla543@gmail.com</x:v>
      </x:c>
      <x:c r="F3373" t="str" s="2">
        <x:v>Landing_BPM</x:v>
      </x:c>
      <x:c r="G3373" t="str" s="2">
        <x:v>Rodrigo Ramirez</x:v>
      </x:c>
      <x:c r="H3373" s="6">
        <x:v>46242.56870621528</x:v>
      </x:c>
      <x:c r="I3373" s="0"/>
      <x:c r="J3373" s="0"/>
      <x:c r="K3373" s="6">
        <x:v>46296</x:v>
      </x:c>
      <x:c r="L3373" t="str" s="2">
        <x:v>Message Sent</x:v>
      </x:c>
    </x:row>
    <x:row r="3374">
      <x:c r="A3374" t="str" s="2">
        <x:f>="Tiffany Jolie Phelps"</x:f>
      </x:c>
      <x:c r="B3374" t="str" s="2">
        <x:v>Heritage Housing of Canton</x:v>
      </x:c>
      <x:c r="C3374" t="str" s="2">
        <x:v/>
      </x:c>
      <x:c r="D3374" t="str" s="2">
        <x:v>2096880063</x:v>
      </x:c>
      <x:c r="E3374" t="str" s="2">
        <x:v>tiffany.jolie81@gmail.com</x:v>
      </x:c>
      <x:c r="F3374" t="str" s="2">
        <x:v>Landing_BPM</x:v>
      </x:c>
      <x:c r="G3374" t="str" s="2">
        <x:v>Jacob Hatten</x:v>
      </x:c>
      <x:c r="H3374" s="6">
        <x:v>46242.65854822917</x:v>
      </x:c>
      <x:c r="I3374" s="0"/>
      <x:c r="J3374" s="0"/>
      <x:c r="K3374" s="6">
        <x:v>46293</x:v>
      </x:c>
      <x:c r="L3374" t="str" s="2">
        <x:v>Message Sent</x:v>
      </x:c>
    </x:row>
    <x:row r="3375">
      <x:c r="A3375" t="str" s="2">
        <x:f>="Cameron Williams"</x:f>
      </x:c>
      <x:c r="B3375" t="str" s="2">
        <x:v>Heritage Housing of Oklahoma City</x:v>
      </x:c>
      <x:c r="C3375" t="str" s="2">
        <x:v>0/1</x:v>
      </x:c>
      <x:c r="D3375" t="str" s="2">
        <x:v>4053686380</x:v>
      </x:c>
      <x:c r="E3375" t="str" s="2">
        <x:v>kaelovey1109@gmail.com</x:v>
      </x:c>
      <x:c r="F3375" t="str" s="2">
        <x:v>Landing_BPM</x:v>
      </x:c>
      <x:c r="G3375" t="str" s="2">
        <x:v>Trey Rixleben</x:v>
      </x:c>
      <x:c r="H3375" s="6">
        <x:v>46242.669738888886</x:v>
      </x:c>
      <x:c r="I3375" s="0"/>
      <x:c r="J3375" s="0"/>
      <x:c r="K3375" s="6">
        <x:v>46242.694006446756</x:v>
      </x:c>
      <x:c r="L3375" t="str" s="2">
        <x:v>Message Sent</x:v>
      </x:c>
    </x:row>
    <x:row r="3376">
      <x:c r="A3376" t="str" s="2">
        <x:f>="car_mxkr C_pbkrO"</x:f>
      </x:c>
      <x:c r="B3376" t="str" s="2">
        <x:v>Heritage Housing of Greenville</x:v>
      </x:c>
      <x:c r="C3376" t="str" s="2">
        <x:v/>
      </x:c>
      <x:c r="D3376" t="str" s="2">
        <x:v>84135799331</x:v>
      </x:c>
      <x:c r="E3376" t="str" s="2">
        <x:v>gtgaoqi@lmrgung.xox</x:v>
      </x:c>
      <x:c r="F3376" t="str" s="2">
        <x:v>Website</x:v>
      </x:c>
      <x:c r="G3376" t="str" s="2">
        <x:v>Brooklynn Allen</x:v>
      </x:c>
      <x:c r="H3376" s="6">
        <x:v>46242.69792549768</x:v>
      </x:c>
      <x:c r="I3376" s="0"/>
      <x:c r="J3376" s="0"/>
      <x:c r="K3376" s="6">
        <x:v>46244</x:v>
      </x:c>
      <x:c r="L3376" t="str" s="2">
        <x:v>Message Sent</x:v>
      </x:c>
    </x:row>
    <x:row r="3377">
      <x:c r="A3377" t="str" s="2">
        <x:f>="Larry Hayes II"</x:f>
      </x:c>
      <x:c r="B3377" t="str" s="2">
        <x:v>Heritage Housing of Asheboro</x:v>
      </x:c>
      <x:c r="C3377" t="str" s="2">
        <x:v/>
      </x:c>
      <x:c r="D3377" t="str" s="2">
        <x:v>9105652021</x:v>
      </x:c>
      <x:c r="E3377" t="str" s="2">
        <x:v>minnielana6669@gmail.com</x:v>
      </x:c>
      <x:c r="F3377" t="str" s="2">
        <x:v>Landing_BPM</x:v>
      </x:c>
      <x:c r="G3377" t="str" s="2">
        <x:v>Jeremy Jacques</x:v>
      </x:c>
      <x:c r="H3377" s="6">
        <x:v>46242.6992866088</x:v>
      </x:c>
      <x:c r="I3377" s="0"/>
      <x:c r="J3377" s="0"/>
      <x:c r="K3377" s="6">
        <x:v>46244</x:v>
      </x:c>
      <x:c r="L3377" t="str" s="2">
        <x:v>Message Sent</x:v>
      </x:c>
    </x:row>
    <x:row r="3378">
      <x:c r="A3378" t="str" s="2">
        <x:f>=HYPERLINK("https://rsms.futurehomex.com/lead/39022", "JEMEL DAVIS")</x:f>
      </x:c>
      <x:c r="B3378" t="str" s="2">
        <x:v>Heritage Housing of Augusta</x:v>
      </x:c>
      <x:c r="C3378" t="str" s="2">
        <x:v>0/1</x:v>
      </x:c>
      <x:c r="D3378" t="str" s="2">
        <x:v>7067515827</x:v>
      </x:c>
      <x:c r="E3378" t="str" s="2">
        <x:v>jemeldavis26@gmail.com</x:v>
      </x:c>
      <x:c r="F3378" t="str" s="2">
        <x:v>Walk-in</x:v>
      </x:c>
      <x:c r="G3378" t="str" s="2">
        <x:v>Faye Lively</x:v>
      </x:c>
      <x:c r="H3378" s="6">
        <x:v>46242.72878012731</x:v>
      </x:c>
      <x:c r="I3378" t="str" s="2">
        <x:v>Faye Lively</x:v>
      </x:c>
      <x:c r="J3378" s="0"/>
      <x:c r="K3378" s="6">
        <x:v>46242</x:v>
      </x:c>
      <x:c r="L3378" t="str" s="2">
        <x:v>Message Sent</x:v>
      </x:c>
    </x:row>
    <x:row r="3379">
      <x:c r="A3379" t="str" s="2">
        <x:f>=HYPERLINK("https://rsms.futurehomex.com/lead/39024", "Norma Aguilera")</x:f>
      </x:c>
      <x:c r="B3379" t="str" s="2">
        <x:v>Heritage Housing of Oklahoma City</x:v>
      </x:c>
      <x:c r="C3379" t="str" s="2">
        <x:v>0/1</x:v>
      </x:c>
      <x:c r="D3379" t="str" s="2">
        <x:v>4059682001</x:v>
      </x:c>
      <x:c r="E3379" t="str" s="2">
        <x:v>Elivdnjr@gmail.com</x:v>
      </x:c>
      <x:c r="F3379" t="str" s="2">
        <x:v>Walk-in</x:v>
      </x:c>
      <x:c r="G3379" t="str" s="2">
        <x:v>Steve Castell</x:v>
      </x:c>
      <x:c r="H3379" s="6">
        <x:v>46242.75936496528</x:v>
      </x:c>
      <x:c r="I3379" t="str" s="2">
        <x:v>Alejandra Calderon</x:v>
      </x:c>
      <x:c r="J3379" s="0"/>
      <x:c r="K3379" s="6">
        <x:v>46245</x:v>
      </x:c>
      <x:c r="L3379" t="str" s="2">
        <x:v>Message Sent</x:v>
      </x:c>
    </x:row>
    <x:row r="3380">
      <x:c r="A3380" t="str" s="2">
        <x:f>="Sarah Versetto"</x:f>
      </x:c>
      <x:c r="B3380" t="str" s="2">
        <x:v>Heritage Housing of Tulsa</x:v>
      </x:c>
      <x:c r="C3380" t="str" s="2">
        <x:v/>
      </x:c>
      <x:c r="D3380" t="str" s="2">
        <x:v>9853980037</x:v>
      </x:c>
      <x:c r="E3380" t="str" s="2">
        <x:v>versetto1985@gmail.com</x:v>
      </x:c>
      <x:c r="F3380" t="str" s="2">
        <x:v>Landing_BPM</x:v>
      </x:c>
      <x:c r="G3380" t="str" s="2">
        <x:v>Jenna Fransisco</x:v>
      </x:c>
      <x:c r="H3380" s="6">
        <x:v>46242.78989846065</x:v>
      </x:c>
      <x:c r="I3380" s="0"/>
      <x:c r="J3380" s="0"/>
      <x:c r="K3380" s="6">
        <x:v>46263</x:v>
      </x:c>
      <x:c r="L3380" t="str" s="2">
        <x:v>Message Sent</x:v>
      </x:c>
    </x:row>
    <x:row r="3381">
      <x:c r="A3381" t="str" s="2">
        <x:f>="Obie Clark"</x:f>
      </x:c>
      <x:c r="B3381" t="str" s="2">
        <x:v>Heritage Housing of Canton</x:v>
      </x:c>
      <x:c r="C3381" t="str" s="2">
        <x:v/>
      </x:c>
      <x:c r="D3381" t="str" s="2">
        <x:v>2142939496</x:v>
      </x:c>
      <x:c r="E3381" t="str" s="2">
        <x:v>obiej22@gmail.com</x:v>
      </x:c>
      <x:c r="F3381" t="str" s="2">
        <x:v>Landing_BPM</x:v>
      </x:c>
      <x:c r="G3381" t="str" s="2">
        <x:v>Maira Garcia</x:v>
      </x:c>
      <x:c r="H3381" s="6">
        <x:v>46242.79109456018</x:v>
      </x:c>
      <x:c r="I3381" s="0"/>
      <x:c r="J3381" s="0"/>
      <x:c r="K3381" s="6">
        <x:v>46242</x:v>
      </x:c>
      <x:c r="L3381" t="str" s="2">
        <x:v>Message Sent</x:v>
      </x:c>
    </x:row>
    <x:row r="3382">
      <x:c r="A3382" t="str" s="2">
        <x:f>="Jeniffer Davis"</x:f>
      </x:c>
      <x:c r="B3382" t="str" s="2">
        <x:v>Heritage Housing of Tulsa</x:v>
      </x:c>
      <x:c r="C3382" t="str" s="2">
        <x:v/>
      </x:c>
      <x:c r="D3382" t="str" s="2">
        <x:v>918-800-9425</x:v>
      </x:c>
      <x:c r="E3382" t="str" s="2">
        <x:v>jhwelch918@gmail.com</x:v>
      </x:c>
      <x:c r="F3382" t="str" s="2">
        <x:v>Financing Form</x:v>
      </x:c>
      <x:c r="G3382" t="str" s="2">
        <x:v>Jenna Fransisco</x:v>
      </x:c>
      <x:c r="H3382" s="6">
        <x:v>46242.80206736111</x:v>
      </x:c>
      <x:c r="I3382" s="0"/>
      <x:c r="J3382" s="0"/>
      <x:c r="K3382" s="6">
        <x:v>46251</x:v>
      </x:c>
      <x:c r="L3382" t="str" s="2">
        <x:v>Message Sent</x:v>
      </x:c>
    </x:row>
    <x:row r="3383">
      <x:c r="A3383" t="str" s="2">
        <x:f>="Joshua beaver"</x:f>
      </x:c>
      <x:c r="B3383" t="str" s="2">
        <x:v>Heritage Housing of Athens</x:v>
      </x:c>
      <x:c r="C3383" t="str" s="2">
        <x:v/>
      </x:c>
      <x:c r="D3383" t="str" s="2">
        <x:v>4705128514</x:v>
      </x:c>
      <x:c r="E3383" t="str" s="2">
        <x:v>albeaver25@gmail.com</x:v>
      </x:c>
      <x:c r="F3383" t="str" s="2">
        <x:v>Financing Form</x:v>
      </x:c>
      <x:c r="G3383" t="str" s="2">
        <x:v>Nathan Bishop</x:v>
      </x:c>
      <x:c r="H3383" s="6">
        <x:v>46242.83728954861</x:v>
      </x:c>
      <x:c r="I3383" s="0"/>
      <x:c r="J3383" s="0"/>
      <x:c r="K3383" s="6">
        <x:v>46274</x:v>
      </x:c>
      <x:c r="L3383" t="str" s="2">
        <x:v>Message Sent</x:v>
      </x:c>
    </x:row>
    <x:row r="3384">
      <x:c r="A3384" t="str" s="2">
        <x:f>="Myuan Daniels"</x:f>
      </x:c>
      <x:c r="B3384" t="str" s="2">
        <x:v>Heritage Housing of Augusta</x:v>
      </x:c>
      <x:c r="C3384" t="str" s="2">
        <x:v/>
      </x:c>
      <x:c r="D3384" t="str" s="2">
        <x:v>4782020709</x:v>
      </x:c>
      <x:c r="E3384" t="str" s="2">
        <x:v>myuan8149@gmail.com</x:v>
      </x:c>
      <x:c r="F3384" t="str" s="2">
        <x:v>Landing_BPM</x:v>
      </x:c>
      <x:c r="G3384" t="str" s="2">
        <x:v>Faye Lively</x:v>
      </x:c>
      <x:c r="H3384" s="6">
        <x:v>46242.85930042824</x:v>
      </x:c>
      <x:c r="I3384" s="0"/>
      <x:c r="J3384" s="0"/>
      <x:c r="K3384" s="6">
        <x:v>46274</x:v>
      </x:c>
      <x:c r="L3384" t="str" s="2">
        <x:v>Message Sent</x:v>
      </x:c>
    </x:row>
    <x:row r="3385">
      <x:c r="A3385" t="str" s="2">
        <x:f>="Erikah Hill"</x:f>
      </x:c>
      <x:c r="B3385" t="str" s="2">
        <x:v>Heritage Housing of Athens</x:v>
      </x:c>
      <x:c r="C3385" t="str" s="2">
        <x:v/>
      </x:c>
      <x:c r="D3385" t="str" s="2">
        <x:v>2295268798</x:v>
      </x:c>
      <x:c r="E3385" t="str" s="2">
        <x:v>hillerikah2@gmail.com</x:v>
      </x:c>
      <x:c r="F3385" t="str" s="2">
        <x:v>Landing_BPM</x:v>
      </x:c>
      <x:c r="G3385" t="str" s="2">
        <x:v>Nathan Bishop</x:v>
      </x:c>
      <x:c r="H3385" s="6">
        <x:v>46242.86883900463</x:v>
      </x:c>
      <x:c r="I3385" s="0"/>
      <x:c r="J3385" s="0"/>
      <x:c r="K3385" s="6">
        <x:v>46283</x:v>
      </x:c>
      <x:c r="L3385" t="str" s="2">
        <x:v>Message Sent</x:v>
      </x:c>
    </x:row>
    <x:row r="3386">
      <x:c r="A3386" t="str" s="2">
        <x:f>=HYPERLINK("https://rsms.futurehomex.com/lead/39033", "Philip Sullivan")</x:f>
      </x:c>
      <x:c r="B3386" t="str" s="2">
        <x:v>Heritage Housing of Oklahoma City</x:v>
      </x:c>
      <x:c r="C3386" t="str" s="2">
        <x:v/>
      </x:c>
      <x:c r="D3386" t="str" s="2">
        <x:v>5802842270</x:v>
      </x:c>
      <x:c r="E3386" t="str" s="2">
        <x:v>sullivan17.211.211@gmail.com</x:v>
      </x:c>
      <x:c r="F3386" t="str" s="2">
        <x:v>Facebook Messenger</x:v>
      </x:c>
      <x:c r="G3386" t="str" s="2">
        <x:v>Steve Castell</x:v>
      </x:c>
      <x:c r="H3386" s="6">
        <x:v>46242.870333252315</x:v>
      </x:c>
      <x:c r="I3386" t="str" s="2">
        <x:v>Steve Castell</x:v>
      </x:c>
      <x:c r="J3386" s="0"/>
      <x:c r="K3386" s="6">
        <x:v>46245</x:v>
      </x:c>
      <x:c r="L3386" t="str" s="2">
        <x:v>Message Sent</x:v>
      </x:c>
    </x:row>
    <x:row r="3387">
      <x:c r="A3387" t="str" s="2">
        <x:f>="Michelle Mullinnix"</x:f>
      </x:c>
      <x:c r="B3387" t="str" s="2">
        <x:v>Heritage Housing of Greenville</x:v>
      </x:c>
      <x:c r="C3387" t="str" s="2">
        <x:v>0/4</x:v>
      </x:c>
      <x:c r="D3387" t="str" s="2">
        <x:v>2544295686</x:v>
      </x:c>
      <x:c r="E3387" t="str" s="2">
        <x:v>mjoybeall77@gmail.com</x:v>
      </x:c>
      <x:c r="F3387" t="str" s="2">
        <x:v>Website</x:v>
      </x:c>
      <x:c r="G3387" t="str" s="2">
        <x:v>Brooklynn Allen</x:v>
      </x:c>
      <x:c r="H3387" s="6">
        <x:v>46242.87723457176</x:v>
      </x:c>
      <x:c r="I3387" s="0"/>
      <x:c r="J3387" s="0"/>
      <x:c r="K3387" s="6">
        <x:v>46247</x:v>
      </x:c>
      <x:c r="L3387" t="str" s="2">
        <x:v>Message Sent</x:v>
      </x:c>
    </x:row>
    <x:row r="3388">
      <x:c r="A3388" t="str" s="2">
        <x:f>=HYPERLINK("https://rsms.futurehomex.com/lead/39558", "Christle Pece")</x:f>
      </x:c>
      <x:c r="B3388" t="str" s="2">
        <x:v>Heritage Housing of Oklahoma City</x:v>
      </x:c>
      <x:c r="C3388" t="str" s="2">
        <x:v>0/1</x:v>
      </x:c>
      <x:c r="D3388" t="str" s="2">
        <x:v>4057193617</x:v>
      </x:c>
      <x:c r="E3388" t="str" s="2">
        <x:v>christle262987@icloud.com</x:v>
      </x:c>
      <x:c r="F3388" t="str" s="2">
        <x:v>Landing_BPM</x:v>
      </x:c>
      <x:c r="G3388" t="str" s="2">
        <x:v>Steve Castell</x:v>
      </x:c>
      <x:c r="H3388" s="6">
        <x:v>46242.88086380787</x:v>
      </x:c>
      <x:c r="I3388" t="str" s="2">
        <x:v>Steve Castell</x:v>
      </x:c>
      <x:c r="J3388" s="0"/>
      <x:c r="K3388" s="6">
        <x:v>46266</x:v>
      </x:c>
      <x:c r="L3388" t="str" s="2">
        <x:v>Message Sent</x:v>
      </x:c>
    </x:row>
    <x:row r="3389">
      <x:c r="A3389" t="str" s="2">
        <x:f>="Jennifer Mendez rodriguez"</x:f>
      </x:c>
      <x:c r="B3389" t="str" s="2">
        <x:v>Heritage Housing of Asheboro</x:v>
      </x:c>
      <x:c r="C3389" t="str" s="2">
        <x:v/>
      </x:c>
      <x:c r="D3389" t="str" s="2">
        <x:v>9197773930</x:v>
      </x:c>
      <x:c r="E3389" t="str" s="2">
        <x:v>jenniferodriguez2@yahoo.com</x:v>
      </x:c>
      <x:c r="F3389" t="str" s="2">
        <x:v>Financing Form</x:v>
      </x:c>
      <x:c r="G3389" t="str" s="2">
        <x:v>Maria Lopez</x:v>
      </x:c>
      <x:c r="H3389" s="6">
        <x:v>46242.96674108796</x:v>
      </x:c>
      <x:c r="I3389" s="0"/>
      <x:c r="J3389" s="0"/>
      <x:c r="K3389" s="6">
        <x:v>46307</x:v>
      </x:c>
      <x:c r="L3389" t="str" s="2">
        <x:v>Message Sent</x:v>
      </x:c>
    </x:row>
    <x:row r="3390">
      <x:c r="A3390" t="str" s="2">
        <x:f>="Jazlean Estrada"</x:f>
      </x:c>
      <x:c r="B3390" t="str" s="2">
        <x:v>Heritage Housing Marble Falls</x:v>
      </x:c>
      <x:c r="C3390" t="str" s="2">
        <x:v/>
      </x:c>
      <x:c r="D3390" t="str" s="2">
        <x:v>8302012610</x:v>
      </x:c>
      <x:c r="E3390" t="str" s="2">
        <x:v>jazleanestradaa@icloud.com</x:v>
      </x:c>
      <x:c r="F3390" t="str" s="2">
        <x:v>Landing_BPM</x:v>
      </x:c>
      <x:c r="G3390" t="str" s="2">
        <x:v>Stephen Sanders</x:v>
      </x:c>
      <x:c r="H3390" s="6">
        <x:v>46243.06588028935</x:v>
      </x:c>
      <x:c r="I3390" s="0"/>
      <x:c r="J3390" s="0"/>
      <x:c r="K3390" s="6">
        <x:v>46274</x:v>
      </x:c>
      <x:c r="L3390" t="str" s="2">
        <x:v>Message Sent</x:v>
      </x:c>
    </x:row>
    <x:row r="3391">
      <x:c r="A3391" t="str" s="2">
        <x:f>="Crystal Cedillo"</x:f>
      </x:c>
      <x:c r="B3391" t="str" s="2">
        <x:v>Legacy Housing Corp. DBA Americasa</x:v>
      </x:c>
      <x:c r="C3391" t="str" s="2">
        <x:v/>
      </x:c>
      <x:c r="D3391" t="str" s="2">
        <x:v>8328744755</x:v>
      </x:c>
      <x:c r="E3391" t="str" s="2">
        <x:v>crystal.cedillo30@gmail.com</x:v>
      </x:c>
      <x:c r="F3391" t="str" s="2">
        <x:v>Landing_BPM</x:v>
      </x:c>
      <x:c r="G3391" t="str" s="2">
        <x:v>Rodrigo Ramirez</x:v>
      </x:c>
      <x:c r="H3391" s="6">
        <x:v>46243.2143284375</x:v>
      </x:c>
      <x:c r="I3391" s="0"/>
      <x:c r="J3391" s="0"/>
      <x:c r="K3391" s="6">
        <x:v>46296</x:v>
      </x:c>
      <x:c r="L3391" t="str" s="2">
        <x:v>Message Sent</x:v>
      </x:c>
    </x:row>
    <x:row r="3392">
      <x:c r="A3392" t="str" s="2">
        <x:f>="Kimberly Jackowski"</x:f>
      </x:c>
      <x:c r="B3392" t="str" s="2">
        <x:v>Heritage Housing of Canton</x:v>
      </x:c>
      <x:c r="C3392" t="str" s="2">
        <x:v/>
      </x:c>
      <x:c r="D3392" t="str" s="2">
        <x:v>4306104179</x:v>
      </x:c>
      <x:c r="E3392" t="str" s="2">
        <x:v>kimberleyjackowski@gmail.com</x:v>
      </x:c>
      <x:c r="F3392" t="str" s="2">
        <x:v>Website</x:v>
      </x:c>
      <x:c r="G3392" t="str" s="2">
        <x:v>Jacob Hatten</x:v>
      </x:c>
      <x:c r="H3392" s="6">
        <x:v>46243.4473625</x:v>
      </x:c>
      <x:c r="I3392" s="0"/>
      <x:c r="J3392" s="0"/>
      <x:c r="K3392" s="6">
        <x:v>46293</x:v>
      </x:c>
      <x:c r="L3392" t="str" s="2">
        <x:v>Message Sent</x:v>
      </x:c>
    </x:row>
    <x:row r="3393">
      <x:c r="A3393" t="str" s="2">
        <x:f>="HAROLD WOODS"</x:f>
      </x:c>
      <x:c r="B3393" t="str" s="2">
        <x:v>Legacy Housing Corp. DBA Americasa</x:v>
      </x:c>
      <x:c r="C3393" t="str" s="2">
        <x:v/>
      </x:c>
      <x:c r="D3393" t="str" s="2">
        <x:v>2814086248</x:v>
      </x:c>
      <x:c r="E3393" t="str" s="2">
        <x:v>Woodsharold6@gmail.com</x:v>
      </x:c>
      <x:c r="F3393" t="str" s="2">
        <x:v>Landing_BPM</x:v>
      </x:c>
      <x:c r="G3393" t="str" s="2">
        <x:v>Jose Parada</x:v>
      </x:c>
      <x:c r="H3393" s="6">
        <x:v>46243.48297230324</x:v>
      </x:c>
      <x:c r="I3393" s="0"/>
      <x:c r="J3393" s="0"/>
      <x:c r="K3393" s="6">
        <x:v>46296</x:v>
      </x:c>
      <x:c r="L3393" t="str" s="2">
        <x:v>Message Sent</x:v>
      </x:c>
    </x:row>
    <x:row r="3394">
      <x:c r="A3394" t="str" s="2">
        <x:f>="Ivy Saldana"</x:f>
      </x:c>
      <x:c r="B3394" t="str" s="2">
        <x:v>Heritage Housing Marble Falls</x:v>
      </x:c>
      <x:c r="C3394" t="str" s="2">
        <x:v>0/1</x:v>
      </x:c>
      <x:c r="D3394" t="str" s="2">
        <x:v>2543163281</x:v>
      </x:c>
      <x:c r="E3394" t="str" s="2">
        <x:v>ivysaldana@yahoo.com</x:v>
      </x:c>
      <x:c r="F3394" t="str" s="2">
        <x:v>Landing_BPM</x:v>
      </x:c>
      <x:c r="G3394" t="str" s="2">
        <x:v>Stephen Sanders</x:v>
      </x:c>
      <x:c r="H3394" s="6">
        <x:v>46243.5220755787</x:v>
      </x:c>
      <x:c r="I3394" s="0"/>
      <x:c r="J3394" s="0"/>
      <x:c r="K3394" s="6">
        <x:v>46274</x:v>
      </x:c>
      <x:c r="L3394" t="str" s="2">
        <x:v>Message Sent</x:v>
      </x:c>
    </x:row>
    <x:row r="3395">
      <x:c r="A3395" t="str" s="2">
        <x:f>="Linda Jackson"</x:f>
      </x:c>
      <x:c r="B3395" t="str" s="2">
        <x:v>Heritage Housing of Albany</x:v>
      </x:c>
      <x:c r="C3395" t="str" s="2">
        <x:v/>
      </x:c>
      <x:c r="D3395" t="str" s="2">
        <x:v>4046940379</x:v>
      </x:c>
      <x:c r="E3395" t="str" s="2">
        <x:v>lindajackson850.lj@gmail.com</x:v>
      </x:c>
      <x:c r="F3395" t="str" s="2">
        <x:v>Landing_BPM</x:v>
      </x:c>
      <x:c r="G3395" t="str" s="2">
        <x:v>Yanet Alvarez</x:v>
      </x:c>
      <x:c r="H3395" s="6">
        <x:v>46243.52811744213</x:v>
      </x:c>
      <x:c r="I3395" s="0"/>
      <x:c r="J3395" s="0"/>
      <x:c r="K3395" s="6">
        <x:v>46303</x:v>
      </x:c>
      <x:c r="L3395" t="str" s="2">
        <x:v>Message Sent</x:v>
      </x:c>
    </x:row>
    <x:row r="3396">
      <x:c r="A3396" t="str" s="2">
        <x:f>="Sallie Scarlatta"</x:f>
      </x:c>
      <x:c r="B3396" t="str" s="2">
        <x:v>Heritage Housing of Jennings</x:v>
      </x:c>
      <x:c r="C3396" t="str" s="2">
        <x:v>0/1</x:v>
      </x:c>
      <x:c r="D3396" t="str" s="2">
        <x:v>3372490493</x:v>
      </x:c>
      <x:c r="E3396" t="str" s="2">
        <x:v>scarlattasallie87@gmail.com</x:v>
      </x:c>
      <x:c r="F3396" t="str" s="2">
        <x:v>Landing_BPM</x:v>
      </x:c>
      <x:c r="G3396" t="str" s="2">
        <x:v>Mervin Leslie Smith</x:v>
      </x:c>
      <x:c r="H3396" s="6">
        <x:v>46243.53813417824</x:v>
      </x:c>
      <x:c r="I3396" s="0"/>
      <x:c r="J3396" s="0"/>
      <x:c r="K3396" s="6">
        <x:v>46302.63123024305</x:v>
      </x:c>
      <x:c r="L3396" t="str" s="2">
        <x:v>Message Sent</x:v>
      </x:c>
    </x:row>
    <x:row r="3397">
      <x:c r="A3397" t="str" s="2">
        <x:f>="Barbara Lindley"</x:f>
      </x:c>
      <x:c r="B3397" t="str" s="2">
        <x:v>Heritage Housing of Greenville</x:v>
      </x:c>
      <x:c r="C3397" t="str" s="2">
        <x:v/>
      </x:c>
      <x:c r="D3397" t="str" s="2">
        <x:v>9032857741</x:v>
      </x:c>
      <x:c r="E3397" t="str" s="2">
        <x:v>b33291900@gmail.com</x:v>
      </x:c>
      <x:c r="F3397" t="str" s="2">
        <x:v>Landing_BPM</x:v>
      </x:c>
      <x:c r="G3397" t="str" s="2">
        <x:v>Brooklynn Allen</x:v>
      </x:c>
      <x:c r="H3397" s="6">
        <x:v>46243.62960181713</x:v>
      </x:c>
      <x:c r="I3397" s="0"/>
      <x:c r="J3397" s="0"/>
      <x:c r="K3397" s="6">
        <x:v>46244</x:v>
      </x:c>
      <x:c r="L3397" t="str" s="2">
        <x:v>Message Sent</x:v>
      </x:c>
    </x:row>
    <x:row r="3398">
      <x:c r="A3398" t="str" s="2">
        <x:f>="Jose Velazquez"</x:f>
      </x:c>
      <x:c r="B3398" t="str" s="2">
        <x:v>Heritage Housing of Asheboro</x:v>
      </x:c>
      <x:c r="C3398" t="str" s="2">
        <x:v/>
      </x:c>
      <x:c r="D3398" t="str" s="2">
        <x:v>3364507981</x:v>
      </x:c>
      <x:c r="E3398" t="str" s="2">
        <x:v>jramireznc16@gmail.com</x:v>
      </x:c>
      <x:c r="F3398" t="str" s="2">
        <x:v>Landing_BPM</x:v>
      </x:c>
      <x:c r="G3398" t="str" s="2">
        <x:v>Jeremy Jacques</x:v>
      </x:c>
      <x:c r="H3398" s="6">
        <x:v>46243.664102627314</x:v>
      </x:c>
      <x:c r="I3398" s="0"/>
      <x:c r="J3398" s="0"/>
      <x:c r="K3398" s="6">
        <x:v>46244</x:v>
      </x:c>
      <x:c r="L3398" t="str" s="2">
        <x:v>Message Sent</x:v>
      </x:c>
    </x:row>
    <x:row r="3399">
      <x:c r="A3399" t="str" s="2">
        <x:f>="Sandra Overstreet Overstreet"</x:f>
      </x:c>
      <x:c r="B3399" t="str" s="2">
        <x:v>Heritage Housing of Albany</x:v>
      </x:c>
      <x:c r="C3399" t="str" s="2">
        <x:v/>
      </x:c>
      <x:c r="D3399" t="str" s="2">
        <x:v>9122421774</x:v>
      </x:c>
      <x:c r="E3399" t="str" s="2">
        <x:v>sandiepea@gmail.com</x:v>
      </x:c>
      <x:c r="F3399" t="str" s="2">
        <x:v>Landing_BPM</x:v>
      </x:c>
      <x:c r="G3399" t="str" s="2">
        <x:v>Yanet Alvarez</x:v>
      </x:c>
      <x:c r="H3399" s="6">
        <x:v>46243.66858020833</x:v>
      </x:c>
      <x:c r="I3399" s="0"/>
      <x:c r="J3399" s="0"/>
      <x:c r="K3399" s="6">
        <x:v>46288</x:v>
      </x:c>
      <x:c r="L3399" t="str" s="2">
        <x:v>Message Sent</x:v>
      </x:c>
    </x:row>
    <x:row r="3400">
      <x:c r="A3400" t="str" s="2">
        <x:f>="Elizabeth Fridley"</x:f>
      </x:c>
      <x:c r="B3400" t="str" s="2">
        <x:v>Heritage Housing of Asheboro</x:v>
      </x:c>
      <x:c r="C3400" t="str" s="2">
        <x:v/>
      </x:c>
      <x:c r="D3400" t="str" s="2">
        <x:v>9192196883</x:v>
      </x:c>
      <x:c r="E3400" t="str" s="2">
        <x:v>eamfrudley46@gmail.com</x:v>
      </x:c>
      <x:c r="F3400" t="str" s="2">
        <x:v>LandingPage</x:v>
      </x:c>
      <x:c r="G3400" t="str" s="2">
        <x:v>Maria Lopez</x:v>
      </x:c>
      <x:c r="H3400" s="6">
        <x:v>46243.70073591435</x:v>
      </x:c>
      <x:c r="I3400" s="0"/>
      <x:c r="J3400" s="0"/>
      <x:c r="K3400" s="6">
        <x:v>46255</x:v>
      </x:c>
      <x:c r="L3400" t="str" s="2">
        <x:v>Message Sent</x:v>
      </x:c>
    </x:row>
    <x:row r="3401">
      <x:c r="A3401" t="str" s="2">
        <x:f>="Christopher Wilson"</x:f>
      </x:c>
      <x:c r="B3401" t="str" s="2">
        <x:v>Heritage Housing of Asheboro</x:v>
      </x:c>
      <x:c r="C3401" t="str" s="2">
        <x:v/>
      </x:c>
      <x:c r="D3401" t="str" s="2">
        <x:v>9102825108</x:v>
      </x:c>
      <x:c r="E3401" t="str" s="2">
        <x:v>chris.2015.yeah@gmail.com</x:v>
      </x:c>
      <x:c r="F3401" t="str" s="2">
        <x:v>Landing_BPM</x:v>
      </x:c>
      <x:c r="G3401" t="str" s="2">
        <x:v>Maria Lopez</x:v>
      </x:c>
      <x:c r="H3401" s="6">
        <x:v>46243.71136076389</x:v>
      </x:c>
      <x:c r="I3401" s="0"/>
      <x:c r="J3401" s="0"/>
      <x:c r="K3401" s="6">
        <x:v>46258</x:v>
      </x:c>
      <x:c r="L3401" t="str" s="2">
        <x:v>Message Sent</x:v>
      </x:c>
    </x:row>
    <x:row r="3402">
      <x:c r="A3402" t="str" s="2">
        <x:f>="Lashawn Cook Cook"</x:f>
      </x:c>
      <x:c r="B3402" t="str" s="2">
        <x:v>Heritage Housing of Greenville</x:v>
      </x:c>
      <x:c r="C3402" t="str" s="2">
        <x:v/>
      </x:c>
      <x:c r="D3402" t="str" s="2">
        <x:v>7024982473</x:v>
      </x:c>
      <x:c r="E3402" t="str" s="2">
        <x:v>lashawnrcook@gmail.com</x:v>
      </x:c>
      <x:c r="F3402" t="str" s="2">
        <x:v>Landing_BPM</x:v>
      </x:c>
      <x:c r="G3402" t="str" s="2">
        <x:v>Brooklynn Allen</x:v>
      </x:c>
      <x:c r="H3402" s="6">
        <x:v>46243.71217561343</x:v>
      </x:c>
      <x:c r="I3402" s="0"/>
      <x:c r="J3402" s="0"/>
      <x:c r="K3402" s="6">
        <x:v>46249</x:v>
      </x:c>
      <x:c r="L3402" t="str" s="2">
        <x:v>Message Sent</x:v>
      </x:c>
    </x:row>
    <x:row r="3403">
      <x:c r="A3403" t="str" s="2">
        <x:f>="Taniya Johnson"</x:f>
      </x:c>
      <x:c r="B3403" t="str" s="2">
        <x:v>Heritage Housing Mt Pleasant</x:v>
      </x:c>
      <x:c r="C3403" t="str" s="2">
        <x:v/>
      </x:c>
      <x:c r="D3403" t="str" s="2">
        <x:v>9037678387</x:v>
      </x:c>
      <x:c r="E3403" t="str" s="2">
        <x:v>itzzzajaiii@gmail.com</x:v>
      </x:c>
      <x:c r="F3403" t="str" s="2">
        <x:v>Landing_BPM</x:v>
      </x:c>
      <x:c r="G3403" t="str" s="2">
        <x:v>Yarelis Torres</x:v>
      </x:c>
      <x:c r="H3403" s="6">
        <x:v>46243.71361238426</x:v>
      </x:c>
      <x:c r="I3403" s="0"/>
      <x:c r="J3403" s="0"/>
      <x:c r="K3403" s="6">
        <x:v>46280</x:v>
      </x:c>
      <x:c r="L3403" t="str" s="2">
        <x:v>Message Sent</x:v>
      </x:c>
    </x:row>
    <x:row r="3404">
      <x:c r="A3404" t="str" s="2">
        <x:f>="Chazmine Gibson"</x:f>
      </x:c>
      <x:c r="B3404" t="str" s="2">
        <x:v>Heritage Housing of Canton</x:v>
      </x:c>
      <x:c r="C3404" t="str" s="2">
        <x:v/>
      </x:c>
      <x:c r="D3404" t="str" s="2">
        <x:v>2145434376</x:v>
      </x:c>
      <x:c r="E3404" t="str" s="2">
        <x:v>chazmine.gibson1999@gmail.com</x:v>
      </x:c>
      <x:c r="F3404" t="str" s="2">
        <x:v>Landing_BPM</x:v>
      </x:c>
      <x:c r="G3404" t="str" s="2">
        <x:v>Maira Garcia</x:v>
      </x:c>
      <x:c r="H3404" s="6">
        <x:v>46243.71793831018</x:v>
      </x:c>
      <x:c r="I3404" s="0"/>
      <x:c r="J3404" s="0"/>
      <x:c r="K3404" s="6">
        <x:v>46244</x:v>
      </x:c>
      <x:c r="L3404" t="str" s="2">
        <x:v>Message Sent</x:v>
      </x:c>
    </x:row>
    <x:row r="3405">
      <x:c r="A3405" t="str" s="2">
        <x:f>="Linda Lukes"</x:f>
      </x:c>
      <x:c r="B3405" t="str" s="2">
        <x:v>Heritage Housing of Oklahoma City</x:v>
      </x:c>
      <x:c r="C3405" t="str" s="2">
        <x:v>0/2</x:v>
      </x:c>
      <x:c r="D3405" t="str" s="2">
        <x:v>6318296012</x:v>
      </x:c>
      <x:c r="E3405" t="str" s="2">
        <x:v>lindlukes195@gmail.com</x:v>
      </x:c>
      <x:c r="F3405" t="str" s="2">
        <x:v>Landing_BPM</x:v>
      </x:c>
      <x:c r="G3405" t="str" s="2">
        <x:v>Steve Castell</x:v>
      </x:c>
      <x:c r="H3405" s="6">
        <x:v>46243.75203221065</x:v>
      </x:c>
      <x:c r="I3405" s="0"/>
      <x:c r="J3405" s="0"/>
      <x:c r="K3405" s="6">
        <x:v>46249</x:v>
      </x:c>
      <x:c r="L3405" t="str" s="2">
        <x:v>Message Sent</x:v>
      </x:c>
    </x:row>
    <x:row r="3406">
      <x:c r="A3406" t="str" s="2">
        <x:f>="Teresa Childs"</x:f>
      </x:c>
      <x:c r="B3406" t="str" s="2">
        <x:v>Heritage Housing of Asheboro</x:v>
      </x:c>
      <x:c r="C3406" t="str" s="2">
        <x:v/>
      </x:c>
      <x:c r="D3406" t="str" s="2">
        <x:v>7047138684</x:v>
      </x:c>
      <x:c r="E3406" t="str" s="2">
        <x:v>childstr44@yahoo.com</x:v>
      </x:c>
      <x:c r="F3406" t="str" s="2">
        <x:v>Website</x:v>
      </x:c>
      <x:c r="G3406" t="str" s="2">
        <x:v>Jeremy Jacques</x:v>
      </x:c>
      <x:c r="H3406" s="6">
        <x:v>46243.758124305554</x:v>
      </x:c>
      <x:c r="I3406" s="0"/>
      <x:c r="J3406" s="0"/>
      <x:c r="K3406" s="6">
        <x:v>46246</x:v>
      </x:c>
      <x:c r="L3406" t="str" s="2">
        <x:v>Message Sent</x:v>
      </x:c>
    </x:row>
    <x:row r="3407">
      <x:c r="A3407" t="str" s="2">
        <x:f>="Guadalupe Diaz"</x:f>
      </x:c>
      <x:c r="B3407" t="str" s="2">
        <x:v>Heritage Housing Mt Pleasant</x:v>
      </x:c>
      <x:c r="C3407" t="str" s="2">
        <x:v/>
      </x:c>
      <x:c r="D3407" t="str" s="2">
        <x:v>9036992485</x:v>
      </x:c>
      <x:c r="E3407" t="str" s="2">
        <x:v>9036992485</x:v>
      </x:c>
      <x:c r="F3407" t="str" s="2">
        <x:v>Meta Ads - Messenger</x:v>
      </x:c>
      <x:c r="G3407" t="str" s="2">
        <x:v>Sandra Saldana</x:v>
      </x:c>
      <x:c r="H3407" s="6">
        <x:v>46243.76808541667</x:v>
      </x:c>
      <x:c r="I3407" s="0"/>
      <x:c r="J3407" s="6">
        <x:v>46243.875</x:v>
      </x:c>
      <x:c r="K3407" s="6">
        <x:v>46301</x:v>
      </x:c>
      <x:c r="L3407" t="str" s="2">
        <x:v>Message Sent</x:v>
      </x:c>
    </x:row>
    <x:row r="3408">
      <x:c r="A3408" t="str" s="2">
        <x:f>=HYPERLINK("https://rsms.futurehomex.com/lead/39316", "Demorris Brown")</x:f>
      </x:c>
      <x:c r="B3408" t="str" s="2">
        <x:v>Heritage Housing of Augusta</x:v>
      </x:c>
      <x:c r="C3408" t="str" s="2">
        <x:v/>
      </x:c>
      <x:c r="D3408" t="str" s="2">
        <x:v>4044292861</x:v>
      </x:c>
      <x:c r="E3408" t="str" s="2">
        <x:v>Browndemorris@yahoo.com</x:v>
      </x:c>
      <x:c r="F3408" t="str" s="2">
        <x:v>Landing_BPM</x:v>
      </x:c>
      <x:c r="G3408" t="str" s="2">
        <x:v>Faye Lively</x:v>
      </x:c>
      <x:c r="H3408" s="6">
        <x:v>46243.77902068287</x:v>
      </x:c>
      <x:c r="I3408" t="str" s="2">
        <x:v>Alex Jones</x:v>
      </x:c>
      <x:c r="J3408" s="0"/>
      <x:c r="K3408" s="6">
        <x:v>46274</x:v>
      </x:c>
      <x:c r="L3408" t="str" s="2">
        <x:v>Message Sent</x:v>
      </x:c>
    </x:row>
    <x:row r="3409">
      <x:c r="A3409" t="str" s="2">
        <x:f>="Courtney Christensen Christensen"</x:f>
      </x:c>
      <x:c r="B3409" t="str" s="2">
        <x:v>Heritage Housing of Augusta</x:v>
      </x:c>
      <x:c r="C3409" t="str" s="2">
        <x:v>0/2</x:v>
      </x:c>
      <x:c r="D3409" t="str" s="2">
        <x:v>4754343493</x:v>
      </x:c>
      <x:c r="E3409" t="str" s="2">
        <x:v>courtneyredblack@gmail.com</x:v>
      </x:c>
      <x:c r="F3409" t="str" s="2">
        <x:v>Landing_BPM</x:v>
      </x:c>
      <x:c r="G3409" t="str" s="2">
        <x:v>Faye Lively</x:v>
      </x:c>
      <x:c r="H3409" s="6">
        <x:v>46243.79656096065</x:v>
      </x:c>
      <x:c r="I3409" s="0"/>
      <x:c r="J3409" s="0"/>
      <x:c r="K3409" s="6">
        <x:v>46274</x:v>
      </x:c>
      <x:c r="L3409" t="str" s="2">
        <x:v>Message Sent</x:v>
      </x:c>
    </x:row>
    <x:row r="3410">
      <x:c r="A3410" t="str" s="2">
        <x:f>="Kaylee Luna"</x:f>
      </x:c>
      <x:c r="B3410" t="str" s="2">
        <x:v>Legacy Housing Corp. DBA Americasa</x:v>
      </x:c>
      <x:c r="C3410" t="str" s="2">
        <x:v/>
      </x:c>
      <x:c r="D3410" t="str" s="2">
        <x:v>5592237121</x:v>
      </x:c>
      <x:c r="E3410" t="str" s="2">
        <x:v>warrenkaylee72@gmail.com</x:v>
      </x:c>
      <x:c r="F3410" t="str" s="2">
        <x:v>Landing_BPM</x:v>
      </x:c>
      <x:c r="G3410" t="str" s="2">
        <x:v>Rodrigo Ramirez</x:v>
      </x:c>
      <x:c r="H3410" s="6">
        <x:v>46243.79733896991</x:v>
      </x:c>
      <x:c r="I3410" s="0"/>
      <x:c r="J3410" s="0"/>
      <x:c r="K3410" s="6">
        <x:v>46296</x:v>
      </x:c>
      <x:c r="L3410" t="str" s="2">
        <x:v>Message Sent</x:v>
      </x:c>
    </x:row>
    <x:row r="3411">
      <x:c r="A3411" t="str" s="2">
        <x:f>="Kentavious Smith"</x:f>
      </x:c>
      <x:c r="B3411" t="str" s="2">
        <x:v>Heritage Housing of Augusta</x:v>
      </x:c>
      <x:c r="C3411" t="str" s="2">
        <x:v>0/1</x:v>
      </x:c>
      <x:c r="D3411" t="str" s="2">
        <x:v>4048402977</x:v>
      </x:c>
      <x:c r="E3411" t="str" s="2">
        <x:v>marquezesmith2@ioud.com</x:v>
      </x:c>
      <x:c r="F3411" t="str" s="2">
        <x:v>Landing_BPM</x:v>
      </x:c>
      <x:c r="G3411" t="str" s="2">
        <x:v>Faye Lively</x:v>
      </x:c>
      <x:c r="H3411" s="6">
        <x:v>46243.827254710646</x:v>
      </x:c>
      <x:c r="I3411" s="0"/>
      <x:c r="J3411" s="0"/>
      <x:c r="K3411" s="6">
        <x:v>46274</x:v>
      </x:c>
      <x:c r="L3411" t="str" s="2">
        <x:v>Message Sent</x:v>
      </x:c>
    </x:row>
    <x:row r="3412">
      <x:c r="A3412" t="str" s="2">
        <x:f>="Shinita Foster"</x:f>
      </x:c>
      <x:c r="B3412" t="str" s="2">
        <x:v>Legacy Housing Corp. DBA Americasa</x:v>
      </x:c>
      <x:c r="C3412" t="str" s="2">
        <x:v/>
      </x:c>
      <x:c r="D3412" t="str" s="2">
        <x:v>7063588220</x:v>
      </x:c>
      <x:c r="E3412" t="str" s="2">
        <x:v>shinitafoster3@gmail.com</x:v>
      </x:c>
      <x:c r="F3412" t="str" s="2">
        <x:v>Landing_BPM</x:v>
      </x:c>
      <x:c r="G3412" t="str" s="2">
        <x:v>Rodrigo Ramirez</x:v>
      </x:c>
      <x:c r="H3412" s="6">
        <x:v>46243.8335403588</x:v>
      </x:c>
      <x:c r="I3412" s="0"/>
      <x:c r="J3412" s="0"/>
      <x:c r="K3412" s="6">
        <x:v>46296</x:v>
      </x:c>
      <x:c r="L3412" t="str" s="2">
        <x:v>Message Sent</x:v>
      </x:c>
    </x:row>
    <x:row r="3413">
      <x:c r="A3413" t="str" s="2">
        <x:f>="Uniberto Johnson"</x:f>
      </x:c>
      <x:c r="B3413" t="str" s="2">
        <x:v>Heritage Housing of Oklahoma City</x:v>
      </x:c>
      <x:c r="C3413" t="str" s="2">
        <x:v>0/1</x:v>
      </x:c>
      <x:c r="D3413" t="str" s="2">
        <x:v>9187732012</x:v>
      </x:c>
      <x:c r="E3413" t="str" s="2">
        <x:v>betojohnson1123@gmail.com</x:v>
      </x:c>
      <x:c r="F3413" t="str" s="2">
        <x:v>Website</x:v>
      </x:c>
      <x:c r="G3413" t="str" s="2">
        <x:v>Steve Castell</x:v>
      </x:c>
      <x:c r="H3413" s="6">
        <x:v>46243.85168626157</x:v>
      </x:c>
      <x:c r="I3413" s="0"/>
      <x:c r="J3413" s="0"/>
      <x:c r="K3413" s="6">
        <x:v>46244.91586947917</x:v>
      </x:c>
      <x:c r="L3413" t="str" s="2">
        <x:v>Message Sent</x:v>
      </x:c>
    </x:row>
    <x:row r="3414">
      <x:c r="A3414" t="str" s="2">
        <x:f>=HYPERLINK("https://rsms.futurehomex.com/lead/39469", "Brandy Lang")</x:f>
      </x:c>
      <x:c r="B3414" t="str" s="2">
        <x:v>Heritage Housing of Asheboro</x:v>
      </x:c>
      <x:c r="C3414" t="str" s="2">
        <x:v>0/1</x:v>
      </x:c>
      <x:c r="D3414" t="str" s="2">
        <x:v>3376035222</x:v>
      </x:c>
      <x:c r="E3414" t="str" s="2">
        <x:v>bdlang5222@gmail.com</x:v>
      </x:c>
      <x:c r="F3414" t="str" s="2">
        <x:v>Landing_BPM</x:v>
      </x:c>
      <x:c r="G3414" t="str" s="2">
        <x:v>Timothy Postlethwait</x:v>
      </x:c>
      <x:c r="H3414" s="6">
        <x:v>46243.8786590625</x:v>
      </x:c>
      <x:c r="I3414" t="str" s="2">
        <x:v>Maria Lopez</x:v>
      </x:c>
      <x:c r="J3414" s="0"/>
      <x:c r="K3414" s="6">
        <x:v>46295</x:v>
      </x:c>
      <x:c r="L3414" t="str" s="2">
        <x:v>Message Sent</x:v>
      </x:c>
    </x:row>
    <x:row r="3415">
      <x:c r="A3415" t="str" s="2">
        <x:f>="Justin Mccurry Mccurry"</x:f>
      </x:c>
      <x:c r="B3415" t="str" s="2">
        <x:v>Heritage Housing of Athens</x:v>
      </x:c>
      <x:c r="C3415" t="str" s="2">
        <x:v/>
      </x:c>
      <x:c r="D3415" t="str" s="2">
        <x:v>8643789009</x:v>
      </x:c>
      <x:c r="E3415" t="str" s="2">
        <x:v>jkmccurry@icloud.com</x:v>
      </x:c>
      <x:c r="F3415" t="str" s="2">
        <x:v>Landing_BPM</x:v>
      </x:c>
      <x:c r="G3415" t="str" s="2">
        <x:v>Nathan Bishop</x:v>
      </x:c>
      <x:c r="H3415" s="6">
        <x:v>46243.91125706019</x:v>
      </x:c>
      <x:c r="I3415" s="0"/>
      <x:c r="J3415" s="0"/>
      <x:c r="K3415" s="6">
        <x:v>46288</x:v>
      </x:c>
      <x:c r="L3415" t="str" s="2">
        <x:v>Message Sent</x:v>
      </x:c>
    </x:row>
    <x:row r="3416">
      <x:c r="A3416" t="str" s="2">
        <x:f>="Chasity Burton"</x:f>
      </x:c>
      <x:c r="B3416" t="str" s="2">
        <x:v>Heritage Housing of Augusta</x:v>
      </x:c>
      <x:c r="C3416" t="str" s="2">
        <x:v>0/2</x:v>
      </x:c>
      <x:c r="D3416" t="str" s="2">
        <x:v>4783058490</x:v>
      </x:c>
      <x:c r="E3416" t="str" s="2">
        <x:v>kenyattaburton3@gmail.com</x:v>
      </x:c>
      <x:c r="F3416" t="str" s="2">
        <x:v>Landing_BPM</x:v>
      </x:c>
      <x:c r="G3416" t="str" s="2">
        <x:v>Faye Lively</x:v>
      </x:c>
      <x:c r="H3416" s="6">
        <x:v>46243.91937931713</x:v>
      </x:c>
      <x:c r="I3416" s="0"/>
      <x:c r="J3416" s="0"/>
      <x:c r="K3416" s="6">
        <x:v>46274</x:v>
      </x:c>
      <x:c r="L3416" t="str" s="2">
        <x:v>Message Sent</x:v>
      </x:c>
    </x:row>
    <x:row r="3417">
      <x:c r="A3417" t="str" s="2">
        <x:f>="Justus Meche"</x:f>
      </x:c>
      <x:c r="B3417" t="str" s="2">
        <x:v>Heritage Housing of Jennings</x:v>
      </x:c>
      <x:c r="C3417" t="str" s="2">
        <x:v/>
      </x:c>
      <x:c r="D3417" t="str" s="2">
        <x:v>3373980865</x:v>
      </x:c>
      <x:c r="E3417" t="str" s="2">
        <x:v>mechejustus2@gmail.com</x:v>
      </x:c>
      <x:c r="F3417" t="str" s="2">
        <x:v>Landing_BPM</x:v>
      </x:c>
      <x:c r="G3417" t="str" s="2">
        <x:v>Clint O'Neal</x:v>
      </x:c>
      <x:c r="H3417" s="6">
        <x:v>46243.91941940972</x:v>
      </x:c>
      <x:c r="I3417" s="0"/>
      <x:c r="J3417" s="0"/>
      <x:c r="K3417" s="6">
        <x:v>46302.661684293984</x:v>
      </x:c>
      <x:c r="L3417" t="str" s="2">
        <x:v>Message Sent</x:v>
      </x:c>
    </x:row>
    <x:row r="3418">
      <x:c r="A3418" t="str" s="2">
        <x:f>="Jasmine Guerra"</x:f>
      </x:c>
      <x:c r="B3418" t="str" s="2">
        <x:v>Heritage Housing of Greenville</x:v>
      </x:c>
      <x:c r="C3418" t="str" s="2">
        <x:v>0/2</x:v>
      </x:c>
      <x:c r="D3418" t="str" s="2">
        <x:v>3258645158</x:v>
      </x:c>
      <x:c r="E3418" t="str" s="2">
        <x:v>jasariannaa@gmail.com</x:v>
      </x:c>
      <x:c r="F3418" t="str" s="2">
        <x:v>Landing_BPM</x:v>
      </x:c>
      <x:c r="G3418" t="str" s="2">
        <x:v>Greg Christman</x:v>
      </x:c>
      <x:c r="H3418" s="6">
        <x:v>46243.932077743055</x:v>
      </x:c>
      <x:c r="I3418" s="0"/>
      <x:c r="J3418" s="0"/>
      <x:c r="K3418" s="6">
        <x:v>46251</x:v>
      </x:c>
      <x:c r="L3418" t="str" s="2">
        <x:v>Message Sent</x:v>
      </x:c>
    </x:row>
    <x:row r="3419">
      <x:c r="A3419" t="str" s="2">
        <x:f>="Zachery Rodgers Rodgers"</x:f>
      </x:c>
      <x:c r="B3419" t="str" s="2">
        <x:v>Heritage Housing of Augusta</x:v>
      </x:c>
      <x:c r="C3419" t="str" s="2">
        <x:v>0/1</x:v>
      </x:c>
      <x:c r="D3419" t="str" s="2">
        <x:v>8036749367</x:v>
      </x:c>
      <x:c r="E3419" t="str" s="2">
        <x:v>zacherydaddyofthree@yahoo.com</x:v>
      </x:c>
      <x:c r="F3419" t="str" s="2">
        <x:v>Landing_BPM</x:v>
      </x:c>
      <x:c r="G3419" t="str" s="2">
        <x:v>Faye Lively</x:v>
      </x:c>
      <x:c r="H3419" s="6">
        <x:v>46243.94906269676</x:v>
      </x:c>
      <x:c r="I3419" s="0"/>
      <x:c r="J3419" s="0"/>
      <x:c r="K3419" s="6">
        <x:v>46273</x:v>
      </x:c>
      <x:c r="L3419" t="str" s="2">
        <x:v>Message Sent</x:v>
      </x:c>
    </x:row>
    <x:row r="3420">
      <x:c r="A3420" t="str" s="2">
        <x:f>="Irma Lundy"</x:f>
      </x:c>
      <x:c r="B3420" t="str" s="2">
        <x:v>Legacy Housing Corp. DBA Americasa</x:v>
      </x:c>
      <x:c r="C3420" t="str" s="2">
        <x:v/>
      </x:c>
      <x:c r="D3420" t="str" s="2">
        <x:v>8326089077</x:v>
      </x:c>
      <x:c r="E3420" t="str" s="2">
        <x:v>irmalee58@gmail.com</x:v>
      </x:c>
      <x:c r="F3420" t="str" s="2">
        <x:v>Landing_BPM</x:v>
      </x:c>
      <x:c r="G3420" t="str" s="2">
        <x:v>Jose Parada</x:v>
      </x:c>
      <x:c r="H3420" s="6">
        <x:v>46243.96071782408</x:v>
      </x:c>
      <x:c r="I3420" s="0"/>
      <x:c r="J3420" s="0"/>
      <x:c r="K3420" s="6">
        <x:v>46301</x:v>
      </x:c>
      <x:c r="L3420" t="str" s="2">
        <x:v>Message Sent</x:v>
      </x:c>
    </x:row>
    <x:row r="3421">
      <x:c r="A3421" t="str" s="2">
        <x:f>="BRANDY ROBINSON"</x:f>
      </x:c>
      <x:c r="B3421" t="str" s="2">
        <x:v>Heritage Housing of Augusta</x:v>
      </x:c>
      <x:c r="C3421" t="str" s="2">
        <x:v/>
      </x:c>
      <x:c r="D3421" t="str" s="2">
        <x:v>3525537760</x:v>
      </x:c>
      <x:c r="E3421" t="str" s="2">
        <x:v>brandyrobinson386@gmail.com</x:v>
      </x:c>
      <x:c r="F3421" t="str" s="2">
        <x:v>Landing_BPM</x:v>
      </x:c>
      <x:c r="G3421" t="str" s="2">
        <x:v>Faye Lively</x:v>
      </x:c>
      <x:c r="H3421" s="6">
        <x:v>46243.965167476854</x:v>
      </x:c>
      <x:c r="I3421" s="0"/>
      <x:c r="J3421" s="0"/>
      <x:c r="K3421" s="6">
        <x:v>46273</x:v>
      </x:c>
      <x:c r="L3421" t="str" s="2">
        <x:v>Message Sent</x:v>
      </x:c>
    </x:row>
    <x:row r="3422">
      <x:c r="A3422" t="str" s="2">
        <x:f>="Christy Diaz"</x:f>
      </x:c>
      <x:c r="B3422" t="str" s="2">
        <x:v>Heritage Housing of Canton</x:v>
      </x:c>
      <x:c r="C3422" t="str" s="2">
        <x:v/>
      </x:c>
      <x:c r="D3422" t="str" s="2">
        <x:v>4697696602</x:v>
      </x:c>
      <x:c r="E3422" t="str" s="2">
        <x:v>christylove0720@gmail.com</x:v>
      </x:c>
      <x:c r="F3422" t="str" s="2">
        <x:v>Landing_BPM</x:v>
      </x:c>
      <x:c r="G3422" t="str" s="2">
        <x:v>Jacob Hatten</x:v>
      </x:c>
      <x:c r="H3422" s="6">
        <x:v>46243.96529748842</x:v>
      </x:c>
      <x:c r="I3422" s="0"/>
      <x:c r="J3422" s="0"/>
      <x:c r="K3422" s="6">
        <x:v>46293</x:v>
      </x:c>
      <x:c r="L3422" t="str" s="2">
        <x:v>Message Sent</x:v>
      </x:c>
    </x:row>
    <x:row r="3423">
      <x:c r="A3423" t="str" s="2">
        <x:f>="sheila yang"</x:f>
      </x:c>
      <x:c r="B3423" t="str" s="2">
        <x:v>Heritage Housing of Asheboro</x:v>
      </x:c>
      <x:c r="C3423" t="str" s="2">
        <x:v/>
      </x:c>
      <x:c r="D3423" t="str" s="2">
        <x:v>8282188002</x:v>
      </x:c>
      <x:c r="E3423" t="str" s="2">
        <x:v>sheila_g.yang98@outlook.com</x:v>
      </x:c>
      <x:c r="F3423" t="str" s="2">
        <x:v>Landing_BPM</x:v>
      </x:c>
      <x:c r="G3423" t="str" s="2">
        <x:v>Maria Lopez</x:v>
      </x:c>
      <x:c r="H3423" s="6">
        <x:v>46243.98622994213</x:v>
      </x:c>
      <x:c r="I3423" s="0"/>
      <x:c r="J3423" s="0"/>
      <x:c r="K3423" s="6">
        <x:v>46259</x:v>
      </x:c>
      <x:c r="L3423" t="str" s="2">
        <x:v>Message Sent</x:v>
      </x:c>
    </x:row>
    <x:row r="3424">
      <x:c r="A3424" t="str" s="2">
        <x:f>="Donnie Carroll"</x:f>
      </x:c>
      <x:c r="B3424" t="str" s="2">
        <x:v>Heritage Housing of Albany</x:v>
      </x:c>
      <x:c r="C3424" t="str" s="2">
        <x:v>0/1</x:v>
      </x:c>
      <x:c r="D3424" t="str" s="2">
        <x:v>4789545557</x:v>
      </x:c>
      <x:c r="E3424" t="str" s="2">
        <x:v>carrollstrucking@gmail.com</x:v>
      </x:c>
      <x:c r="F3424" t="str" s="2">
        <x:v>Landing_BPM</x:v>
      </x:c>
      <x:c r="G3424" t="str" s="2">
        <x:v>Yanet Alvarez</x:v>
      </x:c>
      <x:c r="H3424" s="6">
        <x:v>46244.03025783565</x:v>
      </x:c>
      <x:c r="I3424" s="0"/>
      <x:c r="J3424" s="0"/>
      <x:c r="K3424" s="6">
        <x:v>46303</x:v>
      </x:c>
      <x:c r="L3424" t="str" s="2">
        <x:v>Message Sent</x:v>
      </x:c>
    </x:row>
    <x:row r="3425">
      <x:c r="A3425" t="str" s="2">
        <x:f>="Cayce Guest"</x:f>
      </x:c>
      <x:c r="B3425" t="str" s="2">
        <x:v>Heritage Housing of Augusta</x:v>
      </x:c>
      <x:c r="C3425" t="str" s="2">
        <x:v/>
      </x:c>
      <x:c r="D3425" t="str" s="2">
        <x:v>4049017851</x:v>
      </x:c>
      <x:c r="E3425" t="str" s="2">
        <x:v>ormsbyfarms19@gmail.com</x:v>
      </x:c>
      <x:c r="F3425" t="str" s="2">
        <x:v>Landing_BPM</x:v>
      </x:c>
      <x:c r="G3425" t="str" s="2">
        <x:v>Faye Lively</x:v>
      </x:c>
      <x:c r="H3425" s="6">
        <x:v>46244.04445934028</x:v>
      </x:c>
      <x:c r="I3425" s="0"/>
      <x:c r="J3425" s="0"/>
      <x:c r="K3425" s="6">
        <x:v>46274</x:v>
      </x:c>
      <x:c r="L3425" t="str" s="2">
        <x:v>Message Sent</x:v>
      </x:c>
    </x:row>
    <x:row r="3426">
      <x:c r="A3426" t="str" s="2">
        <x:f>="April Coker"</x:f>
      </x:c>
      <x:c r="B3426" t="str" s="2">
        <x:v>Legacy Housing Corp. DBA Americasa</x:v>
      </x:c>
      <x:c r="C3426" t="str" s="2">
        <x:v/>
      </x:c>
      <x:c r="D3426" t="str" s="2">
        <x:v>4093369849</x:v>
      </x:c>
      <x:c r="E3426" t="str" s="2">
        <x:v>aprilcay@icloud.com</x:v>
      </x:c>
      <x:c r="F3426" t="str" s="2">
        <x:v>Landing_BPM</x:v>
      </x:c>
      <x:c r="G3426" t="str" s="2">
        <x:v>Rodrigo Ramirez</x:v>
      </x:c>
      <x:c r="H3426" s="6">
        <x:v>46244.08123491898</x:v>
      </x:c>
      <x:c r="I3426" s="0"/>
      <x:c r="J3426" s="0"/>
      <x:c r="K3426" s="6">
        <x:v>46296</x:v>
      </x:c>
      <x:c r="L3426" t="str" s="2">
        <x:v>Message Sent</x:v>
      </x:c>
    </x:row>
    <x:row r="3427">
      <x:c r="A3427" t="str" s="2">
        <x:f>="Mary Forbes"</x:f>
      </x:c>
      <x:c r="B3427" t="str" s="2">
        <x:v>Heritage Housing of Oklahoma City</x:v>
      </x:c>
      <x:c r="C3427" t="str" s="2">
        <x:v>0/1</x:v>
      </x:c>
      <x:c r="D3427" t="str" s="2">
        <x:v>4057957082</x:v>
      </x:c>
      <x:c r="E3427" t="str" s="2">
        <x:v>forbesmary21@gmail.com</x:v>
      </x:c>
      <x:c r="F3427" t="str" s="2">
        <x:v>Landing_BPM</x:v>
      </x:c>
      <x:c r="G3427" t="str" s="2">
        <x:v>Trey Rixleben</x:v>
      </x:c>
      <x:c r="H3427" s="6">
        <x:v>46244.10703587963</x:v>
      </x:c>
      <x:c r="I3427" s="0"/>
      <x:c r="J3427" s="0"/>
      <x:c r="K3427" s="6">
        <x:v>46244.58921203703</x:v>
      </x:c>
      <x:c r="L3427" t="str" s="2">
        <x:v>Message Sent</x:v>
      </x:c>
    </x:row>
    <x:row r="3428">
      <x:c r="A3428" t="str" s="2">
        <x:f>="Nikki Sinegal Sinegal"</x:f>
      </x:c>
      <x:c r="B3428" t="str" s="2">
        <x:v>Legacy Housing Corp. DBA Americasa</x:v>
      </x:c>
      <x:c r="C3428" t="str" s="2">
        <x:v/>
      </x:c>
      <x:c r="D3428" t="str" s="2">
        <x:v>4092043840</x:v>
      </x:c>
      <x:c r="E3428" t="str" s="2">
        <x:v>nsinegal5@gmail.com</x:v>
      </x:c>
      <x:c r="F3428" t="str" s="2">
        <x:v>Landing_BPM</x:v>
      </x:c>
      <x:c r="G3428" t="str" s="2">
        <x:v>Rodrigo Ramirez</x:v>
      </x:c>
      <x:c r="H3428" s="6">
        <x:v>46244.18172612268</x:v>
      </x:c>
      <x:c r="I3428" s="0"/>
      <x:c r="J3428" s="0"/>
      <x:c r="K3428" s="6">
        <x:v>46296</x:v>
      </x:c>
      <x:c r="L3428" t="str" s="2">
        <x:v>Message Sent</x:v>
      </x:c>
    </x:row>
    <x:row r="3429">
      <x:c r="A3429" t="str" s="2">
        <x:f>="sharon cox"</x:f>
      </x:c>
      <x:c r="B3429" t="str" s="2">
        <x:v>Heritage Housing of Asheboro</x:v>
      </x:c>
      <x:c r="C3429" t="str" s="2">
        <x:v/>
      </x:c>
      <x:c r="D3429" t="str" s="2">
        <x:v>984-989-4394</x:v>
      </x:c>
      <x:c r="E3429" t="str" s="2">
        <x:v>sharonecox25@gmail.com</x:v>
      </x:c>
      <x:c r="F3429" t="str" s="2">
        <x:v>Landing_BPM</x:v>
      </x:c>
      <x:c r="G3429" t="str" s="2">
        <x:v>Maria Lopez</x:v>
      </x:c>
      <x:c r="H3429" s="6">
        <x:v>46244.18270019676</x:v>
      </x:c>
      <x:c r="I3429" s="0"/>
      <x:c r="J3429" s="0"/>
      <x:c r="K3429" s="6">
        <x:v>46261</x:v>
      </x:c>
      <x:c r="L3429" t="str" s="2">
        <x:v>Message Sent</x:v>
      </x:c>
    </x:row>
    <x:row r="3430">
      <x:c r="A3430" t="str" s="2">
        <x:f>="Yessica Tamayo"</x:f>
      </x:c>
      <x:c r="B3430" t="str" s="2">
        <x:v>Heritage Housing of Tulsa</x:v>
      </x:c>
      <x:c r="C3430" t="str" s="2">
        <x:v>1/1</x:v>
      </x:c>
      <x:c r="D3430" t="str" s="2">
        <x:v>9188095522</x:v>
      </x:c>
      <x:c r="E3430" t="str" s="2">
        <x:v>aaainfinito@gmail.com</x:v>
      </x:c>
      <x:c r="F3430" t="str" s="2">
        <x:v>Landing_BPM</x:v>
      </x:c>
      <x:c r="G3430" t="str" s="2">
        <x:v>Jenna Fransisco</x:v>
      </x:c>
      <x:c r="H3430" s="6">
        <x:v>46244.241530671294</x:v>
      </x:c>
      <x:c r="I3430" s="0"/>
      <x:c r="J3430" s="0"/>
      <x:c r="K3430" s="6">
        <x:v>46261</x:v>
      </x:c>
      <x:c r="L3430" t="str" s="2">
        <x:v>Message Sent</x:v>
      </x:c>
    </x:row>
    <x:row r="3431">
      <x:c r="A3431" t="str" s="2">
        <x:f>="Chloie Searcy"</x:f>
      </x:c>
      <x:c r="B3431" t="str" s="2">
        <x:v>Heritage Housing of Tulsa</x:v>
      </x:c>
      <x:c r="C3431" t="str" s="2">
        <x:v/>
      </x:c>
      <x:c r="D3431" t="str" s="2">
        <x:v>5393576727</x:v>
      </x:c>
      <x:c r="E3431" t="str" s="2">
        <x:v>cnsearcy25@gmail.com</x:v>
      </x:c>
      <x:c r="F3431" t="str" s="2">
        <x:v>Landing_BPM</x:v>
      </x:c>
      <x:c r="G3431" t="str" s="2">
        <x:v>Jenna Fransisco</x:v>
      </x:c>
      <x:c r="H3431" s="6">
        <x:v>46244.363392280095</x:v>
      </x:c>
      <x:c r="I3431" s="0"/>
      <x:c r="J3431" s="0"/>
      <x:c r="K3431" s="6">
        <x:v>46251</x:v>
      </x:c>
      <x:c r="L3431" t="str" s="2">
        <x:v>Message Sent</x:v>
      </x:c>
    </x:row>
    <x:row r="3432">
      <x:c r="A3432" t="str" s="2">
        <x:f>="Clara Simmons"</x:f>
      </x:c>
      <x:c r="B3432" t="str" s="2">
        <x:v>Heritage Housing of Canton</x:v>
      </x:c>
      <x:c r="C3432" t="str" s="2">
        <x:v/>
      </x:c>
      <x:c r="D3432" t="str" s="2">
        <x:v>9454087073</x:v>
      </x:c>
      <x:c r="E3432" t="str" s="2">
        <x:v>c80006146@gmail.com</x:v>
      </x:c>
      <x:c r="F3432" t="str" s="2">
        <x:v>Landing_BPM</x:v>
      </x:c>
      <x:c r="G3432" t="str" s="2">
        <x:v>Maira Garcia</x:v>
      </x:c>
      <x:c r="H3432" s="6">
        <x:v>46244.376493599535</x:v>
      </x:c>
      <x:c r="I3432" s="0"/>
      <x:c r="J3432" s="0"/>
      <x:c r="K3432" s="6">
        <x:v>46244</x:v>
      </x:c>
      <x:c r="L3432" t="str" s="2">
        <x:v>Message Sent</x:v>
      </x:c>
    </x:row>
    <x:row r="3433">
      <x:c r="A3433" t="str" s="2">
        <x:f>="Jayme Pace"</x:f>
      </x:c>
      <x:c r="B3433" t="str" s="2">
        <x:v>Heritage Housing Mt Pleasant</x:v>
      </x:c>
      <x:c r="C3433" t="str" s="2">
        <x:v/>
      </x:c>
      <x:c r="D3433" t="str" s="2">
        <x:v>9032215537</x:v>
      </x:c>
      <x:c r="E3433" t="str" s="2">
        <x:v>jaymesuepace02@gmail.com</x:v>
      </x:c>
      <x:c r="F3433" t="str" s="2">
        <x:v>Landing_BPM</x:v>
      </x:c>
      <x:c r="G3433" t="str" s="2">
        <x:v>Sandra Saldana</x:v>
      </x:c>
      <x:c r="H3433" s="6">
        <x:v>46244.50767572917</x:v>
      </x:c>
      <x:c r="I3433" s="0"/>
      <x:c r="J3433" s="0"/>
      <x:c r="K3433" s="6">
        <x:v>46253</x:v>
      </x:c>
      <x:c r="L3433" t="str" s="2">
        <x:v>Message Sent</x:v>
      </x:c>
    </x:row>
    <x:row r="3434">
      <x:c r="A3434" t="str" s="2">
        <x:f>="Sherry Allen"</x:f>
      </x:c>
      <x:c r="B3434" t="str" s="2">
        <x:v>Legacy Housing Corp. DBA Americasa</x:v>
      </x:c>
      <x:c r="C3434" t="str" s="2">
        <x:v/>
      </x:c>
      <x:c r="D3434" t="str" s="2">
        <x:v>8324140449</x:v>
      </x:c>
      <x:c r="E3434" t="str" s="2">
        <x:v>Scra1960@yahoo.com</x:v>
      </x:c>
      <x:c r="F3434" t="str" s="2">
        <x:v>Landing_BPM</x:v>
      </x:c>
      <x:c r="G3434" t="str" s="2">
        <x:v>Jose Parada</x:v>
      </x:c>
      <x:c r="H3434" s="6">
        <x:v>46244.545560150465</x:v>
      </x:c>
      <x:c r="I3434" s="0"/>
      <x:c r="J3434" s="0"/>
      <x:c r="K3434" s="6">
        <x:v>46296</x:v>
      </x:c>
      <x:c r="L3434" t="str" s="2">
        <x:v>Message Sent</x:v>
      </x:c>
    </x:row>
    <x:row r="3435">
      <x:c r="A3435" t="str" s="2">
        <x:f>="Anna Obrien"</x:f>
      </x:c>
      <x:c r="B3435" t="str" s="2">
        <x:v>Heritage Housing of Jennings</x:v>
      </x:c>
      <x:c r="C3435" t="str" s="2">
        <x:v/>
      </x:c>
      <x:c r="D3435" t="str" s="2">
        <x:v>3375548414</x:v>
      </x:c>
      <x:c r="E3435" t="str" s="2">
        <x:v>aannanicolee@icloud.com</x:v>
      </x:c>
      <x:c r="F3435" t="str" s="2">
        <x:v>Landing_BPM</x:v>
      </x:c>
      <x:c r="G3435" t="str" s="2">
        <x:v>Clint O'Neal</x:v>
      </x:c>
      <x:c r="H3435" s="6">
        <x:v>46244.56102083333</x:v>
      </x:c>
      <x:c r="I3435" s="0"/>
      <x:c r="J3435" s="0"/>
      <x:c r="K3435" s="6">
        <x:v>46302.66393174769</x:v>
      </x:c>
      <x:c r="L3435" t="str" s="2">
        <x:v>Message Sent</x:v>
      </x:c>
    </x:row>
    <x:row r="3436">
      <x:c r="A3436" t="str" s="2">
        <x:f>="Wilson Harrison"</x:f>
      </x:c>
      <x:c r="B3436" t="str" s="2">
        <x:v>Heritage Housing of Jennings</x:v>
      </x:c>
      <x:c r="C3436" t="str" s="2">
        <x:v>0/1</x:v>
      </x:c>
      <x:c r="D3436" t="str" s="2">
        <x:v>3372969242</x:v>
      </x:c>
      <x:c r="E3436" t="str" s="2">
        <x:v>willieharrison752@gmail.com</x:v>
      </x:c>
      <x:c r="F3436" t="str" s="2">
        <x:v>Landing_BPM</x:v>
      </x:c>
      <x:c r="G3436" t="str" s="2">
        <x:v>Mervin Leslie Smith</x:v>
      </x:c>
      <x:c r="H3436" s="6">
        <x:v>46244.68404042824</x:v>
      </x:c>
      <x:c r="I3436" s="0"/>
      <x:c r="J3436" s="0"/>
      <x:c r="K3436" s="6">
        <x:v>46302.66456392361</x:v>
      </x:c>
      <x:c r="L3436" t="str" s="2">
        <x:v>Message Sent</x:v>
      </x:c>
    </x:row>
    <x:row r="3437">
      <x:c r="A3437" t="str" s="2">
        <x:f>="Jeremy Wilson"</x:f>
      </x:c>
      <x:c r="B3437" t="str" s="2">
        <x:v>Heritage Housing of Oklahoma City</x:v>
      </x:c>
      <x:c r="C3437" t="str" s="2">
        <x:v>0/1</x:v>
      </x:c>
      <x:c r="D3437" t="str" s="2">
        <x:v>580-693-0387</x:v>
      </x:c>
      <x:c r="E3437" t="str" s="2">
        <x:v>greasemonkey73401@yahoo.com</x:v>
      </x:c>
      <x:c r="F3437" t="str" s="2">
        <x:v>Landing_BPM</x:v>
      </x:c>
      <x:c r="G3437" t="str" s="2">
        <x:v>Steve Castell</x:v>
      </x:c>
      <x:c r="H3437" s="6">
        <x:v>46244.69327387732</x:v>
      </x:c>
      <x:c r="I3437" s="0"/>
      <x:c r="J3437" s="0"/>
      <x:c r="K3437" s="6">
        <x:v>46244</x:v>
      </x:c>
      <x:c r="L3437" t="str" s="2">
        <x:v>Message Sent</x:v>
      </x:c>
    </x:row>
    <x:row r="3438">
      <x:c r="A3438" t="str" s="2">
        <x:f>="Kevin Taylor"</x:f>
      </x:c>
      <x:c r="B3438" t="str" s="2">
        <x:v>Heritage Housing of Asheboro</x:v>
      </x:c>
      <x:c r="C3438" t="str" s="2">
        <x:v/>
      </x:c>
      <x:c r="D3438" t="str" s="2">
        <x:v>3367928389</x:v>
      </x:c>
      <x:c r="E3438" t="str" s="2">
        <x:v>sweetguy1612003@live.com</x:v>
      </x:c>
      <x:c r="F3438" t="str" s="2">
        <x:v>Landing_BPM</x:v>
      </x:c>
      <x:c r="G3438" t="str" s="2">
        <x:v>Jeremy Jacques</x:v>
      </x:c>
      <x:c r="H3438" s="6">
        <x:v>46244.761366203704</x:v>
      </x:c>
      <x:c r="I3438" s="0"/>
      <x:c r="J3438" s="0"/>
      <x:c r="K3438" s="6">
        <x:v>46244</x:v>
      </x:c>
      <x:c r="L3438" t="str" s="2">
        <x:v>Message Sent</x:v>
      </x:c>
    </x:row>
    <x:row r="3439">
      <x:c r="A3439" t="str" s="2">
        <x:f>="Dawn Faustsipple"</x:f>
      </x:c>
      <x:c r="B3439" t="str" s="2">
        <x:v>Heritage Housing of Albany</x:v>
      </x:c>
      <x:c r="C3439" t="str" s="2">
        <x:v/>
      </x:c>
      <x:c r="D3439" t="str" s="2">
        <x:v>7622279415</x:v>
      </x:c>
      <x:c r="E3439" t="str" s="2">
        <x:v>dasipple25@gmail.com</x:v>
      </x:c>
      <x:c r="F3439" t="str" s="2">
        <x:v>Landing_BPM</x:v>
      </x:c>
      <x:c r="G3439" t="str" s="2">
        <x:v>Yanet Alvarez</x:v>
      </x:c>
      <x:c r="H3439" s="6">
        <x:v>46244.804385034724</x:v>
      </x:c>
      <x:c r="I3439" s="0"/>
      <x:c r="J3439" s="0"/>
      <x:c r="K3439" s="6">
        <x:v>46303</x:v>
      </x:c>
      <x:c r="L3439" t="str" s="2">
        <x:v>Message Sent</x:v>
      </x:c>
    </x:row>
    <x:row r="3440">
      <x:c r="A3440" t="str" s="2">
        <x:f>=HYPERLINK("https://rsms.futurehomex.com/lead/38888", "Neil Key")</x:f>
      </x:c>
      <x:c r="B3440" s="0"/>
      <x:c r="C3440" t="str" s="2">
        <x:v/>
      </x:c>
      <x:c r="D3440" t="str" s="2">
        <x:v>7065895451</x:v>
      </x:c>
      <x:c r="E3440" t="str" s="2">
        <x:v>twokeyscustom@yahoo.com</x:v>
      </x:c>
      <x:c r="F3440" t="str" s="2">
        <x:v>Walk-in</x:v>
      </x:c>
      <x:c r="G3440" t="str" s="2">
        <x:v>Alex Jones</x:v>
      </x:c>
      <x:c r="H3440" s="6">
        <x:v>46244.867273842596</x:v>
      </x:c>
      <x:c r="I3440" t="str" s="2">
        <x:v>Alex Jones</x:v>
      </x:c>
      <x:c r="J3440" s="0"/>
      <x:c r="K3440" s="6">
        <x:v>46265</x:v>
      </x:c>
      <x:c r="L3440" t="str" s="2">
        <x:v>Message Sent</x:v>
      </x:c>
    </x:row>
    <x:row r="3441">
      <x:c r="A3441" t="str" s="2">
        <x:f>="Kristen Powers"</x:f>
      </x:c>
      <x:c r="B3441" t="str" s="2">
        <x:v>Heritage Housing of Tulsa</x:v>
      </x:c>
      <x:c r="C3441" t="str" s="2">
        <x:v/>
      </x:c>
      <x:c r="D3441" t="str" s="2">
        <x:v>9189014331</x:v>
      </x:c>
      <x:c r="E3441" t="str" s="2">
        <x:v>funnyybunnyy7777@gmail.com</x:v>
      </x:c>
      <x:c r="F3441" t="str" s="2">
        <x:v>Landing_BPM</x:v>
      </x:c>
      <x:c r="G3441" t="str" s="2">
        <x:v>Jenna Fransisco</x:v>
      </x:c>
      <x:c r="H3441" s="6">
        <x:v>46244.88295424769</x:v>
      </x:c>
      <x:c r="I3441" s="0"/>
      <x:c r="J3441" s="0"/>
      <x:c r="K3441" s="6">
        <x:v>46251</x:v>
      </x:c>
      <x:c r="L3441" t="str" s="2">
        <x:v>Message Sent</x:v>
      </x:c>
    </x:row>
    <x:row r="3442">
      <x:c r="A3442" t="str" s="2">
        <x:f>="Jacob Frederick"</x:f>
      </x:c>
      <x:c r="B3442" t="str" s="2">
        <x:v>Heritage Housing of Albany</x:v>
      </x:c>
      <x:c r="C3442" t="str" s="2">
        <x:v/>
      </x:c>
      <x:c r="D3442" t="str" s="2">
        <x:v>6788182445</x:v>
      </x:c>
      <x:c r="E3442" t="str" s="2">
        <x:v>lexiesullivan15@gmail.com</x:v>
      </x:c>
      <x:c r="F3442" t="str" s="2">
        <x:v>Financing Form</x:v>
      </x:c>
      <x:c r="G3442" t="str" s="2">
        <x:v>Yanet Alvarez</x:v>
      </x:c>
      <x:c r="H3442" s="6">
        <x:v>46244.96189861111</x:v>
      </x:c>
      <x:c r="I3442" s="0"/>
      <x:c r="J3442" s="0"/>
      <x:c r="K3442" s="6">
        <x:v>46303</x:v>
      </x:c>
      <x:c r="L3442" t="str" s="2">
        <x:v>Message Sent</x:v>
      </x:c>
    </x:row>
    <x:row r="3443">
      <x:c r="A3443" t="str" s="2">
        <x:f>="Amanda Gainey"</x:f>
      </x:c>
      <x:c r="B3443" t="str" s="2">
        <x:v>Heritage Housing of Augusta</x:v>
      </x:c>
      <x:c r="C3443" t="str" s="2">
        <x:v>1/2</x:v>
      </x:c>
      <x:c r="D3443" t="str" s="2">
        <x:v>8034687008</x:v>
      </x:c>
      <x:c r="E3443" t="str" s="2">
        <x:v>Amanda_ross2014@yahoo.com</x:v>
      </x:c>
      <x:c r="F3443" t="str" s="2">
        <x:v>Financing Form</x:v>
      </x:c>
      <x:c r="G3443" t="str" s="2">
        <x:v>Jennifer Johnson</x:v>
      </x:c>
      <x:c r="H3443" s="6">
        <x:v>46245.01850633102</x:v>
      </x:c>
      <x:c r="I3443" s="0"/>
      <x:c r="J3443" s="0"/>
      <x:c r="K3443" s="6">
        <x:v>46300</x:v>
      </x:c>
      <x:c r="L3443" t="str" s="2">
        <x:v>Message Sent</x:v>
      </x:c>
    </x:row>
    <x:row r="3444">
      <x:c r="A3444" t="str" s="2">
        <x:f>="Freddie Vontress"</x:f>
      </x:c>
      <x:c r="B3444" t="str" s="2">
        <x:v>Heritage Housing of Oklahoma City</x:v>
      </x:c>
      <x:c r="C3444" t="str" s="2">
        <x:v>1/4</x:v>
      </x:c>
      <x:c r="D3444" t="str" s="2">
        <x:v>6892249864</x:v>
      </x:c>
      <x:c r="E3444" t="str" s="2">
        <x:v>maddyunstuck@gmail.com</x:v>
      </x:c>
      <x:c r="F3444" t="str" s="2">
        <x:v>Landing_BPM</x:v>
      </x:c>
      <x:c r="G3444" t="str" s="2">
        <x:v>Steve Castell</x:v>
      </x:c>
      <x:c r="H3444" s="6">
        <x:v>46245.09504112269</x:v>
      </x:c>
      <x:c r="I3444" s="0"/>
      <x:c r="J3444" s="0"/>
      <x:c r="K3444" s="6">
        <x:v>46245.60012584491</x:v>
      </x:c>
      <x:c r="L3444" t="str" s="2">
        <x:v>Message Sent</x:v>
      </x:c>
    </x:row>
    <x:row r="3445">
      <x:c r="A3445" t="str" s="2">
        <x:f>="Melanie Matte Matte"</x:f>
      </x:c>
      <x:c r="B3445" t="str" s="2">
        <x:v>Heritage Housing of Jennings</x:v>
      </x:c>
      <x:c r="C3445" t="str" s="2">
        <x:v>0/1</x:v>
      </x:c>
      <x:c r="D3445" t="str" s="2">
        <x:v>3377859423</x:v>
      </x:c>
      <x:c r="E3445" t="str" s="2">
        <x:v>matte_melanie93@yahoo.com</x:v>
      </x:c>
      <x:c r="F3445" t="str" s="2">
        <x:v>Landing_BPM</x:v>
      </x:c>
      <x:c r="G3445" t="str" s="2">
        <x:v>Clint O'Neal</x:v>
      </x:c>
      <x:c r="H3445" s="6">
        <x:v>46245.14051666667</x:v>
      </x:c>
      <x:c r="I3445" s="0"/>
      <x:c r="J3445" s="0"/>
      <x:c r="K3445" s="6">
        <x:v>46302.66514302084</x:v>
      </x:c>
      <x:c r="L3445" t="str" s="2">
        <x:v>Message Sent</x:v>
      </x:c>
    </x:row>
    <x:row r="3446">
      <x:c r="A3446" t="str" s="2">
        <x:f>="Linda Cummings"</x:f>
      </x:c>
      <x:c r="B3446" t="str" s="2">
        <x:v>Heritage Housing of Athens</x:v>
      </x:c>
      <x:c r="C3446" t="str" s="2">
        <x:v/>
      </x:c>
      <x:c r="D3446" t="str" s="2">
        <x:v>7068162014</x:v>
      </x:c>
      <x:c r="E3446" t="str" s="2">
        <x:v>Lindatc@yahoo.com</x:v>
      </x:c>
      <x:c r="F3446" t="str" s="2">
        <x:v>Landing_BPM</x:v>
      </x:c>
      <x:c r="G3446" t="str" s="2">
        <x:v>Nathan Bishop</x:v>
      </x:c>
      <x:c r="H3446" s="6">
        <x:v>46245.258514085646</x:v>
      </x:c>
      <x:c r="I3446" s="0"/>
      <x:c r="J3446" s="0"/>
      <x:c r="K3446" s="6">
        <x:v>46288</x:v>
      </x:c>
      <x:c r="L3446" t="str" s="2">
        <x:v>Message Sent</x:v>
      </x:c>
    </x:row>
    <x:row r="3447">
      <x:c r="A3447" t="str" s="2">
        <x:f>="shayla brooks"</x:f>
      </x:c>
      <x:c r="B3447" t="str" s="2">
        <x:v>Heritage Housing of Augusta</x:v>
      </x:c>
      <x:c r="C3447" t="str" s="2">
        <x:v/>
      </x:c>
      <x:c r="D3447" t="str" s="2">
        <x:v>7068429605</x:v>
      </x:c>
      <x:c r="E3447" t="str" s="2">
        <x:v>shaylabrooksm@gmail.com</x:v>
      </x:c>
      <x:c r="F3447" t="str" s="2">
        <x:v>Financing Form</x:v>
      </x:c>
      <x:c r="G3447" t="str" s="2">
        <x:v>Faye Lively</x:v>
      </x:c>
      <x:c r="H3447" s="6">
        <x:v>46245.46495721065</x:v>
      </x:c>
      <x:c r="I3447" s="0"/>
      <x:c r="J3447" s="0"/>
      <x:c r="K3447" s="6">
        <x:v>46274</x:v>
      </x:c>
      <x:c r="L3447" t="str" s="2">
        <x:v>Message Sent</x:v>
      </x:c>
    </x:row>
    <x:row r="3448">
      <x:c r="A3448" t="str" s="2">
        <x:f>="Tarshia Slade"</x:f>
      </x:c>
      <x:c r="B3448" t="str" s="2">
        <x:v>Heritage Housing of Asheboro</x:v>
      </x:c>
      <x:c r="C3448" t="str" s="2">
        <x:v/>
      </x:c>
      <x:c r="D3448" t="str" s="2">
        <x:v>3365017317</x:v>
      </x:c>
      <x:c r="E3448" t="str" s="2">
        <x:v>tarshia.slade@aol.com</x:v>
      </x:c>
      <x:c r="F3448" t="str" s="2">
        <x:v>Website</x:v>
      </x:c>
      <x:c r="G3448" t="str" s="2">
        <x:v>Jeremy Jacques</x:v>
      </x:c>
      <x:c r="H3448" s="6">
        <x:v>46245.4927428588</x:v>
      </x:c>
      <x:c r="I3448" s="0"/>
      <x:c r="J3448" s="0"/>
      <x:c r="K3448" s="6">
        <x:v>46246</x:v>
      </x:c>
      <x:c r="L3448" t="str" s="2">
        <x:v>Message Sent</x:v>
      </x:c>
    </x:row>
    <x:row r="3449">
      <x:c r="A3449" t="str" s="2">
        <x:f>=HYPERLINK("https://rsms.futurehomex.com/lead/39078", "Charles Pitchford")</x:f>
      </x:c>
      <x:c r="B3449" t="str" s="2">
        <x:v>Heritage Housing of Augusta</x:v>
      </x:c>
      <x:c r="C3449" t="str" s="2">
        <x:v/>
      </x:c>
      <x:c r="D3449" t="str" s="2">
        <x:v>7066998480</x:v>
      </x:c>
      <x:c r="E3449" t="str" s="2">
        <x:v>charlespitchford1@icloud.com</x:v>
      </x:c>
      <x:c r="F3449" t="str" s="2">
        <x:v>Walk-in</x:v>
      </x:c>
      <x:c r="G3449" t="str" s="2">
        <x:v>Jennifer Johnson</x:v>
      </x:c>
      <x:c r="H3449" s="6">
        <x:v>46245.59738521991</x:v>
      </x:c>
      <x:c r="I3449" t="str" s="2">
        <x:v>Alex Jones</x:v>
      </x:c>
      <x:c r="J3449" s="0"/>
      <x:c r="K3449" s="6">
        <x:v>46255</x:v>
      </x:c>
      <x:c r="L3449" t="str" s="2">
        <x:v>Message Sent</x:v>
      </x:c>
    </x:row>
    <x:row r="3450">
      <x:c r="A3450" t="str" s="2">
        <x:f>="Vertisha Osborne"</x:f>
      </x:c>
      <x:c r="B3450" t="str" s="2">
        <x:v>Heritage Housing of Oklahoma City</x:v>
      </x:c>
      <x:c r="C3450" t="str" s="2">
        <x:v>0/2</x:v>
      </x:c>
      <x:c r="D3450" t="str" s="2">
        <x:v>4057580816</x:v>
      </x:c>
      <x:c r="E3450" t="str" s="2">
        <x:v>vertishaos@gmail.com</x:v>
      </x:c>
      <x:c r="F3450" t="str" s="2">
        <x:v>Landing_BPM</x:v>
      </x:c>
      <x:c r="G3450" t="str" s="2">
        <x:v>Steve Castell</x:v>
      </x:c>
      <x:c r="H3450" s="6">
        <x:v>46245.67750366898</x:v>
      </x:c>
      <x:c r="I3450" s="0"/>
      <x:c r="J3450" s="0"/>
      <x:c r="K3450" s="6">
        <x:v>46259.9845162037</x:v>
      </x:c>
      <x:c r="L3450" t="str" s="2">
        <x:v>Message Sent</x:v>
      </x:c>
    </x:row>
    <x:row r="3451">
      <x:c r="A3451" t="str" s="2">
        <x:f>="Tiana Mayberry"</x:f>
      </x:c>
      <x:c r="B3451" t="str" s="2">
        <x:v>Heritage Housing of Albany</x:v>
      </x:c>
      <x:c r="C3451" t="str" s="2">
        <x:v/>
      </x:c>
      <x:c r="D3451" t="str" s="2">
        <x:v>3463908135</x:v>
      </x:c>
      <x:c r="E3451" t="str" s="2">
        <x:v>tianatychelle@gmail.com</x:v>
      </x:c>
      <x:c r="F3451" t="str" s="2">
        <x:v>Landing_BPM</x:v>
      </x:c>
      <x:c r="G3451" t="str" s="2">
        <x:v>Yanet Alvarez</x:v>
      </x:c>
      <x:c r="H3451" s="6">
        <x:v>46245.731821678244</x:v>
      </x:c>
      <x:c r="I3451" s="0"/>
      <x:c r="J3451" s="0"/>
      <x:c r="K3451" s="6">
        <x:v>46303</x:v>
      </x:c>
      <x:c r="L3451" t="str" s="2">
        <x:v>Message Sent</x:v>
      </x:c>
    </x:row>
    <x:row r="3452">
      <x:c r="A3452" t="str" s="2">
        <x:f>="Sheri Wilbon"</x:f>
      </x:c>
      <x:c r="B3452" t="str" s="2">
        <x:v>Heritage Housing of Athens</x:v>
      </x:c>
      <x:c r="C3452" t="str" s="2">
        <x:v>0/3</x:v>
      </x:c>
      <x:c r="D3452" t="str" s="2">
        <x:v>7069883343</x:v>
      </x:c>
      <x:c r="E3452" t="str" s="2">
        <x:v>fashiondoll2015@gmail.com</x:v>
      </x:c>
      <x:c r="F3452" t="str" s="2">
        <x:v>Landing_BPM</x:v>
      </x:c>
      <x:c r="G3452" t="str" s="2">
        <x:v>Nathan Bishop</x:v>
      </x:c>
      <x:c r="H3452" s="6">
        <x:v>46245.75597496528</x:v>
      </x:c>
      <x:c r="I3452" s="0"/>
      <x:c r="J3452" s="0"/>
      <x:c r="K3452" s="6">
        <x:v>46282</x:v>
      </x:c>
      <x:c r="L3452" t="str" s="2">
        <x:v>Message Sent</x:v>
      </x:c>
    </x:row>
    <x:row r="3453">
      <x:c r="A3453" t="str" s="2">
        <x:f>=HYPERLINK("https://rsms.futurehomex.com/lead/39125", "Rodney Snell Jr.")</x:f>
      </x:c>
      <x:c r="B3453" t="str" s="2">
        <x:v>Heritage Housing of Augusta</x:v>
      </x:c>
      <x:c r="C3453" t="str" s="2">
        <x:v/>
      </x:c>
      <x:c r="D3453" t="str" s="2">
        <x:v>7064103400</x:v>
      </x:c>
      <x:c r="E3453" t="str" s="2">
        <x:v>rodneyrsnelljr@gmail.com</x:v>
      </x:c>
      <x:c r="F3453" t="str" s="2">
        <x:v>Financing Form</x:v>
      </x:c>
      <x:c r="G3453" t="str" s="2">
        <x:v>Faye Lively</x:v>
      </x:c>
      <x:c r="H3453" s="6">
        <x:v>46245.756552928244</x:v>
      </x:c>
      <x:c r="I3453" t="str" s="2">
        <x:v>Faye Lively</x:v>
      </x:c>
      <x:c r="J3453" s="0"/>
      <x:c r="K3453" s="6">
        <x:v>46251</x:v>
      </x:c>
      <x:c r="L3453" t="str" s="2">
        <x:v>Message Sent</x:v>
      </x:c>
    </x:row>
    <x:row r="3454">
      <x:c r="A3454" t="str" s="2">
        <x:f>="Roger Wells"</x:f>
      </x:c>
      <x:c r="B3454" t="str" s="2">
        <x:v>Heritage Housing of Asheboro</x:v>
      </x:c>
      <x:c r="C3454" t="str" s="2">
        <x:v/>
      </x:c>
      <x:c r="D3454" t="str" s="2">
        <x:v>8467983256</x:v>
      </x:c>
      <x:c r="E3454" t="str" s="2">
        <x:v>charlenew365@gmail.com</x:v>
      </x:c>
      <x:c r="F3454" t="str" s="2">
        <x:v>Website</x:v>
      </x:c>
      <x:c r="G3454" t="str" s="2">
        <x:v>Maria Lopez</x:v>
      </x:c>
      <x:c r="H3454" s="6">
        <x:v>46245.760646215276</x:v>
      </x:c>
      <x:c r="I3454" s="0"/>
      <x:c r="J3454" s="0"/>
      <x:c r="K3454" s="6">
        <x:v>46261</x:v>
      </x:c>
      <x:c r="L3454" t="str" s="2">
        <x:v>Message Sent</x:v>
      </x:c>
    </x:row>
    <x:row r="3455">
      <x:c r="A3455" t="str" s="2">
        <x:f>="Xylina Wooten"</x:f>
      </x:c>
      <x:c r="B3455" t="str" s="2">
        <x:v>Heritage Housing of Greenville</x:v>
      </x:c>
      <x:c r="C3455" t="str" s="2">
        <x:v/>
      </x:c>
      <x:c r="D3455" t="str" s="2">
        <x:v>6824193180</x:v>
      </x:c>
      <x:c r="E3455" t="str" s="2">
        <x:v>xylinawooten0@gmail.com</x:v>
      </x:c>
      <x:c r="F3455" t="str" s="2">
        <x:v>Landing_BPM</x:v>
      </x:c>
      <x:c r="G3455" t="str" s="2">
        <x:v>Greg Christman</x:v>
      </x:c>
      <x:c r="H3455" s="6">
        <x:v>46245.78104047454</x:v>
      </x:c>
      <x:c r="I3455" s="0"/>
      <x:c r="J3455" s="0"/>
      <x:c r="K3455" s="6">
        <x:v>46251</x:v>
      </x:c>
      <x:c r="L3455" t="str" s="2">
        <x:v>Message Sent</x:v>
      </x:c>
    </x:row>
    <x:row r="3456">
      <x:c r="A3456" t="str" s="2">
        <x:f>="Haylee Kelsey"</x:f>
      </x:c>
      <x:c r="B3456" t="str" s="2">
        <x:v>Heritage Housing of Tulsa</x:v>
      </x:c>
      <x:c r="C3456" t="str" s="2">
        <x:v/>
      </x:c>
      <x:c r="D3456" t="str" s="2">
        <x:v>5804781275</x:v>
      </x:c>
      <x:c r="E3456" t="str" s="2">
        <x:v>hayleekelsey95@gmail.com</x:v>
      </x:c>
      <x:c r="F3456" t="str" s="2">
        <x:v>Landing_BPM</x:v>
      </x:c>
      <x:c r="G3456" t="str" s="2">
        <x:v>Jenna Fransisco</x:v>
      </x:c>
      <x:c r="H3456" s="6">
        <x:v>46245.79924756944</x:v>
      </x:c>
      <x:c r="I3456" s="0"/>
      <x:c r="J3456" s="0"/>
      <x:c r="K3456" s="6">
        <x:v>46251</x:v>
      </x:c>
      <x:c r="L3456" t="str" s="2">
        <x:v>Message Sent</x:v>
      </x:c>
    </x:row>
    <x:row r="3457">
      <x:c r="A3457" t="str" s="2">
        <x:f>="Melissa Perez"</x:f>
      </x:c>
      <x:c r="B3457" t="str" s="2">
        <x:v>Heritage Housing of Tulsa</x:v>
      </x:c>
      <x:c r="C3457" t="str" s="2">
        <x:v/>
      </x:c>
      <x:c r="D3457" t="str" s="2">
        <x:v>9187585980</x:v>
      </x:c>
      <x:c r="E3457" t="str" s="2">
        <x:v>momo022803@icloud.com</x:v>
      </x:c>
      <x:c r="F3457" t="str" s="2">
        <x:v>Landing_BPM</x:v>
      </x:c>
      <x:c r="G3457" t="str" s="2">
        <x:v>Jenna Fransisco</x:v>
      </x:c>
      <x:c r="H3457" s="6">
        <x:v>46245.81934699074</x:v>
      </x:c>
      <x:c r="I3457" s="0"/>
      <x:c r="J3457" s="0"/>
      <x:c r="K3457" s="6">
        <x:v>46259</x:v>
      </x:c>
      <x:c r="L3457" t="str" s="2">
        <x:v>Message Sent</x:v>
      </x:c>
    </x:row>
    <x:row r="3458">
      <x:c r="A3458" t="str" s="2">
        <x:f>="Sharon Giles"</x:f>
      </x:c>
      <x:c r="B3458" t="str" s="2">
        <x:v>Heritage Housing of Asheboro</x:v>
      </x:c>
      <x:c r="C3458" t="str" s="2">
        <x:v/>
      </x:c>
      <x:c r="D3458" t="str" s="2">
        <x:v>9843829472</x:v>
      </x:c>
      <x:c r="E3458" t="str" s="2">
        <x:v>giles371@gmail.com</x:v>
      </x:c>
      <x:c r="F3458" t="str" s="2">
        <x:v>Landing_BPM</x:v>
      </x:c>
      <x:c r="G3458" t="str" s="2">
        <x:v>Jeremy Jacques</x:v>
      </x:c>
      <x:c r="H3458" s="6">
        <x:v>46245.85357619213</x:v>
      </x:c>
      <x:c r="I3458" s="0"/>
      <x:c r="J3458" s="0"/>
      <x:c r="K3458" s="6">
        <x:v>46246</x:v>
      </x:c>
      <x:c r="L3458" t="str" s="2">
        <x:v>Message Sent</x:v>
      </x:c>
    </x:row>
    <x:row r="3459">
      <x:c r="A3459" t="str" s="2">
        <x:f>="Caphus Young"</x:f>
      </x:c>
      <x:c r="B3459" t="str" s="2">
        <x:v>Heritage Housing of Augusta</x:v>
      </x:c>
      <x:c r="C3459" t="str" s="2">
        <x:v/>
      </x:c>
      <x:c r="D3459" t="str" s="2">
        <x:v>4045938982</x:v>
      </x:c>
      <x:c r="E3459" t="str" s="2">
        <x:v>Steppa2400@gmail.com</x:v>
      </x:c>
      <x:c r="F3459" t="str" s="2">
        <x:v>LandingPage</x:v>
      </x:c>
      <x:c r="G3459" t="str" s="2">
        <x:v>Faye Lively</x:v>
      </x:c>
      <x:c r="H3459" s="6">
        <x:v>46245.96184459491</x:v>
      </x:c>
      <x:c r="I3459" s="0"/>
      <x:c r="J3459" s="0"/>
      <x:c r="K3459" s="6">
        <x:v>46274</x:v>
      </x:c>
      <x:c r="L3459" t="str" s="2">
        <x:v>Message Sent</x:v>
      </x:c>
    </x:row>
    <x:row r="3460">
      <x:c r="A3460" t="str" s="2">
        <x:f>="Quan Frank Emerson"</x:f>
      </x:c>
      <x:c r="B3460" t="str" s="2">
        <x:v>Heritage Housing of Greenville</x:v>
      </x:c>
      <x:c r="C3460" t="str" s="2">
        <x:v/>
      </x:c>
      <x:c r="D3460" t="str" s="2">
        <x:v>4695709728</x:v>
      </x:c>
      <x:c r="E3460" t="str" s="2">
        <x:v>quanemerson@yahoo.com</x:v>
      </x:c>
      <x:c r="F3460" t="str" s="2">
        <x:v>Landing_BPM</x:v>
      </x:c>
      <x:c r="G3460" t="str" s="2">
        <x:v>Brooklynn Allen</x:v>
      </x:c>
      <x:c r="H3460" s="6">
        <x:v>46245.984058483795</x:v>
      </x:c>
      <x:c r="I3460" s="0"/>
      <x:c r="J3460" s="0"/>
      <x:c r="K3460" s="6">
        <x:v>46247</x:v>
      </x:c>
      <x:c r="L3460" t="str" s="2">
        <x:v>Message Sent</x:v>
      </x:c>
    </x:row>
    <x:row r="3461">
      <x:c r="A3461" t="str" s="2">
        <x:f>="Aaliyah Huerta"</x:f>
      </x:c>
      <x:c r="B3461" t="str" s="2">
        <x:v>Heritage Housing of Jennings</x:v>
      </x:c>
      <x:c r="C3461" t="str" s="2">
        <x:v/>
      </x:c>
      <x:c r="D3461" t="str" s="2">
        <x:v>2252400868</x:v>
      </x:c>
      <x:c r="E3461" t="str" s="2">
        <x:v>aaliyahhuerta889@gmail.com</x:v>
      </x:c>
      <x:c r="F3461" t="str" s="2">
        <x:v>Landing_BPM</x:v>
      </x:c>
      <x:c r="G3461" t="str" s="2">
        <x:v>Clint O'Neal</x:v>
      </x:c>
      <x:c r="H3461" s="6">
        <x:v>46246.07381003472</x:v>
      </x:c>
      <x:c r="I3461" s="0"/>
      <x:c r="J3461" s="0"/>
      <x:c r="K3461" s="6">
        <x:v>46302.67544143518</x:v>
      </x:c>
      <x:c r="L3461" t="str" s="2">
        <x:v>Message Sent</x:v>
      </x:c>
    </x:row>
    <x:row r="3462">
      <x:c r="A3462" t="str" s="2">
        <x:f>=HYPERLINK("https://rsms.futurehomex.com/lead/39135", "Edgar Chavez")</x:f>
      </x:c>
      <x:c r="B3462" t="str" s="2">
        <x:v>Heritage Housing of Greenville</x:v>
      </x:c>
      <x:c r="C3462" t="str" s="2">
        <x:v>0/1</x:v>
      </x:c>
      <x:c r="D3462" t="str" s="2">
        <x:v>9034619201</x:v>
      </x:c>
      <x:c r="E3462" t="str" s="2">
        <x:v>echavez21@yahoo.com</x:v>
      </x:c>
      <x:c r="F3462" t="str" s="2">
        <x:v>Financing Form</x:v>
      </x:c>
      <x:c r="G3462" t="str" s="2">
        <x:v>Greg Christman</x:v>
      </x:c>
      <x:c r="H3462" s="6">
        <x:v>46246.13513263889</x:v>
      </x:c>
      <x:c r="I3462" t="str" s="2">
        <x:v>Greg Christman</x:v>
      </x:c>
      <x:c r="J3462" s="0"/>
      <x:c r="K3462" s="6">
        <x:v>46246</x:v>
      </x:c>
      <x:c r="L3462" t="str" s="2">
        <x:v>Message Sent</x:v>
      </x:c>
    </x:row>
    <x:row r="3463">
      <x:c r="A3463" t="str" s="2">
        <x:f>="Reann Ballenger"</x:f>
      </x:c>
      <x:c r="B3463" t="str" s="2">
        <x:v>Heritage Housing of Tulsa</x:v>
      </x:c>
      <x:c r="C3463" t="str" s="2">
        <x:v/>
      </x:c>
      <x:c r="D3463" t="str" s="2">
        <x:v>9185086027</x:v>
      </x:c>
      <x:c r="E3463" t="str" s="2">
        <x:v>reannballenger@gmail.com</x:v>
      </x:c>
      <x:c r="F3463" t="str" s="2">
        <x:v>Landing_BPM</x:v>
      </x:c>
      <x:c r="G3463" t="str" s="2">
        <x:v>Jenna Fransisco</x:v>
      </x:c>
      <x:c r="H3463" s="6">
        <x:v>46246.14938579861</x:v>
      </x:c>
      <x:c r="I3463" s="0"/>
      <x:c r="J3463" s="0"/>
      <x:c r="K3463" s="6">
        <x:v>46251</x:v>
      </x:c>
      <x:c r="L3463" t="str" s="2">
        <x:v>Message Sent</x:v>
      </x:c>
    </x:row>
    <x:row r="3464">
      <x:c r="A3464" t="str" s="2">
        <x:f>="Klaire Taylor"</x:f>
      </x:c>
      <x:c r="B3464" t="str" s="2">
        <x:v>Heritage Housing of Tulsa</x:v>
      </x:c>
      <x:c r="C3464" t="str" s="2">
        <x:v/>
      </x:c>
      <x:c r="D3464" t="str" s="2">
        <x:v>9186502034</x:v>
      </x:c>
      <x:c r="E3464" t="str" s="2">
        <x:v>klaire.taylor17@gmail.com</x:v>
      </x:c>
      <x:c r="F3464" t="str" s="2">
        <x:v>Landing_BPM</x:v>
      </x:c>
      <x:c r="G3464" t="str" s="2">
        <x:v>Jenna Fransisco</x:v>
      </x:c>
      <x:c r="H3464" s="6">
        <x:v>46246.18693487268</x:v>
      </x:c>
      <x:c r="I3464" s="0"/>
      <x:c r="J3464" s="0"/>
      <x:c r="K3464" s="6">
        <x:v>46259</x:v>
      </x:c>
      <x:c r="L3464" t="str" s="2">
        <x:v>Message Sent</x:v>
      </x:c>
    </x:row>
    <x:row r="3465">
      <x:c r="A3465" t="str" s="2">
        <x:f>="Kenny Williams"</x:f>
      </x:c>
      <x:c r="B3465" t="str" s="2">
        <x:v>Heritage Housing of Greenville</x:v>
      </x:c>
      <x:c r="C3465" t="str" s="2">
        <x:v/>
      </x:c>
      <x:c r="D3465" t="str" s="2">
        <x:v>9453468119</x:v>
      </x:c>
      <x:c r="E3465" t="str" s="2">
        <x:v>kennwill61@gmail.com</x:v>
      </x:c>
      <x:c r="F3465" t="str" s="2">
        <x:v>Landing_BPM</x:v>
      </x:c>
      <x:c r="G3465" t="str" s="2">
        <x:v>Brooklynn Allen</x:v>
      </x:c>
      <x:c r="H3465" s="6">
        <x:v>46246.50428194444</x:v>
      </x:c>
      <x:c r="I3465" s="0"/>
      <x:c r="J3465" s="0"/>
      <x:c r="K3465" s="6">
        <x:v>46248</x:v>
      </x:c>
      <x:c r="L3465" t="str" s="2">
        <x:v>Message Sent</x:v>
      </x:c>
    </x:row>
    <x:row r="3466">
      <x:c r="A3466" t="str" s="2">
        <x:f>="Mark Dorsett"</x:f>
      </x:c>
      <x:c r="B3466" t="str" s="2">
        <x:v>Heritage Housing of Asheboro</x:v>
      </x:c>
      <x:c r="C3466" t="str" s="2">
        <x:v/>
      </x:c>
      <x:c r="D3466" t="str" s="2">
        <x:v>3369657541</x:v>
      </x:c>
      <x:c r="E3466" t="str" s="2">
        <x:v>markdorsett43@gmail.com</x:v>
      </x:c>
      <x:c r="F3466" t="str" s="2">
        <x:v>Landing_BPM</x:v>
      </x:c>
      <x:c r="G3466" t="str" s="2">
        <x:v>Jeremy Jacques</x:v>
      </x:c>
      <x:c r="H3466" s="6">
        <x:v>46246.508371145836</x:v>
      </x:c>
      <x:c r="I3466" s="0"/>
      <x:c r="J3466" s="0"/>
      <x:c r="K3466" s="6">
        <x:v>46246</x:v>
      </x:c>
      <x:c r="L3466" t="str" s="2">
        <x:v>Message Sent</x:v>
      </x:c>
    </x:row>
    <x:row r="3467">
      <x:c r="A3467" t="str" s="2">
        <x:f>="Cristina Carrasco Carrasco"</x:f>
      </x:c>
      <x:c r="B3467" t="str" s="2">
        <x:v>Legacy Housing Corp. DBA Americasa</x:v>
      </x:c>
      <x:c r="C3467" t="str" s="2">
        <x:v/>
      </x:c>
      <x:c r="D3467" t="str" s="2">
        <x:v>2106892455</x:v>
      </x:c>
      <x:c r="E3467" t="str" s="2">
        <x:v>cristinaalmaguer123@gmail.com</x:v>
      </x:c>
      <x:c r="F3467" t="str" s="2">
        <x:v>Landing_BPM</x:v>
      </x:c>
      <x:c r="G3467" t="str" s="2">
        <x:v>Rodrigo Ramirez</x:v>
      </x:c>
      <x:c r="H3467" s="6">
        <x:v>46246.591323229164</x:v>
      </x:c>
      <x:c r="I3467" s="0"/>
      <x:c r="J3467" s="0"/>
      <x:c r="K3467" s="6">
        <x:v>46296</x:v>
      </x:c>
      <x:c r="L3467" t="str" s="2">
        <x:v>Message Sent</x:v>
      </x:c>
    </x:row>
    <x:row r="3468">
      <x:c r="A3468" t="str" s="2">
        <x:f>="Amberlynn Fauver"</x:f>
      </x:c>
      <x:c r="B3468" t="str" s="2">
        <x:v>Legacy Housing Corp. DBA Americasa</x:v>
      </x:c>
      <x:c r="C3468" t="str" s="2">
        <x:v/>
      </x:c>
      <x:c r="D3468" t="str" s="2">
        <x:v>2842319433</x:v>
      </x:c>
      <x:c r="E3468" t="str" s="2">
        <x:v>amber42381@gmail.com</x:v>
      </x:c>
      <x:c r="F3468" t="str" s="2">
        <x:v>Landing_BPM</x:v>
      </x:c>
      <x:c r="G3468" t="str" s="2">
        <x:v>Jose Parada</x:v>
      </x:c>
      <x:c r="H3468" s="6">
        <x:v>46246.63205729167</x:v>
      </x:c>
      <x:c r="I3468" s="0"/>
      <x:c r="J3468" s="0"/>
      <x:c r="K3468" s="6">
        <x:v>46296</x:v>
      </x:c>
      <x:c r="L3468" t="str" s="2">
        <x:v>Message Sent</x:v>
      </x:c>
    </x:row>
    <x:row r="3469">
      <x:c r="A3469" t="str" s="2">
        <x:f>=HYPERLINK("https://rsms.futurehomex.com/lead/39097", "Danny Mackey")</x:f>
      </x:c>
      <x:c r="B3469" t="str" s="2">
        <x:v>Heritage Housing of Augusta</x:v>
      </x:c>
      <x:c r="C3469" t="str" s="2">
        <x:v/>
      </x:c>
      <x:c r="D3469" t="str" s="2">
        <x:v>8036341479</x:v>
      </x:c>
      <x:c r="E3469" t="str" s="2">
        <x:v>dbmackey45@gmail.com</x:v>
      </x:c>
      <x:c r="F3469" t="str" s="2">
        <x:v>Walk-in</x:v>
      </x:c>
      <x:c r="G3469" t="str" s="2">
        <x:v>Faye Lively</x:v>
      </x:c>
      <x:c r="H3469" s="6">
        <x:v>46246.63757422454</x:v>
      </x:c>
      <x:c r="I3469" t="str" s="2">
        <x:v>Jennifer Johnson</x:v>
      </x:c>
      <x:c r="J3469" s="0"/>
      <x:c r="K3469" s="6">
        <x:v>46303</x:v>
      </x:c>
      <x:c r="L3469" t="str" s="2">
        <x:v>Message Sent</x:v>
      </x:c>
    </x:row>
    <x:row r="3470">
      <x:c r="A3470" t="str" s="2">
        <x:f>="Josie Foskey"</x:f>
      </x:c>
      <x:c r="B3470" t="str" s="2">
        <x:v>Heritage Housing of Albany</x:v>
      </x:c>
      <x:c r="C3470" t="str" s="2">
        <x:v/>
      </x:c>
      <x:c r="D3470" t="str" s="2">
        <x:v>2293180080</x:v>
      </x:c>
      <x:c r="E3470" t="str" s="2">
        <x:v>josiefoskey044@gmail.com</x:v>
      </x:c>
      <x:c r="F3470" t="str" s="2">
        <x:v>Landing_BPM</x:v>
      </x:c>
      <x:c r="G3470" t="str" s="2">
        <x:v>Yanet Alvarez</x:v>
      </x:c>
      <x:c r="H3470" s="6">
        <x:v>46246.661499270835</x:v>
      </x:c>
      <x:c r="I3470" s="0"/>
      <x:c r="J3470" s="0"/>
      <x:c r="K3470" s="6">
        <x:v>46303.86456149306</x:v>
      </x:c>
      <x:c r="L3470" t="str" s="2">
        <x:v>Message Sent</x:v>
      </x:c>
    </x:row>
    <x:row r="3471">
      <x:c r="A3471" t="str" s="2">
        <x:f>="Michael Paniagua"</x:f>
      </x:c>
      <x:c r="B3471" t="str" s="2">
        <x:v>Heritage Housing of Oklahoma City</x:v>
      </x:c>
      <x:c r="C3471" t="str" s="2">
        <x:v>0/1</x:v>
      </x:c>
      <x:c r="D3471" t="str" s="2">
        <x:v>4057617698</x:v>
      </x:c>
      <x:c r="E3471" t="str" s="2">
        <x:v>dispatch.mary08@gmail.com</x:v>
      </x:c>
      <x:c r="F3471" t="str" s="2">
        <x:v>Facebook Messenger</x:v>
      </x:c>
      <x:c r="G3471" t="str" s="2">
        <x:v>Steve Castell</x:v>
      </x:c>
      <x:c r="H3471" s="6">
        <x:v>46246.665589502314</x:v>
      </x:c>
      <x:c r="I3471" s="0"/>
      <x:c r="J3471" s="6">
        <x:v>46246.958333333336</x:v>
      </x:c>
      <x:c r="K3471" s="6">
        <x:v>46247.594741469904</x:v>
      </x:c>
      <x:c r="L3471" t="str" s="2">
        <x:v>Message Sent</x:v>
      </x:c>
    </x:row>
    <x:row r="3472">
      <x:c r="A3472" t="str" s="2">
        <x:f>="Kacie Bonham"</x:f>
      </x:c>
      <x:c r="B3472" t="str" s="2">
        <x:v>Heritage Housing of Oklahoma City</x:v>
      </x:c>
      <x:c r="C3472" t="str" s="2">
        <x:v/>
      </x:c>
      <x:c r="D3472" t="str" s="2">
        <x:v>9183191676</x:v>
      </x:c>
      <x:c r="E3472" t="str" s="2">
        <x:v>kaciebonham922@gmail.com</x:v>
      </x:c>
      <x:c r="F3472" t="str" s="2">
        <x:v>Landing_BPM</x:v>
      </x:c>
      <x:c r="G3472" t="str" s="2">
        <x:v>Trey Rixleben</x:v>
      </x:c>
      <x:c r="H3472" s="6">
        <x:v>46246.67096142361</x:v>
      </x:c>
      <x:c r="I3472" s="0"/>
      <x:c r="J3472" s="0"/>
      <x:c r="K3472" s="6">
        <x:v>46246.71220825231</x:v>
      </x:c>
      <x:c r="L3472" t="str" s="2">
        <x:v>Message Sent</x:v>
      </x:c>
    </x:row>
    <x:row r="3473">
      <x:c r="A3473" t="str" s="2">
        <x:f>="brinn crawford"</x:f>
      </x:c>
      <x:c r="B3473" t="str" s="2">
        <x:v>Heritage Housing of Tulsa</x:v>
      </x:c>
      <x:c r="C3473" t="str" s="2">
        <x:v/>
      </x:c>
      <x:c r="D3473" t="str" s="2">
        <x:v>9188089633</x:v>
      </x:c>
      <x:c r="E3473" t="str" s="2">
        <x:v>brinn489@gmail.com</x:v>
      </x:c>
      <x:c r="F3473" t="str" s="2">
        <x:v>Website</x:v>
      </x:c>
      <x:c r="G3473" t="str" s="2">
        <x:v>Jenna Fransisco</x:v>
      </x:c>
      <x:c r="H3473" s="6">
        <x:v>46246.690196180556</x:v>
      </x:c>
      <x:c r="I3473" s="0"/>
      <x:c r="J3473" s="0"/>
      <x:c r="K3473" s="6">
        <x:v>46261</x:v>
      </x:c>
      <x:c r="L3473" t="str" s="2">
        <x:v>Message Sent</x:v>
      </x:c>
    </x:row>
    <x:row r="3474">
      <x:c r="A3474" t="str" s="2">
        <x:f>="Robertrer BrandonrerGM"</x:f>
      </x:c>
      <x:c r="B3474" t="str" s="2">
        <x:v>Heritage Housing of Greenville</x:v>
      </x:c>
      <x:c r="C3474" t="str" s="2">
        <x:v/>
      </x:c>
      <x:c r="D3474" t="str" s="2">
        <x:v>84534787579</x:v>
      </x:c>
      <x:c r="E3474" t="str" s="2">
        <x:v>htktfdu@gkfpiko.ntj</x:v>
      </x:c>
      <x:c r="F3474" t="str" s="2">
        <x:v>Website</x:v>
      </x:c>
      <x:c r="G3474" t="str" s="2">
        <x:v>Brooklynn Allen</x:v>
      </x:c>
      <x:c r="H3474" s="6">
        <x:v>46246.69574232639</x:v>
      </x:c>
      <x:c r="I3474" s="0"/>
      <x:c r="J3474" s="0"/>
      <x:c r="K3474" s="6">
        <x:v>46249</x:v>
      </x:c>
      <x:c r="L3474" t="str" s="2">
        <x:v>Message Sent</x:v>
      </x:c>
    </x:row>
    <x:row r="3475">
      <x:c r="A3475" t="str" s="2">
        <x:f>="Destiny Miller"</x:f>
      </x:c>
      <x:c r="B3475" t="str" s="2">
        <x:v>Legacy Housing Corp. DBA Americasa</x:v>
      </x:c>
      <x:c r="C3475" t="str" s="2">
        <x:v/>
      </x:c>
      <x:c r="D3475" t="str" s="2">
        <x:v>4693889569</x:v>
      </x:c>
      <x:c r="E3475" t="str" s="2">
        <x:v>destinymil962@gmail.com</x:v>
      </x:c>
      <x:c r="F3475" t="str" s="2">
        <x:v>Landing_BPM</x:v>
      </x:c>
      <x:c r="G3475" t="str" s="2">
        <x:v>Rodrigo Ramirez</x:v>
      </x:c>
      <x:c r="H3475" s="6">
        <x:v>46246.7221834838</x:v>
      </x:c>
      <x:c r="I3475" s="0"/>
      <x:c r="J3475" s="0"/>
      <x:c r="K3475" s="6">
        <x:v>46296</x:v>
      </x:c>
      <x:c r="L3475" t="str" s="2">
        <x:v>Message Sent</x:v>
      </x:c>
    </x:row>
    <x:row r="3476">
      <x:c r="A3476" t="str" s="2">
        <x:f>="Ana Turner Turner"</x:f>
      </x:c>
      <x:c r="B3476" t="str" s="2">
        <x:v>Heritage Housing of Oklahoma City</x:v>
      </x:c>
      <x:c r="C3476" t="str" s="2">
        <x:v/>
      </x:c>
      <x:c r="D3476" t="str" s="2">
        <x:v>4052008537</x:v>
      </x:c>
      <x:c r="E3476" t="str" s="2">
        <x:v>anabarnes1969@gmail.com</x:v>
      </x:c>
      <x:c r="F3476" t="str" s="2">
        <x:v>Landing_BPM</x:v>
      </x:c>
      <x:c r="G3476" t="str" s="2">
        <x:v>Steve Castell</x:v>
      </x:c>
      <x:c r="H3476" s="6">
        <x:v>46246.7855559838</x:v>
      </x:c>
      <x:c r="I3476" s="0"/>
      <x:c r="J3476" s="0"/>
      <x:c r="K3476" s="6">
        <x:v>46247</x:v>
      </x:c>
      <x:c r="L3476" t="str" s="2">
        <x:v>Message Sent</x:v>
      </x:c>
    </x:row>
    <x:row r="3477">
      <x:c r="A3477" t="str" s="2">
        <x:f>=HYPERLINK("https://rsms.futurehomex.com/lead/39108", "Patrice Kelley")</x:f>
      </x:c>
      <x:c r="B3477" t="str" s="2">
        <x:v>Heritage Housing of Augusta</x:v>
      </x:c>
      <x:c r="C3477" t="str" s="2">
        <x:v/>
      </x:c>
      <x:c r="D3477" t="str" s="2">
        <x:v>7068340510</x:v>
      </x:c>
      <x:c r="E3477" t="str" s="2">
        <x:v>patricekelley88@gmail.com</x:v>
      </x:c>
      <x:c r="F3477" t="str" s="2">
        <x:v>Walk-in</x:v>
      </x:c>
      <x:c r="G3477" t="str" s="2">
        <x:v>Jennifer Johnson</x:v>
      </x:c>
      <x:c r="H3477" s="6">
        <x:v>46246.82651315972</x:v>
      </x:c>
      <x:c r="I3477" t="str" s="2">
        <x:v>Jennifer Johnson</x:v>
      </x:c>
      <x:c r="J3477" s="0"/>
      <x:c r="K3477" s="6">
        <x:v>46269</x:v>
      </x:c>
      <x:c r="L3477" t="str" s="2">
        <x:v>Message Sent</x:v>
      </x:c>
    </x:row>
    <x:row r="3478">
      <x:c r="A3478" t="str" s="2">
        <x:f>="Philip Labeaud"</x:f>
      </x:c>
      <x:c r="B3478" t="str" s="2">
        <x:v>Heritage Housing of Jennings</x:v>
      </x:c>
      <x:c r="C3478" t="str" s="2">
        <x:v>0/1</x:v>
      </x:c>
      <x:c r="D3478" t="str" s="2">
        <x:v>3379991415</x:v>
      </x:c>
      <x:c r="E3478" t="str" s="2">
        <x:v>labeaudone@gmail.com</x:v>
      </x:c>
      <x:c r="F3478" t="str" s="2">
        <x:v>Financing Form</x:v>
      </x:c>
      <x:c r="G3478" t="str" s="2">
        <x:v>Mervin Leslie Smith</x:v>
      </x:c>
      <x:c r="H3478" s="6">
        <x:v>46246.859468553244</x:v>
      </x:c>
      <x:c r="I3478" s="0"/>
      <x:c r="J3478" s="0"/>
      <x:c r="K3478" s="6">
        <x:v>46302.67621038194</x:v>
      </x:c>
      <x:c r="L3478" t="str" s="2">
        <x:v>Message Sent</x:v>
      </x:c>
    </x:row>
    <x:row r="3479">
      <x:c r="A3479" t="str" s="2">
        <x:f>="Corrin Booth"</x:f>
      </x:c>
      <x:c r="B3479" t="str" s="2">
        <x:v>Legacy Housing Corp. DBA Americasa</x:v>
      </x:c>
      <x:c r="C3479" t="str" s="2">
        <x:v/>
      </x:c>
      <x:c r="D3479" t="str" s="2">
        <x:v>6142308412</x:v>
      </x:c>
      <x:c r="E3479" t="str" s="2">
        <x:v>corrinbooth93@gmail.com</x:v>
      </x:c>
      <x:c r="F3479" t="str" s="2">
        <x:v>Landing_BPM</x:v>
      </x:c>
      <x:c r="G3479" t="str" s="2">
        <x:v>Rodrigo Ramirez</x:v>
      </x:c>
      <x:c r="H3479" s="6">
        <x:v>46246.86393614583</x:v>
      </x:c>
      <x:c r="I3479" s="0"/>
      <x:c r="J3479" s="0"/>
      <x:c r="K3479" s="6">
        <x:v>46296</x:v>
      </x:c>
      <x:c r="L3479" t="str" s="2">
        <x:v>Message Sent</x:v>
      </x:c>
    </x:row>
    <x:row r="3480">
      <x:c r="A3480" t="str" s="2">
        <x:f>=HYPERLINK("https://rsms.futurehomex.com/lead/39110", "Paul Parrott")</x:f>
      </x:c>
      <x:c r="B3480" t="str" s="2">
        <x:v>Heritage Housing of Tulsa</x:v>
      </x:c>
      <x:c r="C3480" t="str" s="2">
        <x:v/>
      </x:c>
      <x:c r="D3480" t="str" s="2">
        <x:v>9188168168</x:v>
      </x:c>
      <x:c r="E3480" t="str" s="2">
        <x:v>9188168168</x:v>
      </x:c>
      <x:c r="F3480" t="str" s="2">
        <x:v>Other</x:v>
      </x:c>
      <x:c r="G3480" t="str" s="2">
        <x:v>Jenna Fransisco</x:v>
      </x:c>
      <x:c r="H3480" s="6">
        <x:v>46246.86864255787</x:v>
      </x:c>
      <x:c r="I3480" t="str" s="2">
        <x:v>Derek Searcy</x:v>
      </x:c>
      <x:c r="J3480" s="0"/>
      <x:c r="K3480" s="6">
        <x:v>46261</x:v>
      </x:c>
      <x:c r="L3480" t="str" s="2">
        <x:v>Message Sent</x:v>
      </x:c>
    </x:row>
    <x:row r="3481">
      <x:c r="A3481" t="str" s="2">
        <x:f>="John Garrett Garrett"</x:f>
      </x:c>
      <x:c r="B3481" t="str" s="2">
        <x:v>Legacy Housing Corp. DBA Americasa</x:v>
      </x:c>
      <x:c r="C3481" t="str" s="2">
        <x:v/>
      </x:c>
      <x:c r="D3481" t="str" s="2">
        <x:v>9858553389</x:v>
      </x:c>
      <x:c r="E3481" t="str" s="2">
        <x:v>jayg1113@yahoo.com</x:v>
      </x:c>
      <x:c r="F3481" t="str" s="2">
        <x:v>Landing_BPM</x:v>
      </x:c>
      <x:c r="G3481" t="str" s="2">
        <x:v>Jose Parada</x:v>
      </x:c>
      <x:c r="H3481" s="6">
        <x:v>46246.90349228009</x:v>
      </x:c>
      <x:c r="I3481" s="0"/>
      <x:c r="J3481" s="0"/>
      <x:c r="K3481" s="6">
        <x:v>46296</x:v>
      </x:c>
      <x:c r="L3481" t="str" s="2">
        <x:v>Message Sent</x:v>
      </x:c>
    </x:row>
    <x:row r="3482">
      <x:c r="A3482" t="str" s="2">
        <x:f>=HYPERLINK("https://rsms.futurehomex.com/lead/39113", "David Reyes")</x:f>
      </x:c>
      <x:c r="B3482" t="str" s="2">
        <x:v>Heritage Housing Mt Pleasant</x:v>
      </x:c>
      <x:c r="C3482" t="str" s="2">
        <x:v/>
      </x:c>
      <x:c r="D3482" t="str" s="2">
        <x:v>5813122677</x:v>
      </x:c>
      <x:c r="E3482" t="str" s="2">
        <x:v>5813122677</x:v>
      </x:c>
      <x:c r="F3482" t="str" s="2">
        <x:v>Meta Marketplace</x:v>
      </x:c>
      <x:c r="G3482" t="str" s="2">
        <x:v>Yarelis Torres</x:v>
      </x:c>
      <x:c r="H3482" s="6">
        <x:v>46246.924211921294</x:v>
      </x:c>
      <x:c r="I3482" t="str" s="2">
        <x:v>Elias Gallardo</x:v>
      </x:c>
      <x:c r="J3482" s="0"/>
      <x:c r="K3482" s="6">
        <x:v>46246</x:v>
      </x:c>
      <x:c r="L3482" t="str" s="2">
        <x:v>Message Sent</x:v>
      </x:c>
    </x:row>
    <x:row r="3483">
      <x:c r="A3483" t="str" s="2">
        <x:f>="Maria Sanchez"</x:f>
      </x:c>
      <x:c r="B3483" t="str" s="2">
        <x:v>Heritage Housing Mt Pleasant</x:v>
      </x:c>
      <x:c r="C3483" t="str" s="2">
        <x:v/>
      </x:c>
      <x:c r="D3483" t="str" s="2">
        <x:v>9032357229</x:v>
      </x:c>
      <x:c r="E3483" t="str" s="2">
        <x:v>9032357229</x:v>
      </x:c>
      <x:c r="F3483" t="str" s="2">
        <x:v>Other</x:v>
      </x:c>
      <x:c r="G3483" t="str" s="2">
        <x:v>Sandra Saldana</x:v>
      </x:c>
      <x:c r="H3483" s="6">
        <x:v>46246.92661851852</x:v>
      </x:c>
      <x:c r="I3483" s="0"/>
      <x:c r="J3483" s="6">
        <x:v>46248.885416666664</x:v>
      </x:c>
      <x:c r="K3483" s="6">
        <x:v>46301</x:v>
      </x:c>
      <x:c r="L3483" t="str" s="2">
        <x:v>Message Sent</x:v>
      </x:c>
    </x:row>
    <x:row r="3484">
      <x:c r="A3484" t="str" s="2">
        <x:f>="Kayla Barrett"</x:f>
      </x:c>
      <x:c r="B3484" t="str" s="2">
        <x:v>Heritage Housing of Augusta</x:v>
      </x:c>
      <x:c r="C3484" t="str" s="2">
        <x:v/>
      </x:c>
      <x:c r="D3484" t="str" s="2">
        <x:v>4703548538</x:v>
      </x:c>
      <x:c r="E3484" t="str" s="2">
        <x:v>babygirl30493@gmail.com</x:v>
      </x:c>
      <x:c r="F3484" t="str" s="2">
        <x:v>Landing_BPM</x:v>
      </x:c>
      <x:c r="G3484" t="str" s="2">
        <x:v>Faye Lively</x:v>
      </x:c>
      <x:c r="H3484" s="6">
        <x:v>46246.93202862269</x:v>
      </x:c>
      <x:c r="I3484" s="0"/>
      <x:c r="J3484" s="0"/>
      <x:c r="K3484" s="6">
        <x:v>46274</x:v>
      </x:c>
      <x:c r="L3484" t="str" s="2">
        <x:v>Message Sent</x:v>
      </x:c>
    </x:row>
    <x:row r="3485">
      <x:c r="A3485" t="str" s="2">
        <x:f>="desirea marcus"</x:f>
      </x:c>
      <x:c r="B3485" t="str" s="2">
        <x:v>Heritage Housing of Tulsa</x:v>
      </x:c>
      <x:c r="C3485" t="str" s="2">
        <x:v/>
      </x:c>
      <x:c r="D3485" t="str" s="2">
        <x:v>5808901282</x:v>
      </x:c>
      <x:c r="E3485" t="str" s="2">
        <x:v>macudesire@gmail.com</x:v>
      </x:c>
      <x:c r="F3485" t="str" s="2">
        <x:v>Landing_BPM</x:v>
      </x:c>
      <x:c r="G3485" t="str" s="2">
        <x:v>Jenna Fransisco</x:v>
      </x:c>
      <x:c r="H3485" s="6">
        <x:v>46247.027684340275</x:v>
      </x:c>
      <x:c r="I3485" s="0"/>
      <x:c r="J3485" s="0"/>
      <x:c r="K3485" s="6">
        <x:v>46251</x:v>
      </x:c>
      <x:c r="L3485" t="str" s="2">
        <x:v>Message Sent</x:v>
      </x:c>
    </x:row>
    <x:row r="3486">
      <x:c r="A3486" t="str" s="2">
        <x:f>="Thomas Edwards"</x:f>
      </x:c>
      <x:c r="B3486" t="str" s="2">
        <x:v>Heritage Housing of Oklahoma City</x:v>
      </x:c>
      <x:c r="C3486" t="str" s="2">
        <x:v/>
      </x:c>
      <x:c r="D3486" t="str" s="2">
        <x:v>5722410857</x:v>
      </x:c>
      <x:c r="E3486" t="str" s="2">
        <x:v>edtommy56@gmail.com</x:v>
      </x:c>
      <x:c r="F3486" t="str" s="2">
        <x:v>Landing_BPM</x:v>
      </x:c>
      <x:c r="G3486" t="str" s="2">
        <x:v>Trey Rixleben</x:v>
      </x:c>
      <x:c r="H3486" s="6">
        <x:v>46247.038533530096</x:v>
      </x:c>
      <x:c r="I3486" s="0"/>
      <x:c r="J3486" s="0"/>
      <x:c r="K3486" s="6">
        <x:v>46247.578183101854</x:v>
      </x:c>
      <x:c r="L3486" t="str" s="2">
        <x:v>Message Sent</x:v>
      </x:c>
    </x:row>
    <x:row r="3487">
      <x:c r="A3487" t="str" s="2">
        <x:f>="Alan Jaindl"</x:f>
      </x:c>
      <x:c r="B3487" t="str" s="2">
        <x:v>Heritage Housing of Asheboro</x:v>
      </x:c>
      <x:c r="C3487" t="str" s="2">
        <x:v/>
      </x:c>
      <x:c r="D3487" t="str" s="2">
        <x:v>5854354914</x:v>
      </x:c>
      <x:c r="E3487" t="str" s="2">
        <x:v>alanjaindl6@gmail.com</x:v>
      </x:c>
      <x:c r="F3487" t="str" s="2">
        <x:v>Financing Form</x:v>
      </x:c>
      <x:c r="G3487" t="str" s="2">
        <x:v>Jeremy Jacques</x:v>
      </x:c>
      <x:c r="H3487" s="6">
        <x:v>46247.11134614583</x:v>
      </x:c>
      <x:c r="I3487" s="0"/>
      <x:c r="J3487" s="0"/>
      <x:c r="K3487" s="6">
        <x:v>46248</x:v>
      </x:c>
      <x:c r="L3487" t="str" s="2">
        <x:v>Message Sent</x:v>
      </x:c>
    </x:row>
    <x:row r="3488">
      <x:c r="A3488" t="str" s="2">
        <x:f>="Miranda Davis"</x:f>
      </x:c>
      <x:c r="B3488" t="str" s="2">
        <x:v>Heritage Housing of Athens</x:v>
      </x:c>
      <x:c r="C3488" t="str" s="2">
        <x:v/>
      </x:c>
      <x:c r="D3488" t="str" s="2">
        <x:v>7068172227</x:v>
      </x:c>
      <x:c r="E3488" t="str" s="2">
        <x:v>Mommymode.ranland@gmail.com</x:v>
      </x:c>
      <x:c r="F3488" t="str" s="2">
        <x:v>Landing_BPM</x:v>
      </x:c>
      <x:c r="G3488" t="str" s="2">
        <x:v>Nathan Bishop</x:v>
      </x:c>
      <x:c r="H3488" s="6">
        <x:v>46247.112028275464</x:v>
      </x:c>
      <x:c r="I3488" s="0"/>
      <x:c r="J3488" s="0"/>
      <x:c r="K3488" s="6">
        <x:v>46288</x:v>
      </x:c>
      <x:c r="L3488" t="str" s="2">
        <x:v>Message Sent</x:v>
      </x:c>
    </x:row>
    <x:row r="3489">
      <x:c r="A3489" t="str" s="2">
        <x:f>=HYPERLINK("https://rsms.futurehomex.com/lead/39140", "Divine Payton")</x:f>
      </x:c>
      <x:c r="B3489" t="str" s="2">
        <x:v>Legacy Housing Corp. DBA Americasa</x:v>
      </x:c>
      <x:c r="C3489" t="str" s="2">
        <x:v/>
      </x:c>
      <x:c r="D3489" t="str" s="2">
        <x:v>2542138602</x:v>
      </x:c>
      <x:c r="E3489" t="str" s="2">
        <x:v>divinepayton5@gmail.com</x:v>
      </x:c>
      <x:c r="F3489" t="str" s="2">
        <x:v>Landing_BPM</x:v>
      </x:c>
      <x:c r="G3489" t="str" s="2">
        <x:v>Rodrigo Ramirez</x:v>
      </x:c>
      <x:c r="H3489" s="6">
        <x:v>46247.17128927083</x:v>
      </x:c>
      <x:c r="I3489" t="str" s="2">
        <x:v>Jose Parada</x:v>
      </x:c>
      <x:c r="J3489" s="0"/>
      <x:c r="K3489" s="6">
        <x:v>46247</x:v>
      </x:c>
      <x:c r="L3489" t="str" s="2">
        <x:v>Message Sent</x:v>
      </x:c>
    </x:row>
    <x:row r="3490">
      <x:c r="A3490" t="str" s="2">
        <x:f>="Jeremy Randall"</x:f>
      </x:c>
      <x:c r="B3490" t="str" s="2">
        <x:v>Heritage Housing of Oklahoma City</x:v>
      </x:c>
      <x:c r="C3490" t="str" s="2">
        <x:v>0/1</x:v>
      </x:c>
      <x:c r="D3490" t="str" s="2">
        <x:v>4056250331</x:v>
      </x:c>
      <x:c r="E3490" t="str" s="2">
        <x:v>jeremy.grasshopperfarms@gmail.com</x:v>
      </x:c>
      <x:c r="F3490" t="str" s="2">
        <x:v>Landing_BPM</x:v>
      </x:c>
      <x:c r="G3490" t="str" s="2">
        <x:v>Steve Castell</x:v>
      </x:c>
      <x:c r="H3490" s="6">
        <x:v>46247.51661600694</x:v>
      </x:c>
      <x:c r="I3490" s="0"/>
      <x:c r="J3490" s="0"/>
      <x:c r="K3490" s="6">
        <x:v>46251</x:v>
      </x:c>
      <x:c r="L3490" t="str" s="2">
        <x:v>Message Sent</x:v>
      </x:c>
    </x:row>
    <x:row r="3491">
      <x:c r="A3491" t="str" s="2">
        <x:f>=HYPERLINK("https://rsms.futurehomex.com/lead/39122", "Christine Howie")</x:f>
      </x:c>
      <x:c r="B3491" t="str" s="2">
        <x:v>Heritage Housing of Jennings</x:v>
      </x:c>
      <x:c r="C3491" t="str" s="2">
        <x:v/>
      </x:c>
      <x:c r="D3491" t="str" s="2">
        <x:v>7605906178</x:v>
      </x:c>
      <x:c r="E3491" t="str" s="2">
        <x:v>Christine.howie@yahoo.com</x:v>
      </x:c>
      <x:c r="F3491" t="str" s="2">
        <x:v>Landing_BPM</x:v>
      </x:c>
      <x:c r="G3491" t="str" s="2">
        <x:v>Patrick Schuchart</x:v>
      </x:c>
      <x:c r="H3491" s="6">
        <x:v>46247.55319505787</x:v>
      </x:c>
      <x:c r="I3491" t="str" s="2">
        <x:v>Patrick Schuchart</x:v>
      </x:c>
      <x:c r="J3491" s="0"/>
      <x:c r="K3491" s="6">
        <x:v>46247</x:v>
      </x:c>
      <x:c r="L3491" t="str" s="2">
        <x:v>Message Sent</x:v>
      </x:c>
    </x:row>
    <x:row r="3492">
      <x:c r="A3492" t="str" s="2">
        <x:f>="Robin Arnold"</x:f>
      </x:c>
      <x:c r="B3492" t="str" s="2">
        <x:v>Heritage Housing of Greenville</x:v>
      </x:c>
      <x:c r="C3492" t="str" s="2">
        <x:v/>
      </x:c>
      <x:c r="D3492" t="str" s="2">
        <x:v>4303244660</x:v>
      </x:c>
      <x:c r="E3492" t="str" s="2">
        <x:v>starryskynights24@gmail.com</x:v>
      </x:c>
      <x:c r="F3492" t="str" s="2">
        <x:v>Landing_BPM</x:v>
      </x:c>
      <x:c r="G3492" t="str" s="2">
        <x:v>Brooklynn Allen</x:v>
      </x:c>
      <x:c r="H3492" s="6">
        <x:v>46247.55665335648</x:v>
      </x:c>
      <x:c r="I3492" s="0"/>
      <x:c r="J3492" s="0"/>
      <x:c r="K3492" s="6">
        <x:v>46248</x:v>
      </x:c>
      <x:c r="L3492" t="str" s="2">
        <x:v>Message Sent</x:v>
      </x:c>
    </x:row>
    <x:row r="3493">
      <x:c r="A3493" t="str" s="2">
        <x:f>=HYPERLINK("https://rsms.futurehomex.com/lead/39120", "Kim Jones")</x:f>
      </x:c>
      <x:c r="B3493" t="str" s="2">
        <x:v>Heritage Housing of Augusta</x:v>
      </x:c>
      <x:c r="C3493" t="str" s="2">
        <x:v/>
      </x:c>
      <x:c r="D3493" t="str" s="2">
        <x:v>7065646811</x:v>
      </x:c>
      <x:c r="E3493" t="str" s="2">
        <x:v>kon_guy_jones@gmail.com</x:v>
      </x:c>
      <x:c r="F3493" t="str" s="2">
        <x:v>Other</x:v>
      </x:c>
      <x:c r="G3493" t="str" s="2">
        <x:v>Faye Lively</x:v>
      </x:c>
      <x:c r="H3493" s="6">
        <x:v>46247.61270651621</x:v>
      </x:c>
      <x:c r="I3493" t="str" s="2">
        <x:v>Faye Lively</x:v>
      </x:c>
      <x:c r="J3493" s="0"/>
      <x:c r="K3493" s="6">
        <x:v>46247</x:v>
      </x:c>
      <x:c r="L3493" t="str" s="2">
        <x:v>Message Sent</x:v>
      </x:c>
    </x:row>
    <x:row r="3494">
      <x:c r="A3494" t="str" s="2">
        <x:f>="Asia Pough"</x:f>
      </x:c>
      <x:c r="B3494" t="str" s="2">
        <x:v>Heritage Housing of Augusta</x:v>
      </x:c>
      <x:c r="C3494" t="str" s="2">
        <x:v/>
      </x:c>
      <x:c r="D3494" t="str" s="2">
        <x:v>8038782392</x:v>
      </x:c>
      <x:c r="E3494" t="str" s="2">
        <x:v>khuckiee@gmail.com</x:v>
      </x:c>
      <x:c r="F3494" t="str" s="2">
        <x:v>Landing_BPM</x:v>
      </x:c>
      <x:c r="G3494" t="str" s="2">
        <x:v>Faye Lively</x:v>
      </x:c>
      <x:c r="H3494" s="6">
        <x:v>46247.62895170139</x:v>
      </x:c>
      <x:c r="I3494" s="0"/>
      <x:c r="J3494" s="0"/>
      <x:c r="K3494" s="6">
        <x:v>46273</x:v>
      </x:c>
      <x:c r="L3494" t="str" s="2">
        <x:v>Message Sent</x:v>
      </x:c>
    </x:row>
    <x:row r="3495">
      <x:c r="A3495" t="str" s="2">
        <x:f>=HYPERLINK("https://rsms.futurehomex.com/lead/39123", "Edward Williams")</x:f>
      </x:c>
      <x:c r="B3495" t="str" s="2">
        <x:v>Heritage Housing of Augusta</x:v>
      </x:c>
      <x:c r="C3495" t="str" s="2">
        <x:v/>
      </x:c>
      <x:c r="D3495" t="str" s="2">
        <x:v>7045074563</x:v>
      </x:c>
      <x:c r="E3495" t="str" s="2">
        <x:v>enwilliams1582@gmail.com</x:v>
      </x:c>
      <x:c r="F3495" t="str" s="2">
        <x:v>Other</x:v>
      </x:c>
      <x:c r="G3495" t="str" s="2">
        <x:v>Faye Lively</x:v>
      </x:c>
      <x:c r="H3495" s="6">
        <x:v>46247.6366528588</x:v>
      </x:c>
      <x:c r="I3495" t="str" s="2">
        <x:v>Faye Lively</x:v>
      </x:c>
      <x:c r="J3495" s="0"/>
      <x:c r="K3495" s="6">
        <x:v>46266</x:v>
      </x:c>
      <x:c r="L3495" t="str" s="2">
        <x:v>Message Sent</x:v>
      </x:c>
    </x:row>
    <x:row r="3496">
      <x:c r="A3496" t="str" s="2">
        <x:f>="Pamela Burris"</x:f>
      </x:c>
      <x:c r="B3496" t="str" s="2">
        <x:v>Heritage Housing of Tulsa</x:v>
      </x:c>
      <x:c r="C3496" t="str" s="2">
        <x:v/>
      </x:c>
      <x:c r="D3496" t="str" s="2">
        <x:v>9184285223</x:v>
      </x:c>
      <x:c r="E3496" t="str" s="2">
        <x:v>pamelaburris80@gmail.com</x:v>
      </x:c>
      <x:c r="F3496" t="str" s="2">
        <x:v>Landing_BPM</x:v>
      </x:c>
      <x:c r="G3496" t="str" s="2">
        <x:v>Jenna Fransisco</x:v>
      </x:c>
      <x:c r="H3496" s="6">
        <x:v>46247.69649598379</x:v>
      </x:c>
      <x:c r="I3496" s="0"/>
      <x:c r="J3496" s="0"/>
      <x:c r="K3496" s="6">
        <x:v>46261</x:v>
      </x:c>
      <x:c r="L3496" t="str" s="2">
        <x:v>Message Sent</x:v>
      </x:c>
    </x:row>
    <x:row r="3497">
      <x:c r="A3497" t="str" s="2">
        <x:f>=HYPERLINK("https://rsms.futurehomex.com/lead/39132", "Dawneisha Johnson")</x:f>
      </x:c>
      <x:c r="B3497" t="str" s="2">
        <x:v>Heritage Housing of Augusta</x:v>
      </x:c>
      <x:c r="C3497" t="str" s="2">
        <x:v/>
      </x:c>
      <x:c r="D3497" t="str" s="2">
        <x:v>7624531566</x:v>
      </x:c>
      <x:c r="E3497" t="str" s="2">
        <x:v>handfyl7995@gmail.com</x:v>
      </x:c>
      <x:c r="F3497" t="str" s="2">
        <x:v>Other</x:v>
      </x:c>
      <x:c r="G3497" t="str" s="2">
        <x:v>Faye Lively</x:v>
      </x:c>
      <x:c r="H3497" s="6">
        <x:v>46247.711501238424</x:v>
      </x:c>
      <x:c r="I3497" t="str" s="2">
        <x:v>Faye Lively</x:v>
      </x:c>
      <x:c r="J3497" s="0"/>
      <x:c r="K3497" s="6">
        <x:v>46273</x:v>
      </x:c>
      <x:c r="L3497" t="str" s="2">
        <x:v>Message Sent</x:v>
      </x:c>
    </x:row>
    <x:row r="3498">
      <x:c r="A3498" t="str" s="2">
        <x:f>=HYPERLINK("https://rsms.futurehomex.com/lead/39133", "Ronald Hall")</x:f>
      </x:c>
      <x:c r="B3498" t="str" s="2">
        <x:v>Heritage Housing of Augusta</x:v>
      </x:c>
      <x:c r="C3498" t="str" s="2">
        <x:v/>
      </x:c>
      <x:c r="D3498" t="str" s="2">
        <x:v>7089146882</x:v>
      </x:c>
      <x:c r="E3498" t="str" s="2">
        <x:v>snoopy84@gmail.com</x:v>
      </x:c>
      <x:c r="F3498" t="str" s="2">
        <x:v>Other</x:v>
      </x:c>
      <x:c r="G3498" t="str" s="2">
        <x:v>Faye Lively</x:v>
      </x:c>
      <x:c r="H3498" s="6">
        <x:v>46247.719105324075</x:v>
      </x:c>
      <x:c r="I3498" t="str" s="2">
        <x:v>Faye Lively</x:v>
      </x:c>
      <x:c r="J3498" s="0"/>
      <x:c r="K3498" s="6">
        <x:v>46247</x:v>
      </x:c>
      <x:c r="L3498" t="str" s="2">
        <x:v>Message Sent</x:v>
      </x:c>
    </x:row>
    <x:row r="3499">
      <x:c r="A3499" t="str" s="2">
        <x:f>="karley sanders"</x:f>
      </x:c>
      <x:c r="B3499" t="str" s="2">
        <x:v>Heritage Housing of Oklahoma City</x:v>
      </x:c>
      <x:c r="C3499" t="str" s="2">
        <x:v>0/1</x:v>
      </x:c>
      <x:c r="D3499" t="str" s="2">
        <x:v>5802777745</x:v>
      </x:c>
      <x:c r="E3499" t="str" s="2">
        <x:v>karley.sanders1@icloud.com</x:v>
      </x:c>
      <x:c r="F3499" t="str" s="2">
        <x:v>Landing_BPM</x:v>
      </x:c>
      <x:c r="G3499" t="str" s="2">
        <x:v>Trey Rixleben</x:v>
      </x:c>
      <x:c r="H3499" s="6">
        <x:v>46247.74711423611</x:v>
      </x:c>
      <x:c r="I3499" s="0"/>
      <x:c r="J3499" s="0"/>
      <x:c r="K3499" s="6">
        <x:v>46247.773173877315</x:v>
      </x:c>
      <x:c r="L3499" t="str" s="2">
        <x:v>Message Sent</x:v>
      </x:c>
    </x:row>
    <x:row r="3500">
      <x:c r="A3500" t="str" s="2">
        <x:f>=HYPERLINK("https://rsms.futurehomex.com/lead/39137", "Olla Maloyd")</x:f>
      </x:c>
      <x:c r="B3500" t="str" s="2">
        <x:v>Heritage Housing of Augusta</x:v>
      </x:c>
      <x:c r="C3500" t="str" s="2">
        <x:v/>
      </x:c>
      <x:c r="D3500" t="str" s="2">
        <x:v>7069416983</x:v>
      </x:c>
      <x:c r="E3500" t="str" s="2">
        <x:v>maloydolla9@gmail.com</x:v>
      </x:c>
      <x:c r="F3500" t="str" s="2">
        <x:v>Other</x:v>
      </x:c>
      <x:c r="G3500" t="str" s="2">
        <x:v>Faye Lively</x:v>
      </x:c>
      <x:c r="H3500" s="6">
        <x:v>46247.77516200231</x:v>
      </x:c>
      <x:c r="I3500" t="str" s="2">
        <x:v>Faye Lively</x:v>
      </x:c>
      <x:c r="J3500" s="0"/>
      <x:c r="K3500" s="6">
        <x:v>46273</x:v>
      </x:c>
      <x:c r="L3500" t="str" s="2">
        <x:v>Message Sent</x:v>
      </x:c>
    </x:row>
    <x:row r="3501">
      <x:c r="A3501" t="str" s="2">
        <x:f>=HYPERLINK("https://rsms.futurehomex.com/lead/39138", "Laguandria McNeil")</x:f>
      </x:c>
      <x:c r="B3501" t="str" s="2">
        <x:v>Heritage Housing of Augusta</x:v>
      </x:c>
      <x:c r="C3501" t="str" s="2">
        <x:v/>
      </x:c>
      <x:c r="D3501" t="str" s="2">
        <x:v>7624365490</x:v>
      </x:c>
      <x:c r="E3501" t="str" s="2">
        <x:v>loguandria_mcneil@yahoo.com</x:v>
      </x:c>
      <x:c r="F3501" t="str" s="2">
        <x:v>Other</x:v>
      </x:c>
      <x:c r="G3501" t="str" s="2">
        <x:v>Faye Lively</x:v>
      </x:c>
      <x:c r="H3501" s="6">
        <x:v>46247.784091863425</x:v>
      </x:c>
      <x:c r="I3501" t="str" s="2">
        <x:v>Faye Lively</x:v>
      </x:c>
      <x:c r="J3501" s="0"/>
      <x:c r="K3501" s="6">
        <x:v>46247</x:v>
      </x:c>
      <x:c r="L3501" t="str" s="2">
        <x:v>Message Sent</x:v>
      </x:c>
    </x:row>
    <x:row r="3502">
      <x:c r="A3502" t="str" s="2">
        <x:f>="Vince Celis"</x:f>
      </x:c>
      <x:c r="B3502" t="str" s="2">
        <x:v>Heritage Housing of Augusta</x:v>
      </x:c>
      <x:c r="C3502" t="str" s="2">
        <x:v/>
      </x:c>
      <x:c r="D3502" t="str" s="2">
        <x:v>77078267621</x:v>
      </x:c>
      <x:c r="E3502" t="str" s="2">
        <x:v>zacel002@gmail.com</x:v>
      </x:c>
      <x:c r="F3502" t="str" s="2">
        <x:v>Website</x:v>
      </x:c>
      <x:c r="G3502" t="str" s="2">
        <x:v>Faye Lively</x:v>
      </x:c>
      <x:c r="H3502" s="6">
        <x:v>46247.79358738426</x:v>
      </x:c>
      <x:c r="I3502" s="0"/>
      <x:c r="J3502" s="0"/>
      <x:c r="K3502" s="6">
        <x:v>46273</x:v>
      </x:c>
      <x:c r="L3502" t="str" s="2">
        <x:v>Message Sent</x:v>
      </x:c>
    </x:row>
    <x:row r="3503">
      <x:c r="A3503" t="str" s="2">
        <x:f>="Antwanette Wallace"</x:f>
      </x:c>
      <x:c r="B3503" t="str" s="2">
        <x:v>Heritage Housing of Tulsa</x:v>
      </x:c>
      <x:c r="C3503" t="str" s="2">
        <x:v/>
      </x:c>
      <x:c r="D3503" t="str" s="2">
        <x:v>5722287076</x:v>
      </x:c>
      <x:c r="E3503" t="str" s="2">
        <x:v>antwanettew32@gmail.com</x:v>
      </x:c>
      <x:c r="F3503" t="str" s="2">
        <x:v>Landing_BPM</x:v>
      </x:c>
      <x:c r="G3503" t="str" s="2">
        <x:v>Jenna Fransisco</x:v>
      </x:c>
      <x:c r="H3503" s="6">
        <x:v>46247.79676655093</x:v>
      </x:c>
      <x:c r="I3503" s="0"/>
      <x:c r="J3503" s="0"/>
      <x:c r="K3503" s="6">
        <x:v>46259</x:v>
      </x:c>
      <x:c r="L3503" t="str" s="2">
        <x:v>Message Sent</x:v>
      </x:c>
    </x:row>
    <x:row r="3504">
      <x:c r="A3504" t="str" s="2">
        <x:f>="Crystal Colbert"</x:f>
      </x:c>
      <x:c r="B3504" t="str" s="2">
        <x:v>Heritage Housing of Tulsa</x:v>
      </x:c>
      <x:c r="C3504" t="str" s="2">
        <x:v/>
      </x:c>
      <x:c r="D3504" t="str" s="2">
        <x:v>5393696571</x:v>
      </x:c>
      <x:c r="E3504" t="str" s="2">
        <x:v>colbertcrystal2@gmail.com</x:v>
      </x:c>
      <x:c r="F3504" t="str" s="2">
        <x:v>Landing_BPM</x:v>
      </x:c>
      <x:c r="G3504" t="str" s="2">
        <x:v>Jenna Fransisco</x:v>
      </x:c>
      <x:c r="H3504" s="6">
        <x:v>46247.8053008912</x:v>
      </x:c>
      <x:c r="I3504" s="0"/>
      <x:c r="J3504" s="6">
        <x:v>46248.666666666664</x:v>
      </x:c>
      <x:c r="K3504" s="6">
        <x:v>46261</x:v>
      </x:c>
      <x:c r="L3504" t="str" s="2">
        <x:v>Message Sent</x:v>
      </x:c>
    </x:row>
    <x:row r="3505">
      <x:c r="A3505" t="str" s="2">
        <x:f>=HYPERLINK("https://rsms.futurehomex.com/lead/39142", "SEBORN TOLVER")</x:f>
      </x:c>
      <x:c r="B3505" t="str" s="2">
        <x:v>Heritage Housing of Augusta</x:v>
      </x:c>
      <x:c r="C3505" t="str" s="2">
        <x:v/>
      </x:c>
      <x:c r="D3505" t="str" s="2">
        <x:v>7065890903</x:v>
      </x:c>
      <x:c r="E3505" t="str" s="2">
        <x:v>fifimonroe46@gmail.com</x:v>
      </x:c>
      <x:c r="F3505" t="str" s="2">
        <x:v>Walk-in</x:v>
      </x:c>
      <x:c r="G3505" t="str" s="2">
        <x:v>Faye Lively</x:v>
      </x:c>
      <x:c r="H3505" s="6">
        <x:v>46247.815909108795</x:v>
      </x:c>
      <x:c r="I3505" t="str" s="2">
        <x:v>Faye Lively</x:v>
      </x:c>
      <x:c r="J3505" s="0"/>
      <x:c r="K3505" s="6">
        <x:v>46273</x:v>
      </x:c>
      <x:c r="L3505" t="str" s="2">
        <x:v>Message Sent</x:v>
      </x:c>
    </x:row>
    <x:row r="3506">
      <x:c r="A3506" t="str" s="2">
        <x:f>="Felicia Bounds"</x:f>
      </x:c>
      <x:c r="B3506" t="str" s="2">
        <x:v>Heritage Housing of Tulsa</x:v>
      </x:c>
      <x:c r="C3506" t="str" s="2">
        <x:v/>
      </x:c>
      <x:c r="D3506" t="str" s="2">
        <x:v>5732107036</x:v>
      </x:c>
      <x:c r="E3506" t="str" s="2">
        <x:v>felbounds77@gmail.com</x:v>
      </x:c>
      <x:c r="F3506" t="str" s="2">
        <x:v>Landing_BPM</x:v>
      </x:c>
      <x:c r="G3506" t="str" s="2">
        <x:v>Jenna Fransisco</x:v>
      </x:c>
      <x:c r="H3506" s="6">
        <x:v>46247.849830555555</x:v>
      </x:c>
      <x:c r="I3506" s="0"/>
      <x:c r="J3506" s="0"/>
      <x:c r="K3506" s="6">
        <x:v>46251</x:v>
      </x:c>
      <x:c r="L3506" t="str" s="2">
        <x:v>Message Sent</x:v>
      </x:c>
    </x:row>
    <x:row r="3507">
      <x:c r="A3507" t="str" s="2">
        <x:f>="Jamar Thorpe"</x:f>
      </x:c>
      <x:c r="B3507" t="str" s="2">
        <x:v>Heritage Housing of Albany</x:v>
      </x:c>
      <x:c r="C3507" t="str" s="2">
        <x:v/>
      </x:c>
      <x:c r="D3507" t="str" s="2">
        <x:v>2292584918</x:v>
      </x:c>
      <x:c r="E3507" t="str" s="2">
        <x:v>makingmajormoves1987@gmail.com</x:v>
      </x:c>
      <x:c r="F3507" t="str" s="2">
        <x:v>Financing Form</x:v>
      </x:c>
      <x:c r="G3507" t="str" s="2">
        <x:v>Yanet Alvarez</x:v>
      </x:c>
      <x:c r="H3507" s="6">
        <x:v>46247.88314791667</x:v>
      </x:c>
      <x:c r="I3507" s="0"/>
      <x:c r="J3507" s="0"/>
      <x:c r="K3507" s="6">
        <x:v>46303</x:v>
      </x:c>
      <x:c r="L3507" t="str" s="2">
        <x:v>Message Sent</x:v>
      </x:c>
    </x:row>
    <x:row r="3508">
      <x:c r="A3508" t="str" s="2">
        <x:f>="Ron Barfield Barfield"</x:f>
      </x:c>
      <x:c r="B3508" t="str" s="2">
        <x:v>Heritage Housing of Augusta</x:v>
      </x:c>
      <x:c r="C3508" t="str" s="2">
        <x:v/>
      </x:c>
      <x:c r="D3508" t="str" s="2">
        <x:v>8032573338</x:v>
      </x:c>
      <x:c r="E3508" t="str" s="2">
        <x:v>rbarfield264@gmail.com</x:v>
      </x:c>
      <x:c r="F3508" t="str" s="2">
        <x:v>Landing_BPM</x:v>
      </x:c>
      <x:c r="G3508" t="str" s="2">
        <x:v>Faye Lively</x:v>
      </x:c>
      <x:c r="H3508" s="6">
        <x:v>46247.95055208333</x:v>
      </x:c>
      <x:c r="I3508" s="0"/>
      <x:c r="J3508" s="0"/>
      <x:c r="K3508" s="6">
        <x:v>46273</x:v>
      </x:c>
      <x:c r="L3508" t="str" s="2">
        <x:v>Message Sent</x:v>
      </x:c>
    </x:row>
    <x:row r="3509">
      <x:c r="A3509" t="str" s="2">
        <x:f>="Ethan Weston"</x:f>
      </x:c>
      <x:c r="B3509" t="str" s="2">
        <x:v>Heritage Housing of Tulsa</x:v>
      </x:c>
      <x:c r="C3509" t="str" s="2">
        <x:v/>
      </x:c>
      <x:c r="D3509" t="str" s="2">
        <x:v>9187598673</x:v>
      </x:c>
      <x:c r="E3509" t="str" s="2">
        <x:v>westonethan933@gmail.com</x:v>
      </x:c>
      <x:c r="F3509" t="str" s="2">
        <x:v>LandingPage</x:v>
      </x:c>
      <x:c r="G3509" t="str" s="2">
        <x:v>Jenna Fransisco</x:v>
      </x:c>
      <x:c r="H3509" s="6">
        <x:v>46247.97469375</x:v>
      </x:c>
      <x:c r="I3509" s="0"/>
      <x:c r="J3509" s="0"/>
      <x:c r="K3509" s="6">
        <x:v>46251</x:v>
      </x:c>
      <x:c r="L3509" t="str" s="2">
        <x:v>Message Sent</x:v>
      </x:c>
    </x:row>
    <x:row r="3510">
      <x:c r="A3510" t="str" s="2">
        <x:f>="Andrew Santee"</x:f>
      </x:c>
      <x:c r="B3510" t="str" s="2">
        <x:v>Heritage Housing of Oklahoma City</x:v>
      </x:c>
      <x:c r="C3510" t="str" s="2">
        <x:v/>
      </x:c>
      <x:c r="D3510" t="str" s="2">
        <x:v>4054399297</x:v>
      </x:c>
      <x:c r="E3510" t="str" s="2">
        <x:v>bighpllc@gmail.com</x:v>
      </x:c>
      <x:c r="F3510" t="str" s="2">
        <x:v>Landing_BPM</x:v>
      </x:c>
      <x:c r="G3510" t="str" s="2">
        <x:v>Steve Castell</x:v>
      </x:c>
      <x:c r="H3510" s="6">
        <x:v>46247.975359606484</x:v>
      </x:c>
      <x:c r="I3510" s="0"/>
      <x:c r="J3510" s="0"/>
      <x:c r="K3510" s="6">
        <x:v>46249</x:v>
      </x:c>
      <x:c r="L3510" t="str" s="2">
        <x:v>Message Sent</x:v>
      </x:c>
    </x:row>
    <x:row r="3511">
      <x:c r="A3511" t="str" s="2">
        <x:f>="Claudette Williams Williams"</x:f>
      </x:c>
      <x:c r="B3511" t="str" s="2">
        <x:v>Heritage Housing of Tulsa</x:v>
      </x:c>
      <x:c r="C3511" t="str" s="2">
        <x:v/>
      </x:c>
      <x:c r="D3511" t="str" s="2">
        <x:v>9185234382</x:v>
      </x:c>
      <x:c r="E3511" t="str" s="2">
        <x:v>nurse_ctw_1102@yahoo.com</x:v>
      </x:c>
      <x:c r="F3511" t="str" s="2">
        <x:v>Landing_BPM</x:v>
      </x:c>
      <x:c r="G3511" t="str" s="2">
        <x:v>Jenna Fransisco</x:v>
      </x:c>
      <x:c r="H3511" s="6">
        <x:v>46247.98820385417</x:v>
      </x:c>
      <x:c r="I3511" s="0"/>
      <x:c r="J3511" s="0"/>
      <x:c r="K3511" s="6">
        <x:v>46265</x:v>
      </x:c>
      <x:c r="L3511" t="str" s="2">
        <x:v>Message Sent</x:v>
      </x:c>
    </x:row>
    <x:row r="3512">
      <x:c r="A3512" t="str" s="2">
        <x:f>="Jury Robles"</x:f>
      </x:c>
      <x:c r="B3512" t="str" s="2">
        <x:v>Heritage Housing of Tulsa</x:v>
      </x:c>
      <x:c r="C3512" t="str" s="2">
        <x:v/>
      </x:c>
      <x:c r="D3512" t="str" s="2">
        <x:v>9189558478</x:v>
      </x:c>
      <x:c r="E3512" t="str" s="2">
        <x:v>roblesjury722@gmail.com</x:v>
      </x:c>
      <x:c r="F3512" t="str" s="2">
        <x:v>Landing_BPM</x:v>
      </x:c>
      <x:c r="G3512" t="str" s="2">
        <x:v>Jenna Fransisco</x:v>
      </x:c>
      <x:c r="H3512" s="6">
        <x:v>46248.1114897338</x:v>
      </x:c>
      <x:c r="I3512" s="0"/>
      <x:c r="J3512" s="0"/>
      <x:c r="K3512" s="6">
        <x:v>46261</x:v>
      </x:c>
      <x:c r="L3512" t="str" s="2">
        <x:v>Message Sent</x:v>
      </x:c>
    </x:row>
    <x:row r="3513">
      <x:c r="A3513" t="str" s="2">
        <x:f>="Brittany breeden"</x:f>
      </x:c>
      <x:c r="B3513" t="str" s="2">
        <x:v>Heritage Housing Marble Falls</x:v>
      </x:c>
      <x:c r="C3513" t="str" s="2">
        <x:v>0/1</x:v>
      </x:c>
      <x:c r="D3513" t="str" s="2">
        <x:v>7373676517</x:v>
      </x:c>
      <x:c r="E3513" t="str" s="2">
        <x:v>brittanybreeden222@gmail.com</x:v>
      </x:c>
      <x:c r="F3513" t="str" s="2">
        <x:v>Landing_BPM</x:v>
      </x:c>
      <x:c r="G3513" t="str" s="2">
        <x:v>Stephen Sanders</x:v>
      </x:c>
      <x:c r="H3513" s="6">
        <x:v>46248.27058298611</x:v>
      </x:c>
      <x:c r="I3513" s="0"/>
      <x:c r="J3513" s="0"/>
      <x:c r="K3513" s="6">
        <x:v>46274</x:v>
      </x:c>
      <x:c r="L3513" t="str" s="2">
        <x:v>Message Sent</x:v>
      </x:c>
    </x:row>
    <x:row r="3514">
      <x:c r="A3514" t="str" s="2">
        <x:f>="DEBRA Clay"</x:f>
      </x:c>
      <x:c r="B3514" t="str" s="2">
        <x:v>Legacy Housing Corp. DBA Americasa</x:v>
      </x:c>
      <x:c r="C3514" t="str" s="2">
        <x:v/>
      </x:c>
      <x:c r="D3514" t="str" s="2">
        <x:v>8176586056</x:v>
      </x:c>
      <x:c r="E3514" t="str" s="2">
        <x:v>debraclay7777@yahoo.com</x:v>
      </x:c>
      <x:c r="F3514" t="str" s="2">
        <x:v>Landing_BPM</x:v>
      </x:c>
      <x:c r="G3514" t="str" s="2">
        <x:v>Jose Parada</x:v>
      </x:c>
      <x:c r="H3514" s="6">
        <x:v>46248.30315393519</x:v>
      </x:c>
      <x:c r="I3514" s="0"/>
      <x:c r="J3514" s="0"/>
      <x:c r="K3514" s="6">
        <x:v>46296</x:v>
      </x:c>
      <x:c r="L3514" t="str" s="2">
        <x:v>Message Sent</x:v>
      </x:c>
    </x:row>
    <x:row r="3515">
      <x:c r="A3515" t="str" s="2">
        <x:f>="Elias Fernando Cantu gonzalez"</x:f>
      </x:c>
      <x:c r="B3515" t="str" s="2">
        <x:v>Heritage Housing of Asheboro</x:v>
      </x:c>
      <x:c r="C3515" t="str" s="2">
        <x:v/>
      </x:c>
      <x:c r="D3515" t="str" s="2">
        <x:v>2014943854</x:v>
      </x:c>
      <x:c r="E3515" t="str" s="2">
        <x:v>cazador2551gonzalez@gmail.com</x:v>
      </x:c>
      <x:c r="F3515" t="str" s="2">
        <x:v>Landing_BPM</x:v>
      </x:c>
      <x:c r="G3515" t="str" s="2">
        <x:v>Jeremy Jacques</x:v>
      </x:c>
      <x:c r="H3515" s="6">
        <x:v>46248.42814618056</x:v>
      </x:c>
      <x:c r="I3515" s="0"/>
      <x:c r="J3515" s="0"/>
      <x:c r="K3515" s="6">
        <x:v>46248</x:v>
      </x:c>
      <x:c r="L3515" t="str" s="2">
        <x:v>Message Sent</x:v>
      </x:c>
    </x:row>
    <x:row r="3516">
      <x:c r="A3516" t="str" s="2">
        <x:f>="Tia Cheese"</x:f>
      </x:c>
      <x:c r="B3516" t="str" s="2">
        <x:v>Heritage Housing of Asheboro</x:v>
      </x:c>
      <x:c r="C3516" t="str" s="2">
        <x:v/>
      </x:c>
      <x:c r="D3516" t="str" s="2">
        <x:v>9107098656</x:v>
      </x:c>
      <x:c r="E3516" t="str" s="2">
        <x:v>work4tiacheese@gmail.com</x:v>
      </x:c>
      <x:c r="F3516" t="str" s="2">
        <x:v>Landing_BPM</x:v>
      </x:c>
      <x:c r="G3516" t="str" s="2">
        <x:v>Jeremy Jacques</x:v>
      </x:c>
      <x:c r="H3516" s="6">
        <x:v>46248.48389672454</x:v>
      </x:c>
      <x:c r="I3516" s="0"/>
      <x:c r="J3516" s="0"/>
      <x:c r="K3516" s="6">
        <x:v>46248</x:v>
      </x:c>
      <x:c r="L3516" t="str" s="2">
        <x:v>Message Sent</x:v>
      </x:c>
    </x:row>
    <x:row r="3517">
      <x:c r="A3517" t="str" s="2">
        <x:f>="Merly Alarcon"</x:f>
      </x:c>
      <x:c r="B3517" t="str" s="2">
        <x:v>Heritage Housing of Tulsa</x:v>
      </x:c>
      <x:c r="C3517" t="str" s="2">
        <x:v/>
      </x:c>
      <x:c r="D3517" t="str" s="2">
        <x:v>9186589837</x:v>
      </x:c>
      <x:c r="E3517" t="str" s="2">
        <x:v>alarconmerly1984@gmail.com</x:v>
      </x:c>
      <x:c r="F3517" t="str" s="2">
        <x:v>Landing_BPM</x:v>
      </x:c>
      <x:c r="G3517" t="str" s="2">
        <x:v>Jenna Fransisco</x:v>
      </x:c>
      <x:c r="H3517" s="6">
        <x:v>46248.559269907404</x:v>
      </x:c>
      <x:c r="I3517" s="0"/>
      <x:c r="J3517" s="0"/>
      <x:c r="K3517" s="6">
        <x:v>46252</x:v>
      </x:c>
      <x:c r="L3517" t="str" s="2">
        <x:v>Message Sent</x:v>
      </x:c>
    </x:row>
    <x:row r="3518">
      <x:c r="A3518" t="str" s="2">
        <x:f>="Jessica Miller"</x:f>
      </x:c>
      <x:c r="B3518" t="str" s="2">
        <x:v>Heritage Housing of Greenville</x:v>
      </x:c>
      <x:c r="C3518" t="str" s="2">
        <x:v/>
      </x:c>
      <x:c r="D3518" t="str" s="2">
        <x:v>4693795209</x:v>
      </x:c>
      <x:c r="E3518" t="str" s="2">
        <x:v>jxssiicaa69@gmail.com</x:v>
      </x:c>
      <x:c r="F3518" t="str" s="2">
        <x:v>Landing_BPM</x:v>
      </x:c>
      <x:c r="G3518" t="str" s="2">
        <x:v>Brooklynn Allen</x:v>
      </x:c>
      <x:c r="H3518" s="6">
        <x:v>46248.63328133102</x:v>
      </x:c>
      <x:c r="I3518" s="0"/>
      <x:c r="J3518" s="0"/>
      <x:c r="K3518" s="6">
        <x:v>46249</x:v>
      </x:c>
      <x:c r="L3518" t="str" s="2">
        <x:v>Message Sent</x:v>
      </x:c>
    </x:row>
    <x:row r="3519">
      <x:c r="A3519" t="str" s="2">
        <x:f>="Ismael Navarro"</x:f>
      </x:c>
      <x:c r="B3519" t="str" s="2">
        <x:v>Heritage Housing of Canton</x:v>
      </x:c>
      <x:c r="C3519" t="str" s="2">
        <x:v/>
      </x:c>
      <x:c r="D3519" t="str" s="2">
        <x:v>9038407884</x:v>
      </x:c>
      <x:c r="E3519" t="str" s="2">
        <x:v>playabygenes@yahoo.com</x:v>
      </x:c>
      <x:c r="F3519" t="str" s="2">
        <x:v>Landing_BPM</x:v>
      </x:c>
      <x:c r="G3519" t="str" s="2">
        <x:v>Jacob Hatten</x:v>
      </x:c>
      <x:c r="H3519" s="6">
        <x:v>46248.68575957176</x:v>
      </x:c>
      <x:c r="I3519" s="0"/>
      <x:c r="J3519" s="0"/>
      <x:c r="K3519" s="6">
        <x:v>46293</x:v>
      </x:c>
      <x:c r="L3519" t="str" s="2">
        <x:v>Message Sent</x:v>
      </x:c>
    </x:row>
    <x:row r="3520">
      <x:c r="A3520" t="str" s="2">
        <x:f>=HYPERLINK("https://rsms.futurehomex.com/lead/39456", "Dereco Hart")</x:f>
      </x:c>
      <x:c r="B3520" s="0"/>
      <x:c r="C3520" t="str" s="2">
        <x:v/>
      </x:c>
      <x:c r="D3520" t="str" s="2">
        <x:v>9196368400</x:v>
      </x:c>
      <x:c r="E3520" t="str" s="2">
        <x:v>dereco.hart@gmail.com</x:v>
      </x:c>
      <x:c r="F3520" t="str" s="2">
        <x:v>Cliengo Bot</x:v>
      </x:c>
      <x:c r="G3520" t="str" s="2">
        <x:v>Jeremy Jacques</x:v>
      </x:c>
      <x:c r="H3520" s="6">
        <x:v>46248.76221079861</x:v>
      </x:c>
      <x:c r="I3520" t="str" s="2">
        <x:v>Maria Lopez</x:v>
      </x:c>
      <x:c r="J3520" s="0"/>
      <x:c r="K3520" s="6">
        <x:v>46295</x:v>
      </x:c>
      <x:c r="L3520" t="str" s="2">
        <x:v>Message Sent</x:v>
      </x:c>
    </x:row>
    <x:row r="3521">
      <x:c r="A3521" t="str" s="2">
        <x:f>="Krystal Wilburn Wilburn"</x:f>
      </x:c>
      <x:c r="B3521" t="str" s="2">
        <x:v>Heritage Housing of Canton</x:v>
      </x:c>
      <x:c r="C3521" t="str" s="2">
        <x:v/>
      </x:c>
      <x:c r="D3521" t="str" s="2">
        <x:v>9039175501</x:v>
      </x:c>
      <x:c r="E3521" t="str" s="2">
        <x:v>krystal.wilburn@gmail.com</x:v>
      </x:c>
      <x:c r="F3521" t="str" s="2">
        <x:v>Landing_BPM</x:v>
      </x:c>
      <x:c r="G3521" t="str" s="2">
        <x:v>Maira Garcia</x:v>
      </x:c>
      <x:c r="H3521" s="6">
        <x:v>46248.81990940972</x:v>
      </x:c>
      <x:c r="I3521" s="0"/>
      <x:c r="J3521" s="0"/>
      <x:c r="K3521" s="6">
        <x:v>46249</x:v>
      </x:c>
      <x:c r="L3521" t="str" s="2">
        <x:v>Message Sent</x:v>
      </x:c>
    </x:row>
    <x:row r="3522">
      <x:c r="A3522" t="str" s="2">
        <x:f>="Sondra Jones"</x:f>
      </x:c>
      <x:c r="B3522" t="str" s="2">
        <x:v>Heritage Housing of Tulsa</x:v>
      </x:c>
      <x:c r="C3522" t="str" s="2">
        <x:v/>
      </x:c>
      <x:c r="D3522" t="str" s="2">
        <x:v>9187160187</x:v>
      </x:c>
      <x:c r="E3522" t="str" s="2">
        <x:v>sondramjones311@gmail.com</x:v>
      </x:c>
      <x:c r="F3522" t="str" s="2">
        <x:v>Landing_BPM</x:v>
      </x:c>
      <x:c r="G3522" t="str" s="2">
        <x:v>Jenna Fransisco</x:v>
      </x:c>
      <x:c r="H3522" s="6">
        <x:v>46248.82387908565</x:v>
      </x:c>
      <x:c r="I3522" s="0"/>
      <x:c r="J3522" s="0"/>
      <x:c r="K3522" s="6">
        <x:v>46261</x:v>
      </x:c>
      <x:c r="L3522" t="str" s="2">
        <x:v>Message Sent</x:v>
      </x:c>
    </x:row>
    <x:row r="3523">
      <x:c r="A3523" t="str" s="2">
        <x:f>="Tameca Owen"</x:f>
      </x:c>
      <x:c r="B3523" t="str" s="2">
        <x:v>Heritage Housing of Asheboro</x:v>
      </x:c>
      <x:c r="C3523" t="str" s="2">
        <x:v/>
      </x:c>
      <x:c r="D3523" t="str" s="2">
        <x:v>2529486338</x:v>
      </x:c>
      <x:c r="E3523" t="str" s="2">
        <x:v>Tamecaowen@ymail.com</x:v>
      </x:c>
      <x:c r="F3523" t="str" s="2">
        <x:v>Landing_BPM</x:v>
      </x:c>
      <x:c r="G3523" t="str" s="2">
        <x:v>Jeremy Jacques</x:v>
      </x:c>
      <x:c r="H3523" s="6">
        <x:v>46248.94477415509</x:v>
      </x:c>
      <x:c r="I3523" s="0"/>
      <x:c r="J3523" s="0"/>
      <x:c r="K3523" s="6">
        <x:v>46249</x:v>
      </x:c>
      <x:c r="L3523" t="str" s="2">
        <x:v>Message Sent</x:v>
      </x:c>
    </x:row>
    <x:row r="3524">
      <x:c r="A3524" t="str" s="2">
        <x:f>="Rogerhal RogerhalRZ"</x:f>
      </x:c>
      <x:c r="B3524" t="str" s="2">
        <x:v>Heritage Housing of Greenville</x:v>
      </x:c>
      <x:c r="C3524" t="str" s="2">
        <x:v/>
      </x:c>
      <x:c r="D3524" t="str" s="2">
        <x:v>88898816598</x:v>
      </x:c>
      <x:c r="E3524" t="str" s="2">
        <x:v>xsuctos@rojmdoc.qbh</x:v>
      </x:c>
      <x:c r="F3524" t="str" s="2">
        <x:v>Website</x:v>
      </x:c>
      <x:c r="G3524" t="str" s="2">
        <x:v>Brooklynn Allen</x:v>
      </x:c>
      <x:c r="H3524" s="6">
        <x:v>46248.99978171296</x:v>
      </x:c>
      <x:c r="I3524" s="0"/>
      <x:c r="J3524" s="0"/>
      <x:c r="K3524" s="6">
        <x:v>46249</x:v>
      </x:c>
      <x:c r="L3524" t="str" s="2">
        <x:v>Message Sent</x:v>
      </x:c>
    </x:row>
    <x:row r="3525">
      <x:c r="A3525" t="str" s="2">
        <x:f>="Cynthia Wilson"</x:f>
      </x:c>
      <x:c r="B3525" t="str" s="2">
        <x:v>Heritage Housing of Tulsa</x:v>
      </x:c>
      <x:c r="C3525" t="str" s="2">
        <x:v/>
      </x:c>
      <x:c r="D3525" t="str" s="2">
        <x:v>5399993392</x:v>
      </x:c>
      <x:c r="E3525" t="str" s="2">
        <x:v>clw2025joedal@gmail.com</x:v>
      </x:c>
      <x:c r="F3525" t="str" s="2">
        <x:v>Website</x:v>
      </x:c>
      <x:c r="G3525" t="str" s="2">
        <x:v>Jenna Fransisco</x:v>
      </x:c>
      <x:c r="H3525" s="6">
        <x:v>46249.064776273146</x:v>
      </x:c>
      <x:c r="I3525" s="0"/>
      <x:c r="J3525" s="0"/>
      <x:c r="K3525" s="6">
        <x:v>46287</x:v>
      </x:c>
      <x:c r="L3525" t="str" s="2">
        <x:v>Message Sent</x:v>
      </x:c>
    </x:row>
    <x:row r="3526">
      <x:c r="A3526" t="str" s="2">
        <x:f>="Christopher Geer"</x:f>
      </x:c>
      <x:c r="B3526" t="str" s="2">
        <x:v>Heritage Housing of Tulsa</x:v>
      </x:c>
      <x:c r="C3526" t="str" s="2">
        <x:v/>
      </x:c>
      <x:c r="D3526" t="str" s="2">
        <x:v>4053321317</x:v>
      </x:c>
      <x:c r="E3526" t="str" s="2">
        <x:v>luckyspur53901@gmail.com</x:v>
      </x:c>
      <x:c r="F3526" t="str" s="2">
        <x:v>Landing_BPM</x:v>
      </x:c>
      <x:c r="G3526" t="str" s="2">
        <x:v>Jenna Fransisco</x:v>
      </x:c>
      <x:c r="H3526" s="6">
        <x:v>46249.08689479167</x:v>
      </x:c>
      <x:c r="I3526" s="0"/>
      <x:c r="J3526" s="0"/>
      <x:c r="K3526" s="6">
        <x:v>46261</x:v>
      </x:c>
      <x:c r="L3526" t="str" s="2">
        <x:v>Message Sent</x:v>
      </x:c>
    </x:row>
    <x:row r="3527">
      <x:c r="A3527" t="str" s="2">
        <x:f>="Elizabeth Simpson"</x:f>
      </x:c>
      <x:c r="B3527" t="str" s="2">
        <x:v>Heritage Housing of Asheboro</x:v>
      </x:c>
      <x:c r="C3527" t="str" s="2">
        <x:v/>
      </x:c>
      <x:c r="D3527" t="str" s="2">
        <x:v>9804030997</x:v>
      </x:c>
      <x:c r="E3527" t="str" s="2">
        <x:v>lizsimpson718@gmail.com</x:v>
      </x:c>
      <x:c r="F3527" t="str" s="2">
        <x:v>Landing_BPM</x:v>
      </x:c>
      <x:c r="G3527" t="str" s="2">
        <x:v>Jeremy Jacques</x:v>
      </x:c>
      <x:c r="H3527" s="6">
        <x:v>46249.10304274305</x:v>
      </x:c>
      <x:c r="I3527" s="0"/>
      <x:c r="J3527" s="0"/>
      <x:c r="K3527" s="6">
        <x:v>46249</x:v>
      </x:c>
      <x:c r="L3527" t="str" s="2">
        <x:v>Message Sent</x:v>
      </x:c>
    </x:row>
    <x:row r="3528">
      <x:c r="A3528" t="str" s="2">
        <x:f>="Michael Burkett"</x:f>
      </x:c>
      <x:c r="B3528" t="str" s="2">
        <x:v>Heritage Housing of Augusta</x:v>
      </x:c>
      <x:c r="C3528" t="str" s="2">
        <x:v/>
      </x:c>
      <x:c r="D3528" t="str" s="2">
        <x:v>8392093372</x:v>
      </x:c>
      <x:c r="E3528" t="str" s="2">
        <x:v>jeepfreak7211@gmail.com</x:v>
      </x:c>
      <x:c r="F3528" t="str" s="2">
        <x:v>Financing Form</x:v>
      </x:c>
      <x:c r="G3528" t="str" s="2">
        <x:v>Faye Lively</x:v>
      </x:c>
      <x:c r="H3528" s="6">
        <x:v>46249.14356878472</x:v>
      </x:c>
      <x:c r="I3528" s="0"/>
      <x:c r="J3528" s="0"/>
      <x:c r="K3528" s="6">
        <x:v>46273</x:v>
      </x:c>
      <x:c r="L3528" t="str" s="2">
        <x:v>Message Sent</x:v>
      </x:c>
    </x:row>
    <x:row r="3529">
      <x:c r="A3529" t="str" s="2">
        <x:f>="Carmen Cortez"</x:f>
      </x:c>
      <x:c r="B3529" t="str" s="2">
        <x:v>Heritage Housing of Tulsa</x:v>
      </x:c>
      <x:c r="C3529" t="str" s="2">
        <x:v/>
      </x:c>
      <x:c r="D3529" t="str" s="2">
        <x:v>5398329562</x:v>
      </x:c>
      <x:c r="E3529" t="str" s="2">
        <x:v>Spitfyre54@gmail.com</x:v>
      </x:c>
      <x:c r="F3529" t="str" s="2">
        <x:v>Landing_BPM</x:v>
      </x:c>
      <x:c r="G3529" t="str" s="2">
        <x:v>Jenna Fransisco</x:v>
      </x:c>
      <x:c r="H3529" s="6">
        <x:v>46249.14602118055</x:v>
      </x:c>
      <x:c r="I3529" s="0"/>
      <x:c r="J3529" s="0"/>
      <x:c r="K3529" s="6">
        <x:v>46251</x:v>
      </x:c>
      <x:c r="L3529" t="str" s="2">
        <x:v>Message Sent</x:v>
      </x:c>
    </x:row>
    <x:row r="3530">
      <x:c r="A3530" t="str" s="2">
        <x:f>="Zachery Upson"</x:f>
      </x:c>
      <x:c r="B3530" t="str" s="2">
        <x:v>Legacy Housing Corp. DBA Americasa</x:v>
      </x:c>
      <x:c r="C3530" t="str" s="2">
        <x:v/>
      </x:c>
      <x:c r="D3530" t="str" s="2">
        <x:v>3467386847</x:v>
      </x:c>
      <x:c r="E3530" t="str" s="2">
        <x:v>zack.upson.02@icloud.com</x:v>
      </x:c>
      <x:c r="F3530" t="str" s="2">
        <x:v>Landing_BPM</x:v>
      </x:c>
      <x:c r="G3530" t="str" s="2">
        <x:v>Rodrigo Ramirez</x:v>
      </x:c>
      <x:c r="H3530" s="6">
        <x:v>46249.205015590276</x:v>
      </x:c>
      <x:c r="I3530" s="0"/>
      <x:c r="J3530" s="0"/>
      <x:c r="K3530" s="6">
        <x:v>46296</x:v>
      </x:c>
      <x:c r="L3530" t="str" s="2">
        <x:v>Message Sent</x:v>
      </x:c>
    </x:row>
    <x:row r="3531">
      <x:c r="A3531" t="str" s="2">
        <x:f>="Leslie Whitley"</x:f>
      </x:c>
      <x:c r="B3531" t="str" s="2">
        <x:v>Heritage Housing of Augusta</x:v>
      </x:c>
      <x:c r="C3531" t="str" s="2">
        <x:v/>
      </x:c>
      <x:c r="D3531" t="str" s="2">
        <x:v>8034291455</x:v>
      </x:c>
      <x:c r="E3531" t="str" s="2">
        <x:v>privprofessconsultlw@gmail.com</x:v>
      </x:c>
      <x:c r="F3531" t="str" s="2">
        <x:v>Website</x:v>
      </x:c>
      <x:c r="G3531" t="str" s="2">
        <x:v>Faye Lively</x:v>
      </x:c>
      <x:c r="H3531" s="6">
        <x:v>46249.32292928241</x:v>
      </x:c>
      <x:c r="I3531" s="0"/>
      <x:c r="J3531" s="0"/>
      <x:c r="K3531" s="6">
        <x:v>46279</x:v>
      </x:c>
      <x:c r="L3531" t="str" s="2">
        <x:v>Message Sent</x:v>
      </x:c>
    </x:row>
    <x:row r="3532">
      <x:c r="A3532" t="str" s="2">
        <x:f>="Aaron Searcy"</x:f>
      </x:c>
      <x:c r="B3532" t="str" s="2">
        <x:v>Heritage Housing of Asheboro</x:v>
      </x:c>
      <x:c r="C3532" t="str" s="2">
        <x:v/>
      </x:c>
      <x:c r="D3532" t="str" s="2">
        <x:v>7434331644</x:v>
      </x:c>
      <x:c r="E3532" t="str" s="2">
        <x:v>aaronsearcy2@gmail.com</x:v>
      </x:c>
      <x:c r="F3532" t="str" s="2">
        <x:v>Landing_BPM</x:v>
      </x:c>
      <x:c r="G3532" t="str" s="2">
        <x:v>Jeremy Jacques</x:v>
      </x:c>
      <x:c r="H3532" s="6">
        <x:v>46249.48180439815</x:v>
      </x:c>
      <x:c r="I3532" s="0"/>
      <x:c r="J3532" s="0"/>
      <x:c r="K3532" s="6">
        <x:v>46249</x:v>
      </x:c>
      <x:c r="L3532" t="str" s="2">
        <x:v>Message Sent</x:v>
      </x:c>
    </x:row>
    <x:row r="3533">
      <x:c r="A3533" t="str" s="2">
        <x:f>="Renee Richardson"</x:f>
      </x:c>
      <x:c r="B3533" t="str" s="2">
        <x:v>Legacy Housing Corp. DBA Americasa</x:v>
      </x:c>
      <x:c r="C3533" t="str" s="2">
        <x:v/>
      </x:c>
      <x:c r="D3533" t="str" s="2">
        <x:v>3462513846</x:v>
      </x:c>
      <x:c r="E3533" t="str" s="2">
        <x:v>reneesassociation@gmail.com</x:v>
      </x:c>
      <x:c r="F3533" t="str" s="2">
        <x:v>Landing_BPM</x:v>
      </x:c>
      <x:c r="G3533" t="str" s="2">
        <x:v>Rodrigo Ramirez</x:v>
      </x:c>
      <x:c r="H3533" s="6">
        <x:v>46249.54523950232</x:v>
      </x:c>
      <x:c r="I3533" s="0"/>
      <x:c r="J3533" s="0"/>
      <x:c r="K3533" s="6">
        <x:v>46296</x:v>
      </x:c>
      <x:c r="L3533" t="str" s="2">
        <x:v>Message Sent</x:v>
      </x:c>
    </x:row>
    <x:row r="3534">
      <x:c r="A3534" t="str" s="2">
        <x:f>=HYPERLINK("https://rsms.futurehomex.com/lead/39167", "Nelson Hinton")</x:f>
      </x:c>
      <x:c r="B3534" t="str" s="2">
        <x:v>Heritage Housing of Augusta</x:v>
      </x:c>
      <x:c r="C3534" t="str" s="2">
        <x:v/>
      </x:c>
      <x:c r="D3534" t="str" s="2">
        <x:v>7068258805</x:v>
      </x:c>
      <x:c r="E3534" t="str" s="2">
        <x:v>nelsonhinton327@gmail.com</x:v>
      </x:c>
      <x:c r="F3534" t="str" s="2">
        <x:v>Walk-in</x:v>
      </x:c>
      <x:c r="G3534" t="str" s="2">
        <x:v>Faye Lively</x:v>
      </x:c>
      <x:c r="H3534" s="6">
        <x:v>46249.59921701389</x:v>
      </x:c>
      <x:c r="I3534" t="str" s="2">
        <x:v>Faye Lively</x:v>
      </x:c>
      <x:c r="J3534" s="0"/>
      <x:c r="K3534" s="6">
        <x:v>46273</x:v>
      </x:c>
      <x:c r="L3534" t="str" s="2">
        <x:v>Message Sent</x:v>
      </x:c>
    </x:row>
    <x:row r="3535">
      <x:c r="A3535" t="str" s="2">
        <x:f>="Nautika Wright Wright"</x:f>
      </x:c>
      <x:c r="B3535" t="str" s="2">
        <x:v>Heritage Housing of Asheboro</x:v>
      </x:c>
      <x:c r="C3535" t="str" s="2">
        <x:v/>
      </x:c>
      <x:c r="D3535" t="str" s="2">
        <x:v>3368974799</x:v>
      </x:c>
      <x:c r="E3535" t="str" s="2">
        <x:v>nautikaswaney53@gmail.com</x:v>
      </x:c>
      <x:c r="F3535" t="str" s="2">
        <x:v>Landing_BPM</x:v>
      </x:c>
      <x:c r="G3535" t="str" s="2">
        <x:v>Jeremy Jacques</x:v>
      </x:c>
      <x:c r="H3535" s="6">
        <x:v>46249.66907164352</x:v>
      </x:c>
      <x:c r="I3535" s="0"/>
      <x:c r="J3535" s="0"/>
      <x:c r="K3535" s="6">
        <x:v>46249</x:v>
      </x:c>
      <x:c r="L3535" t="str" s="2">
        <x:v>Message Sent</x:v>
      </x:c>
    </x:row>
    <x:row r="3536">
      <x:c r="A3536" t="str" s="2">
        <x:f>="Mary Shelton"</x:f>
      </x:c>
      <x:c r="B3536" t="str" s="2">
        <x:v>Heritage Housing of Asheboro</x:v>
      </x:c>
      <x:c r="C3536" t="str" s="2">
        <x:v/>
      </x:c>
      <x:c r="D3536" t="str" s="2">
        <x:v>3369048440</x:v>
      </x:c>
      <x:c r="E3536" t="str" s="2">
        <x:v>ashlehull6976@gmail.com</x:v>
      </x:c>
      <x:c r="F3536" t="str" s="2">
        <x:v>Landing_BPM</x:v>
      </x:c>
      <x:c r="G3536" t="str" s="2">
        <x:v>Jeremy Jacques</x:v>
      </x:c>
      <x:c r="H3536" s="6">
        <x:v>46249.69984039352</x:v>
      </x:c>
      <x:c r="I3536" s="0"/>
      <x:c r="J3536" s="0"/>
      <x:c r="K3536" s="6">
        <x:v>46249</x:v>
      </x:c>
      <x:c r="L3536" t="str" s="2">
        <x:v>Message Sent</x:v>
      </x:c>
    </x:row>
    <x:row r="3537">
      <x:c r="A3537" t="str" s="2">
        <x:f>="Jason Bush"</x:f>
      </x:c>
      <x:c r="B3537" t="str" s="2">
        <x:v>Heritage Housing of Tulsa</x:v>
      </x:c>
      <x:c r="C3537" t="str" s="2">
        <x:v/>
      </x:c>
      <x:c r="D3537" t="str" s="2">
        <x:v>9184139788</x:v>
      </x:c>
      <x:c r="E3537" t="str" s="2">
        <x:v>bossnurse18@yahoo.com</x:v>
      </x:c>
      <x:c r="F3537" t="str" s="2">
        <x:v>Financing Form</x:v>
      </x:c>
      <x:c r="G3537" t="str" s="2">
        <x:v>Jenna Fransisco</x:v>
      </x:c>
      <x:c r="H3537" s="6">
        <x:v>46249.72025763889</x:v>
      </x:c>
      <x:c r="I3537" s="0"/>
      <x:c r="J3537" s="0"/>
      <x:c r="K3537" s="6">
        <x:v>46287</x:v>
      </x:c>
      <x:c r="L3537" t="str" s="2">
        <x:v>Message Sent</x:v>
      </x:c>
    </x:row>
    <x:row r="3538">
      <x:c r="A3538" t="str" s="2">
        <x:f>=HYPERLINK("https://rsms.futurehomex.com/lead/39343", "Rodrigo Martinez")</x:f>
      </x:c>
      <x:c r="B3538" t="str" s="2">
        <x:v>Legacy Housing Corp. DBA Americasa</x:v>
      </x:c>
      <x:c r="C3538" t="str" s="2">
        <x:v/>
      </x:c>
      <x:c r="D3538" t="str" s="2">
        <x:v>4097972481</x:v>
      </x:c>
      <x:c r="E3538" t="str" s="2">
        <x:v>4097972481</x:v>
      </x:c>
      <x:c r="F3538" t="str" s="2">
        <x:v>Facebook Messenger</x:v>
      </x:c>
      <x:c r="G3538" t="str" s="2">
        <x:v>Rodrigo Ramirez</x:v>
      </x:c>
      <x:c r="H3538" s="6">
        <x:v>46249.740835034725</x:v>
      </x:c>
      <x:c r="I3538" t="str" s="2">
        <x:v>Jose Parada</x:v>
      </x:c>
      <x:c r="J3538" s="6">
        <x:v>46256.708333333336</x:v>
      </x:c>
      <x:c r="K3538" s="6">
        <x:v>46300</x:v>
      </x:c>
      <x:c r="L3538" t="str" s="2">
        <x:v>Message Sent</x:v>
      </x:c>
    </x:row>
    <x:row r="3539">
      <x:c r="A3539" t="str" s="2">
        <x:f>="Tori Garza"</x:f>
      </x:c>
      <x:c r="B3539" t="str" s="2">
        <x:v>Legacy Housing Corp. DBA Americasa</x:v>
      </x:c>
      <x:c r="C3539" t="str" s="2">
        <x:v/>
      </x:c>
      <x:c r="D3539" t="str" s="2">
        <x:v>9853773812</x:v>
      </x:c>
      <x:c r="E3539" t="str" s="2">
        <x:v>tori.l.garza@gmail.com</x:v>
      </x:c>
      <x:c r="F3539" t="str" s="2">
        <x:v>Landing_BPM</x:v>
      </x:c>
      <x:c r="G3539" t="str" s="2">
        <x:v>Jose Parada</x:v>
      </x:c>
      <x:c r="H3539" s="6">
        <x:v>46249.744721759256</x:v>
      </x:c>
      <x:c r="I3539" s="0"/>
      <x:c r="J3539" s="0"/>
      <x:c r="K3539" s="6">
        <x:v>46296</x:v>
      </x:c>
      <x:c r="L3539" t="str" s="2">
        <x:v>Message Sent</x:v>
      </x:c>
    </x:row>
    <x:row r="3540">
      <x:c r="A3540" t="str" s="2">
        <x:f>="Kurstin Gentry"</x:f>
      </x:c>
      <x:c r="B3540" t="str" s="2">
        <x:v>Heritage Housing of Greenville</x:v>
      </x:c>
      <x:c r="C3540" t="str" s="2">
        <x:v/>
      </x:c>
      <x:c r="D3540" t="str" s="2">
        <x:v>2147012810</x:v>
      </x:c>
      <x:c r="E3540" t="str" s="2">
        <x:v>kurstingentry4@gmail.com</x:v>
      </x:c>
      <x:c r="F3540" t="str" s="2">
        <x:v>Landing_BPM</x:v>
      </x:c>
      <x:c r="G3540" t="str" s="2">
        <x:v>Brooklynn Allen</x:v>
      </x:c>
      <x:c r="H3540" s="6">
        <x:v>46249.79075436343</x:v>
      </x:c>
      <x:c r="I3540" s="0"/>
      <x:c r="J3540" s="0"/>
      <x:c r="K3540" s="6">
        <x:v>46251</x:v>
      </x:c>
      <x:c r="L3540" t="str" s="2">
        <x:v>Message Sent</x:v>
      </x:c>
    </x:row>
    <x:row r="3541">
      <x:c r="A3541" t="str" s="2">
        <x:f>="Juan Muniz"</x:f>
      </x:c>
      <x:c r="B3541" t="str" s="2">
        <x:v>Heritage Housing of Greenville</x:v>
      </x:c>
      <x:c r="C3541" t="str" s="2">
        <x:v/>
      </x:c>
      <x:c r="D3541" t="str" s="2">
        <x:v>2149686976</x:v>
      </x:c>
      <x:c r="E3541" t="str" s="2">
        <x:v>jcmuniz1963@gmail.com</x:v>
      </x:c>
      <x:c r="F3541" t="str" s="2">
        <x:v>Landing_BPM</x:v>
      </x:c>
      <x:c r="G3541" t="str" s="2">
        <x:v>Brooklynn Allen</x:v>
      </x:c>
      <x:c r="H3541" s="6">
        <x:v>46249.80817931713</x:v>
      </x:c>
      <x:c r="I3541" s="0"/>
      <x:c r="J3541" s="0"/>
      <x:c r="K3541" s="6">
        <x:v>46267</x:v>
      </x:c>
      <x:c r="L3541" t="str" s="2">
        <x:v>Message Sent</x:v>
      </x:c>
    </x:row>
    <x:row r="3542">
      <x:c r="A3542" t="str" s="2">
        <x:f>=HYPERLINK("https://rsms.futurehomex.com/lead/39185", "Erika Ramirez")</x:f>
      </x:c>
      <x:c r="B3542" t="str" s="2">
        <x:v>Legacy Housing Corp. DBA Americasa</x:v>
      </x:c>
      <x:c r="C3542" t="str" s="2">
        <x:v/>
      </x:c>
      <x:c r="D3542" t="str" s="2">
        <x:v>7134806710</x:v>
      </x:c>
      <x:c r="E3542" t="str" s="2">
        <x:v>eliascerda34@gmail.com</x:v>
      </x:c>
      <x:c r="F3542" t="str" s="2">
        <x:v>Walk-in</x:v>
      </x:c>
      <x:c r="G3542" s="0"/>
      <x:c r="H3542" s="6">
        <x:v>46249.81389050926</x:v>
      </x:c>
      <x:c r="I3542" t="str" s="2">
        <x:v>Jose Parada</x:v>
      </x:c>
      <x:c r="J3542" s="0"/>
      <x:c r="K3542" s="6">
        <x:v>46288</x:v>
      </x:c>
      <x:c r="L3542" t="str" s="2">
        <x:v>Message Sent</x:v>
      </x:c>
    </x:row>
    <x:row r="3543">
      <x:c r="A3543" t="str" s="2">
        <x:f>="Latonya Baxter"</x:f>
      </x:c>
      <x:c r="B3543" t="str" s="2">
        <x:v>Heritage Housing of Tulsa</x:v>
      </x:c>
      <x:c r="C3543" t="str" s="2">
        <x:v/>
      </x:c>
      <x:c r="D3543" t="str" s="2">
        <x:v>5803644774</x:v>
      </x:c>
      <x:c r="E3543" t="str" s="2">
        <x:v>81tonya.baxter@gmail.com</x:v>
      </x:c>
      <x:c r="F3543" t="str" s="2">
        <x:v>Landing_BPM</x:v>
      </x:c>
      <x:c r="G3543" t="str" s="2">
        <x:v>Jenna Fransisco</x:v>
      </x:c>
      <x:c r="H3543" s="6">
        <x:v>46249.82482013889</x:v>
      </x:c>
      <x:c r="I3543" s="0"/>
      <x:c r="J3543" s="0"/>
      <x:c r="K3543" s="6">
        <x:v>46287</x:v>
      </x:c>
      <x:c r="L3543" t="str" s="2">
        <x:v>Message Sent</x:v>
      </x:c>
    </x:row>
    <x:row r="3544">
      <x:c r="A3544" t="str" s="2">
        <x:f>="Annabelle Kindred"</x:f>
      </x:c>
      <x:c r="B3544" t="str" s="2">
        <x:v>Heritage Housing of Asheboro</x:v>
      </x:c>
      <x:c r="C3544" t="str" s="2">
        <x:v/>
      </x:c>
      <x:c r="D3544" t="str" s="2">
        <x:v>9106995295</x:v>
      </x:c>
      <x:c r="E3544" t="str" s="2">
        <x:v>abbykindred060426@gmail.com</x:v>
      </x:c>
      <x:c r="F3544" t="str" s="2">
        <x:v>Landing_BPM</x:v>
      </x:c>
      <x:c r="G3544" t="str" s="2">
        <x:v>Maria Lopez</x:v>
      </x:c>
      <x:c r="H3544" s="6">
        <x:v>46249.85255300926</x:v>
      </x:c>
      <x:c r="I3544" s="0"/>
      <x:c r="J3544" s="0"/>
      <x:c r="K3544" s="6">
        <x:v>46259</x:v>
      </x:c>
      <x:c r="L3544" t="str" s="2">
        <x:v>Message Sent</x:v>
      </x:c>
    </x:row>
    <x:row r="3545">
      <x:c r="A3545" t="str" s="2">
        <x:f>="Rebecca Ward"</x:f>
      </x:c>
      <x:c r="B3545" t="str" s="2">
        <x:v>Legacy Housing Corp. DBA Americasa</x:v>
      </x:c>
      <x:c r="C3545" t="str" s="2">
        <x:v/>
      </x:c>
      <x:c r="D3545" t="str" s="2">
        <x:v>7725286248</x:v>
      </x:c>
      <x:c r="E3545" t="str" s="2">
        <x:v>Beckyward812@gmail.com</x:v>
      </x:c>
      <x:c r="F3545" t="str" s="2">
        <x:v>Landing_BPM</x:v>
      </x:c>
      <x:c r="G3545" t="str" s="2">
        <x:v>Rodrigo Ramirez</x:v>
      </x:c>
      <x:c r="H3545" s="6">
        <x:v>46249.87974123842</x:v>
      </x:c>
      <x:c r="I3545" s="0"/>
      <x:c r="J3545" s="0"/>
      <x:c r="K3545" s="6">
        <x:v>46296</x:v>
      </x:c>
      <x:c r="L3545" t="str" s="2">
        <x:v>Message Sent</x:v>
      </x:c>
    </x:row>
    <x:row r="3546">
      <x:c r="A3546" t="str" s="2">
        <x:f>="Nicole Parker"</x:f>
      </x:c>
      <x:c r="B3546" t="str" s="2">
        <x:v>Legacy Housing Corp. DBA Americasa</x:v>
      </x:c>
      <x:c r="C3546" t="str" s="2">
        <x:v/>
      </x:c>
      <x:c r="D3546" t="str" s="2">
        <x:v>5109216441</x:v>
      </x:c>
      <x:c r="E3546" t="str" s="2">
        <x:v>nd.parker75@gmail.com</x:v>
      </x:c>
      <x:c r="F3546" t="str" s="2">
        <x:v>Landing_BPM</x:v>
      </x:c>
      <x:c r="G3546" t="str" s="2">
        <x:v>Rodrigo Ramirez</x:v>
      </x:c>
      <x:c r="H3546" s="6">
        <x:v>46249.88279282407</x:v>
      </x:c>
      <x:c r="I3546" s="0"/>
      <x:c r="J3546" s="0"/>
      <x:c r="K3546" s="6">
        <x:v>46296</x:v>
      </x:c>
      <x:c r="L3546" t="str" s="2">
        <x:v>Message Sent</x:v>
      </x:c>
    </x:row>
    <x:row r="3547">
      <x:c r="A3547" t="str" s="2">
        <x:f>="Sayonara Ruiz"</x:f>
      </x:c>
      <x:c r="B3547" t="str" s="2">
        <x:v>Heritage Housing of Greenville</x:v>
      </x:c>
      <x:c r="C3547" t="str" s="2">
        <x:v/>
      </x:c>
      <x:c r="D3547" t="str" s="2">
        <x:v>4302422528</x:v>
      </x:c>
      <x:c r="E3547" t="str" s="2">
        <x:v>ruizsayonara1@gmail.com</x:v>
      </x:c>
      <x:c r="F3547" t="str" s="2">
        <x:v>Landing_BPM</x:v>
      </x:c>
      <x:c r="G3547" t="str" s="2">
        <x:v>Brooklynn Allen</x:v>
      </x:c>
      <x:c r="H3547" s="6">
        <x:v>46249.914048032406</x:v>
      </x:c>
      <x:c r="I3547" s="0"/>
      <x:c r="J3547" s="0"/>
      <x:c r="K3547" s="6">
        <x:v>46251</x:v>
      </x:c>
      <x:c r="L3547" t="str" s="2">
        <x:v>Message Sent</x:v>
      </x:c>
    </x:row>
    <x:row r="3548">
      <x:c r="A3548" t="str" s="2">
        <x:f>=HYPERLINK("https://rsms.futurehomex.com/lead/39230", "Edenys Atencio")</x:f>
      </x:c>
      <x:c r="B3548" t="str" s="2">
        <x:v>Legacy Housing Corp. DBA Americasa</x:v>
      </x:c>
      <x:c r="C3548" t="str" s="2">
        <x:v/>
      </x:c>
      <x:c r="D3548" t="str" s="2">
        <x:v>8328078587</x:v>
      </x:c>
      <x:c r="E3548" t="str" s="2">
        <x:v>8328078587</x:v>
      </x:c>
      <x:c r="F3548" t="str" s="2">
        <x:v>Website</x:v>
      </x:c>
      <x:c r="G3548" t="str" s="2">
        <x:v>Rodrigo Ramirez</x:v>
      </x:c>
      <x:c r="H3548" s="6">
        <x:v>46249.91866631944</x:v>
      </x:c>
      <x:c r="I3548" t="str" s="2">
        <x:v>Jose Parada</x:v>
      </x:c>
      <x:c r="J3548" s="6">
        <x:v>46251.833333333336</x:v>
      </x:c>
      <x:c r="K3548" s="6">
        <x:v>46288</x:v>
      </x:c>
      <x:c r="L3548" t="str" s="2">
        <x:v>Message Sent</x:v>
      </x:c>
    </x:row>
    <x:row r="3549">
      <x:c r="A3549" t="str" s="2">
        <x:f>="Sandra Allen"</x:f>
      </x:c>
      <x:c r="B3549" t="str" s="2">
        <x:v>Heritage Housing of Asheboro</x:v>
      </x:c>
      <x:c r="C3549" t="str" s="2">
        <x:v/>
      </x:c>
      <x:c r="D3549" t="str" s="2">
        <x:v>704-796-8119</x:v>
      </x:c>
      <x:c r="E3549" t="str" s="2">
        <x:v>sandra.allen@ymail.com</x:v>
      </x:c>
      <x:c r="F3549" t="str" s="2">
        <x:v>Landing_BPM</x:v>
      </x:c>
      <x:c r="G3549" t="str" s="2">
        <x:v>Maria Lopez</x:v>
      </x:c>
      <x:c r="H3549" s="6">
        <x:v>46249.965740011576</x:v>
      </x:c>
      <x:c r="I3549" s="0"/>
      <x:c r="J3549" s="0"/>
      <x:c r="K3549" s="6">
        <x:v>46262</x:v>
      </x:c>
      <x:c r="L3549" t="str" s="2">
        <x:v>Message Sent</x:v>
      </x:c>
    </x:row>
    <x:row r="3550">
      <x:c r="A3550" t="str" s="2">
        <x:f>="skylar dupepe"</x:f>
      </x:c>
      <x:c r="B3550" t="str" s="2">
        <x:v>Heritage Housing of Jennings</x:v>
      </x:c>
      <x:c r="C3550" t="str" s="2">
        <x:v/>
      </x:c>
      <x:c r="D3550" t="str" s="2">
        <x:v>9853471707</x:v>
      </x:c>
      <x:c r="E3550" t="str" s="2">
        <x:v>sdupepe102@gmail.com</x:v>
      </x:c>
      <x:c r="F3550" t="str" s="2">
        <x:v>Landing_BPM</x:v>
      </x:c>
      <x:c r="G3550" t="str" s="2">
        <x:v>Clint O'Neal</x:v>
      </x:c>
      <x:c r="H3550" s="6">
        <x:v>46249.97449571759</x:v>
      </x:c>
      <x:c r="I3550" s="0"/>
      <x:c r="J3550" s="0"/>
      <x:c r="K3550" s="6">
        <x:v>46302.677332025465</x:v>
      </x:c>
      <x:c r="L3550" t="str" s="2">
        <x:v>Message Sent</x:v>
      </x:c>
    </x:row>
    <x:row r="3551">
      <x:c r="A3551" t="str" s="2">
        <x:f>="Tiffany Bentley"</x:f>
      </x:c>
      <x:c r="B3551" t="str" s="2">
        <x:v>Heritage Housing of Albany</x:v>
      </x:c>
      <x:c r="C3551" t="str" s="2">
        <x:v/>
      </x:c>
      <x:c r="D3551" t="str" s="2">
        <x:v>2295483141</x:v>
      </x:c>
      <x:c r="E3551" t="str" s="2">
        <x:v>tiffbentley211@gmail.com</x:v>
      </x:c>
      <x:c r="F3551" t="str" s="2">
        <x:v>Financing Form</x:v>
      </x:c>
      <x:c r="G3551" t="str" s="2">
        <x:v>Yanet Alvarez</x:v>
      </x:c>
      <x:c r="H3551" s="6">
        <x:v>46249.98811446759</x:v>
      </x:c>
      <x:c r="I3551" s="0"/>
      <x:c r="J3551" s="0"/>
      <x:c r="K3551" s="6">
        <x:v>46303</x:v>
      </x:c>
      <x:c r="L3551" t="str" s="2">
        <x:v>Message Sent</x:v>
      </x:c>
    </x:row>
    <x:row r="3552">
      <x:c r="A3552" t="str" s="2">
        <x:f>="Yolanda Francis"</x:f>
      </x:c>
      <x:c r="B3552" t="str" s="2">
        <x:v>Legacy Housing Corp. DBA Americasa</x:v>
      </x:c>
      <x:c r="C3552" t="str" s="2">
        <x:v/>
      </x:c>
      <x:c r="D3552" t="str" s="2">
        <x:v>3465379983</x:v>
      </x:c>
      <x:c r="E3552" t="str" s="2">
        <x:v>Akashafrancis2178@gmail.com</x:v>
      </x:c>
      <x:c r="F3552" t="str" s="2">
        <x:v>Landing_BPM</x:v>
      </x:c>
      <x:c r="G3552" t="str" s="2">
        <x:v>Jose Parada</x:v>
      </x:c>
      <x:c r="H3552" s="6">
        <x:v>46250.04002353009</x:v>
      </x:c>
      <x:c r="I3552" s="0"/>
      <x:c r="J3552" s="0"/>
      <x:c r="K3552" s="6">
        <x:v>46296</x:v>
      </x:c>
      <x:c r="L3552" t="str" s="2">
        <x:v>Message Sent</x:v>
      </x:c>
    </x:row>
    <x:row r="3553">
      <x:c r="A3553" t="str" s="2">
        <x:f>="Clint Meche"</x:f>
      </x:c>
      <x:c r="B3553" t="str" s="2">
        <x:v>Heritage Housing of Jennings</x:v>
      </x:c>
      <x:c r="C3553" t="str" s="2">
        <x:v>0/1</x:v>
      </x:c>
      <x:c r="D3553" t="str" s="2">
        <x:v>3377342027</x:v>
      </x:c>
      <x:c r="E3553" t="str" s="2">
        <x:v>clint.meche@yahoo.com</x:v>
      </x:c>
      <x:c r="F3553" t="str" s="2">
        <x:v>Website</x:v>
      </x:c>
      <x:c r="G3553" t="str" s="2">
        <x:v>Mervin Leslie Smith</x:v>
      </x:c>
      <x:c r="H3553" s="6">
        <x:v>46250.10229930555</x:v>
      </x:c>
      <x:c r="I3553" s="0"/>
      <x:c r="J3553" s="0"/>
      <x:c r="K3553" s="6">
        <x:v>46302.67790292824</x:v>
      </x:c>
      <x:c r="L3553" t="str" s="2">
        <x:v>Message Sent</x:v>
      </x:c>
    </x:row>
    <x:row r="3554">
      <x:c r="A3554" t="str" s="2">
        <x:f>="Lynette Washington"</x:f>
      </x:c>
      <x:c r="B3554" t="str" s="2">
        <x:v>Heritage Housing of Jennings</x:v>
      </x:c>
      <x:c r="C3554" t="str" s="2">
        <x:v/>
      </x:c>
      <x:c r="D3554" t="str" s="2">
        <x:v>3372106832</x:v>
      </x:c>
      <x:c r="E3554" t="str" s="2">
        <x:v>lynettewash1971@gmail.com</x:v>
      </x:c>
      <x:c r="F3554" t="str" s="2">
        <x:v>Landing_BPM</x:v>
      </x:c>
      <x:c r="G3554" t="str" s="2">
        <x:v>Clint O'Neal</x:v>
      </x:c>
      <x:c r="H3554" s="6">
        <x:v>46250.11132519676</x:v>
      </x:c>
      <x:c r="I3554" s="0"/>
      <x:c r="J3554" s="0"/>
      <x:c r="K3554" s="6">
        <x:v>46302.67977538194</x:v>
      </x:c>
      <x:c r="L3554" t="str" s="2">
        <x:v>Message Sent</x:v>
      </x:c>
    </x:row>
    <x:row r="3555">
      <x:c r="A3555" t="str" s="2">
        <x:f>="Carroll Lee Guggisberg"</x:f>
      </x:c>
      <x:c r="B3555" t="str" s="2">
        <x:v>Heritage Housing of Tulsa</x:v>
      </x:c>
      <x:c r="C3555" t="str" s="2">
        <x:v/>
      </x:c>
      <x:c r="D3555" t="str" s="2">
        <x:v>9406558516</x:v>
      </x:c>
      <x:c r="E3555" t="str" s="2">
        <x:v>leeguggisberg20@gmail.com</x:v>
      </x:c>
      <x:c r="F3555" t="str" s="2">
        <x:v>Financing Form</x:v>
      </x:c>
      <x:c r="G3555" t="str" s="2">
        <x:v>Jenna Fransisco</x:v>
      </x:c>
      <x:c r="H3555" s="6">
        <x:v>46250.11907017361</x:v>
      </x:c>
      <x:c r="I3555" s="0"/>
      <x:c r="J3555" s="0"/>
      <x:c r="K3555" s="6">
        <x:v>46251</x:v>
      </x:c>
      <x:c r="L3555" t="str" s="2">
        <x:v>Message Sent</x:v>
      </x:c>
    </x:row>
    <x:row r="3556">
      <x:c r="A3556" t="str" s="2">
        <x:f>="Shannon Lonergan"</x:f>
      </x:c>
      <x:c r="B3556" t="str" s="2">
        <x:v>Heritage Housing of Canton</x:v>
      </x:c>
      <x:c r="C3556" t="str" s="2">
        <x:v/>
      </x:c>
      <x:c r="D3556" t="str" s="2">
        <x:v>3467402551</x:v>
      </x:c>
      <x:c r="E3556" t="str" s="2">
        <x:v>slonergan8886@gmail.com</x:v>
      </x:c>
      <x:c r="F3556" t="str" s="2">
        <x:v>Landing_BPM</x:v>
      </x:c>
      <x:c r="G3556" t="str" s="2">
        <x:v>Jacob Hatten</x:v>
      </x:c>
      <x:c r="H3556" s="6">
        <x:v>46250.141723692126</x:v>
      </x:c>
      <x:c r="I3556" s="0"/>
      <x:c r="J3556" s="0"/>
      <x:c r="K3556" s="6">
        <x:v>46293</x:v>
      </x:c>
      <x:c r="L3556" t="str" s="2">
        <x:v>Message Sent</x:v>
      </x:c>
    </x:row>
    <x:row r="3557">
      <x:c r="A3557" t="str" s="2">
        <x:f>="Valerie Suttoon"</x:f>
      </x:c>
      <x:c r="B3557" t="str" s="2">
        <x:v>Heritage Housing of Jennings</x:v>
      </x:c>
      <x:c r="C3557" t="str" s="2">
        <x:v/>
      </x:c>
      <x:c r="D3557" t="str" s="2">
        <x:v>3372904070</x:v>
      </x:c>
      <x:c r="E3557" t="str" s="2">
        <x:v>valeriesuttoon@yahoo.com</x:v>
      </x:c>
      <x:c r="F3557" t="str" s="2">
        <x:v>Landing_BPM</x:v>
      </x:c>
      <x:c r="G3557" t="str" s="2">
        <x:v>Clint O'Neal</x:v>
      </x:c>
      <x:c r="H3557" s="6">
        <x:v>46250.18756211806</x:v>
      </x:c>
      <x:c r="I3557" s="0"/>
      <x:c r="J3557" s="0"/>
      <x:c r="K3557" s="6">
        <x:v>46302.68193799769</x:v>
      </x:c>
      <x:c r="L3557" t="str" s="2">
        <x:v>Message Sent</x:v>
      </x:c>
    </x:row>
    <x:row r="3558">
      <x:c r="A3558" t="str" s="2">
        <x:f>="Betina Keller"</x:f>
      </x:c>
      <x:c r="B3558" t="str" s="2">
        <x:v>Heritage Housing of Augusta</x:v>
      </x:c>
      <x:c r="C3558" t="str" s="2">
        <x:v/>
      </x:c>
      <x:c r="D3558" t="str" s="2">
        <x:v>8034029500</x:v>
      </x:c>
      <x:c r="E3558" t="str" s="2">
        <x:v>b.keller0218@gmail.com</x:v>
      </x:c>
      <x:c r="F3558" t="str" s="2">
        <x:v>Landing_BPM</x:v>
      </x:c>
      <x:c r="G3558" t="str" s="2">
        <x:v>Faye Lively</x:v>
      </x:c>
      <x:c r="H3558" s="6">
        <x:v>46250.222235416666</x:v>
      </x:c>
      <x:c r="I3558" s="0"/>
      <x:c r="J3558" s="0"/>
      <x:c r="K3558" s="6">
        <x:v>46274</x:v>
      </x:c>
      <x:c r="L3558" t="str" s="2">
        <x:v>Message Sent</x:v>
      </x:c>
    </x:row>
    <x:row r="3559">
      <x:c r="A3559" t="str" s="2">
        <x:f>="Shannon Mooney"</x:f>
      </x:c>
      <x:c r="B3559" t="str" s="2">
        <x:v>Heritage Housing of Greenville</x:v>
      </x:c>
      <x:c r="C3559" t="str" s="2">
        <x:v/>
      </x:c>
      <x:c r="D3559" t="str" s="2">
        <x:v>5806158119</x:v>
      </x:c>
      <x:c r="E3559" t="str" s="2">
        <x:v>shamooney@yahoo.com</x:v>
      </x:c>
      <x:c r="F3559" t="str" s="2">
        <x:v>Landing_BPM</x:v>
      </x:c>
      <x:c r="G3559" t="str" s="2">
        <x:v>Brooklynn Allen</x:v>
      </x:c>
      <x:c r="H3559" s="6">
        <x:v>46250.443181400464</x:v>
      </x:c>
      <x:c r="I3559" s="0"/>
      <x:c r="J3559" s="0"/>
      <x:c r="K3559" s="6">
        <x:v>46251</x:v>
      </x:c>
      <x:c r="L3559" t="str" s="2">
        <x:v>Message Sent</x:v>
      </x:c>
    </x:row>
    <x:row r="3560">
      <x:c r="A3560" t="str" s="2">
        <x:f>="Tammy Lee"</x:f>
      </x:c>
      <x:c r="B3560" t="str" s="2">
        <x:v>Legacy Housing Corp. DBA Americasa</x:v>
      </x:c>
      <x:c r="C3560" t="str" s="2">
        <x:v/>
      </x:c>
      <x:c r="D3560" t="str" s="2">
        <x:v>2812479927</x:v>
      </x:c>
      <x:c r="E3560" t="str" s="2">
        <x:v>coctammy221@gmail.com</x:v>
      </x:c>
      <x:c r="F3560" t="str" s="2">
        <x:v>Landing_BPM</x:v>
      </x:c>
      <x:c r="G3560" t="str" s="2">
        <x:v>Rodrigo Ramirez</x:v>
      </x:c>
      <x:c r="H3560" s="6">
        <x:v>46250.44924652778</x:v>
      </x:c>
      <x:c r="I3560" s="0"/>
      <x:c r="J3560" s="0"/>
      <x:c r="K3560" s="6">
        <x:v>46296</x:v>
      </x:c>
      <x:c r="L3560" t="str" s="2">
        <x:v>Message Sent</x:v>
      </x:c>
    </x:row>
    <x:row r="3561">
      <x:c r="A3561" t="str" s="2">
        <x:f>="Susan Calloway"</x:f>
      </x:c>
      <x:c r="B3561" t="str" s="2">
        <x:v>Heritage Housing of Tulsa</x:v>
      </x:c>
      <x:c r="C3561" t="str" s="2">
        <x:v/>
      </x:c>
      <x:c r="D3561" t="str" s="2">
        <x:v>9186400371</x:v>
      </x:c>
      <x:c r="E3561" t="str" s="2">
        <x:v>Susancalloway0@gmail.com</x:v>
      </x:c>
      <x:c r="F3561" t="str" s="2">
        <x:v>Landing_BPM</x:v>
      </x:c>
      <x:c r="G3561" t="str" s="2">
        <x:v>Jenna Fransisco</x:v>
      </x:c>
      <x:c r="H3561" s="6">
        <x:v>46250.56570925926</x:v>
      </x:c>
      <x:c r="I3561" s="0"/>
      <x:c r="J3561" s="0"/>
      <x:c r="K3561" s="6">
        <x:v>46261</x:v>
      </x:c>
      <x:c r="L3561" t="str" s="2">
        <x:v>Message Sent</x:v>
      </x:c>
    </x:row>
    <x:row r="3562">
      <x:c r="A3562" t="str" s="2">
        <x:f>="Marqutia Jones"</x:f>
      </x:c>
      <x:c r="B3562" t="str" s="2">
        <x:v>Heritage Housing of Augusta</x:v>
      </x:c>
      <x:c r="C3562" t="str" s="2">
        <x:v/>
      </x:c>
      <x:c r="D3562" t="str" s="2">
        <x:v>4787655417</x:v>
      </x:c>
      <x:c r="E3562" t="str" s="2">
        <x:v>marquitam3@gmail.com</x:v>
      </x:c>
      <x:c r="F3562" t="str" s="2">
        <x:v>Landing_BPM</x:v>
      </x:c>
      <x:c r="G3562" t="str" s="2">
        <x:v>Faye Lively</x:v>
      </x:c>
      <x:c r="H3562" s="6">
        <x:v>46250.632310416666</x:v>
      </x:c>
      <x:c r="I3562" s="0"/>
      <x:c r="J3562" s="0"/>
      <x:c r="K3562" s="6">
        <x:v>46274</x:v>
      </x:c>
      <x:c r="L3562" t="str" s="2">
        <x:v>Message Sent</x:v>
      </x:c>
    </x:row>
    <x:row r="3563">
      <x:c r="A3563" t="str" s="2">
        <x:f>="niya Gotch"</x:f>
      </x:c>
      <x:c r="B3563" t="str" s="2">
        <x:v>Heritage Housing of Jennings</x:v>
      </x:c>
      <x:c r="C3563" t="str" s="2">
        <x:v>1/1</x:v>
      </x:c>
      <x:c r="D3563" t="str" s="2">
        <x:v>3377617071</x:v>
      </x:c>
      <x:c r="E3563" t="str" s="2">
        <x:v>gotchniya@gmail.com</x:v>
      </x:c>
      <x:c r="F3563" t="str" s="2">
        <x:v>Landing_BPM</x:v>
      </x:c>
      <x:c r="G3563" t="str" s="2">
        <x:v>Clint O'Neal</x:v>
      </x:c>
      <x:c r="H3563" s="6">
        <x:v>46250.69178341435</x:v>
      </x:c>
      <x:c r="I3563" s="0"/>
      <x:c r="J3563" s="0"/>
      <x:c r="K3563" s="6">
        <x:v>46302.683091747684</x:v>
      </x:c>
      <x:c r="L3563" t="str" s="2">
        <x:v>Message Sent</x:v>
      </x:c>
    </x:row>
    <x:row r="3564">
      <x:c r="A3564" t="str" s="2">
        <x:f>="Jeff Tarwater"</x:f>
      </x:c>
      <x:c r="B3564" t="str" s="2">
        <x:v>Heritage Housing of Tulsa</x:v>
      </x:c>
      <x:c r="C3564" t="str" s="2">
        <x:v/>
      </x:c>
      <x:c r="D3564" t="str" s="2">
        <x:v>9183992991</x:v>
      </x:c>
      <x:c r="E3564" t="str" s="2">
        <x:v>jeffyt34@gmail.com</x:v>
      </x:c>
      <x:c r="F3564" t="str" s="2">
        <x:v>Landing_BPM</x:v>
      </x:c>
      <x:c r="G3564" t="str" s="2">
        <x:v>Jenna Fransisco</x:v>
      </x:c>
      <x:c r="H3564" s="6">
        <x:v>46250.72280740741</x:v>
      </x:c>
      <x:c r="I3564" s="0"/>
      <x:c r="J3564" s="0"/>
      <x:c r="K3564" s="6">
        <x:v>46251</x:v>
      </x:c>
      <x:c r="L3564" t="str" s="2">
        <x:v>Message Sent</x:v>
      </x:c>
    </x:row>
    <x:row r="3565">
      <x:c r="A3565" t="str" s="2">
        <x:f>=HYPERLINK("https://rsms.futurehomex.com/lead/40598", "Rhonda Ammons")</x:f>
      </x:c>
      <x:c r="B3565" t="str" s="2">
        <x:v>Heritage Housing of Asheboro</x:v>
      </x:c>
      <x:c r="C3565" t="str" s="2">
        <x:v/>
      </x:c>
      <x:c r="D3565" t="str" s="2">
        <x:v>9104162960</x:v>
      </x:c>
      <x:c r="E3565" t="str" s="2">
        <x:v>heathens0321@gmail.com</x:v>
      </x:c>
      <x:c r="F3565" t="str" s="2">
        <x:v>Landing_BPM</x:v>
      </x:c>
      <x:c r="G3565" t="str" s="2">
        <x:v>Maria Lopez</x:v>
      </x:c>
      <x:c r="H3565" s="6">
        <x:v>46250.730377974534</x:v>
      </x:c>
      <x:c r="I3565" t="str" s="2">
        <x:v>Maria Lopez</x:v>
      </x:c>
      <x:c r="J3565" s="0"/>
      <x:c r="K3565" s="6">
        <x:v>46301</x:v>
      </x:c>
      <x:c r="L3565" t="str" s="2">
        <x:v>Message Sent</x:v>
      </x:c>
    </x:row>
    <x:row r="3566">
      <x:c r="A3566" t="str" s="2">
        <x:f>="Mary Forest"</x:f>
      </x:c>
      <x:c r="B3566" t="str" s="2">
        <x:v>Heritage Housing of Asheboro</x:v>
      </x:c>
      <x:c r="C3566" t="str" s="2">
        <x:v/>
      </x:c>
      <x:c r="D3566" t="str" s="2">
        <x:v>8643207061</x:v>
      </x:c>
      <x:c r="E3566" t="str" s="2">
        <x:v>maryboo0411@gmail.com</x:v>
      </x:c>
      <x:c r="F3566" t="str" s="2">
        <x:v>Landing_BPM</x:v>
      </x:c>
      <x:c r="G3566" t="str" s="2">
        <x:v>Maria Lopez</x:v>
      </x:c>
      <x:c r="H3566" s="6">
        <x:v>46250.73886392361</x:v>
      </x:c>
      <x:c r="I3566" s="0"/>
      <x:c r="J3566" s="0"/>
      <x:c r="K3566" s="6">
        <x:v>46259</x:v>
      </x:c>
      <x:c r="L3566" t="str" s="2">
        <x:v>Message Sent</x:v>
      </x:c>
    </x:row>
    <x:row r="3567">
      <x:c r="A3567" t="str" s="2">
        <x:f>=HYPERLINK("https://rsms.futurehomex.com/lead/39877", "Kyle Mouser")</x:f>
      </x:c>
      <x:c r="B3567" t="str" s="2">
        <x:v>Heritage Housing of Tulsa</x:v>
      </x:c>
      <x:c r="C3567" t="str" s="2">
        <x:v/>
      </x:c>
      <x:c r="D3567" t="str" s="2">
        <x:v>9182644292</x:v>
      </x:c>
      <x:c r="E3567" t="str" s="2">
        <x:v>workmail2022@gmail.com</x:v>
      </x:c>
      <x:c r="F3567" t="str" s="2">
        <x:v>LandingPage</x:v>
      </x:c>
      <x:c r="G3567" t="str" s="2">
        <x:v>Jenna Fransisco</x:v>
      </x:c>
      <x:c r="H3567" s="6">
        <x:v>46250.80119278935</x:v>
      </x:c>
      <x:c r="I3567" t="str" s="2">
        <x:v>Jenna Fransisco</x:v>
      </x:c>
      <x:c r="J3567" s="0"/>
      <x:c r="K3567" s="6">
        <x:v>46282</x:v>
      </x:c>
      <x:c r="L3567" t="str" s="2">
        <x:v>Message Sent</x:v>
      </x:c>
    </x:row>
    <x:row r="3568">
      <x:c r="A3568" t="str" s="2">
        <x:f>="Stephanie Holan"</x:f>
      </x:c>
      <x:c r="B3568" t="str" s="2">
        <x:v>Heritage Housing of Canton</x:v>
      </x:c>
      <x:c r="C3568" t="str" s="2">
        <x:v/>
      </x:c>
      <x:c r="D3568" t="str" s="2">
        <x:v>5126745371</x:v>
      </x:c>
      <x:c r="E3568" t="str" s="2">
        <x:v>stephanie.holan@gmail.com</x:v>
      </x:c>
      <x:c r="F3568" t="str" s="2">
        <x:v>Landing_BPM</x:v>
      </x:c>
      <x:c r="G3568" t="str" s="2">
        <x:v>Maira Garcia</x:v>
      </x:c>
      <x:c r="H3568" s="6">
        <x:v>46250.80913642361</x:v>
      </x:c>
      <x:c r="I3568" s="0"/>
      <x:c r="J3568" s="0"/>
      <x:c r="K3568" s="6">
        <x:v>46251</x:v>
      </x:c>
      <x:c r="L3568" t="str" s="2">
        <x:v>Message Sent</x:v>
      </x:c>
    </x:row>
    <x:row r="3569">
      <x:c r="A3569" t="str" s="2">
        <x:f>="Nikkita Melvin"</x:f>
      </x:c>
      <x:c r="B3569" t="str" s="2">
        <x:v>Heritage Housing of Augusta</x:v>
      </x:c>
      <x:c r="C3569" t="str" s="2">
        <x:v/>
      </x:c>
      <x:c r="D3569" t="str" s="2">
        <x:v>5749032022</x:v>
      </x:c>
      <x:c r="E3569" t="str" s="2">
        <x:v>wolfgurl1966@gmail.com</x:v>
      </x:c>
      <x:c r="F3569" t="str" s="2">
        <x:v>Website</x:v>
      </x:c>
      <x:c r="G3569" t="str" s="2">
        <x:v>Faye Lively</x:v>
      </x:c>
      <x:c r="H3569" s="6">
        <x:v>46250.87244100695</x:v>
      </x:c>
      <x:c r="I3569" s="0"/>
      <x:c r="J3569" s="0"/>
      <x:c r="K3569" s="6">
        <x:v>46274</x:v>
      </x:c>
      <x:c r="L3569" t="str" s="2">
        <x:v>Message Sent</x:v>
      </x:c>
    </x:row>
    <x:row r="3570">
      <x:c r="A3570" t="str" s="2">
        <x:f>="Demond Lewis"</x:f>
      </x:c>
      <x:c r="B3570" t="str" s="2">
        <x:v>Heritage Housing of Augusta</x:v>
      </x:c>
      <x:c r="C3570" t="str" s="2">
        <x:v>0/1</x:v>
      </x:c>
      <x:c r="D3570" t="str" s="2">
        <x:v>4782062462</x:v>
      </x:c>
      <x:c r="E3570" t="str" s="2">
        <x:v>demondlew@gmail.com</x:v>
      </x:c>
      <x:c r="F3570" t="str" s="2">
        <x:v>Financing Form</x:v>
      </x:c>
      <x:c r="G3570" t="str" s="2">
        <x:v>Faye Lively</x:v>
      </x:c>
      <x:c r="H3570" s="6">
        <x:v>46250.91015231481</x:v>
      </x:c>
      <x:c r="I3570" s="0"/>
      <x:c r="J3570" s="0"/>
      <x:c r="K3570" s="6">
        <x:v>46273</x:v>
      </x:c>
      <x:c r="L3570" t="str" s="2">
        <x:v>Message Sent</x:v>
      </x:c>
    </x:row>
    <x:row r="3571">
      <x:c r="A3571" t="str" s="2">
        <x:f>="ANSELMO RIVERA"</x:f>
      </x:c>
      <x:c r="B3571" t="str" s="2">
        <x:v>Legacy Housing Corp. DBA Americasa</x:v>
      </x:c>
      <x:c r="C3571" t="str" s="2">
        <x:v/>
      </x:c>
      <x:c r="D3571" t="str" s="2">
        <x:v>9793275612</x:v>
      </x:c>
      <x:c r="E3571" t="str" s="2">
        <x:v>anselmorivera@hotmail.com</x:v>
      </x:c>
      <x:c r="F3571" t="str" s="2">
        <x:v>Financing Form</x:v>
      </x:c>
      <x:c r="G3571" t="str" s="2">
        <x:v>Jacob Hatten</x:v>
      </x:c>
      <x:c r="H3571" s="6">
        <x:v>46250.91271145833</x:v>
      </x:c>
      <x:c r="I3571" s="0"/>
      <x:c r="J3571" s="0"/>
      <x:c r="K3571" s="6">
        <x:v>46296</x:v>
      </x:c>
      <x:c r="L3571" t="str" s="2">
        <x:v>Message Sent</x:v>
      </x:c>
    </x:row>
    <x:row r="3572">
      <x:c r="A3572" t="str" s="2">
        <x:f>="Ester Eck"</x:f>
      </x:c>
      <x:c r="B3572" t="str" s="2">
        <x:v>Heritage Housing of Oklahoma City</x:v>
      </x:c>
      <x:c r="C3572" t="str" s="2">
        <x:v/>
      </x:c>
      <x:c r="D3572" t="str" s="2">
        <x:v>9712204690</x:v>
      </x:c>
      <x:c r="E3572" t="str" s="2">
        <x:v>estercathy225@gmail.com</x:v>
      </x:c>
      <x:c r="F3572" t="str" s="2">
        <x:v>Financing Form</x:v>
      </x:c>
      <x:c r="G3572" t="str" s="2">
        <x:v>Trey Rixleben</x:v>
      </x:c>
      <x:c r="H3572" s="6">
        <x:v>46250.96938387732</x:v>
      </x:c>
      <x:c r="I3572" s="0"/>
      <x:c r="J3572" s="0"/>
      <x:c r="K3572" s="6">
        <x:v>46251.589169942126</x:v>
      </x:c>
      <x:c r="L3572" t="str" s="2">
        <x:v>Message Sent</x:v>
      </x:c>
    </x:row>
    <x:row r="3573">
      <x:c r="A3573" t="str" s="2">
        <x:f>="Brittany Mcnelly"</x:f>
      </x:c>
      <x:c r="B3573" t="str" s="2">
        <x:v>Heritage Housing of Tulsa</x:v>
      </x:c>
      <x:c r="C3573" t="str" s="2">
        <x:v/>
      </x:c>
      <x:c r="D3573" t="str" s="2">
        <x:v>9186717024</x:v>
      </x:c>
      <x:c r="E3573" t="str" s="2">
        <x:v>bnm_2009@icloud.com</x:v>
      </x:c>
      <x:c r="F3573" t="str" s="2">
        <x:v>Landing_BPM</x:v>
      </x:c>
      <x:c r="G3573" t="str" s="2">
        <x:v>Jenna Fransisco</x:v>
      </x:c>
      <x:c r="H3573" s="6">
        <x:v>46251.00819371528</x:v>
      </x:c>
      <x:c r="I3573" s="0"/>
      <x:c r="J3573" s="0"/>
      <x:c r="K3573" s="6">
        <x:v>46259</x:v>
      </x:c>
      <x:c r="L3573" t="str" s="2">
        <x:v>Message Sent</x:v>
      </x:c>
    </x:row>
    <x:row r="3574">
      <x:c r="A3574" t="str" s="2">
        <x:f>="Maria Stillwell"</x:f>
      </x:c>
      <x:c r="B3574" t="str" s="2">
        <x:v>Heritage Housing of Tulsa</x:v>
      </x:c>
      <x:c r="C3574" t="str" s="2">
        <x:v/>
      </x:c>
      <x:c r="D3574" t="str" s="2">
        <x:v>9188557879</x:v>
      </x:c>
      <x:c r="E3574" t="str" s="2">
        <x:v>hominid_median.5i@icloud.com</x:v>
      </x:c>
      <x:c r="F3574" t="str" s="2">
        <x:v>Landing_BPM</x:v>
      </x:c>
      <x:c r="G3574" t="str" s="2">
        <x:v>Jenna Fransisco</x:v>
      </x:c>
      <x:c r="H3574" s="6">
        <x:v>46251.03063434028</x:v>
      </x:c>
      <x:c r="I3574" s="0"/>
      <x:c r="J3574" s="0"/>
      <x:c r="K3574" s="6">
        <x:v>46261</x:v>
      </x:c>
      <x:c r="L3574" t="str" s="2">
        <x:v>Message Sent</x:v>
      </x:c>
    </x:row>
    <x:row r="3575">
      <x:c r="A3575" t="str" s="2">
        <x:f>="Sadie Gibdon"</x:f>
      </x:c>
      <x:c r="B3575" t="str" s="2">
        <x:v>Heritage Housing of Asheboro</x:v>
      </x:c>
      <x:c r="C3575" t="str" s="2">
        <x:v/>
      </x:c>
      <x:c r="D3575" t="str" s="2">
        <x:v>3367809618</x:v>
      </x:c>
      <x:c r="E3575" t="str" s="2">
        <x:v>sadie.gibson121489.sg@gmail.com</x:v>
      </x:c>
      <x:c r="F3575" t="str" s="2">
        <x:v>Landing_BPM</x:v>
      </x:c>
      <x:c r="G3575" t="str" s="2">
        <x:v>Maria Lopez</x:v>
      </x:c>
      <x:c r="H3575" s="6">
        <x:v>46251.07364560185</x:v>
      </x:c>
      <x:c r="I3575" s="0"/>
      <x:c r="J3575" s="0"/>
      <x:c r="K3575" s="6">
        <x:v>46259</x:v>
      </x:c>
      <x:c r="L3575" t="str" s="2">
        <x:v>Message Sent</x:v>
      </x:c>
    </x:row>
    <x:row r="3576">
      <x:c r="A3576" t="str" s="2">
        <x:f>="Jacob Hulsman"</x:f>
      </x:c>
      <x:c r="B3576" t="str" s="2">
        <x:v>Heritage Housing of Tulsa</x:v>
      </x:c>
      <x:c r="C3576" t="str" s="2">
        <x:v/>
      </x:c>
      <x:c r="D3576" t="str" s="2">
        <x:v>9189061652</x:v>
      </x:c>
      <x:c r="E3576" t="str" s="2">
        <x:v>jacobhulsman032@gmail.com</x:v>
      </x:c>
      <x:c r="F3576" t="str" s="2">
        <x:v>Landing_BPM</x:v>
      </x:c>
      <x:c r="G3576" t="str" s="2">
        <x:v>Jenna Fransisco</x:v>
      </x:c>
      <x:c r="H3576" s="6">
        <x:v>46251.16265532407</x:v>
      </x:c>
      <x:c r="I3576" s="0"/>
      <x:c r="J3576" s="0"/>
      <x:c r="K3576" s="6">
        <x:v>46259</x:v>
      </x:c>
      <x:c r="L3576" t="str" s="2">
        <x:v>Message Sent</x:v>
      </x:c>
    </x:row>
    <x:row r="3577">
      <x:c r="A3577" t="str" s="2">
        <x:f>="jennifer jennifer"</x:f>
      </x:c>
      <x:c r="B3577" t="str" s="2">
        <x:v>Heritage Housing of Albany</x:v>
      </x:c>
      <x:c r="C3577" t="str" s="2">
        <x:v/>
      </x:c>
      <x:c r="D3577" t="str" s="2">
        <x:v>2292341365</x:v>
      </x:c>
      <x:c r="E3577" t="str" s="2">
        <x:v>xjillxjill@gmail.com</x:v>
      </x:c>
      <x:c r="F3577" t="str" s="2">
        <x:v>Website</x:v>
      </x:c>
      <x:c r="G3577" t="str" s="2">
        <x:v>Yanet Alvarez</x:v>
      </x:c>
      <x:c r="H3577" s="6">
        <x:v>46251.17662079861</x:v>
      </x:c>
      <x:c r="I3577" s="0"/>
      <x:c r="J3577" s="0"/>
      <x:c r="K3577" s="6">
        <x:v>46303</x:v>
      </x:c>
      <x:c r="L3577" t="str" s="2">
        <x:v>Message Sent</x:v>
      </x:c>
    </x:row>
    <x:row r="3578">
      <x:c r="A3578" t="str" s="2">
        <x:f>="Sarah Bollman"</x:f>
      </x:c>
      <x:c r="B3578" t="str" s="2">
        <x:v>Heritage Housing of Oklahoma City</x:v>
      </x:c>
      <x:c r="C3578" t="str" s="2">
        <x:v>0/1</x:v>
      </x:c>
      <x:c r="D3578" t="str" s="2">
        <x:v>4052149408</x:v>
      </x:c>
      <x:c r="E3578" t="str" s="2">
        <x:v>sarahgrimm313@gmail.com</x:v>
      </x:c>
      <x:c r="F3578" t="str" s="2">
        <x:v>Landing_BPM</x:v>
      </x:c>
      <x:c r="G3578" t="str" s="2">
        <x:v>Steve Castell</x:v>
      </x:c>
      <x:c r="H3578" s="6">
        <x:v>46251.24270787037</x:v>
      </x:c>
      <x:c r="I3578" s="0"/>
      <x:c r="J3578" s="0"/>
      <x:c r="K3578" s="6">
        <x:v>46251.58280193287</x:v>
      </x:c>
      <x:c r="L3578" t="str" s="2">
        <x:v>Message Sent</x:v>
      </x:c>
    </x:row>
    <x:row r="3579">
      <x:c r="A3579" t="str" s="2">
        <x:f>="Allie Carroll Carroll"</x:f>
      </x:c>
      <x:c r="B3579" t="str" s="2">
        <x:v>Heritage Housing of Canton</x:v>
      </x:c>
      <x:c r="C3579" t="str" s="2">
        <x:v/>
      </x:c>
      <x:c r="D3579" t="str" s="2">
        <x:v>8705129961</x:v>
      </x:c>
      <x:c r="E3579" t="str" s="2">
        <x:v>alliecarroll7599@gmail.com</x:v>
      </x:c>
      <x:c r="F3579" t="str" s="2">
        <x:v>Landing_BPM</x:v>
      </x:c>
      <x:c r="G3579" t="str" s="2">
        <x:v>Maira Garcia</x:v>
      </x:c>
      <x:c r="H3579" s="6">
        <x:v>46251.243674502315</x:v>
      </x:c>
      <x:c r="I3579" s="0"/>
      <x:c r="J3579" s="0"/>
      <x:c r="K3579" s="6">
        <x:v>46251</x:v>
      </x:c>
      <x:c r="L3579" t="str" s="2">
        <x:v>Message Sent</x:v>
      </x:c>
    </x:row>
    <x:row r="3580">
      <x:c r="A3580" t="str" s="2">
        <x:f>="Cristian Gomez Santin"</x:f>
      </x:c>
      <x:c r="B3580" t="str" s="2">
        <x:v>Heritage Housing Marble Falls</x:v>
      </x:c>
      <x:c r="C3580" t="str" s="2">
        <x:v/>
      </x:c>
      <x:c r="D3580" t="str" s="2">
        <x:v>5128531037</x:v>
      </x:c>
      <x:c r="E3580" t="str" s="2">
        <x:v>cristiangomezsantin@gmail.com</x:v>
      </x:c>
      <x:c r="F3580" t="str" s="2">
        <x:v>Financing Form</x:v>
      </x:c>
      <x:c r="G3580" t="str" s="2">
        <x:v>Stephen Sanders</x:v>
      </x:c>
      <x:c r="H3580" s="6">
        <x:v>46251.244513275466</x:v>
      </x:c>
      <x:c r="I3580" s="0"/>
      <x:c r="J3580" s="6">
        <x:v>46253.791666666664</x:v>
      </x:c>
      <x:c r="K3580" s="6">
        <x:v>46274</x:v>
      </x:c>
      <x:c r="L3580" t="str" s="2">
        <x:v>Message Sent</x:v>
      </x:c>
    </x:row>
    <x:row r="3581">
      <x:c r="A3581" t="str" s="2">
        <x:f>="Chyzarrhy Holder"</x:f>
      </x:c>
      <x:c r="B3581" t="str" s="2">
        <x:v>Heritage Housing of Albany</x:v>
      </x:c>
      <x:c r="C3581" t="str" s="2">
        <x:v>0/1</x:v>
      </x:c>
      <x:c r="D3581" t="str" s="2">
        <x:v>2292209542</x:v>
      </x:c>
      <x:c r="E3581" t="str" s="2">
        <x:v>chyzarrhy5@gmail.com</x:v>
      </x:c>
      <x:c r="F3581" t="str" s="2">
        <x:v>Financing Form</x:v>
      </x:c>
      <x:c r="G3581" t="str" s="2">
        <x:v>Yanet Alvarez</x:v>
      </x:c>
      <x:c r="H3581" s="6">
        <x:v>46251.26071354167</x:v>
      </x:c>
      <x:c r="I3581" s="0"/>
      <x:c r="J3581" s="0"/>
      <x:c r="K3581" s="6">
        <x:v>46286</x:v>
      </x:c>
      <x:c r="L3581" t="str" s="2">
        <x:v>Message Sent</x:v>
      </x:c>
    </x:row>
    <x:row r="3582">
      <x:c r="A3582" t="str" s="2">
        <x:f>="Steven and Rhonda Gutierrez"</x:f>
      </x:c>
      <x:c r="B3582" t="str" s="2">
        <x:v>Heritage Housing of Canton</x:v>
      </x:c>
      <x:c r="C3582" t="str" s="2">
        <x:v/>
      </x:c>
      <x:c r="D3582" t="str" s="2">
        <x:v>(575)4152302</x:v>
      </x:c>
      <x:c r="E3582" t="str" s="2">
        <x:v>stevenartes@hotmail.com</x:v>
      </x:c>
      <x:c r="F3582" t="str" s="2">
        <x:v>Financing Form</x:v>
      </x:c>
      <x:c r="G3582" t="str" s="2">
        <x:v>Jacob Hatten</x:v>
      </x:c>
      <x:c r="H3582" s="6">
        <x:v>46251.29297971065</x:v>
      </x:c>
      <x:c r="I3582" s="0"/>
      <x:c r="J3582" s="0"/>
      <x:c r="K3582" s="6">
        <x:v>46293</x:v>
      </x:c>
      <x:c r="L3582" t="str" s="2">
        <x:v>Message Sent</x:v>
      </x:c>
    </x:row>
    <x:row r="3583">
      <x:c r="A3583" t="str" s="2">
        <x:f>="Janette Velasquez"</x:f>
      </x:c>
      <x:c r="B3583" t="str" s="2">
        <x:v>Heritage Housing of Canton</x:v>
      </x:c>
      <x:c r="C3583" t="str" s="2">
        <x:v/>
      </x:c>
      <x:c r="D3583" t="str" s="2">
        <x:v>6822834572</x:v>
      </x:c>
      <x:c r="E3583" t="str" s="2">
        <x:v>janettevelasquez20@gmail.com</x:v>
      </x:c>
      <x:c r="F3583" t="str" s="2">
        <x:v>Financing Form</x:v>
      </x:c>
      <x:c r="G3583" t="str" s="2">
        <x:v>Maira Garcia</x:v>
      </x:c>
      <x:c r="H3583" s="6">
        <x:v>46251.29684440972</x:v>
      </x:c>
      <x:c r="I3583" s="0"/>
      <x:c r="J3583" s="0"/>
      <x:c r="K3583" s="6">
        <x:v>46251</x:v>
      </x:c>
      <x:c r="L3583" t="str" s="2">
        <x:v>Message Sent</x:v>
      </x:c>
    </x:row>
    <x:row r="3584">
      <x:c r="A3584" t="str" s="2">
        <x:f>="Scharron Caldwell"</x:f>
      </x:c>
      <x:c r="B3584" t="str" s="2">
        <x:v>Heritage Housing of Asheboro</x:v>
      </x:c>
      <x:c r="C3584" t="str" s="2">
        <x:v/>
      </x:c>
      <x:c r="D3584" t="str" s="2">
        <x:v>9195087829</x:v>
      </x:c>
      <x:c r="E3584" t="str" s="2">
        <x:v>shayymodel1@gmail.com</x:v>
      </x:c>
      <x:c r="F3584" t="str" s="2">
        <x:v>Landing_BPM</x:v>
      </x:c>
      <x:c r="G3584" t="str" s="2">
        <x:v>Maria Lopez</x:v>
      </x:c>
      <x:c r="H3584" s="6">
        <x:v>46251.34270153935</x:v>
      </x:c>
      <x:c r="I3584" s="0"/>
      <x:c r="J3584" s="0"/>
      <x:c r="K3584" s="6">
        <x:v>46262</x:v>
      </x:c>
      <x:c r="L3584" t="str" s="2">
        <x:v>Message Sent</x:v>
      </x:c>
    </x:row>
    <x:row r="3585">
      <x:c r="A3585" t="str" s="2">
        <x:f>="Kenneth Wagner Wagner"</x:f>
      </x:c>
      <x:c r="B3585" t="str" s="2">
        <x:v>Heritage Housing of Asheboro</x:v>
      </x:c>
      <x:c r="C3585" t="str" s="2">
        <x:v/>
      </x:c>
      <x:c r="D3585" t="str" s="2">
        <x:v>4408212496</x:v>
      </x:c>
      <x:c r="E3585" t="str" s="2">
        <x:v>ken27104@gmail.com</x:v>
      </x:c>
      <x:c r="F3585" t="str" s="2">
        <x:v>Landing_BPM</x:v>
      </x:c>
      <x:c r="G3585" t="str" s="2">
        <x:v>Maria Lopez</x:v>
      </x:c>
      <x:c r="H3585" s="6">
        <x:v>46251.41808873843</x:v>
      </x:c>
      <x:c r="I3585" s="0"/>
      <x:c r="J3585" s="0"/>
      <x:c r="K3585" s="6">
        <x:v>46259</x:v>
      </x:c>
      <x:c r="L3585" t="str" s="2">
        <x:v>Message Sent</x:v>
      </x:c>
    </x:row>
    <x:row r="3586">
      <x:c r="A3586" t="str" s="2">
        <x:f>="Brittney mckoy"</x:f>
      </x:c>
      <x:c r="B3586" t="str" s="2">
        <x:v>Heritage Housing of Asheboro</x:v>
      </x:c>
      <x:c r="C3586" t="str" s="2">
        <x:v/>
      </x:c>
      <x:c r="D3586" t="str" s="2">
        <x:v>9842621379</x:v>
      </x:c>
      <x:c r="E3586" t="str" s="2">
        <x:v>brittneymckoy38@gmail.com</x:v>
      </x:c>
      <x:c r="F3586" t="str" s="2">
        <x:v>Financing Form</x:v>
      </x:c>
      <x:c r="G3586" t="str" s="2">
        <x:v>Maria Lopez</x:v>
      </x:c>
      <x:c r="H3586" s="6">
        <x:v>46251.424342673614</x:v>
      </x:c>
      <x:c r="I3586" s="0"/>
      <x:c r="J3586" s="0"/>
      <x:c r="K3586" s="6">
        <x:v>46259</x:v>
      </x:c>
      <x:c r="L3586" t="str" s="2">
        <x:v>Message Sent</x:v>
      </x:c>
    </x:row>
    <x:row r="3587">
      <x:c r="A3587" t="str" s="2">
        <x:f>="Justin Snook"</x:f>
      </x:c>
      <x:c r="B3587" t="str" s="2">
        <x:v>Heritage Housing of Jennings</x:v>
      </x:c>
      <x:c r="C3587" t="str" s="2">
        <x:v/>
      </x:c>
      <x:c r="D3587" t="str" s="2">
        <x:v>3375178299</x:v>
      </x:c>
      <x:c r="E3587" t="str" s="2">
        <x:v>j.allensnook79@gmail.com</x:v>
      </x:c>
      <x:c r="F3587" t="str" s="2">
        <x:v>Landing_BPM</x:v>
      </x:c>
      <x:c r="G3587" t="str" s="2">
        <x:v>Clint O'Neal</x:v>
      </x:c>
      <x:c r="H3587" s="6">
        <x:v>46251.551511805555</x:v>
      </x:c>
      <x:c r="I3587" s="0"/>
      <x:c r="J3587" s="0"/>
      <x:c r="K3587" s="6">
        <x:v>46302.68353190972</x:v>
      </x:c>
      <x:c r="L3587" t="str" s="2">
        <x:v>Message Sent</x:v>
      </x:c>
    </x:row>
    <x:row r="3588">
      <x:c r="A3588" t="str" s="2">
        <x:f>="Alexandra Corman"</x:f>
      </x:c>
      <x:c r="B3588" t="str" s="2">
        <x:v>Heritage Housing of Tulsa</x:v>
      </x:c>
      <x:c r="C3588" t="str" s="2">
        <x:v/>
      </x:c>
      <x:c r="D3588" t="str" s="2">
        <x:v>9188943978</x:v>
      </x:c>
      <x:c r="E3588" t="str" s="2">
        <x:v>alexandracorman@yahoo.com</x:v>
      </x:c>
      <x:c r="F3588" t="str" s="2">
        <x:v>Financing Form</x:v>
      </x:c>
      <x:c r="G3588" t="str" s="2">
        <x:v>Jenna Fransisco</x:v>
      </x:c>
      <x:c r="H3588" s="6">
        <x:v>46251.55535945602</x:v>
      </x:c>
      <x:c r="I3588" s="0"/>
      <x:c r="J3588" s="0"/>
      <x:c r="K3588" s="6">
        <x:v>46261</x:v>
      </x:c>
      <x:c r="L3588" t="str" s="2">
        <x:v>Message Sent</x:v>
      </x:c>
    </x:row>
    <x:row r="3589">
      <x:c r="A3589" t="str" s="2">
        <x:f>="Autumn Miller"</x:f>
      </x:c>
      <x:c r="B3589" t="str" s="2">
        <x:v>Legacy Housing Corp. DBA Americasa</x:v>
      </x:c>
      <x:c r="C3589" t="str" s="2">
        <x:v/>
      </x:c>
      <x:c r="D3589" t="str" s="2">
        <x:v>8327327148</x:v>
      </x:c>
      <x:c r="E3589" t="str" s="2">
        <x:v>autumnmiller2325@yahoo.com</x:v>
      </x:c>
      <x:c r="F3589" t="str" s="2">
        <x:v>Website</x:v>
      </x:c>
      <x:c r="G3589" t="str" s="2">
        <x:v>Rodrigo Ramirez</x:v>
      </x:c>
      <x:c r="H3589" s="6">
        <x:v>46251.57013457176</x:v>
      </x:c>
      <x:c r="I3589" s="0"/>
      <x:c r="J3589" s="0"/>
      <x:c r="K3589" s="6">
        <x:v>46296</x:v>
      </x:c>
      <x:c r="L3589" t="str" s="2">
        <x:v>Message Sent</x:v>
      </x:c>
    </x:row>
    <x:row r="3590">
      <x:c r="A3590" t="str" s="2">
        <x:f>="Kristi Simon"</x:f>
      </x:c>
      <x:c r="B3590" t="str" s="2">
        <x:v>Heritage Housing of Tulsa</x:v>
      </x:c>
      <x:c r="C3590" t="str" s="2">
        <x:v/>
      </x:c>
      <x:c r="D3590" t="str" s="2">
        <x:v>3166803369</x:v>
      </x:c>
      <x:c r="E3590" t="str" s="2">
        <x:v>kristisimon72@gmail.com</x:v>
      </x:c>
      <x:c r="F3590" t="str" s="2">
        <x:v>Landing_BPM</x:v>
      </x:c>
      <x:c r="G3590" t="str" s="2">
        <x:v>Jenna Fransisco</x:v>
      </x:c>
      <x:c r="H3590" s="6">
        <x:v>46251.66459054398</x:v>
      </x:c>
      <x:c r="I3590" s="0"/>
      <x:c r="J3590" s="0"/>
      <x:c r="K3590" s="6">
        <x:v>46259</x:v>
      </x:c>
      <x:c r="L3590" t="str" s="2">
        <x:v>Message Sent</x:v>
      </x:c>
    </x:row>
    <x:row r="3591">
      <x:c r="A3591" t="str" s="2">
        <x:f>="Christi Lalicker Lalicker"</x:f>
      </x:c>
      <x:c r="B3591" t="str" s="2">
        <x:v>Heritage Housing of Tulsa</x:v>
      </x:c>
      <x:c r="C3591" t="str" s="2">
        <x:v/>
      </x:c>
      <x:c r="D3591" t="str" s="2">
        <x:v>9183276718</x:v>
      </x:c>
      <x:c r="E3591" t="str" s="2">
        <x:v>christi.lalicker@gmail.com</x:v>
      </x:c>
      <x:c r="F3591" t="str" s="2">
        <x:v>Landing_BPM</x:v>
      </x:c>
      <x:c r="G3591" t="str" s="2">
        <x:v>Jenna Fransisco</x:v>
      </x:c>
      <x:c r="H3591" s="6">
        <x:v>46251.70276944445</x:v>
      </x:c>
      <x:c r="I3591" s="0"/>
      <x:c r="J3591" s="0"/>
      <x:c r="K3591" s="6">
        <x:v>46261</x:v>
      </x:c>
      <x:c r="L3591" t="str" s="2">
        <x:v>Message Sent</x:v>
      </x:c>
    </x:row>
    <x:row r="3592">
      <x:c r="A3592" t="str" s="2">
        <x:f>="Joseph Russell"</x:f>
      </x:c>
      <x:c r="B3592" t="str" s="2">
        <x:v>Heritage Housing of Canton</x:v>
      </x:c>
      <x:c r="C3592" t="str" s="2">
        <x:v/>
      </x:c>
      <x:c r="D3592" t="str" s="2">
        <x:v>9039101910</x:v>
      </x:c>
      <x:c r="E3592" t="str" s="2">
        <x:v>imisspapa@yahoo.com</x:v>
      </x:c>
      <x:c r="F3592" t="str" s="2">
        <x:v>Financing Form</x:v>
      </x:c>
      <x:c r="G3592" t="str" s="2">
        <x:v>Maira Garcia</x:v>
      </x:c>
      <x:c r="H3592" s="6">
        <x:v>46251.74730628472</x:v>
      </x:c>
      <x:c r="I3592" s="0"/>
      <x:c r="J3592" s="0"/>
      <x:c r="K3592" s="6">
        <x:v>46256</x:v>
      </x:c>
      <x:c r="L3592" t="str" s="2">
        <x:v>Message Sent</x:v>
      </x:c>
    </x:row>
    <x:row r="3593">
      <x:c r="A3593" t="str" s="2">
        <x:f>="KAREN ZITO"</x:f>
      </x:c>
      <x:c r="B3593" t="str" s="2">
        <x:v>Heritage Housing of Asheboro</x:v>
      </x:c>
      <x:c r="C3593" t="str" s="2">
        <x:v/>
      </x:c>
      <x:c r="D3593" t="str" s="2">
        <x:v>3332442593</x:v>
      </x:c>
      <x:c r="E3593" t="str" s="2">
        <x:v>briliz1434@gmail.com</x:v>
      </x:c>
      <x:c r="F3593" t="str" s="2">
        <x:v>Landing_BPM</x:v>
      </x:c>
      <x:c r="G3593" t="str" s="2">
        <x:v>Maria Lopez</x:v>
      </x:c>
      <x:c r="H3593" s="6">
        <x:v>46251.7741028588</x:v>
      </x:c>
      <x:c r="I3593" s="0"/>
      <x:c r="J3593" s="0"/>
      <x:c r="K3593" s="6">
        <x:v>46259</x:v>
      </x:c>
      <x:c r="L3593" t="str" s="2">
        <x:v>Message Sent</x:v>
      </x:c>
    </x:row>
    <x:row r="3594">
      <x:c r="A3594" t="str" s="2">
        <x:f>="Haley Stevens"</x:f>
      </x:c>
      <x:c r="B3594" t="str" s="2">
        <x:v>Heritage Housing of Albany</x:v>
      </x:c>
      <x:c r="C3594" t="str" s="2">
        <x:v>0/5</x:v>
      </x:c>
      <x:c r="D3594" t="str" s="2">
        <x:v>9125014490</x:v>
      </x:c>
      <x:c r="E3594" t="str" s="2">
        <x:v>haleystevens19@gmail.com</x:v>
      </x:c>
      <x:c r="F3594" t="str" s="2">
        <x:v>Financing Form</x:v>
      </x:c>
      <x:c r="G3594" t="str" s="2">
        <x:v>Yanet Alvarez</x:v>
      </x:c>
      <x:c r="H3594" s="6">
        <x:v>46251.819354513886</x:v>
      </x:c>
      <x:c r="I3594" s="0"/>
      <x:c r="J3594" s="0"/>
      <x:c r="K3594" s="6">
        <x:v>46289.62841304398</x:v>
      </x:c>
      <x:c r="L3594" t="str" s="2">
        <x:v>Message Sent</x:v>
      </x:c>
    </x:row>
    <x:row r="3595">
      <x:c r="A3595" t="str" s="2">
        <x:f>="Kyle Allard"</x:f>
      </x:c>
      <x:c r="B3595" t="str" s="2">
        <x:v>Legacy Housing Corp. DBA Americasa</x:v>
      </x:c>
      <x:c r="C3595" t="str" s="2">
        <x:v/>
      </x:c>
      <x:c r="D3595" t="str" s="2">
        <x:v>8326295728</x:v>
      </x:c>
      <x:c r="E3595" t="str" s="2">
        <x:v>Allard.kyle@ymail.com</x:v>
      </x:c>
      <x:c r="F3595" t="str" s="2">
        <x:v>Landing_BPM</x:v>
      </x:c>
      <x:c r="G3595" t="str" s="2">
        <x:v>Jose Parada</x:v>
      </x:c>
      <x:c r="H3595" s="6">
        <x:v>46251.84918842593</x:v>
      </x:c>
      <x:c r="I3595" s="0"/>
      <x:c r="J3595" s="0"/>
      <x:c r="K3595" s="6">
        <x:v>46296</x:v>
      </x:c>
      <x:c r="L3595" t="str" s="2">
        <x:v>Message Sent</x:v>
      </x:c>
    </x:row>
    <x:row r="3596">
      <x:c r="A3596" t="str" s="2">
        <x:f>="Fletcher King"</x:f>
      </x:c>
      <x:c r="B3596" t="str" s="2">
        <x:v>Legacy Housing Corp. DBA Americasa</x:v>
      </x:c>
      <x:c r="C3596" t="str" s="2">
        <x:v/>
      </x:c>
      <x:c r="D3596" t="str" s="2">
        <x:v>7135408737</x:v>
      </x:c>
      <x:c r="E3596" t="str" s="2">
        <x:v>fl.king23@gmail.com</x:v>
      </x:c>
      <x:c r="F3596" t="str" s="2">
        <x:v>Landing_BPM</x:v>
      </x:c>
      <x:c r="G3596" t="str" s="2">
        <x:v>Rodrigo Ramirez</x:v>
      </x:c>
      <x:c r="H3596" s="6">
        <x:v>46251.916697071756</x:v>
      </x:c>
      <x:c r="I3596" s="0"/>
      <x:c r="J3596" s="0"/>
      <x:c r="K3596" s="6">
        <x:v>46296</x:v>
      </x:c>
      <x:c r="L3596" t="str" s="2">
        <x:v>Message Sent</x:v>
      </x:c>
    </x:row>
    <x:row r="3597">
      <x:c r="A3597" t="str" s="2">
        <x:f>="Keith Bailey"</x:f>
      </x:c>
      <x:c r="B3597" t="str" s="2">
        <x:v>Heritage Housing of Asheboro</x:v>
      </x:c>
      <x:c r="C3597" t="str" s="2">
        <x:v/>
      </x:c>
      <x:c r="D3597" t="str" s="2">
        <x:v>3364047390</x:v>
      </x:c>
      <x:c r="E3597" t="str" s="2">
        <x:v>mw022105@gmail.com</x:v>
      </x:c>
      <x:c r="F3597" t="str" s="2">
        <x:v>Financing Form</x:v>
      </x:c>
      <x:c r="G3597" t="str" s="2">
        <x:v>Maria Lopez</x:v>
      </x:c>
      <x:c r="H3597" s="6">
        <x:v>46251.917536493056</x:v>
      </x:c>
      <x:c r="I3597" s="0"/>
      <x:c r="J3597" s="0"/>
      <x:c r="K3597" s="6">
        <x:v>46259</x:v>
      </x:c>
      <x:c r="L3597" t="str" s="2">
        <x:v>Message Sent</x:v>
      </x:c>
    </x:row>
    <x:row r="3598">
      <x:c r="A3598" t="str" s="2">
        <x:f>="Jason Morgan"</x:f>
      </x:c>
      <x:c r="B3598" t="str" s="2">
        <x:v>Heritage Housing of Asheboro</x:v>
      </x:c>
      <x:c r="C3598" t="str" s="2">
        <x:v/>
      </x:c>
      <x:c r="D3598" t="str" s="2">
        <x:v>7047787771</x:v>
      </x:c>
      <x:c r="E3598" t="str" s="2">
        <x:v>jrm.bkb@gmail.com</x:v>
      </x:c>
      <x:c r="F3598" t="str" s="2">
        <x:v>Website</x:v>
      </x:c>
      <x:c r="G3598" t="str" s="2">
        <x:v>Maria Lopez</x:v>
      </x:c>
      <x:c r="H3598" s="6">
        <x:v>46251.92573440972</x:v>
      </x:c>
      <x:c r="I3598" s="0"/>
      <x:c r="J3598" s="0"/>
      <x:c r="K3598" s="6">
        <x:v>46259</x:v>
      </x:c>
      <x:c r="L3598" t="str" s="2">
        <x:v>Message Sent</x:v>
      </x:c>
    </x:row>
    <x:row r="3599">
      <x:c r="A3599" t="str" s="2">
        <x:f>="Dawn Segroves"</x:f>
      </x:c>
      <x:c r="B3599" t="str" s="2">
        <x:v>Heritage Housing of Canton</x:v>
      </x:c>
      <x:c r="C3599" t="str" s="2">
        <x:v/>
      </x:c>
      <x:c r="D3599" t="str" s="2">
        <x:v>9727682614</x:v>
      </x:c>
      <x:c r="E3599" t="str" s="2">
        <x:v>dmarie2003@gmail.com</x:v>
      </x:c>
      <x:c r="F3599" t="str" s="2">
        <x:v>Website</x:v>
      </x:c>
      <x:c r="G3599" t="str" s="2">
        <x:v>Maira Garcia</x:v>
      </x:c>
      <x:c r="H3599" s="6">
        <x:v>46251.95989116898</x:v>
      </x:c>
      <x:c r="I3599" s="0"/>
      <x:c r="J3599" s="0"/>
      <x:c r="K3599" s="6">
        <x:v>46252</x:v>
      </x:c>
      <x:c r="L3599" t="str" s="2">
        <x:v>Message Sent</x:v>
      </x:c>
    </x:row>
    <x:row r="3600">
      <x:c r="A3600" t="str" s="2">
        <x:f>="Irma Alvarez"</x:f>
      </x:c>
      <x:c r="B3600" t="str" s="2">
        <x:v>Legacy Housing Corp. DBA Americasa</x:v>
      </x:c>
      <x:c r="C3600" t="str" s="2">
        <x:v/>
      </x:c>
      <x:c r="D3600" t="str" s="2">
        <x:v>3467826033</x:v>
      </x:c>
      <x:c r="E3600" t="str" s="2">
        <x:v>airma0964@gmail.com</x:v>
      </x:c>
      <x:c r="F3600" t="str" s="2">
        <x:v>Landing_BPM</x:v>
      </x:c>
      <x:c r="G3600" t="str" s="2">
        <x:v>Rodrigo Ramirez</x:v>
      </x:c>
      <x:c r="H3600" s="6">
        <x:v>46252.03886412037</x:v>
      </x:c>
      <x:c r="I3600" s="0"/>
      <x:c r="J3600" s="0"/>
      <x:c r="K3600" s="6">
        <x:v>46296</x:v>
      </x:c>
      <x:c r="L3600" t="str" s="2">
        <x:v>Message Sent</x:v>
      </x:c>
    </x:row>
    <x:row r="3601">
      <x:c r="A3601" t="str" s="2">
        <x:f>="Co Samples"</x:f>
      </x:c>
      <x:c r="B3601" t="str" s="2">
        <x:v>Heritage Housing of Asheboro</x:v>
      </x:c>
      <x:c r="C3601" t="str" s="2">
        <x:v/>
      </x:c>
      <x:c r="D3601" t="str" s="2">
        <x:v>8644989777</x:v>
      </x:c>
      <x:c r="E3601" t="str" s="2">
        <x:v>messiah_keratin.5r@icloud.com</x:v>
      </x:c>
      <x:c r="F3601" t="str" s="2">
        <x:v>Landing_BPM</x:v>
      </x:c>
      <x:c r="G3601" t="str" s="2">
        <x:v>Maria Lopez</x:v>
      </x:c>
      <x:c r="H3601" s="6">
        <x:v>46252.11151119213</x:v>
      </x:c>
      <x:c r="I3601" s="0"/>
      <x:c r="J3601" s="0"/>
      <x:c r="K3601" s="6">
        <x:v>46259</x:v>
      </x:c>
      <x:c r="L3601" t="str" s="2">
        <x:v>Message Sent</x:v>
      </x:c>
    </x:row>
    <x:row r="3602">
      <x:c r="A3602" t="str" s="2">
        <x:f>="Luis Carrillo Carrillo"</x:f>
      </x:c>
      <x:c r="B3602" t="str" s="2">
        <x:v>Heritage Housing of Greenville</x:v>
      </x:c>
      <x:c r="C3602" t="str" s="2">
        <x:v>0/1</x:v>
      </x:c>
      <x:c r="D3602" t="str" s="2">
        <x:v>2145277572</x:v>
      </x:c>
      <x:c r="E3602" t="str" s="2">
        <x:v>jerrysgca@hotmail.com</x:v>
      </x:c>
      <x:c r="F3602" t="str" s="2">
        <x:v>Landing_BPM</x:v>
      </x:c>
      <x:c r="G3602" t="str" s="2">
        <x:v>Greg Christman</x:v>
      </x:c>
      <x:c r="H3602" s="6">
        <x:v>46252.181471145836</x:v>
      </x:c>
      <x:c r="I3602" s="0"/>
      <x:c r="J3602" s="0"/>
      <x:c r="K3602" s="6">
        <x:v>46252</x:v>
      </x:c>
      <x:c r="L3602" t="str" s="2">
        <x:v>Message Sent</x:v>
      </x:c>
    </x:row>
    <x:row r="3603">
      <x:c r="A3603" t="str" s="2">
        <x:f>="SaRita Calahan"</x:f>
      </x:c>
      <x:c r="B3603" t="str" s="2">
        <x:v>Heritage Housing of Jennings</x:v>
      </x:c>
      <x:c r="C3603" t="str" s="2">
        <x:v/>
      </x:c>
      <x:c r="D3603" t="str" s="2">
        <x:v>3183510096</x:v>
      </x:c>
      <x:c r="E3603" t="str" s="2">
        <x:v>Calahansl@gmail.com</x:v>
      </x:c>
      <x:c r="F3603" t="str" s="2">
        <x:v>Landing_BPM</x:v>
      </x:c>
      <x:c r="G3603" t="str" s="2">
        <x:v>Clint O'Neal</x:v>
      </x:c>
      <x:c r="H3603" s="6">
        <x:v>46252.21848310185</x:v>
      </x:c>
      <x:c r="I3603" s="0"/>
      <x:c r="J3603" s="0"/>
      <x:c r="K3603" s="6">
        <x:v>46302.683954594904</x:v>
      </x:c>
      <x:c r="L3603" t="str" s="2">
        <x:v>Message Sent</x:v>
      </x:c>
    </x:row>
    <x:row r="3604">
      <x:c r="A3604" t="str" s="2">
        <x:f>="Deon Sanders"</x:f>
      </x:c>
      <x:c r="B3604" t="str" s="2">
        <x:v>Heritage Housing of Albany</x:v>
      </x:c>
      <x:c r="C3604" t="str" s="2">
        <x:v/>
      </x:c>
      <x:c r="D3604" t="str" s="2">
        <x:v>7065801863</x:v>
      </x:c>
      <x:c r="E3604" t="str" s="2">
        <x:v>deonbeezy@yahoo.com</x:v>
      </x:c>
      <x:c r="F3604" t="str" s="2">
        <x:v>Financing Form</x:v>
      </x:c>
      <x:c r="G3604" t="str" s="2">
        <x:v>Yanet Alvarez</x:v>
      </x:c>
      <x:c r="H3604" s="6">
        <x:v>46252.28540775463</x:v>
      </x:c>
      <x:c r="I3604" s="0"/>
      <x:c r="J3604" s="0"/>
      <x:c r="K3604" s="6">
        <x:v>46286.67065709491</x:v>
      </x:c>
      <x:c r="L3604" t="str" s="2">
        <x:v>Message Sent</x:v>
      </x:c>
    </x:row>
    <x:row r="3605">
      <x:c r="A3605" t="str" s="2">
        <x:f>="Kayla Matte"</x:f>
      </x:c>
      <x:c r="B3605" t="str" s="2">
        <x:v>Heritage Housing of Jennings</x:v>
      </x:c>
      <x:c r="C3605" t="str" s="2">
        <x:v/>
      </x:c>
      <x:c r="D3605" t="str" s="2">
        <x:v>3377847353</x:v>
      </x:c>
      <x:c r="E3605" t="str" s="2">
        <x:v>kaylamatte7557@gmail.com</x:v>
      </x:c>
      <x:c r="F3605" t="str" s="2">
        <x:v>Landing_BPM</x:v>
      </x:c>
      <x:c r="G3605" t="str" s="2">
        <x:v>Clint O'Neal</x:v>
      </x:c>
      <x:c r="H3605" s="6">
        <x:v>46252.31163040509</x:v>
      </x:c>
      <x:c r="I3605" s="0"/>
      <x:c r="J3605" s="0"/>
      <x:c r="K3605" s="6">
        <x:v>46302.684828819445</x:v>
      </x:c>
      <x:c r="L3605" t="str" s="2">
        <x:v>Message Sent</x:v>
      </x:c>
    </x:row>
    <x:row r="3606">
      <x:c r="A3606" t="str" s="2">
        <x:f>="Pamela Bowman"</x:f>
      </x:c>
      <x:c r="B3606" t="str" s="2">
        <x:v>Heritage Housing of Augusta</x:v>
      </x:c>
      <x:c r="C3606" t="str" s="2">
        <x:v/>
      </x:c>
      <x:c r="D3606" t="str" s="2">
        <x:v>7065890743</x:v>
      </x:c>
      <x:c r="E3606" t="str" s="2">
        <x:v>bowman_pamela@yahoo.com</x:v>
      </x:c>
      <x:c r="F3606" t="str" s="2">
        <x:v>Landing_BPM</x:v>
      </x:c>
      <x:c r="G3606" t="str" s="2">
        <x:v>Jennifer Johnson</x:v>
      </x:c>
      <x:c r="H3606" s="6">
        <x:v>46252.315070254626</x:v>
      </x:c>
      <x:c r="I3606" s="0"/>
      <x:c r="J3606" s="0"/>
      <x:c r="K3606" s="6">
        <x:v>46300</x:v>
      </x:c>
      <x:c r="L3606" t="str" s="2">
        <x:v>Message Sent</x:v>
      </x:c>
    </x:row>
    <x:row r="3607">
      <x:c r="A3607" t="str" s="2">
        <x:f>="Dorothy L . Walker"</x:f>
      </x:c>
      <x:c r="B3607" t="str" s="2">
        <x:v>Heritage Housing Mt Pleasant</x:v>
      </x:c>
      <x:c r="C3607" t="str" s="2">
        <x:v>1/1</x:v>
      </x:c>
      <x:c r="D3607" t="str" s="2">
        <x:v>3272102795</x:v>
      </x:c>
      <x:c r="E3607" t="str" s="2">
        <x:v>dorothylwalker90@gmail.com</x:v>
      </x:c>
      <x:c r="F3607" t="str" s="2">
        <x:v>Landing_BPM</x:v>
      </x:c>
      <x:c r="G3607" t="str" s="2">
        <x:v>Sandra Saldana</x:v>
      </x:c>
      <x:c r="H3607" s="6">
        <x:v>46252.31526215278</x:v>
      </x:c>
      <x:c r="I3607" s="0"/>
      <x:c r="J3607" s="0"/>
      <x:c r="K3607" s="6">
        <x:v>46256</x:v>
      </x:c>
      <x:c r="L3607" t="str" s="2">
        <x:v>Message Sent</x:v>
      </x:c>
    </x:row>
    <x:row r="3608">
      <x:c r="A3608" t="str" s="2">
        <x:f>="Gayle Wright"</x:f>
      </x:c>
      <x:c r="B3608" t="str" s="2">
        <x:v>Heritage Housing of Asheboro</x:v>
      </x:c>
      <x:c r="C3608" t="str" s="2">
        <x:v/>
      </x:c>
      <x:c r="D3608" t="str" s="2">
        <x:v>9195199609</x:v>
      </x:c>
      <x:c r="E3608" t="str" s="2">
        <x:v>gwrightlpn@gmail.com</x:v>
      </x:c>
      <x:c r="F3608" t="str" s="2">
        <x:v>Landing_BPM</x:v>
      </x:c>
      <x:c r="G3608" t="str" s="2">
        <x:v>Maria Lopez</x:v>
      </x:c>
      <x:c r="H3608" s="6">
        <x:v>46252.32367283565</x:v>
      </x:c>
      <x:c r="I3608" s="0"/>
      <x:c r="J3608" s="0"/>
      <x:c r="K3608" s="6">
        <x:v>46259</x:v>
      </x:c>
      <x:c r="L3608" t="str" s="2">
        <x:v>Message Sent</x:v>
      </x:c>
    </x:row>
    <x:row r="3609">
      <x:c r="A3609" t="str" s="2">
        <x:f>="Robert Miller"</x:f>
      </x:c>
      <x:c r="B3609" t="str" s="2">
        <x:v>Heritage Housing of Jennings</x:v>
      </x:c>
      <x:c r="C3609" t="str" s="2">
        <x:v>0/1</x:v>
      </x:c>
      <x:c r="D3609" t="str" s="2">
        <x:v>3372000426</x:v>
      </x:c>
      <x:c r="E3609" t="str" s="2">
        <x:v>millerrobert833@yahoo.com</x:v>
      </x:c>
      <x:c r="F3609" t="str" s="2">
        <x:v>Landing_BPM</x:v>
      </x:c>
      <x:c r="G3609" t="str" s="2">
        <x:v>Mervin Leslie Smith</x:v>
      </x:c>
      <x:c r="H3609" s="6">
        <x:v>46252.37472704861</x:v>
      </x:c>
      <x:c r="I3609" s="0"/>
      <x:c r="J3609" s="0"/>
      <x:c r="K3609" s="6">
        <x:v>46302.685217673614</x:v>
      </x:c>
      <x:c r="L3609" t="str" s="2">
        <x:v>Message Sent</x:v>
      </x:c>
    </x:row>
    <x:row r="3610">
      <x:c r="A3610" t="str" s="2">
        <x:f>="Ubaldo Aviles Aviles"</x:f>
      </x:c>
      <x:c r="B3610" t="str" s="2">
        <x:v>Legacy Housing Corp. DBA Americasa</x:v>
      </x:c>
      <x:c r="C3610" t="str" s="2">
        <x:v/>
      </x:c>
      <x:c r="D3610" t="str" s="2">
        <x:v>5129959083</x:v>
      </x:c>
      <x:c r="E3610" t="str" s="2">
        <x:v>ubaldoavi@icloud.com</x:v>
      </x:c>
      <x:c r="F3610" t="str" s="2">
        <x:v>Landing_BPM</x:v>
      </x:c>
      <x:c r="G3610" t="str" s="2">
        <x:v>Jose Parada</x:v>
      </x:c>
      <x:c r="H3610" s="6">
        <x:v>46252.4470940625</x:v>
      </x:c>
      <x:c r="I3610" s="0"/>
      <x:c r="J3610" s="0"/>
      <x:c r="K3610" s="6">
        <x:v>46296</x:v>
      </x:c>
      <x:c r="L3610" t="str" s="2">
        <x:v>Message Sent</x:v>
      </x:c>
    </x:row>
    <x:row r="3611">
      <x:c r="A3611" t="str" s="2">
        <x:f>="Galo Sandoval"</x:f>
      </x:c>
      <x:c r="B3611" t="str" s="2">
        <x:v>Heritage Housing of Asheboro</x:v>
      </x:c>
      <x:c r="C3611" t="str" s="2">
        <x:v/>
      </x:c>
      <x:c r="D3611" t="str" s="2">
        <x:v>9842528631</x:v>
      </x:c>
      <x:c r="E3611" t="str" s="2">
        <x:v>sagitario_78@icloud.com</x:v>
      </x:c>
      <x:c r="F3611" t="str" s="2">
        <x:v>Landing_BPM</x:v>
      </x:c>
      <x:c r="G3611" t="str" s="2">
        <x:v>Maria Lopez</x:v>
      </x:c>
      <x:c r="H3611" s="6">
        <x:v>46252.58325269676</x:v>
      </x:c>
      <x:c r="I3611" s="0"/>
      <x:c r="J3611" s="0"/>
      <x:c r="K3611" s="6">
        <x:v>46259</x:v>
      </x:c>
      <x:c r="L3611" t="str" s="2">
        <x:v>Message Sent</x:v>
      </x:c>
    </x:row>
    <x:row r="3612">
      <x:c r="A3612" t="str" s="2">
        <x:f>="Michael Hernandez"</x:f>
      </x:c>
      <x:c r="B3612" t="str" s="2">
        <x:v>Heritage Housing of Albany</x:v>
      </x:c>
      <x:c r="C3612" t="str" s="2">
        <x:v>0/3</x:v>
      </x:c>
      <x:c r="D3612" t="str" s="2">
        <x:v>2293145150</x:v>
      </x:c>
      <x:c r="E3612" t="str" s="2">
        <x:v>faithleadway@gmail.com</x:v>
      </x:c>
      <x:c r="F3612" t="str" s="2">
        <x:v>Landing_BPM</x:v>
      </x:c>
      <x:c r="G3612" t="str" s="2">
        <x:v>Yanet Alvarez</x:v>
      </x:c>
      <x:c r="H3612" s="6">
        <x:v>46252.59903271991</x:v>
      </x:c>
      <x:c r="I3612" s="0"/>
      <x:c r="J3612" s="0"/>
      <x:c r="K3612" s="6">
        <x:v>46289.62823510417</x:v>
      </x:c>
      <x:c r="L3612" t="str" s="2">
        <x:v>Message Sent</x:v>
      </x:c>
    </x:row>
    <x:row r="3613">
      <x:c r="A3613" t="str" s="2">
        <x:f>="Kimberly Small"</x:f>
      </x:c>
      <x:c r="B3613" t="str" s="2">
        <x:v>Heritage Housing of Asheboro</x:v>
      </x:c>
      <x:c r="C3613" t="str" s="2">
        <x:v/>
      </x:c>
      <x:c r="D3613" t="str" s="2">
        <x:v>3368141891</x:v>
      </x:c>
      <x:c r="E3613" t="str" s="2">
        <x:v>small.kimberly363@gmail.com</x:v>
      </x:c>
      <x:c r="F3613" t="str" s="2">
        <x:v>Landing_BPM</x:v>
      </x:c>
      <x:c r="G3613" t="str" s="2">
        <x:v>Maria Lopez</x:v>
      </x:c>
      <x:c r="H3613" s="6">
        <x:v>46252.60691681713</x:v>
      </x:c>
      <x:c r="I3613" s="0"/>
      <x:c r="J3613" s="0"/>
      <x:c r="K3613" s="6">
        <x:v>46259</x:v>
      </x:c>
      <x:c r="L3613" t="str" s="2">
        <x:v>Message Sent</x:v>
      </x:c>
    </x:row>
    <x:row r="3614">
      <x:c r="A3614" t="str" s="2">
        <x:f>="Kaylynne Castillo"</x:f>
      </x:c>
      <x:c r="B3614" t="str" s="2">
        <x:v>Legacy Housing Corp. DBA Americasa</x:v>
      </x:c>
      <x:c r="C3614" t="str" s="2">
        <x:v/>
      </x:c>
      <x:c r="D3614" t="str" s="2">
        <x:v>2144660425</x:v>
      </x:c>
      <x:c r="E3614" t="str" s="2">
        <x:v>ethyl.subsoil3p@icloud.com</x:v>
      </x:c>
      <x:c r="F3614" t="str" s="2">
        <x:v>Landing_BPM</x:v>
      </x:c>
      <x:c r="G3614" t="str" s="2">
        <x:v>Rodrigo Ramirez</x:v>
      </x:c>
      <x:c r="H3614" s="6">
        <x:v>46252.6337565162</x:v>
      </x:c>
      <x:c r="I3614" s="0"/>
      <x:c r="J3614" s="0"/>
      <x:c r="K3614" s="6">
        <x:v>46296</x:v>
      </x:c>
      <x:c r="L3614" t="str" s="2">
        <x:v>Message Sent</x:v>
      </x:c>
    </x:row>
    <x:row r="3615">
      <x:c r="A3615" t="str" s="2">
        <x:f>="Teresa McCool"</x:f>
      </x:c>
      <x:c r="B3615" t="str" s="2">
        <x:v>Heritage Housing of Oklahoma City</x:v>
      </x:c>
      <x:c r="C3615" t="str" s="2">
        <x:v>0/1</x:v>
      </x:c>
      <x:c r="D3615" t="str" s="2">
        <x:v>4053012631</x:v>
      </x:c>
      <x:c r="E3615" t="str" s="2">
        <x:v>teri.mccool1969@gmail.com</x:v>
      </x:c>
      <x:c r="F3615" t="str" s="2">
        <x:v>Landing_BPM</x:v>
      </x:c>
      <x:c r="G3615" t="str" s="2">
        <x:v>Steve Castell</x:v>
      </x:c>
      <x:c r="H3615" s="6">
        <x:v>46252.66289649306</x:v>
      </x:c>
      <x:c r="I3615" s="0"/>
      <x:c r="J3615" s="0"/>
      <x:c r="K3615" s="6">
        <x:v>46253.81850011574</x:v>
      </x:c>
      <x:c r="L3615" t="str" s="2">
        <x:v>Message Sent</x:v>
      </x:c>
    </x:row>
    <x:row r="3616">
      <x:c r="A3616" t="str" s="2">
        <x:f>="Elizabeth Tipton"</x:f>
      </x:c>
      <x:c r="B3616" t="str" s="2">
        <x:v>Heritage Housing of Augusta</x:v>
      </x:c>
      <x:c r="C3616" t="str" s="2">
        <x:v/>
      </x:c>
      <x:c r="D3616" t="str" s="2">
        <x:v>9313078743</x:v>
      </x:c>
      <x:c r="E3616" t="str" s="2">
        <x:v>ez2remember1978@gmail.com</x:v>
      </x:c>
      <x:c r="F3616" t="str" s="2">
        <x:v>Website</x:v>
      </x:c>
      <x:c r="G3616" t="str" s="2">
        <x:v>Faye Lively</x:v>
      </x:c>
      <x:c r="H3616" s="6">
        <x:v>46252.67977696759</x:v>
      </x:c>
      <x:c r="I3616" s="0"/>
      <x:c r="J3616" s="0"/>
      <x:c r="K3616" s="6">
        <x:v>46282</x:v>
      </x:c>
      <x:c r="L3616" t="str" s="2">
        <x:v>Message Sent</x:v>
      </x:c>
    </x:row>
    <x:row r="3617">
      <x:c r="A3617" t="str" s="2">
        <x:f>="Imogene Williams"</x:f>
      </x:c>
      <x:c r="B3617" t="str" s="2">
        <x:v>Heritage Housing of Canton</x:v>
      </x:c>
      <x:c r="C3617" t="str" s="2">
        <x:v/>
      </x:c>
      <x:c r="D3617" t="str" s="2">
        <x:v>4699484636</x:v>
      </x:c>
      <x:c r="E3617" t="str" s="2">
        <x:v>imogenewilliams340@gmail.com</x:v>
      </x:c>
      <x:c r="F3617" t="str" s="2">
        <x:v>Landing_BPM</x:v>
      </x:c>
      <x:c r="G3617" t="str" s="2">
        <x:v>Maira Garcia</x:v>
      </x:c>
      <x:c r="H3617" s="6">
        <x:v>46252.685348113424</x:v>
      </x:c>
      <x:c r="I3617" s="0"/>
      <x:c r="J3617" s="0"/>
      <x:c r="K3617" s="6">
        <x:v>46252</x:v>
      </x:c>
      <x:c r="L3617" t="str" s="2">
        <x:v>Message Sent</x:v>
      </x:c>
    </x:row>
    <x:row r="3618">
      <x:c r="A3618" t="str" s="2">
        <x:f>="Jaela Brooks"</x:f>
      </x:c>
      <x:c r="B3618" t="str" s="2">
        <x:v>Heritage Housing of Augusta</x:v>
      </x:c>
      <x:c r="C3618" t="str" s="2">
        <x:v/>
      </x:c>
      <x:c r="D3618" t="str" s="2">
        <x:v>7064698561</x:v>
      </x:c>
      <x:c r="E3618" t="str" s="2">
        <x:v>jaelabrooks21@yahoo.com</x:v>
      </x:c>
      <x:c r="F3618" t="str" s="2">
        <x:v>Landing_BPM</x:v>
      </x:c>
      <x:c r="G3618" t="str" s="2">
        <x:v>Faye Lively</x:v>
      </x:c>
      <x:c r="H3618" s="6">
        <x:v>46252.713476192126</x:v>
      </x:c>
      <x:c r="I3618" s="0"/>
      <x:c r="J3618" s="0"/>
      <x:c r="K3618" s="6">
        <x:v>46274</x:v>
      </x:c>
      <x:c r="L3618" t="str" s="2">
        <x:v>Message Sent</x:v>
      </x:c>
    </x:row>
    <x:row r="3619">
      <x:c r="A3619" t="str" s="2">
        <x:f>="Mazen Sweis"</x:f>
      </x:c>
      <x:c r="B3619" t="str" s="2">
        <x:v>Legacy Housing Corp. DBA Americasa</x:v>
      </x:c>
      <x:c r="C3619" t="str" s="2">
        <x:v/>
      </x:c>
      <x:c r="D3619" t="str" s="2">
        <x:v>4095391446</x:v>
      </x:c>
      <x:c r="E3619" t="str" s="2">
        <x:v>Mazensweis1958@yahoo.com</x:v>
      </x:c>
      <x:c r="F3619" t="str" s="2">
        <x:v>Landing_BPM</x:v>
      </x:c>
      <x:c r="G3619" t="str" s="2">
        <x:v>Rodrigo Ramirez</x:v>
      </x:c>
      <x:c r="H3619" s="6">
        <x:v>46252.71508487269</x:v>
      </x:c>
      <x:c r="I3619" s="0"/>
      <x:c r="J3619" s="0"/>
      <x:c r="K3619" s="6">
        <x:v>46296</x:v>
      </x:c>
      <x:c r="L3619" t="str" s="2">
        <x:v>Message Sent</x:v>
      </x:c>
    </x:row>
    <x:row r="3620">
      <x:c r="A3620" t="str" s="2">
        <x:f>="Susan East Moore"</x:f>
      </x:c>
      <x:c r="B3620" t="str" s="2">
        <x:v>Legacy Housing Corp. DBA Americasa</x:v>
      </x:c>
      <x:c r="C3620" t="str" s="2">
        <x:v/>
      </x:c>
      <x:c r="D3620" t="str" s="2">
        <x:v>4095530777</x:v>
      </x:c>
      <x:c r="E3620" t="str" s="2">
        <x:v>susaneastmoore62@gmail.com</x:v>
      </x:c>
      <x:c r="F3620" t="str" s="2">
        <x:v>Landing_BPM</x:v>
      </x:c>
      <x:c r="G3620" t="str" s="2">
        <x:v>Jose Parada</x:v>
      </x:c>
      <x:c r="H3620" s="6">
        <x:v>46252.72850138889</x:v>
      </x:c>
      <x:c r="I3620" s="0"/>
      <x:c r="J3620" s="0"/>
      <x:c r="K3620" s="6">
        <x:v>46296</x:v>
      </x:c>
      <x:c r="L3620" t="str" s="2">
        <x:v>Message Sent</x:v>
      </x:c>
    </x:row>
    <x:row r="3621">
      <x:c r="A3621" t="str" s="2">
        <x:f>="Paris Martin"</x:f>
      </x:c>
      <x:c r="B3621" t="str" s="2">
        <x:v>Heritage Housing of Asheboro</x:v>
      </x:c>
      <x:c r="C3621" t="str" s="2">
        <x:v/>
      </x:c>
      <x:c r="D3621" t="str" s="2">
        <x:v>8392883632</x:v>
      </x:c>
      <x:c r="E3621" t="str" s="2">
        <x:v>parismartin809@gmail.com</x:v>
      </x:c>
      <x:c r="F3621" t="str" s="2">
        <x:v>Website</x:v>
      </x:c>
      <x:c r="G3621" t="str" s="2">
        <x:v>Maria Lopez</x:v>
      </x:c>
      <x:c r="H3621" s="6">
        <x:v>46252.73452121528</x:v>
      </x:c>
      <x:c r="I3621" s="0"/>
      <x:c r="J3621" s="0"/>
      <x:c r="K3621" s="6">
        <x:v>46259</x:v>
      </x:c>
      <x:c r="L3621" t="str" s="2">
        <x:v>Message Sent</x:v>
      </x:c>
    </x:row>
    <x:row r="3622">
      <x:c r="A3622" t="str" s="2">
        <x:f>="Elizabeth Daigle"</x:f>
      </x:c>
      <x:c r="B3622" t="str" s="2">
        <x:v>Heritage Housing of Jennings</x:v>
      </x:c>
      <x:c r="C3622" t="str" s="2">
        <x:v/>
      </x:c>
      <x:c r="D3622" t="str" s="2">
        <x:v>3375634434</x:v>
      </x:c>
      <x:c r="E3622" t="str" s="2">
        <x:v>elizabeth_daigle@icloud.com</x:v>
      </x:c>
      <x:c r="F3622" t="str" s="2">
        <x:v>Landing_BPM</x:v>
      </x:c>
      <x:c r="G3622" t="str" s="2">
        <x:v>Clint O'Neal</x:v>
      </x:c>
      <x:c r="H3622" s="6">
        <x:v>46252.79673703704</x:v>
      </x:c>
      <x:c r="I3622" s="0"/>
      <x:c r="J3622" s="0"/>
      <x:c r="K3622" s="6">
        <x:v>46302.68574818287</x:v>
      </x:c>
      <x:c r="L3622" t="str" s="2">
        <x:v>Message Sent</x:v>
      </x:c>
    </x:row>
    <x:row r="3623">
      <x:c r="A3623" t="str" s="2">
        <x:f>="Donna Weddle"</x:f>
      </x:c>
      <x:c r="B3623" t="str" s="2">
        <x:v>Legacy Housing Corp. DBA Americasa</x:v>
      </x:c>
      <x:c r="C3623" t="str" s="2">
        <x:v/>
      </x:c>
      <x:c r="D3623" t="str" s="2">
        <x:v>8325892113</x:v>
      </x:c>
      <x:c r="E3623" t="str" s="2">
        <x:v>donnaweddle23@gmail.com</x:v>
      </x:c>
      <x:c r="F3623" t="str" s="2">
        <x:v>Landing_BPM</x:v>
      </x:c>
      <x:c r="G3623" t="str" s="2">
        <x:v>Rodrigo Ramirez</x:v>
      </x:c>
      <x:c r="H3623" s="6">
        <x:v>46252.82131122685</x:v>
      </x:c>
      <x:c r="I3623" s="0"/>
      <x:c r="J3623" s="0"/>
      <x:c r="K3623" s="6">
        <x:v>46296</x:v>
      </x:c>
      <x:c r="L3623" t="str" s="2">
        <x:v>Message Sent</x:v>
      </x:c>
    </x:row>
    <x:row r="3624">
      <x:c r="A3624" t="str" s="2">
        <x:f>="Charity Trevino"</x:f>
      </x:c>
      <x:c r="B3624" t="str" s="2">
        <x:v>Legacy Housing Corp. DBA Americasa</x:v>
      </x:c>
      <x:c r="C3624" t="str" s="2">
        <x:v/>
      </x:c>
      <x:c r="D3624" t="str" s="2">
        <x:v>2818919804</x:v>
      </x:c>
      <x:c r="E3624" t="str" s="2">
        <x:v>charity.trevino@gmail.com</x:v>
      </x:c>
      <x:c r="F3624" t="str" s="2">
        <x:v>Landing_BPM</x:v>
      </x:c>
      <x:c r="G3624" t="str" s="2">
        <x:v>Rodrigo Ramirez</x:v>
      </x:c>
      <x:c r="H3624" s="6">
        <x:v>46252.83293024306</x:v>
      </x:c>
      <x:c r="I3624" s="0"/>
      <x:c r="J3624" s="0"/>
      <x:c r="K3624" s="6">
        <x:v>46296</x:v>
      </x:c>
      <x:c r="L3624" t="str" s="2">
        <x:v>Message Sent</x:v>
      </x:c>
    </x:row>
    <x:row r="3625">
      <x:c r="A3625" t="str" s="2">
        <x:f>="Shawn Ponthieux"</x:f>
      </x:c>
      <x:c r="B3625" t="str" s="2">
        <x:v>Heritage Housing of Jennings</x:v>
      </x:c>
      <x:c r="C3625" t="str" s="2">
        <x:v>0/1</x:v>
      </x:c>
      <x:c r="D3625" t="str" s="2">
        <x:v>3184071415</x:v>
      </x:c>
      <x:c r="E3625" t="str" s="2">
        <x:v>ponthieuxshawn@gmail.com</x:v>
      </x:c>
      <x:c r="F3625" t="str" s="2">
        <x:v>Financing Form</x:v>
      </x:c>
      <x:c r="G3625" t="str" s="2">
        <x:v>Clint O'Neal</x:v>
      </x:c>
      <x:c r="H3625" s="6">
        <x:v>46252.85091959491</x:v>
      </x:c>
      <x:c r="I3625" s="0"/>
      <x:c r="J3625" s="0"/>
      <x:c r="K3625" s="6">
        <x:v>46302.67681851852</x:v>
      </x:c>
      <x:c r="L3625" t="str" s="2">
        <x:v>Message Sent</x:v>
      </x:c>
    </x:row>
    <x:row r="3626">
      <x:c r="A3626" t="str" s="2">
        <x:f>="victor ortega"</x:f>
      </x:c>
      <x:c r="B3626" t="str" s="2">
        <x:v>Heritage Housing of Canton</x:v>
      </x:c>
      <x:c r="C3626" t="str" s="2">
        <x:v/>
      </x:c>
      <x:c r="D3626" t="str" s="2">
        <x:v>2256503749</x:v>
      </x:c>
      <x:c r="E3626" t="str" s="2">
        <x:v>ortega092663@yahoo.com</x:v>
      </x:c>
      <x:c r="F3626" t="str" s="2">
        <x:v>Website</x:v>
      </x:c>
      <x:c r="G3626" t="str" s="2">
        <x:v>Maira Garcia</x:v>
      </x:c>
      <x:c r="H3626" s="6">
        <x:v>46252.85920983796</x:v>
      </x:c>
      <x:c r="I3626" s="0"/>
      <x:c r="J3626" s="0"/>
      <x:c r="K3626" s="6">
        <x:v>46253</x:v>
      </x:c>
      <x:c r="L3626" t="str" s="2">
        <x:v>Message Sent</x:v>
      </x:c>
    </x:row>
    <x:row r="3627">
      <x:c r="A3627" t="str" s="2">
        <x:f>="Angela Lane"</x:f>
      </x:c>
      <x:c r="B3627" t="str" s="2">
        <x:v>Heritage Housing of Asheboro</x:v>
      </x:c>
      <x:c r="C3627" t="str" s="2">
        <x:v/>
      </x:c>
      <x:c r="D3627" t="str" s="2">
        <x:v>7049020855</x:v>
      </x:c>
      <x:c r="E3627" t="str" s="2">
        <x:v>ricolane1974@gmail.com</x:v>
      </x:c>
      <x:c r="F3627" t="str" s="2">
        <x:v>Landing_BPM</x:v>
      </x:c>
      <x:c r="G3627" t="str" s="2">
        <x:v>Maria Lopez</x:v>
      </x:c>
      <x:c r="H3627" s="6">
        <x:v>46252.87125975695</x:v>
      </x:c>
      <x:c r="I3627" s="0"/>
      <x:c r="J3627" s="0"/>
      <x:c r="K3627" s="6">
        <x:v>46259</x:v>
      </x:c>
      <x:c r="L3627" t="str" s="2">
        <x:v>Message Sent</x:v>
      </x:c>
    </x:row>
    <x:row r="3628">
      <x:c r="A3628" t="str" s="2">
        <x:f>="Evelena Ambrose"</x:f>
      </x:c>
      <x:c r="B3628" t="str" s="2">
        <x:v>Heritage Housing of Tulsa</x:v>
      </x:c>
      <x:c r="C3628" t="str" s="2">
        <x:v/>
      </x:c>
      <x:c r="D3628" t="str" s="2">
        <x:v>9183168710</x:v>
      </x:c>
      <x:c r="E3628" t="str" s="2">
        <x:v>korraline.spencer@gmail.com</x:v>
      </x:c>
      <x:c r="F3628" t="str" s="2">
        <x:v>Financing Form</x:v>
      </x:c>
      <x:c r="G3628" t="str" s="2">
        <x:v>Jenna Fransisco</x:v>
      </x:c>
      <x:c r="H3628" s="6">
        <x:v>46252.87168707176</x:v>
      </x:c>
      <x:c r="I3628" s="0"/>
      <x:c r="J3628" s="0"/>
      <x:c r="K3628" s="6">
        <x:v>46254</x:v>
      </x:c>
      <x:c r="L3628" t="str" s="2">
        <x:v>Message Sent</x:v>
      </x:c>
    </x:row>
    <x:row r="3629">
      <x:c r="A3629" t="str" s="2">
        <x:f>=HYPERLINK("https://rsms.futurehomex.com/lead/39246", "Ayden Hofs")</x:f>
      </x:c>
      <x:c r="B3629" t="str" s="2">
        <x:v>Heritage Housing of Oklahoma City</x:v>
      </x:c>
      <x:c r="C3629" t="str" s="2">
        <x:v/>
      </x:c>
      <x:c r="D3629" t="str" s="2">
        <x:v>4058273505</x:v>
      </x:c>
      <x:c r="E3629" t="str" s="2">
        <x:v>4058273505</x:v>
      </x:c>
      <x:c r="F3629" t="str" s="2">
        <x:v>Meta Ads - Messenger</x:v>
      </x:c>
      <x:c r="G3629" t="str" s="2">
        <x:v>Steve Castell</x:v>
      </x:c>
      <x:c r="H3629" s="6">
        <x:v>46252.92954927083</x:v>
      </x:c>
      <x:c r="I3629" t="str" s="2">
        <x:v>Alejandra Calderon</x:v>
      </x:c>
      <x:c r="J3629" s="0"/>
      <x:c r="K3629" s="6">
        <x:v>46266</x:v>
      </x:c>
      <x:c r="L3629" t="str" s="2">
        <x:v>Message Sent</x:v>
      </x:c>
    </x:row>
    <x:row r="3630">
      <x:c r="A3630" t="str" s="2">
        <x:f>="Christopher Stewart"</x:f>
      </x:c>
      <x:c r="B3630" t="str" s="2">
        <x:v>Heritage Housing of Tulsa</x:v>
      </x:c>
      <x:c r="C3630" t="str" s="2">
        <x:v/>
      </x:c>
      <x:c r="D3630" t="str" s="2">
        <x:v>8705193942</x:v>
      </x:c>
      <x:c r="E3630" t="str" s="2">
        <x:v>mrp37f3ct@gmail.com</x:v>
      </x:c>
      <x:c r="F3630" t="str" s="2">
        <x:v>Landing_BPM</x:v>
      </x:c>
      <x:c r="G3630" t="str" s="2">
        <x:v>Jenna Fransisco</x:v>
      </x:c>
      <x:c r="H3630" s="6">
        <x:v>46252.94028966435</x:v>
      </x:c>
      <x:c r="I3630" s="0"/>
      <x:c r="J3630" s="0"/>
      <x:c r="K3630" s="6">
        <x:v>46261</x:v>
      </x:c>
      <x:c r="L3630" t="str" s="2">
        <x:v>Message Sent</x:v>
      </x:c>
    </x:row>
    <x:row r="3631">
      <x:c r="A3631" t="str" s="2">
        <x:f>="Kra McCullough"</x:f>
      </x:c>
      <x:c r="B3631" t="str" s="2">
        <x:v>Heritage Housing of Athens</x:v>
      </x:c>
      <x:c r="C3631" t="str" s="2">
        <x:v/>
      </x:c>
      <x:c r="D3631" t="str" s="2">
        <x:v>6789146282</x:v>
      </x:c>
      <x:c r="E3631" t="str" s="2">
        <x:v>kra.mccullough@yahoo.com</x:v>
      </x:c>
      <x:c r="F3631" t="str" s="2">
        <x:v>Financing Form</x:v>
      </x:c>
      <x:c r="G3631" t="str" s="2">
        <x:v>Nathan Bishop</x:v>
      </x:c>
      <x:c r="H3631" s="6">
        <x:v>46252.96287445602</x:v>
      </x:c>
      <x:c r="I3631" s="0"/>
      <x:c r="J3631" s="0"/>
      <x:c r="K3631" s="6">
        <x:v>46283</x:v>
      </x:c>
      <x:c r="L3631" t="str" s="2">
        <x:v>Message Sent</x:v>
      </x:c>
    </x:row>
    <x:row r="3632">
      <x:c r="A3632" t="str" s="2">
        <x:f>="Jessica Allelo Allelo"</x:f>
      </x:c>
      <x:c r="B3632" t="str" s="2">
        <x:v>Heritage Housing of Asheboro</x:v>
      </x:c>
      <x:c r="C3632" t="str" s="2">
        <x:v/>
      </x:c>
      <x:c r="D3632" t="str" s="2">
        <x:v>8643774216</x:v>
      </x:c>
      <x:c r="E3632" t="str" s="2">
        <x:v>jessicaallelo02@gmail.com</x:v>
      </x:c>
      <x:c r="F3632" t="str" s="2">
        <x:v>Landing_BPM</x:v>
      </x:c>
      <x:c r="G3632" t="str" s="2">
        <x:v>Maria Lopez</x:v>
      </x:c>
      <x:c r="H3632" s="6">
        <x:v>46252.99913333333</x:v>
      </x:c>
      <x:c r="I3632" s="0"/>
      <x:c r="J3632" s="0"/>
      <x:c r="K3632" s="6">
        <x:v>46307</x:v>
      </x:c>
      <x:c r="L3632" t="str" s="2">
        <x:v>Message Sent</x:v>
      </x:c>
    </x:row>
    <x:row r="3633">
      <x:c r="A3633" t="str" s="2">
        <x:f>="Johanelys gomez"</x:f>
      </x:c>
      <x:c r="B3633" t="str" s="2">
        <x:v>Heritage Housing of Asheboro</x:v>
      </x:c>
      <x:c r="C3633" t="str" s="2">
        <x:v/>
      </x:c>
      <x:c r="D3633" t="str" s="2">
        <x:v>7048032948</x:v>
      </x:c>
      <x:c r="E3633" t="str" s="2">
        <x:v>johan.gomez15@icloud.com</x:v>
      </x:c>
      <x:c r="F3633" t="str" s="2">
        <x:v>Financing Form</x:v>
      </x:c>
      <x:c r="G3633" t="str" s="2">
        <x:v>Maria Lopez</x:v>
      </x:c>
      <x:c r="H3633" s="6">
        <x:v>46253.00518487269</x:v>
      </x:c>
      <x:c r="I3633" s="0"/>
      <x:c r="J3633" s="0"/>
      <x:c r="K3633" s="6">
        <x:v>46259</x:v>
      </x:c>
      <x:c r="L3633" t="str" s="2">
        <x:v>Message Sent</x:v>
      </x:c>
    </x:row>
    <x:row r="3634">
      <x:c r="A3634" t="str" s="2">
        <x:f>="Faye Darnell"</x:f>
      </x:c>
      <x:c r="B3634" t="str" s="2">
        <x:v>Heritage Housing of Asheboro</x:v>
      </x:c>
      <x:c r="C3634" t="str" s="2">
        <x:v/>
      </x:c>
      <x:c r="D3634" t="str" s="2">
        <x:v>9196029899</x:v>
      </x:c>
      <x:c r="E3634" t="str" s="2">
        <x:v>journey2true@yahoo.com</x:v>
      </x:c>
      <x:c r="F3634" t="str" s="2">
        <x:v>Landing_BPM</x:v>
      </x:c>
      <x:c r="G3634" t="str" s="2">
        <x:v>Maria Lopez</x:v>
      </x:c>
      <x:c r="H3634" s="6">
        <x:v>46253.053134525464</x:v>
      </x:c>
      <x:c r="I3634" s="0"/>
      <x:c r="J3634" s="0"/>
      <x:c r="K3634" s="6">
        <x:v>46259</x:v>
      </x:c>
      <x:c r="L3634" t="str" s="2">
        <x:v>Message Sent</x:v>
      </x:c>
    </x:row>
    <x:row r="3635">
      <x:c r="A3635" t="str" s="2">
        <x:f>="RORY FRIDAY"</x:f>
      </x:c>
      <x:c r="B3635" t="str" s="2">
        <x:v>Legacy Housing Corp. DBA Americasa</x:v>
      </x:c>
      <x:c r="C3635" t="str" s="2">
        <x:v/>
      </x:c>
      <x:c r="D3635" t="str" s="2">
        <x:v>6463532633</x:v>
      </x:c>
      <x:c r="E3635" t="str" s="2">
        <x:v>fridayrory@gmail.com</x:v>
      </x:c>
      <x:c r="F3635" t="str" s="2">
        <x:v>Landing_BPM</x:v>
      </x:c>
      <x:c r="G3635" t="str" s="2">
        <x:v>Jose Parada</x:v>
      </x:c>
      <x:c r="H3635" s="6">
        <x:v>46253.0673025463</x:v>
      </x:c>
      <x:c r="I3635" s="0"/>
      <x:c r="J3635" s="0"/>
      <x:c r="K3635" s="6">
        <x:v>46296</x:v>
      </x:c>
      <x:c r="L3635" t="str" s="2">
        <x:v>Message Sent</x:v>
      </x:c>
    </x:row>
    <x:row r="3636">
      <x:c r="A3636" t="str" s="2">
        <x:f>="Manuela García"</x:f>
      </x:c>
      <x:c r="B3636" t="str" s="2">
        <x:v>Legacy Housing Corp. DBA Americasa</x:v>
      </x:c>
      <x:c r="C3636" t="str" s="2">
        <x:v/>
      </x:c>
      <x:c r="D3636" t="str" s="2">
        <x:v>9364198102</x:v>
      </x:c>
      <x:c r="E3636" t="str" s="2">
        <x:v>jomarscatering@yahoo.com</x:v>
      </x:c>
      <x:c r="F3636" t="str" s="2">
        <x:v>Landing_BPM</x:v>
      </x:c>
      <x:c r="G3636" t="str" s="2">
        <x:v>Jose Parada</x:v>
      </x:c>
      <x:c r="H3636" s="6">
        <x:v>46253.081693831016</x:v>
      </x:c>
      <x:c r="I3636" s="0"/>
      <x:c r="J3636" s="0"/>
      <x:c r="K3636" s="6">
        <x:v>46296</x:v>
      </x:c>
      <x:c r="L3636" t="str" s="2">
        <x:v>Message Sent</x:v>
      </x:c>
    </x:row>
    <x:row r="3637">
      <x:c r="A3637" t="str" s="2">
        <x:f>=HYPERLINK("https://rsms.futurehomex.com/lead/39256", "Jailyn Owens")</x:f>
      </x:c>
      <x:c r="B3637" t="str" s="2">
        <x:v>Heritage Housing of Oklahoma City</x:v>
      </x:c>
      <x:c r="C3637" t="str" s="2">
        <x:v/>
      </x:c>
      <x:c r="D3637" t="str" s="2">
        <x:v>3174470527</x:v>
      </x:c>
      <x:c r="E3637" t="str" s="2">
        <x:v>jayowen97@icloud.com</x:v>
      </x:c>
      <x:c r="F3637" t="str" s="2">
        <x:v>Financing Form</x:v>
      </x:c>
      <x:c r="G3637" t="str" s="2">
        <x:v>Steve Castell</x:v>
      </x:c>
      <x:c r="H3637" s="6">
        <x:v>46253.13987623843</x:v>
      </x:c>
      <x:c r="I3637" t="str" s="2">
        <x:v>Trey Rixleben</x:v>
      </x:c>
      <x:c r="J3637" s="0"/>
      <x:c r="K3637" s="6">
        <x:v>46253.59619803241</x:v>
      </x:c>
      <x:c r="L3637" t="str" s="2">
        <x:v>Message Sent</x:v>
      </x:c>
    </x:row>
    <x:row r="3638">
      <x:c r="A3638" t="str" s="2">
        <x:f>="Robert Pfarr"</x:f>
      </x:c>
      <x:c r="B3638" t="str" s="2">
        <x:v>Heritage Housing of Albany</x:v>
      </x:c>
      <x:c r="C3638" t="str" s="2">
        <x:v/>
      </x:c>
      <x:c r="D3638" t="str" s="2">
        <x:v>4103034570</x:v>
      </x:c>
      <x:c r="E3638" t="str" s="2">
        <x:v>farnic16@gmail.com</x:v>
      </x:c>
      <x:c r="F3638" t="str" s="2">
        <x:v>Landing_BPM</x:v>
      </x:c>
      <x:c r="G3638" t="str" s="2">
        <x:v>Yanet Alvarez</x:v>
      </x:c>
      <x:c r="H3638" s="6">
        <x:v>46253.15274143519</x:v>
      </x:c>
      <x:c r="I3638" s="0"/>
      <x:c r="J3638" s="0"/>
      <x:c r="K3638" s="6">
        <x:v>46282</x:v>
      </x:c>
      <x:c r="L3638" t="str" s="2">
        <x:v>Message Sent</x:v>
      </x:c>
    </x:row>
    <x:row r="3639">
      <x:c r="A3639" t="str" s="2">
        <x:f>="Nallely Barraza"</x:f>
      </x:c>
      <x:c r="B3639" t="str" s="2">
        <x:v>Heritage Housing of Greenville</x:v>
      </x:c>
      <x:c r="C3639" t="str" s="2">
        <x:v/>
      </x:c>
      <x:c r="D3639" t="str" s="2">
        <x:v>8172391792</x:v>
      </x:c>
      <x:c r="E3639" t="str" s="2">
        <x:v>nallelybrza90@gmail.com</x:v>
      </x:c>
      <x:c r="F3639" t="str" s="2">
        <x:v>Landing_BPM</x:v>
      </x:c>
      <x:c r="G3639" t="str" s="2">
        <x:v>Brooklynn Allen</x:v>
      </x:c>
      <x:c r="H3639" s="6">
        <x:v>46253.176388657404</x:v>
      </x:c>
      <x:c r="I3639" s="0"/>
      <x:c r="J3639" s="0"/>
      <x:c r="K3639" s="6">
        <x:v>46253</x:v>
      </x:c>
      <x:c r="L3639" t="str" s="2">
        <x:v>Message Sent</x:v>
      </x:c>
    </x:row>
    <x:row r="3640">
      <x:c r="A3640" t="str" s="2">
        <x:f>="Nathan Peoples"</x:f>
      </x:c>
      <x:c r="B3640" t="str" s="2">
        <x:v>Heritage Housing Marble Falls</x:v>
      </x:c>
      <x:c r="C3640" t="str" s="2">
        <x:v/>
      </x:c>
      <x:c r="D3640" t="str" s="2">
        <x:v>8062131884</x:v>
      </x:c>
      <x:c r="E3640" t="str" s="2">
        <x:v>captainnasty18@gmail.com</x:v>
      </x:c>
      <x:c r="F3640" t="str" s="2">
        <x:v>Financing Form</x:v>
      </x:c>
      <x:c r="G3640" t="str" s="2">
        <x:v>Stephen Sanders</x:v>
      </x:c>
      <x:c r="H3640" s="6">
        <x:v>46253.17989290509</x:v>
      </x:c>
      <x:c r="I3640" s="0"/>
      <x:c r="J3640" s="0"/>
      <x:c r="K3640" s="6">
        <x:v>46274</x:v>
      </x:c>
      <x:c r="L3640" t="str" s="2">
        <x:v>Message Sent</x:v>
      </x:c>
    </x:row>
    <x:row r="3641">
      <x:c r="A3641" t="str" s="2">
        <x:f>="Theresa Garza"</x:f>
      </x:c>
      <x:c r="B3641" t="str" s="2">
        <x:v>Legacy Housing Corp. DBA Americasa</x:v>
      </x:c>
      <x:c r="C3641" t="str" s="2">
        <x:v/>
      </x:c>
      <x:c r="D3641" t="str" s="2">
        <x:v>8322295295</x:v>
      </x:c>
      <x:c r="E3641" t="str" s="2">
        <x:v>garzaannt72@gmail.com</x:v>
      </x:c>
      <x:c r="F3641" t="str" s="2">
        <x:v>Landing_BPM</x:v>
      </x:c>
      <x:c r="G3641" t="str" s="2">
        <x:v>Rodrigo Ramirez</x:v>
      </x:c>
      <x:c r="H3641" s="6">
        <x:v>46253.26028174769</x:v>
      </x:c>
      <x:c r="I3641" s="0"/>
      <x:c r="J3641" s="0"/>
      <x:c r="K3641" s="6">
        <x:v>46296</x:v>
      </x:c>
      <x:c r="L3641" t="str" s="2">
        <x:v>Message Sent</x:v>
      </x:c>
    </x:row>
    <x:row r="3642">
      <x:c r="A3642" t="str" s="2">
        <x:f>="sean reed"</x:f>
      </x:c>
      <x:c r="B3642" t="str" s="2">
        <x:v>Heritage Housing of Albany</x:v>
      </x:c>
      <x:c r="C3642" t="str" s="2">
        <x:v/>
      </x:c>
      <x:c r="D3642" t="str" s="2">
        <x:v>2294573097</x:v>
      </x:c>
      <x:c r="E3642" t="str" s="2">
        <x:v>new.changes23@gmail.com</x:v>
      </x:c>
      <x:c r="F3642" t="str" s="2">
        <x:v>Financing Form</x:v>
      </x:c>
      <x:c r="G3642" t="str" s="2">
        <x:v>Yanet Alvarez</x:v>
      </x:c>
      <x:c r="H3642" s="6">
        <x:v>46253.49507114584</x:v>
      </x:c>
      <x:c r="I3642" s="0"/>
      <x:c r="J3642" s="0"/>
      <x:c r="K3642" s="6">
        <x:v>46289.62804575232</x:v>
      </x:c>
      <x:c r="L3642" t="str" s="2">
        <x:v>Message Sent</x:v>
      </x:c>
    </x:row>
    <x:row r="3643">
      <x:c r="A3643" t="str" s="2">
        <x:f>="Willie Hairston"</x:f>
      </x:c>
      <x:c r="B3643" t="str" s="2">
        <x:v>Heritage Housing of Asheboro</x:v>
      </x:c>
      <x:c r="C3643" t="str" s="2">
        <x:v/>
      </x:c>
      <x:c r="D3643" t="str" s="2">
        <x:v>3368408731</x:v>
      </x:c>
      <x:c r="E3643" t="str" s="2">
        <x:v>williamhairston012@gmail.com</x:v>
      </x:c>
      <x:c r="F3643" t="str" s="2">
        <x:v>Landing_BPM</x:v>
      </x:c>
      <x:c r="G3643" t="str" s="2">
        <x:v>Maria Lopez</x:v>
      </x:c>
      <x:c r="H3643" s="6">
        <x:v>46253.51061759259</x:v>
      </x:c>
      <x:c r="I3643" s="0"/>
      <x:c r="J3643" s="0"/>
      <x:c r="K3643" s="6">
        <x:v>46259</x:v>
      </x:c>
      <x:c r="L3643" t="str" s="2">
        <x:v>Message Sent</x:v>
      </x:c>
    </x:row>
    <x:row r="3644">
      <x:c r="A3644" t="str" s="2">
        <x:f>=HYPERLINK("https://rsms.futurehomex.com/lead/39248", "Darla Lopez")</x:f>
      </x:c>
      <x:c r="B3644" t="str" s="2">
        <x:v>Heritage Housing of Athens</x:v>
      </x:c>
      <x:c r="C3644" t="str" s="2">
        <x:v/>
      </x:c>
      <x:c r="D3644" t="str" s="2">
        <x:v>6789433434</x:v>
      </x:c>
      <x:c r="E3644" t="str" s="2">
        <x:v>6789433434</x:v>
      </x:c>
      <x:c r="F3644" t="str" s="2">
        <x:v>Walk-in</x:v>
      </x:c>
      <x:c r="G3644" t="str" s="2">
        <x:v>Nathan Bishop</x:v>
      </x:c>
      <x:c r="H3644" s="6">
        <x:v>46253.5720022338</x:v>
      </x:c>
      <x:c r="I3644" t="str" s="2">
        <x:v>Nathan Bishop</x:v>
      </x:c>
      <x:c r="J3644" s="0"/>
      <x:c r="K3644" s="6">
        <x:v>46288</x:v>
      </x:c>
      <x:c r="L3644" t="str" s="2">
        <x:v>Message Sent</x:v>
      </x:c>
    </x:row>
    <x:row r="3645">
      <x:c r="A3645" t="str" s="2">
        <x:f>="Dawn Walker Sprouse"</x:f>
      </x:c>
      <x:c r="B3645" t="str" s="2">
        <x:v>Heritage Housing of Asheboro</x:v>
      </x:c>
      <x:c r="C3645" t="str" s="2">
        <x:v/>
      </x:c>
      <x:c r="D3645" t="str" s="2">
        <x:v>2523941339</x:v>
      </x:c>
      <x:c r="E3645" t="str" s="2">
        <x:v>dawnie.dw56@gmail.com</x:v>
      </x:c>
      <x:c r="F3645" t="str" s="2">
        <x:v>Landing_BPM</x:v>
      </x:c>
      <x:c r="G3645" t="str" s="2">
        <x:v>Maria Lopez</x:v>
      </x:c>
      <x:c r="H3645" s="6">
        <x:v>46253.58704212963</x:v>
      </x:c>
      <x:c r="I3645" s="0"/>
      <x:c r="J3645" s="0"/>
      <x:c r="K3645" s="6">
        <x:v>46259</x:v>
      </x:c>
      <x:c r="L3645" t="str" s="2">
        <x:v>Message Sent</x:v>
      </x:c>
    </x:row>
    <x:row r="3646">
      <x:c r="A3646" t="str" s="2">
        <x:f>="Kathy Wilkinson"</x:f>
      </x:c>
      <x:c r="B3646" t="str" s="2">
        <x:v>Heritage Housing of Canton</x:v>
      </x:c>
      <x:c r="C3646" t="str" s="2">
        <x:v/>
      </x:c>
      <x:c r="D3646" t="str" s="2">
        <x:v>4302954624</x:v>
      </x:c>
      <x:c r="E3646" t="str" s="2">
        <x:v>kr1diviney@gmail.com</x:v>
      </x:c>
      <x:c r="F3646" t="str" s="2">
        <x:v>Landing_BPM</x:v>
      </x:c>
      <x:c r="G3646" t="str" s="2">
        <x:v>Maira Garcia</x:v>
      </x:c>
      <x:c r="H3646" s="6">
        <x:v>46253.588898761576</x:v>
      </x:c>
      <x:c r="I3646" s="0"/>
      <x:c r="J3646" s="0"/>
      <x:c r="K3646" s="6">
        <x:v>46256</x:v>
      </x:c>
      <x:c r="L3646" t="str" s="2">
        <x:v>Message Sent</x:v>
      </x:c>
    </x:row>
    <x:row r="3647">
      <x:c r="A3647" t="str" s="2">
        <x:f>=HYPERLINK("https://rsms.futurehomex.com/lead/39252", "Josephine Brown")</x:f>
      </x:c>
      <x:c r="B3647" t="str" s="2">
        <x:v>Heritage Housing of Augusta</x:v>
      </x:c>
      <x:c r="C3647" t="str" s="2">
        <x:v>1/2</x:v>
      </x:c>
      <x:c r="D3647" t="str" s="2">
        <x:v>7062944724</x:v>
      </x:c>
      <x:c r="E3647" t="str" s="2">
        <x:v>josephinebrown2000@yahoo.com</x:v>
      </x:c>
      <x:c r="F3647" t="str" s="2">
        <x:v>Walk-in</x:v>
      </x:c>
      <x:c r="G3647" t="str" s="2">
        <x:v>Faye Lively</x:v>
      </x:c>
      <x:c r="H3647" s="6">
        <x:v>46253.610949155096</x:v>
      </x:c>
      <x:c r="I3647" t="str" s="2">
        <x:v>Faye Lively</x:v>
      </x:c>
      <x:c r="J3647" s="0"/>
      <x:c r="K3647" s="6">
        <x:v>46255.92991866898</x:v>
      </x:c>
      <x:c r="L3647" t="str" s="2">
        <x:v>Message Sent</x:v>
      </x:c>
    </x:row>
    <x:row r="3648">
      <x:c r="A3648" t="str" s="2">
        <x:f>="Rebecca Livengood"</x:f>
      </x:c>
      <x:c r="B3648" t="str" s="2">
        <x:v>Heritage Housing of Asheboro</x:v>
      </x:c>
      <x:c r="C3648" t="str" s="2">
        <x:v/>
      </x:c>
      <x:c r="D3648" t="str" s="2">
        <x:v>9198421659</x:v>
      </x:c>
      <x:c r="E3648" t="str" s="2">
        <x:v>Rebecca.dean@live.com</x:v>
      </x:c>
      <x:c r="F3648" t="str" s="2">
        <x:v>Landing_BPM</x:v>
      </x:c>
      <x:c r="G3648" t="str" s="2">
        <x:v>Maria Lopez</x:v>
      </x:c>
      <x:c r="H3648" s="6">
        <x:v>46253.66539325231</x:v>
      </x:c>
      <x:c r="I3648" s="0"/>
      <x:c r="J3648" s="0"/>
      <x:c r="K3648" s="6">
        <x:v>46259</x:v>
      </x:c>
      <x:c r="L3648" t="str" s="2">
        <x:v>Message Sent</x:v>
      </x:c>
    </x:row>
    <x:row r="3649">
      <x:c r="A3649" t="str" s="2">
        <x:f>=HYPERLINK("https://rsms.futurehomex.com/lead/39258", "Jeff Erwin")</x:f>
      </x:c>
      <x:c r="B3649" t="str" s="2">
        <x:v>Heritage Housing of Augusta</x:v>
      </x:c>
      <x:c r="C3649" t="str" s="2">
        <x:v/>
      </x:c>
      <x:c r="D3649" t="str" s="2">
        <x:v>9159229716</x:v>
      </x:c>
      <x:c r="E3649" t="str" s="2">
        <x:v>jefferwin83@gmail.com</x:v>
      </x:c>
      <x:c r="F3649" t="str" s="2">
        <x:v>Walk-in</x:v>
      </x:c>
      <x:c r="G3649" t="str" s="2">
        <x:v>Faye Lively</x:v>
      </x:c>
      <x:c r="H3649" s="6">
        <x:v>46253.67091234954</x:v>
      </x:c>
      <x:c r="I3649" t="str" s="2">
        <x:v>Faye Lively</x:v>
      </x:c>
      <x:c r="J3649" s="0"/>
      <x:c r="K3649" s="6">
        <x:v>46273</x:v>
      </x:c>
      <x:c r="L3649" t="str" s="2">
        <x:v>Message Sent</x:v>
      </x:c>
    </x:row>
    <x:row r="3650">
      <x:c r="A3650" t="str" s="2">
        <x:f>=HYPERLINK("https://rsms.futurehomex.com/lead/39339", "Britni Alatorre-Garcia")</x:f>
      </x:c>
      <x:c r="B3650" t="str" s="2">
        <x:v>Heritage Housing Mt Pleasant</x:v>
      </x:c>
      <x:c r="C3650" t="str" s="2">
        <x:v/>
      </x:c>
      <x:c r="D3650" t="str" s="2">
        <x:v>8179296066</x:v>
      </x:c>
      <x:c r="E3650" t="str" s="2">
        <x:v>bb@dfwgutterpro.com</x:v>
      </x:c>
      <x:c r="F3650" t="str" s="2">
        <x:v>Landing_BPM</x:v>
      </x:c>
      <x:c r="G3650" t="str" s="2">
        <x:v>Sandra Saldana</x:v>
      </x:c>
      <x:c r="H3650" s="6">
        <x:v>46253.75892986111</x:v>
      </x:c>
      <x:c r="I3650" t="str" s="2">
        <x:v>Elias Gallardo</x:v>
      </x:c>
      <x:c r="J3650" s="0"/>
      <x:c r="K3650" s="6">
        <x:v>46254</x:v>
      </x:c>
      <x:c r="L3650" t="str" s="2">
        <x:v>Message Sent</x:v>
      </x:c>
    </x:row>
    <x:row r="3651">
      <x:c r="A3651" t="str" s="2">
        <x:f>="Lennox Siddon"</x:f>
      </x:c>
      <x:c r="B3651" t="str" s="2">
        <x:v>Heritage Housing of Asheboro</x:v>
      </x:c>
      <x:c r="C3651" t="str" s="2">
        <x:v/>
      </x:c>
      <x:c r="D3651" t="str" s="2">
        <x:v>9802001017</x:v>
      </x:c>
      <x:c r="E3651" t="str" s="2">
        <x:v>lennoxsiddon909@gmail.com</x:v>
      </x:c>
      <x:c r="F3651" t="str" s="2">
        <x:v>Landing_BPM</x:v>
      </x:c>
      <x:c r="G3651" t="str" s="2">
        <x:v>Maria Lopez</x:v>
      </x:c>
      <x:c r="H3651" s="6">
        <x:v>46253.85287476852</x:v>
      </x:c>
      <x:c r="I3651" s="0"/>
      <x:c r="J3651" s="0"/>
      <x:c r="K3651" s="6">
        <x:v>46259</x:v>
      </x:c>
      <x:c r="L3651" t="str" s="2">
        <x:v>Message Sent</x:v>
      </x:c>
    </x:row>
    <x:row r="3652">
      <x:c r="A3652" t="str" s="2">
        <x:f>="Marie Reynolds"</x:f>
      </x:c>
      <x:c r="B3652" t="str" s="2">
        <x:v>Heritage Housing of Tulsa</x:v>
      </x:c>
      <x:c r="C3652" t="str" s="2">
        <x:v/>
      </x:c>
      <x:c r="D3652" t="str" s="2">
        <x:v>5395778368</x:v>
      </x:c>
      <x:c r="E3652" t="str" s="2">
        <x:v>mreyn105@gmail.com</x:v>
      </x:c>
      <x:c r="F3652" t="str" s="2">
        <x:v>Financing Form</x:v>
      </x:c>
      <x:c r="G3652" t="str" s="2">
        <x:v>Jenna Fransisco</x:v>
      </x:c>
      <x:c r="H3652" s="6">
        <x:v>46253.932668981484</x:v>
      </x:c>
      <x:c r="I3652" s="0"/>
      <x:c r="J3652" s="0"/>
      <x:c r="K3652" s="6">
        <x:v>46254</x:v>
      </x:c>
      <x:c r="L3652" t="str" s="2">
        <x:v>Message Sent</x:v>
      </x:c>
    </x:row>
    <x:row r="3653">
      <x:c r="A3653" t="str" s="2">
        <x:f>="Angel Lail"</x:f>
      </x:c>
      <x:c r="B3653" t="str" s="2">
        <x:v>Heritage Housing of Oklahoma City</x:v>
      </x:c>
      <x:c r="C3653" t="str" s="2">
        <x:v>0/2</x:v>
      </x:c>
      <x:c r="D3653" t="str" s="2">
        <x:v>4054328418</x:v>
      </x:c>
      <x:c r="E3653" t="str" s="2">
        <x:v>lail844@gmail.com</x:v>
      </x:c>
      <x:c r="F3653" t="str" s="2">
        <x:v>Landing_BPM</x:v>
      </x:c>
      <x:c r="G3653" t="str" s="2">
        <x:v>Steve Castell</x:v>
      </x:c>
      <x:c r="H3653" s="6">
        <x:v>46253.934387152774</x:v>
      </x:c>
      <x:c r="I3653" s="0"/>
      <x:c r="J3653" s="0"/>
      <x:c r="K3653" s="6">
        <x:v>46254</x:v>
      </x:c>
      <x:c r="L3653" t="str" s="2">
        <x:v>Message Sent</x:v>
      </x:c>
    </x:row>
    <x:row r="3654">
      <x:c r="A3654" t="str" s="2">
        <x:f>="MIRANDA ROBERTSON"</x:f>
      </x:c>
      <x:c r="B3654" t="str" s="2">
        <x:v>Heritage Housing of Oklahoma City</x:v>
      </x:c>
      <x:c r="C3654" t="str" s="2">
        <x:v>0/2</x:v>
      </x:c>
      <x:c r="D3654" t="str" s="2">
        <x:v>4058819450</x:v>
      </x:c>
      <x:c r="E3654" t="str" s="2">
        <x:v>Vailofcharon@gmail.com</x:v>
      </x:c>
      <x:c r="F3654" t="str" s="2">
        <x:v>Landing_BPM</x:v>
      </x:c>
      <x:c r="G3654" t="str" s="2">
        <x:v>Steve Castell</x:v>
      </x:c>
      <x:c r="H3654" s="6">
        <x:v>46253.94272337963</x:v>
      </x:c>
      <x:c r="I3654" s="0"/>
      <x:c r="J3654" s="0"/>
      <x:c r="K3654" s="6">
        <x:v>46254</x:v>
      </x:c>
      <x:c r="L3654" t="str" s="2">
        <x:v>Message Sent</x:v>
      </x:c>
    </x:row>
    <x:row r="3655">
      <x:c r="A3655" t="str" s="2">
        <x:f>="Tyanna Staples"</x:f>
      </x:c>
      <x:c r="B3655" t="str" s="2">
        <x:v>Heritage Housing of Albany</x:v>
      </x:c>
      <x:c r="C3655" t="str" s="2">
        <x:v>0/3</x:v>
      </x:c>
      <x:c r="D3655" t="str" s="2">
        <x:v>3345963598</x:v>
      </x:c>
      <x:c r="E3655" t="str" s="2">
        <x:v>tyannastaples13@icloud.com</x:v>
      </x:c>
      <x:c r="F3655" t="str" s="2">
        <x:v>Financing Form</x:v>
      </x:c>
      <x:c r="G3655" t="str" s="2">
        <x:v>Yanet Alvarez</x:v>
      </x:c>
      <x:c r="H3655" s="6">
        <x:v>46253.975307291665</x:v>
      </x:c>
      <x:c r="I3655" s="0"/>
      <x:c r="J3655" s="0"/>
      <x:c r="K3655" s="6">
        <x:v>46307</x:v>
      </x:c>
      <x:c r="L3655" t="str" s="2">
        <x:v>Message Sent</x:v>
      </x:c>
    </x:row>
    <x:row r="3656">
      <x:c r="A3656" t="str" s="2">
        <x:f>="Vanny Fite"</x:f>
      </x:c>
      <x:c r="B3656" t="str" s="2">
        <x:v>Heritage Housing of Asheboro</x:v>
      </x:c>
      <x:c r="C3656" t="str" s="2">
        <x:v/>
      </x:c>
      <x:c r="D3656" t="str" s="2">
        <x:v>7047139915</x:v>
      </x:c>
      <x:c r="E3656" t="str" s="2">
        <x:v>vfite82@gmail.com</x:v>
      </x:c>
      <x:c r="F3656" t="str" s="2">
        <x:v>Landing_BPM</x:v>
      </x:c>
      <x:c r="G3656" t="str" s="2">
        <x:v>Maria Lopez</x:v>
      </x:c>
      <x:c r="H3656" s="6">
        <x:v>46253.98070324074</x:v>
      </x:c>
      <x:c r="I3656" s="0"/>
      <x:c r="J3656" s="0"/>
      <x:c r="K3656" s="6">
        <x:v>46259</x:v>
      </x:c>
      <x:c r="L3656" t="str" s="2">
        <x:v>Message Sent</x:v>
      </x:c>
    </x:row>
    <x:row r="3657">
      <x:c r="A3657" t="str" s="2">
        <x:f>="Wesley Hipp"</x:f>
      </x:c>
      <x:c r="B3657" t="str" s="2">
        <x:v>Heritage Housing of Tulsa</x:v>
      </x:c>
      <x:c r="C3657" t="str" s="2">
        <x:v/>
      </x:c>
      <x:c r="D3657" t="str" s="2">
        <x:v>5399106316</x:v>
      </x:c>
      <x:c r="E3657" t="str" s="2">
        <x:v>wesleylhipp@gmail.com</x:v>
      </x:c>
      <x:c r="F3657" t="str" s="2">
        <x:v>Landing_BPM</x:v>
      </x:c>
      <x:c r="G3657" t="str" s="2">
        <x:v>Jenna Fransisco</x:v>
      </x:c>
      <x:c r="H3657" s="6">
        <x:v>46254.01303252315</x:v>
      </x:c>
      <x:c r="I3657" s="0"/>
      <x:c r="J3657" s="0"/>
      <x:c r="K3657" s="6">
        <x:v>46261</x:v>
      </x:c>
      <x:c r="L3657" t="str" s="2">
        <x:v>Message Sent</x:v>
      </x:c>
    </x:row>
    <x:row r="3658">
      <x:c r="A3658" t="str" s="2">
        <x:f>=HYPERLINK("https://rsms.futurehomex.com/lead/40356", "Wendy Colon")</x:f>
      </x:c>
      <x:c r="B3658" t="str" s="2">
        <x:v>Heritage Housing Gainesville</x:v>
      </x:c>
      <x:c r="C3658" t="str" s="2">
        <x:v/>
      </x:c>
      <x:c r="D3658" t="str" s="2">
        <x:v>2144168584</x:v>
      </x:c>
      <x:c r="E3658" t="str" s="2">
        <x:v>wcolond7@gmail.com</x:v>
      </x:c>
      <x:c r="F3658" t="str" s="2">
        <x:v>Landing_BPM</x:v>
      </x:c>
      <x:c r="G3658" t="str" s="2">
        <x:v>Jeniffer Arellano</x:v>
      </x:c>
      <x:c r="H3658" s="6">
        <x:v>46254.04878298611</x:v>
      </x:c>
      <x:c r="I3658" t="str" s="2">
        <x:v>Kelly Ford</x:v>
      </x:c>
      <x:c r="J3658" s="6">
        <x:v>46290.625</x:v>
      </x:c>
      <x:c r="K3658" s="6">
        <x:v>46290</x:v>
      </x:c>
      <x:c r="L3658" t="str" s="2">
        <x:v>Message Sent</x:v>
      </x:c>
    </x:row>
    <x:row r="3659">
      <x:c r="A3659" t="str" s="2">
        <x:f>="Dishia Porter"</x:f>
      </x:c>
      <x:c r="B3659" t="str" s="2">
        <x:v>Legacy Housing Corp. DBA Americasa</x:v>
      </x:c>
      <x:c r="C3659" t="str" s="2">
        <x:v/>
      </x:c>
      <x:c r="D3659" t="str" s="2">
        <x:v>3467921605</x:v>
      </x:c>
      <x:c r="E3659" t="str" s="2">
        <x:v>dishiaporter.dp@yahoo.com</x:v>
      </x:c>
      <x:c r="F3659" t="str" s="2">
        <x:v>Landing_BPM</x:v>
      </x:c>
      <x:c r="G3659" t="str" s="2">
        <x:v>Jose Parada</x:v>
      </x:c>
      <x:c r="H3659" s="6">
        <x:v>46254.099374502315</x:v>
      </x:c>
      <x:c r="I3659" s="0"/>
      <x:c r="J3659" s="0"/>
      <x:c r="K3659" s="6">
        <x:v>46296</x:v>
      </x:c>
      <x:c r="L3659" t="str" s="2">
        <x:v>Message Sent</x:v>
      </x:c>
    </x:row>
    <x:row r="3660">
      <x:c r="A3660" t="str" s="2">
        <x:f>="Willie Solomon"</x:f>
      </x:c>
      <x:c r="B3660" t="str" s="2">
        <x:v>Heritage Housing of Augusta</x:v>
      </x:c>
      <x:c r="C3660" t="str" s="2">
        <x:v/>
      </x:c>
      <x:c r="D3660" t="str" s="2">
        <x:v>8035715816</x:v>
      </x:c>
      <x:c r="E3660" t="str" s="2">
        <x:v>williesolomon22403@gmail.com</x:v>
      </x:c>
      <x:c r="F3660" t="str" s="2">
        <x:v>Landing_BPM</x:v>
      </x:c>
      <x:c r="G3660" t="str" s="2">
        <x:v>Faye Lively</x:v>
      </x:c>
      <x:c r="H3660" s="6">
        <x:v>46254.120634375</x:v>
      </x:c>
      <x:c r="I3660" s="0"/>
      <x:c r="J3660" s="0"/>
      <x:c r="K3660" s="6">
        <x:v>46273</x:v>
      </x:c>
      <x:c r="L3660" t="str" s="2">
        <x:v>Message Sent</x:v>
      </x:c>
    </x:row>
    <x:row r="3661">
      <x:c r="A3661" t="str" s="2">
        <x:f>="Tommi Basquez Tommi Basquez"</x:f>
      </x:c>
      <x:c r="B3661" t="str" s="2">
        <x:v>Heritage Housing of Asheboro</x:v>
      </x:c>
      <x:c r="C3661" t="str" s="2">
        <x:v/>
      </x:c>
      <x:c r="D3661" t="str" s="2">
        <x:v>7204228999</x:v>
      </x:c>
      <x:c r="E3661" t="str" s="2">
        <x:v>joannbasquez@me.com</x:v>
      </x:c>
      <x:c r="F3661" t="str" s="2">
        <x:v>Landing_BPM</x:v>
      </x:c>
      <x:c r="G3661" t="str" s="2">
        <x:v>Maria Lopez</x:v>
      </x:c>
      <x:c r="H3661" s="6">
        <x:v>46254.167749803244</x:v>
      </x:c>
      <x:c r="I3661" s="0"/>
      <x:c r="J3661" s="0"/>
      <x:c r="K3661" s="6">
        <x:v>46259</x:v>
      </x:c>
      <x:c r="L3661" t="str" s="2">
        <x:v>Message Sent</x:v>
      </x:c>
    </x:row>
    <x:row r="3662">
      <x:c r="A3662" t="str" s="2">
        <x:f>="Taylar Prince"</x:f>
      </x:c>
      <x:c r="B3662" t="str" s="2">
        <x:v>Legacy Housing Corp. DBA Americasa</x:v>
      </x:c>
      <x:c r="C3662" t="str" s="2">
        <x:v/>
      </x:c>
      <x:c r="D3662" t="str" s="2">
        <x:v>2142049719</x:v>
      </x:c>
      <x:c r="E3662" t="str" s="2">
        <x:v>teeyahh31@gmail.com</x:v>
      </x:c>
      <x:c r="F3662" t="str" s="2">
        <x:v>Landing_BPM</x:v>
      </x:c>
      <x:c r="G3662" t="str" s="2">
        <x:v>Jose Parada</x:v>
      </x:c>
      <x:c r="H3662" s="6">
        <x:v>46254.16863449074</x:v>
      </x:c>
      <x:c r="I3662" s="0"/>
      <x:c r="J3662" s="0"/>
      <x:c r="K3662" s="6">
        <x:v>46296</x:v>
      </x:c>
      <x:c r="L3662" t="str" s="2">
        <x:v>Message Sent</x:v>
      </x:c>
    </x:row>
    <x:row r="3663">
      <x:c r="A3663" t="str" s="2">
        <x:f>="Candis Mauldin"</x:f>
      </x:c>
      <x:c r="B3663" t="str" s="2">
        <x:v>Heritage Housing of Athens</x:v>
      </x:c>
      <x:c r="C3663" t="str" s="2">
        <x:v/>
      </x:c>
      <x:c r="D3663" t="str" s="2">
        <x:v>8644388758</x:v>
      </x:c>
      <x:c r="E3663" t="str" s="2">
        <x:v>candismauldin77@icloud.com</x:v>
      </x:c>
      <x:c r="F3663" t="str" s="2">
        <x:v>Landing_BPM</x:v>
      </x:c>
      <x:c r="G3663" t="str" s="2">
        <x:v>Nathan Bishop</x:v>
      </x:c>
      <x:c r="H3663" s="6">
        <x:v>46254.26278012731</x:v>
      </x:c>
      <x:c r="I3663" s="0"/>
      <x:c r="J3663" s="0"/>
      <x:c r="K3663" s="6">
        <x:v>46291</x:v>
      </x:c>
      <x:c r="L3663" t="str" s="2">
        <x:v>Message Sent</x:v>
      </x:c>
    </x:row>
    <x:row r="3664">
      <x:c r="A3664" t="str" s="2">
        <x:f>="Thomasina Waterdown"</x:f>
      </x:c>
      <x:c r="B3664" t="str" s="2">
        <x:v>Heritage Housing of Tulsa</x:v>
      </x:c>
      <x:c r="C3664" t="str" s="2">
        <x:v/>
      </x:c>
      <x:c r="D3664" t="str" s="2">
        <x:v>5393508203</x:v>
      </x:c>
      <x:c r="E3664" t="str" s="2">
        <x:v>waterdownthomasina2@gmail.com</x:v>
      </x:c>
      <x:c r="F3664" t="str" s="2">
        <x:v>Financing Form</x:v>
      </x:c>
      <x:c r="G3664" t="str" s="2">
        <x:v>Jenna Fransisco</x:v>
      </x:c>
      <x:c r="H3664" s="6">
        <x:v>46254.26591458333</x:v>
      </x:c>
      <x:c r="I3664" s="0"/>
      <x:c r="J3664" s="0"/>
      <x:c r="K3664" s="6">
        <x:v>46254</x:v>
      </x:c>
      <x:c r="L3664" t="str" s="2">
        <x:v>Message Sent</x:v>
      </x:c>
    </x:row>
    <x:row r="3665">
      <x:c r="A3665" t="str" s="2">
        <x:f>="Jennifer Derrico"</x:f>
      </x:c>
      <x:c r="B3665" t="str" s="2">
        <x:v>Heritage Housing of Augusta</x:v>
      </x:c>
      <x:c r="C3665" t="str" s="2">
        <x:v/>
      </x:c>
      <x:c r="D3665" t="str" s="2">
        <x:v>7069902328</x:v>
      </x:c>
      <x:c r="E3665" t="str" s="2">
        <x:v>jenniferderrico62@gmail.com</x:v>
      </x:c>
      <x:c r="F3665" t="str" s="2">
        <x:v>Landing_BPM</x:v>
      </x:c>
      <x:c r="G3665" t="str" s="2">
        <x:v>Faye Lively</x:v>
      </x:c>
      <x:c r="H3665" s="6">
        <x:v>46254.28120023148</x:v>
      </x:c>
      <x:c r="I3665" s="0"/>
      <x:c r="J3665" s="0"/>
      <x:c r="K3665" s="6">
        <x:v>46274</x:v>
      </x:c>
      <x:c r="L3665" t="str" s="2">
        <x:v>Message Sent</x:v>
      </x:c>
    </x:row>
    <x:row r="3666">
      <x:c r="A3666" t="str" s="2">
        <x:f>=HYPERLINK("https://rsms.futurehomex.com/lead/39272", "Celdrick Griffin")</x:f>
      </x:c>
      <x:c r="B3666" t="str" s="2">
        <x:v>Heritage Housing of Augusta</x:v>
      </x:c>
      <x:c r="C3666" t="str" s="2">
        <x:v/>
      </x:c>
      <x:c r="D3666" t="str" s="2">
        <x:v>7063865812</x:v>
      </x:c>
      <x:c r="E3666" t="str" s="2">
        <x:v>celedrickgriffin16@gmail.com</x:v>
      </x:c>
      <x:c r="F3666" t="str" s="2">
        <x:v>Walk-in</x:v>
      </x:c>
      <x:c r="G3666" t="str" s="2">
        <x:v>Jennifer Johnson</x:v>
      </x:c>
      <x:c r="H3666" s="6">
        <x:v>46254.538718055555</x:v>
      </x:c>
      <x:c r="I3666" t="str" s="2">
        <x:v>Jennifer Johnson</x:v>
      </x:c>
      <x:c r="J3666" s="0"/>
      <x:c r="K3666" s="6">
        <x:v>46281</x:v>
      </x:c>
      <x:c r="L3666" t="str" s="2">
        <x:v>Message Sent</x:v>
      </x:c>
    </x:row>
    <x:row r="3667">
      <x:c r="A3667" t="str" s="2">
        <x:f>="Adaiah Futch"</x:f>
      </x:c>
      <x:c r="B3667" t="str" s="2">
        <x:v>Heritage Housing of Augusta</x:v>
      </x:c>
      <x:c r="C3667" t="str" s="2">
        <x:v/>
      </x:c>
      <x:c r="D3667" t="str" s="2">
        <x:v>9122538319</x:v>
      </x:c>
      <x:c r="E3667" t="str" s="2">
        <x:v>anj8099@yahoo.com</x:v>
      </x:c>
      <x:c r="F3667" t="str" s="2">
        <x:v>Landing_BPM</x:v>
      </x:c>
      <x:c r="G3667" t="str" s="2">
        <x:v>Faye Lively</x:v>
      </x:c>
      <x:c r="H3667" s="6">
        <x:v>46254.57269568287</x:v>
      </x:c>
      <x:c r="I3667" s="0"/>
      <x:c r="J3667" s="0"/>
      <x:c r="K3667" s="6">
        <x:v>46273</x:v>
      </x:c>
      <x:c r="L3667" t="str" s="2">
        <x:v>Message Sent</x:v>
      </x:c>
    </x:row>
    <x:row r="3668">
      <x:c r="A3668" t="str" s="2">
        <x:f>="Jennifer Barnett-Wilson"</x:f>
      </x:c>
      <x:c r="B3668" t="str" s="2">
        <x:v>Legacy Housing Corp. DBA Americasa</x:v>
      </x:c>
      <x:c r="C3668" t="str" s="2">
        <x:v/>
      </x:c>
      <x:c r="D3668" t="str" s="2">
        <x:v>3464179856</x:v>
      </x:c>
      <x:c r="E3668" t="str" s="2">
        <x:v>jenniferbwilson68@gmail.com</x:v>
      </x:c>
      <x:c r="F3668" t="str" s="2">
        <x:v>Landing_BPM</x:v>
      </x:c>
      <x:c r="G3668" t="str" s="2">
        <x:v>Jose Parada</x:v>
      </x:c>
      <x:c r="H3668" s="6">
        <x:v>46254.58271755787</x:v>
      </x:c>
      <x:c r="I3668" s="0"/>
      <x:c r="J3668" s="0"/>
      <x:c r="K3668" s="6">
        <x:v>46296</x:v>
      </x:c>
      <x:c r="L3668" t="str" s="2">
        <x:v>Message Sent</x:v>
      </x:c>
    </x:row>
    <x:row r="3669">
      <x:c r="A3669" t="str" s="2">
        <x:f>="Anthony Johnson"</x:f>
      </x:c>
      <x:c r="B3669" t="str" s="2">
        <x:v>Heritage Housing of Greenville</x:v>
      </x:c>
      <x:c r="C3669" t="str" s="2">
        <x:v/>
      </x:c>
      <x:c r="D3669" t="str" s="2">
        <x:v>7206330531</x:v>
      </x:c>
      <x:c r="E3669" t="str" s="2">
        <x:v>tjohnsonspm@gmail.com</x:v>
      </x:c>
      <x:c r="F3669" t="str" s="2">
        <x:v>Website</x:v>
      </x:c>
      <x:c r="G3669" t="str" s="2">
        <x:v>Brooklynn Allen</x:v>
      </x:c>
      <x:c r="H3669" s="6">
        <x:v>46254.62342438658</x:v>
      </x:c>
      <x:c r="I3669" s="0"/>
      <x:c r="J3669" s="0"/>
      <x:c r="K3669" s="6">
        <x:v>46254</x:v>
      </x:c>
      <x:c r="L3669" t="str" s="2">
        <x:v>Message Sent</x:v>
      </x:c>
    </x:row>
    <x:row r="3670">
      <x:c r="A3670" t="str" s="2">
        <x:f>="Raul Hernandez"</x:f>
      </x:c>
      <x:c r="B3670" t="str" s="2">
        <x:v>Heritage Housing of Canton</x:v>
      </x:c>
      <x:c r="C3670" t="str" s="2">
        <x:v/>
      </x:c>
      <x:c r="D3670" t="str" s="2">
        <x:v>2149853683</x:v>
      </x:c>
      <x:c r="E3670" t="str" s="2">
        <x:v>rhdzpaz@gmail.com</x:v>
      </x:c>
      <x:c r="F3670" t="str" s="2">
        <x:v>Landing_BPM</x:v>
      </x:c>
      <x:c r="G3670" t="str" s="2">
        <x:v>Maira Garcia</x:v>
      </x:c>
      <x:c r="H3670" s="6">
        <x:v>46254.695987534724</x:v>
      </x:c>
      <x:c r="I3670" s="0"/>
      <x:c r="J3670" s="0"/>
      <x:c r="K3670" s="6">
        <x:v>46256</x:v>
      </x:c>
      <x:c r="L3670" t="str" s="2">
        <x:v>Message Sent</x:v>
      </x:c>
    </x:row>
    <x:row r="3671">
      <x:c r="A3671" t="str" s="2">
        <x:f>="Crystal Medel"</x:f>
      </x:c>
      <x:c r="B3671" t="str" s="2">
        <x:v>Legacy Housing Corp. DBA Americasa</x:v>
      </x:c>
      <x:c r="C3671" t="str" s="2">
        <x:v/>
      </x:c>
      <x:c r="D3671" t="str" s="2">
        <x:v>3613886289</x:v>
      </x:c>
      <x:c r="E3671" t="str" s="2">
        <x:v>crystalmedel5@gmail.com</x:v>
      </x:c>
      <x:c r="F3671" t="str" s="2">
        <x:v>Financing Form</x:v>
      </x:c>
      <x:c r="G3671" t="str" s="2">
        <x:v>Jose Parada</x:v>
      </x:c>
      <x:c r="H3671" s="6">
        <x:v>46254.74473961806</x:v>
      </x:c>
      <x:c r="I3671" s="0"/>
      <x:c r="J3671" s="0"/>
      <x:c r="K3671" s="6">
        <x:v>46296</x:v>
      </x:c>
      <x:c r="L3671" t="str" s="2">
        <x:v>Message Sent</x:v>
      </x:c>
    </x:row>
    <x:row r="3672">
      <x:c r="A3672" t="str" s="2">
        <x:f>="George Phillips"</x:f>
      </x:c>
      <x:c r="B3672" t="str" s="2">
        <x:v>Heritage Housing of Albany</x:v>
      </x:c>
      <x:c r="C3672" t="str" s="2">
        <x:v/>
      </x:c>
      <x:c r="D3672" t="str" s="2">
        <x:v>2294567308</x:v>
      </x:c>
      <x:c r="E3672" t="str" s="2">
        <x:v>seeker70513@gmail.com</x:v>
      </x:c>
      <x:c r="F3672" t="str" s="2">
        <x:v>Landing_BPM</x:v>
      </x:c>
      <x:c r="G3672" t="str" s="2">
        <x:v>Yanet Alvarez</x:v>
      </x:c>
      <x:c r="H3672" s="6">
        <x:v>46254.75019348379</x:v>
      </x:c>
      <x:c r="I3672" s="0"/>
      <x:c r="J3672" s="0"/>
      <x:c r="K3672" s="6">
        <x:v>46302</x:v>
      </x:c>
      <x:c r="L3672" t="str" s="2">
        <x:v>Message Sent</x:v>
      </x:c>
    </x:row>
    <x:row r="3673">
      <x:c r="A3673" t="str" s="2">
        <x:f>="Trellis Johnson"</x:f>
      </x:c>
      <x:c r="B3673" t="str" s="2">
        <x:v>Heritage Housing of Albany</x:v>
      </x:c>
      <x:c r="C3673" t="str" s="2">
        <x:v>0/3</x:v>
      </x:c>
      <x:c r="D3673" t="str" s="2">
        <x:v>2294622176</x:v>
      </x:c>
      <x:c r="E3673" t="str" s="2">
        <x:v>TrellisJohnson1967@yahoo.com</x:v>
      </x:c>
      <x:c r="F3673" t="str" s="2">
        <x:v>LandingPage</x:v>
      </x:c>
      <x:c r="G3673" t="str" s="2">
        <x:v>Yanet Alvarez</x:v>
      </x:c>
      <x:c r="H3673" s="6">
        <x:v>46254.75707075231</x:v>
      </x:c>
      <x:c r="I3673" s="0"/>
      <x:c r="J3673" s="0"/>
      <x:c r="K3673" s="6">
        <x:v>46307</x:v>
      </x:c>
      <x:c r="L3673" t="str" s="2">
        <x:v>Message Sent</x:v>
      </x:c>
    </x:row>
    <x:row r="3674">
      <x:c r="A3674" t="str" s="2">
        <x:f>="KAREN MONTOYA"</x:f>
      </x:c>
      <x:c r="B3674" t="str" s="2">
        <x:v>Heritage Housing of Tulsa</x:v>
      </x:c>
      <x:c r="C3674" t="str" s="2">
        <x:v/>
      </x:c>
      <x:c r="D3674" t="str" s="2">
        <x:v>9183489314</x:v>
      </x:c>
      <x:c r="E3674" t="str" s="2">
        <x:v>MONTOYAKAREN3333@GMAIL.COM</x:v>
      </x:c>
      <x:c r="F3674" t="str" s="2">
        <x:v>Landing_BPM</x:v>
      </x:c>
      <x:c r="G3674" t="str" s="2">
        <x:v>Jenna Fransisco</x:v>
      </x:c>
      <x:c r="H3674" s="6">
        <x:v>46254.758903622685</x:v>
      </x:c>
      <x:c r="I3674" s="0"/>
      <x:c r="J3674" s="0"/>
      <x:c r="K3674" s="6">
        <x:v>46261</x:v>
      </x:c>
      <x:c r="L3674" t="str" s="2">
        <x:v>Message Sent</x:v>
      </x:c>
    </x:row>
    <x:row r="3675">
      <x:c r="A3675" t="str" s="2">
        <x:f>="Charles Enterman"</x:f>
      </x:c>
      <x:c r="B3675" t="str" s="2">
        <x:v>Heritage Housing of Tulsa</x:v>
      </x:c>
      <x:c r="C3675" t="str" s="2">
        <x:v/>
      </x:c>
      <x:c r="D3675" t="str" s="2">
        <x:v>3802705409</x:v>
      </x:c>
      <x:c r="E3675" t="str" s="2">
        <x:v>cex2w3@gmail.com</x:v>
      </x:c>
      <x:c r="F3675" t="str" s="2">
        <x:v>Financing Form</x:v>
      </x:c>
      <x:c r="G3675" t="str" s="2">
        <x:v>Jenna Fransisco</x:v>
      </x:c>
      <x:c r="H3675" s="6">
        <x:v>46254.76104641204</x:v>
      </x:c>
      <x:c r="I3675" s="0"/>
      <x:c r="J3675" s="0"/>
      <x:c r="K3675" s="6">
        <x:v>46254</x:v>
      </x:c>
      <x:c r="L3675" t="str" s="2">
        <x:v>Message Sent</x:v>
      </x:c>
    </x:row>
    <x:row r="3676">
      <x:c r="A3676" t="str" s="2">
        <x:f>="Kristie Oliver"</x:f>
      </x:c>
      <x:c r="B3676" t="str" s="2">
        <x:v>Heritage Housing of Asheboro</x:v>
      </x:c>
      <x:c r="C3676" t="str" s="2">
        <x:v/>
      </x:c>
      <x:c r="D3676" t="str" s="2">
        <x:v>8542373170</x:v>
      </x:c>
      <x:c r="E3676" t="str" s="2">
        <x:v>ksoliver81@gmail.com</x:v>
      </x:c>
      <x:c r="F3676" t="str" s="2">
        <x:v>Landing_BPM</x:v>
      </x:c>
      <x:c r="G3676" t="str" s="2">
        <x:v>Maria Lopez</x:v>
      </x:c>
      <x:c r="H3676" s="6">
        <x:v>46254.7810178588</x:v>
      </x:c>
      <x:c r="I3676" s="0"/>
      <x:c r="J3676" s="0"/>
      <x:c r="K3676" s="6">
        <x:v>46255</x:v>
      </x:c>
      <x:c r="L3676" t="str" s="2">
        <x:v>Message Sent</x:v>
      </x:c>
    </x:row>
    <x:row r="3677">
      <x:c r="A3677" t="str" s="2">
        <x:f>="Tami Moore"</x:f>
      </x:c>
      <x:c r="B3677" t="str" s="2">
        <x:v>Heritage Housing of Greenville</x:v>
      </x:c>
      <x:c r="C3677" t="str" s="2">
        <x:v/>
      </x:c>
      <x:c r="D3677" t="str" s="2">
        <x:v>4302353360</x:v>
      </x:c>
      <x:c r="E3677" t="str" s="2">
        <x:v>tamimoore176@gmail.com</x:v>
      </x:c>
      <x:c r="F3677" t="str" s="2">
        <x:v>Landing_BPM</x:v>
      </x:c>
      <x:c r="G3677" t="str" s="2">
        <x:v>Brooklynn Allen</x:v>
      </x:c>
      <x:c r="H3677" s="6">
        <x:v>46254.80522137731</x:v>
      </x:c>
      <x:c r="I3677" s="0"/>
      <x:c r="J3677" s="0"/>
      <x:c r="K3677" s="6">
        <x:v>46267</x:v>
      </x:c>
      <x:c r="L3677" t="str" s="2">
        <x:v>Message Sent</x:v>
      </x:c>
    </x:row>
    <x:row r="3678">
      <x:c r="A3678" t="str" s="2">
        <x:f>="Maria Sanchez"</x:f>
      </x:c>
      <x:c r="B3678" t="str" s="2">
        <x:v>Heritage Housing Mt Pleasant</x:v>
      </x:c>
      <x:c r="C3678" t="str" s="2">
        <x:v/>
      </x:c>
      <x:c r="D3678" t="str" s="2">
        <x:v>9032357929</x:v>
      </x:c>
      <x:c r="E3678" t="str" s="2">
        <x:v>9032357929</x:v>
      </x:c>
      <x:c r="F3678" t="str" s="2">
        <x:v>Other</x:v>
      </x:c>
      <x:c r="G3678" t="str" s="2">
        <x:v>Sandra Saldana</x:v>
      </x:c>
      <x:c r="H3678" s="6">
        <x:v>46254.846222106484</x:v>
      </x:c>
      <x:c r="I3678" s="0"/>
      <x:c r="J3678" s="6">
        <x:v>46254.375</x:v>
      </x:c>
      <x:c r="K3678" s="6">
        <x:v>46301</x:v>
      </x:c>
      <x:c r="L3678" t="str" s="2">
        <x:v>Message Sent</x:v>
      </x:c>
    </x:row>
    <x:row r="3679">
      <x:c r="A3679" t="str" s="2">
        <x:f>=HYPERLINK("https://rsms.futurehomex.com/lead/39290", "Antonio Gonzalez")</x:f>
      </x:c>
      <x:c r="B3679" t="str" s="2">
        <x:v>Legacy Housing Corp. DBA Americasa</x:v>
      </x:c>
      <x:c r="C3679" t="str" s="2">
        <x:v/>
      </x:c>
      <x:c r="D3679" t="str" s="2">
        <x:v>8322459796</x:v>
      </x:c>
      <x:c r="E3679" t="str" s="2">
        <x:v>8322459796</x:v>
      </x:c>
      <x:c r="F3679" t="str" s="2">
        <x:v>TikTok</x:v>
      </x:c>
      <x:c r="G3679" t="str" s="2">
        <x:v>Rodrigo Ramirez</x:v>
      </x:c>
      <x:c r="H3679" s="6">
        <x:v>46254.94812453703</x:v>
      </x:c>
      <x:c r="I3679" t="str" s="2">
        <x:v>Jose Parada</x:v>
      </x:c>
      <x:c r="J3679" s="0"/>
      <x:c r="K3679" s="6">
        <x:v>46307</x:v>
      </x:c>
      <x:c r="L3679" t="str" s="2">
        <x:v>Message Sent</x:v>
      </x:c>
    </x:row>
    <x:row r="3680">
      <x:c r="A3680" t="str" s="2">
        <x:f>="tania oseguera"</x:f>
      </x:c>
      <x:c r="B3680" t="str" s="2">
        <x:v>Heritage Housing of Augusta</x:v>
      </x:c>
      <x:c r="C3680" t="str" s="2">
        <x:v/>
      </x:c>
      <x:c r="D3680" t="str" s="2">
        <x:v>7068183489</x:v>
      </x:c>
      <x:c r="E3680" t="str" s="2">
        <x:v>tania.om@icloud.com</x:v>
      </x:c>
      <x:c r="F3680" t="str" s="2">
        <x:v>Landing_BPM</x:v>
      </x:c>
      <x:c r="G3680" t="str" s="2">
        <x:v>Faye Lively</x:v>
      </x:c>
      <x:c r="H3680" s="6">
        <x:v>46254.98505582176</x:v>
      </x:c>
      <x:c r="I3680" s="0"/>
      <x:c r="J3680" s="0"/>
      <x:c r="K3680" s="6">
        <x:v>46274</x:v>
      </x:c>
      <x:c r="L3680" t="str" s="2">
        <x:v>Message Sent</x:v>
      </x:c>
    </x:row>
    <x:row r="3681">
      <x:c r="A3681" t="str" s="2">
        <x:f>="Erin Stone"</x:f>
      </x:c>
      <x:c r="B3681" t="str" s="2">
        <x:v>Heritage Housing of Augusta</x:v>
      </x:c>
      <x:c r="C3681" t="str" s="2">
        <x:v/>
      </x:c>
      <x:c r="D3681" t="str" s="2">
        <x:v>8032069379</x:v>
      </x:c>
      <x:c r="E3681" t="str" s="2">
        <x:v>erin281121@yahoo.com</x:v>
      </x:c>
      <x:c r="F3681" t="str" s="2">
        <x:v>Landing_BPM</x:v>
      </x:c>
      <x:c r="G3681" t="str" s="2">
        <x:v>Faye Lively</x:v>
      </x:c>
      <x:c r="H3681" s="6">
        <x:v>46255.03602295139</x:v>
      </x:c>
      <x:c r="I3681" s="0"/>
      <x:c r="J3681" s="0"/>
      <x:c r="K3681" s="6">
        <x:v>46274</x:v>
      </x:c>
      <x:c r="L3681" t="str" s="2">
        <x:v>Message Sent</x:v>
      </x:c>
    </x:row>
    <x:row r="3682">
      <x:c r="A3682" t="str" s="2">
        <x:f>="Shaley Scallorn"</x:f>
      </x:c>
      <x:c r="B3682" t="str" s="2">
        <x:v>Heritage Housing of Tulsa</x:v>
      </x:c>
      <x:c r="C3682" t="str" s="2">
        <x:v/>
      </x:c>
      <x:c r="D3682" t="str" s="2">
        <x:v>9188687468</x:v>
      </x:c>
      <x:c r="E3682" t="str" s="2">
        <x:v>shaleyrenee2898@gmail.com</x:v>
      </x:c>
      <x:c r="F3682" t="str" s="2">
        <x:v>Google Ads</x:v>
      </x:c>
      <x:c r="G3682" t="str" s="2">
        <x:v>Jenna Fransisco</x:v>
      </x:c>
      <x:c r="H3682" s="6">
        <x:v>46255.04249467592</x:v>
      </x:c>
      <x:c r="I3682" s="0"/>
      <x:c r="J3682" s="0"/>
      <x:c r="K3682" s="6">
        <x:v>46259</x:v>
      </x:c>
      <x:c r="L3682" t="str" s="2">
        <x:v>Message Sent</x:v>
      </x:c>
    </x:row>
    <x:row r="3683">
      <x:c r="A3683" t="str" s="2">
        <x:f>="Alwin Jones"</x:f>
      </x:c>
      <x:c r="B3683" t="str" s="2">
        <x:v>Heritage Housing of Augusta</x:v>
      </x:c>
      <x:c r="C3683" t="str" s="2">
        <x:v/>
      </x:c>
      <x:c r="D3683" t="str" s="2">
        <x:v>8038778506</x:v>
      </x:c>
      <x:c r="E3683" t="str" s="2">
        <x:v>aljones2024@yahoo.com</x:v>
      </x:c>
      <x:c r="F3683" t="str" s="2">
        <x:v>Landing_BPM</x:v>
      </x:c>
      <x:c r="G3683" t="str" s="2">
        <x:v>Faye Lively</x:v>
      </x:c>
      <x:c r="H3683" s="6">
        <x:v>46255.0473940625</x:v>
      </x:c>
      <x:c r="I3683" s="0"/>
      <x:c r="J3683" s="0"/>
      <x:c r="K3683" s="6">
        <x:v>46273</x:v>
      </x:c>
      <x:c r="L3683" t="str" s="2">
        <x:v>Message Sent</x:v>
      </x:c>
    </x:row>
    <x:row r="3684">
      <x:c r="A3684" t="str" s="2">
        <x:f>="Robert Curry"</x:f>
      </x:c>
      <x:c r="B3684" t="str" s="2">
        <x:v>Heritage Housing of Augusta</x:v>
      </x:c>
      <x:c r="C3684" t="str" s="2">
        <x:v/>
      </x:c>
      <x:c r="D3684" t="str" s="2">
        <x:v>7068251666</x:v>
      </x:c>
      <x:c r="E3684" t="str" s="2">
        <x:v>mrhelper57@gmail.com</x:v>
      </x:c>
      <x:c r="F3684" t="str" s="2">
        <x:v>Landing_BPM</x:v>
      </x:c>
      <x:c r="G3684" t="str" s="2">
        <x:v>Faye Lively</x:v>
      </x:c>
      <x:c r="H3684" s="6">
        <x:v>46255.08000570602</x:v>
      </x:c>
      <x:c r="I3684" s="0"/>
      <x:c r="J3684" s="0"/>
      <x:c r="K3684" s="6">
        <x:v>46274</x:v>
      </x:c>
      <x:c r="L3684" t="str" s="2">
        <x:v>Message Sent</x:v>
      </x:c>
    </x:row>
    <x:row r="3685">
      <x:c r="A3685" t="str" s="2">
        <x:f>="Deiadre Hickenbottom"</x:f>
      </x:c>
      <x:c r="B3685" t="str" s="2">
        <x:v>Heritage Housing of Tulsa</x:v>
      </x:c>
      <x:c r="C3685" t="str" s="2">
        <x:v/>
      </x:c>
      <x:c r="D3685" t="str" s="2">
        <x:v>9707291623</x:v>
      </x:c>
      <x:c r="E3685" t="str" s="2">
        <x:v>Deiadreaheer@gmail.com</x:v>
      </x:c>
      <x:c r="F3685" t="str" s="2">
        <x:v>Landing_BPM</x:v>
      </x:c>
      <x:c r="G3685" t="str" s="2">
        <x:v>Jenna Fransisco</x:v>
      </x:c>
      <x:c r="H3685" s="6">
        <x:v>46255.087160219904</x:v>
      </x:c>
      <x:c r="I3685" s="0"/>
      <x:c r="J3685" s="0"/>
      <x:c r="K3685" s="6">
        <x:v>46259</x:v>
      </x:c>
      <x:c r="L3685" t="str" s="2">
        <x:v>Message Sent</x:v>
      </x:c>
    </x:row>
    <x:row r="3686">
      <x:c r="A3686" t="str" s="2">
        <x:f>="Alexis Novoa"</x:f>
      </x:c>
      <x:c r="B3686" t="str" s="2">
        <x:v>Heritage Housing of Jennings</x:v>
      </x:c>
      <x:c r="C3686" t="str" s="2">
        <x:v/>
      </x:c>
      <x:c r="D3686" t="str" s="2">
        <x:v>5046459722</x:v>
      </x:c>
      <x:c r="E3686" t="str" s="2">
        <x:v>rdgz8815@gmail.com</x:v>
      </x:c>
      <x:c r="F3686" t="str" s="2">
        <x:v>Landing_BPM</x:v>
      </x:c>
      <x:c r="G3686" t="str" s="2">
        <x:v>Clint O'Neal</x:v>
      </x:c>
      <x:c r="H3686" s="6">
        <x:v>46255.140410451386</x:v>
      </x:c>
      <x:c r="I3686" s="0"/>
      <x:c r="J3686" s="0"/>
      <x:c r="K3686" s="6">
        <x:v>46302.68635582176</x:v>
      </x:c>
      <x:c r="L3686" t="str" s="2">
        <x:v>Message Sent</x:v>
      </x:c>
    </x:row>
    <x:row r="3687">
      <x:c r="A3687" t="str" s="2">
        <x:f>="Louis Lopez"</x:f>
      </x:c>
      <x:c r="B3687" t="str" s="2">
        <x:v>Heritage Housing Marble Falls</x:v>
      </x:c>
      <x:c r="C3687" t="str" s="2">
        <x:v/>
      </x:c>
      <x:c r="D3687" t="str" s="2">
        <x:v>2103070418</x:v>
      </x:c>
      <x:c r="E3687" t="str" s="2">
        <x:v>loutab1764@gmail.com</x:v>
      </x:c>
      <x:c r="F3687" t="str" s="2">
        <x:v>Landing_BPM</x:v>
      </x:c>
      <x:c r="G3687" t="str" s="2">
        <x:v>Stephen Sanders</x:v>
      </x:c>
      <x:c r="H3687" s="6">
        <x:v>46255.40377052083</x:v>
      </x:c>
      <x:c r="I3687" s="0"/>
      <x:c r="J3687" s="0"/>
      <x:c r="K3687" s="6">
        <x:v>46274</x:v>
      </x:c>
      <x:c r="L3687" t="str" s="2">
        <x:v>Message Sent</x:v>
      </x:c>
    </x:row>
    <x:row r="3688">
      <x:c r="A3688" t="str" s="2">
        <x:f>="Cory Chancler"</x:f>
      </x:c>
      <x:c r="B3688" t="str" s="2">
        <x:v>Heritage Housing of Greenville</x:v>
      </x:c>
      <x:c r="C3688" t="str" s="2">
        <x:v>0/2</x:v>
      </x:c>
      <x:c r="D3688" t="str" s="2">
        <x:v>9034958136</x:v>
      </x:c>
      <x:c r="E3688" t="str" s="2">
        <x:v>corychancler1@yahoo.com</x:v>
      </x:c>
      <x:c r="F3688" t="str" s="2">
        <x:v>Financing Form</x:v>
      </x:c>
      <x:c r="G3688" t="str" s="2">
        <x:v>Greg Christman</x:v>
      </x:c>
      <x:c r="H3688" s="6">
        <x:v>46255.440040625</x:v>
      </x:c>
      <x:c r="I3688" s="0"/>
      <x:c r="J3688" s="0"/>
      <x:c r="K3688" s="6">
        <x:v>46259</x:v>
      </x:c>
      <x:c r="L3688" t="str" s="2">
        <x:v>Message Sent</x:v>
      </x:c>
    </x:row>
    <x:row r="3689">
      <x:c r="A3689" t="str" s="2">
        <x:f>="Jasonbiz JasonbizTN"</x:f>
      </x:c>
      <x:c r="B3689" t="str" s="2">
        <x:v>Heritage Housing of Greenville</x:v>
      </x:c>
      <x:c r="C3689" t="str" s="2">
        <x:v/>
      </x:c>
      <x:c r="D3689" t="str" s="2">
        <x:v>87741715221</x:v>
      </x:c>
      <x:c r="E3689" t="str" s="2">
        <x:v>xaarggc@uiqtnpp.lpc</x:v>
      </x:c>
      <x:c r="F3689" t="str" s="2">
        <x:v>Website</x:v>
      </x:c>
      <x:c r="G3689" t="str" s="2">
        <x:v>Brooklynn Allen</x:v>
      </x:c>
      <x:c r="H3689" s="6">
        <x:v>46255.61353819445</x:v>
      </x:c>
      <x:c r="I3689" s="0"/>
      <x:c r="J3689" s="0"/>
      <x:c r="K3689" s="6">
        <x:v>46255</x:v>
      </x:c>
      <x:c r="L3689" t="str" s="2">
        <x:v>Message Sent</x:v>
      </x:c>
    </x:row>
    <x:row r="3690">
      <x:c r="A3690" t="str" s="2">
        <x:f>="Tina Philhower"</x:f>
      </x:c>
      <x:c r="B3690" t="str" s="2">
        <x:v>Heritage Housing of Athens</x:v>
      </x:c>
      <x:c r="C3690" t="str" s="2">
        <x:v>1/1</x:v>
      </x:c>
      <x:c r="D3690" t="str" s="2">
        <x:v>7279661864</x:v>
      </x:c>
      <x:c r="E3690" t="str" s="2">
        <x:v>philhowertina6@gmail.com</x:v>
      </x:c>
      <x:c r="F3690" t="str" s="2">
        <x:v>Landing_BPM</x:v>
      </x:c>
      <x:c r="G3690" t="str" s="2">
        <x:v>Nathan Bishop</x:v>
      </x:c>
      <x:c r="H3690" s="6">
        <x:v>46255.74632978009</x:v>
      </x:c>
      <x:c r="I3690" s="0"/>
      <x:c r="J3690" s="0"/>
      <x:c r="K3690" s="6">
        <x:v>46307.87356215278</x:v>
      </x:c>
      <x:c r="L3690" t="str" s="2">
        <x:v>Message Sent</x:v>
      </x:c>
    </x:row>
    <x:row r="3691">
      <x:c r="A3691" t="str" s="2">
        <x:f>="noah lindsey"</x:f>
      </x:c>
      <x:c r="B3691" t="str" s="2">
        <x:v>Heritage Housing of Asheboro</x:v>
      </x:c>
      <x:c r="C3691" t="str" s="2">
        <x:v/>
      </x:c>
      <x:c r="D3691" t="str" s="2">
        <x:v>2522270685</x:v>
      </x:c>
      <x:c r="E3691" t="str" s="2">
        <x:v>lindseynoah2777@gmail.com</x:v>
      </x:c>
      <x:c r="F3691" t="str" s="2">
        <x:v>Website</x:v>
      </x:c>
      <x:c r="G3691" t="str" s="2">
        <x:v>Maria Lopez</x:v>
      </x:c>
      <x:c r="H3691" s="6">
        <x:v>46255.77815532407</x:v>
      </x:c>
      <x:c r="I3691" s="0"/>
      <x:c r="J3691" s="0"/>
      <x:c r="K3691" s="6">
        <x:v>46262</x:v>
      </x:c>
      <x:c r="L3691" t="str" s="2">
        <x:v>Message Sent</x:v>
      </x:c>
    </x:row>
    <x:row r="3692">
      <x:c r="A3692" t="str" s="2">
        <x:f>=HYPERLINK("https://rsms.futurehomex.com/lead/39298", "Rokiesha Brawner")</x:f>
      </x:c>
      <x:c r="B3692" t="str" s="2">
        <x:v>Heritage Housing of Augusta</x:v>
      </x:c>
      <x:c r="C3692" t="str" s="2">
        <x:v/>
      </x:c>
      <x:c r="D3692" t="str" s="2">
        <x:v>7062488950</x:v>
      </x:c>
      <x:c r="E3692" t="str" s="2">
        <x:v>rokieshiabrawner@yahoo.com</x:v>
      </x:c>
      <x:c r="F3692" t="str" s="2">
        <x:v>Walk-in</x:v>
      </x:c>
      <x:c r="G3692" t="str" s="2">
        <x:v>Jennifer Johnson</x:v>
      </x:c>
      <x:c r="H3692" s="6">
        <x:v>46255.794116550926</x:v>
      </x:c>
      <x:c r="I3692" t="str" s="2">
        <x:v>Jennifer Johnson</x:v>
      </x:c>
      <x:c r="J3692" s="0"/>
      <x:c r="K3692" s="6">
        <x:v>46281</x:v>
      </x:c>
      <x:c r="L3692" t="str" s="2">
        <x:v>Message Sent</x:v>
      </x:c>
    </x:row>
    <x:row r="3693">
      <x:c r="A3693" t="str" s="2">
        <x:f>="Brandon Whitaker"</x:f>
      </x:c>
      <x:c r="B3693" t="str" s="2">
        <x:v>Heritage Housing of Athens</x:v>
      </x:c>
      <x:c r="C3693" t="str" s="2">
        <x:v/>
      </x:c>
      <x:c r="D3693" t="str" s="2">
        <x:v>6786342053</x:v>
      </x:c>
      <x:c r="E3693" t="str" s="2">
        <x:v>brandon.whitaker@comcast.net</x:v>
      </x:c>
      <x:c r="F3693" t="str" s="2">
        <x:v>Landing_BPM</x:v>
      </x:c>
      <x:c r="G3693" t="str" s="2">
        <x:v>Nathan Bishop</x:v>
      </x:c>
      <x:c r="H3693" s="6">
        <x:v>46255.808132638886</x:v>
      </x:c>
      <x:c r="I3693" s="0"/>
      <x:c r="J3693" s="0"/>
      <x:c r="K3693" s="6">
        <x:v>46283</x:v>
      </x:c>
      <x:c r="L3693" t="str" s="2">
        <x:v>Message Sent</x:v>
      </x:c>
    </x:row>
    <x:row r="3694">
      <x:c r="A3694" t="str" s="2">
        <x:f>=HYPERLINK("https://rsms.futurehomex.com/lead/39301", "Casey Daniels")</x:f>
      </x:c>
      <x:c r="B3694" t="str" s="2">
        <x:v>Heritage Housing Gainesville</x:v>
      </x:c>
      <x:c r="C3694" t="str" s="2">
        <x:v/>
      </x:c>
      <x:c r="D3694" t="str" s="2">
        <x:v>8128411307</x:v>
      </x:c>
      <x:c r="E3694" t="str" s="2">
        <x:v>momwbrats@aim.com</x:v>
      </x:c>
      <x:c r="F3694" t="str" s="2">
        <x:v>Walk-in</x:v>
      </x:c>
      <x:c r="G3694" t="str" s="2">
        <x:v>Jeniffer Arellano</x:v>
      </x:c>
      <x:c r="H3694" s="6">
        <x:v>46255.851882256946</x:v>
      </x:c>
      <x:c r="I3694" t="str" s="2">
        <x:v>Kelly Ford</x:v>
      </x:c>
      <x:c r="J3694" s="0"/>
      <x:c r="K3694" s="6">
        <x:v>46261</x:v>
      </x:c>
      <x:c r="L3694" t="str" s="2">
        <x:v>Message Sent</x:v>
      </x:c>
    </x:row>
    <x:row r="3695">
      <x:c r="A3695" t="str" s="2">
        <x:f>="chatron mckune"</x:f>
      </x:c>
      <x:c r="B3695" t="str" s="2">
        <x:v>Heritage Housing of Augusta</x:v>
      </x:c>
      <x:c r="C3695" t="str" s="2">
        <x:v/>
      </x:c>
      <x:c r="D3695" t="str" s="2">
        <x:v>8392057231</x:v>
      </x:c>
      <x:c r="E3695" t="str" s="2">
        <x:v>tronwicc300@gmail.com</x:v>
      </x:c>
      <x:c r="F3695" t="str" s="2">
        <x:v>Landing_BPM</x:v>
      </x:c>
      <x:c r="G3695" t="str" s="2">
        <x:v>Faye Lively</x:v>
      </x:c>
      <x:c r="H3695" s="6">
        <x:v>46255.925814849536</x:v>
      </x:c>
      <x:c r="I3695" s="0"/>
      <x:c r="J3695" s="0"/>
      <x:c r="K3695" s="6">
        <x:v>46269</x:v>
      </x:c>
      <x:c r="L3695" t="str" s="2">
        <x:v>Message Sent</x:v>
      </x:c>
    </x:row>
    <x:row r="3696">
      <x:c r="A3696" t="str" s="2">
        <x:f>="Michelle Flores"</x:f>
      </x:c>
      <x:c r="B3696" t="str" s="2">
        <x:v>Legacy Housing Corp. DBA Americasa</x:v>
      </x:c>
      <x:c r="C3696" t="str" s="2">
        <x:v/>
      </x:c>
      <x:c r="D3696" t="str" s="2">
        <x:v>9315806980</x:v>
      </x:c>
      <x:c r="E3696" t="str" s="2">
        <x:v>mflores39557@gmail.com</x:v>
      </x:c>
      <x:c r="F3696" t="str" s="2">
        <x:v>Landing_BPM</x:v>
      </x:c>
      <x:c r="G3696" t="str" s="2">
        <x:v>Rodrigo Ramirez</x:v>
      </x:c>
      <x:c r="H3696" s="6">
        <x:v>46255.932149224536</x:v>
      </x:c>
      <x:c r="I3696" s="0"/>
      <x:c r="J3696" s="0"/>
      <x:c r="K3696" s="6">
        <x:v>46296</x:v>
      </x:c>
      <x:c r="L3696" t="str" s="2">
        <x:v>Message Sent</x:v>
      </x:c>
    </x:row>
    <x:row r="3697">
      <x:c r="A3697" t="str" s="2">
        <x:f>="Roger Allen"</x:f>
      </x:c>
      <x:c r="B3697" t="str" s="2">
        <x:v>Legacy Housing Corp. DBA Americasa</x:v>
      </x:c>
      <x:c r="C3697" t="str" s="2">
        <x:v/>
      </x:c>
      <x:c r="D3697" t="str" s="2">
        <x:v>3467738962</x:v>
      </x:c>
      <x:c r="E3697" t="str" s="2">
        <x:v>allenrogerdale@gmail.com</x:v>
      </x:c>
      <x:c r="F3697" t="str" s="2">
        <x:v>Landing_BPM</x:v>
      </x:c>
      <x:c r="G3697" t="str" s="2">
        <x:v>Rodrigo Ramirez</x:v>
      </x:c>
      <x:c r="H3697" s="6">
        <x:v>46256.12289880787</x:v>
      </x:c>
      <x:c r="I3697" s="0"/>
      <x:c r="J3697" s="0"/>
      <x:c r="K3697" s="6">
        <x:v>46296</x:v>
      </x:c>
      <x:c r="L3697" t="str" s="2">
        <x:v>Message Sent</x:v>
      </x:c>
    </x:row>
    <x:row r="3698">
      <x:c r="A3698" t="str" s="2">
        <x:f>="Melissa Goodpasture"</x:f>
      </x:c>
      <x:c r="B3698" t="str" s="2">
        <x:v>Heritage Housing of Greenville</x:v>
      </x:c>
      <x:c r="C3698" t="str" s="2">
        <x:v/>
      </x:c>
      <x:c r="D3698" t="str" s="2">
        <x:v>2142870656</x:v>
      </x:c>
      <x:c r="E3698" t="str" s="2">
        <x:v>mosugl@hotmail.com</x:v>
      </x:c>
      <x:c r="F3698" t="str" s="2">
        <x:v>Landing_BPM</x:v>
      </x:c>
      <x:c r="G3698" t="str" s="2">
        <x:v>Brooklynn Allen</x:v>
      </x:c>
      <x:c r="H3698" s="6">
        <x:v>46256.170193252314</x:v>
      </x:c>
      <x:c r="I3698" s="0"/>
      <x:c r="J3698" s="0"/>
      <x:c r="K3698" s="6">
        <x:v>46267</x:v>
      </x:c>
      <x:c r="L3698" t="str" s="2">
        <x:v>Message Sent</x:v>
      </x:c>
    </x:row>
    <x:row r="3699">
      <x:c r="A3699" t="str" s="2">
        <x:f>="Vanessa Bautista Bautista"</x:f>
      </x:c>
      <x:c r="B3699" t="str" s="2">
        <x:v>Heritage Housing of Canton</x:v>
      </x:c>
      <x:c r="C3699" t="str" s="2">
        <x:v/>
      </x:c>
      <x:c r="D3699" t="str" s="2">
        <x:v>9455422822</x:v>
      </x:c>
      <x:c r="E3699" t="str" s="2">
        <x:v>lizzielainez@ymail.com</x:v>
      </x:c>
      <x:c r="F3699" t="str" s="2">
        <x:v>Landing_BPM</x:v>
      </x:c>
      <x:c r="G3699" t="str" s="2">
        <x:v>Jacob Hatten</x:v>
      </x:c>
      <x:c r="H3699" s="6">
        <x:v>46256.20281018518</x:v>
      </x:c>
      <x:c r="I3699" s="0"/>
      <x:c r="J3699" s="0"/>
      <x:c r="K3699" s="6">
        <x:v>46293</x:v>
      </x:c>
      <x:c r="L3699" t="str" s="2">
        <x:v>Message Sent</x:v>
      </x:c>
    </x:row>
    <x:row r="3700">
      <x:c r="A3700" t="str" s="2">
        <x:f>="Winona Heath"</x:f>
      </x:c>
      <x:c r="B3700" t="str" s="2">
        <x:v>Heritage Housing of Tulsa</x:v>
      </x:c>
      <x:c r="C3700" t="str" s="2">
        <x:v/>
      </x:c>
      <x:c r="D3700" t="str" s="2">
        <x:v>9188768941</x:v>
      </x:c>
      <x:c r="E3700" t="str" s="2">
        <x:v>heathwinona@gmail.com</x:v>
      </x:c>
      <x:c r="F3700" t="str" s="2">
        <x:v>Landing_BPM</x:v>
      </x:c>
      <x:c r="G3700" t="str" s="2">
        <x:v>Jenna Fransisco</x:v>
      </x:c>
      <x:c r="H3700" s="6">
        <x:v>46256.227821493056</x:v>
      </x:c>
      <x:c r="I3700" s="0"/>
      <x:c r="J3700" s="0"/>
      <x:c r="K3700" s="6">
        <x:v>46261</x:v>
      </x:c>
      <x:c r="L3700" t="str" s="2">
        <x:v>Message Sent</x:v>
      </x:c>
    </x:row>
    <x:row r="3701">
      <x:c r="A3701" t="str" s="2">
        <x:f>="Desiree Guerra"</x:f>
      </x:c>
      <x:c r="B3701" t="str" s="2">
        <x:v>Heritage Housing Mt Pleasant</x:v>
      </x:c>
      <x:c r="C3701" t="str" s="2">
        <x:v/>
      </x:c>
      <x:c r="D3701" t="str" s="2">
        <x:v>5124124637</x:v>
      </x:c>
      <x:c r="E3701" t="str" s="2">
        <x:v>Selenaguerra45@gmail.com</x:v>
      </x:c>
      <x:c r="F3701" t="str" s="2">
        <x:v>Landing_BPM</x:v>
      </x:c>
      <x:c r="G3701" t="str" s="2">
        <x:v>Sandra Saldana</x:v>
      </x:c>
      <x:c r="H3701" s="6">
        <x:v>46256.24128417824</x:v>
      </x:c>
      <x:c r="I3701" s="0"/>
      <x:c r="J3701" s="0"/>
      <x:c r="K3701" s="6">
        <x:v>46256</x:v>
      </x:c>
      <x:c r="L3701" t="str" s="2">
        <x:v>Message Sent</x:v>
      </x:c>
    </x:row>
    <x:row r="3702">
      <x:c r="A3702" t="str" s="2">
        <x:f>="Graycon McBride"</x:f>
      </x:c>
      <x:c r="B3702" t="str" s="2">
        <x:v>Heritage Housing of Tulsa</x:v>
      </x:c>
      <x:c r="C3702" t="str" s="2">
        <x:v/>
      </x:c>
      <x:c r="D3702" t="str" s="2">
        <x:v>918635047</x:v>
      </x:c>
      <x:c r="E3702" t="str" s="2">
        <x:v>grayconmcbride74@gmail.com</x:v>
      </x:c>
      <x:c r="F3702" t="str" s="2">
        <x:v>LandingPage</x:v>
      </x:c>
      <x:c r="G3702" t="str" s="2">
        <x:v>Jenna Fransisco</x:v>
      </x:c>
      <x:c r="H3702" s="6">
        <x:v>46256.3072647338</x:v>
      </x:c>
      <x:c r="I3702" s="0"/>
      <x:c r="J3702" s="0"/>
      <x:c r="K3702" s="6">
        <x:v>46256</x:v>
      </x:c>
      <x:c r="L3702" t="str" s="2">
        <x:v>Message Sent</x:v>
      </x:c>
    </x:row>
    <x:row r="3703">
      <x:c r="A3703" t="str" s="2">
        <x:f>="Sam Crowder"</x:f>
      </x:c>
      <x:c r="B3703" t="str" s="2">
        <x:v>Heritage Housing of Asheboro</x:v>
      </x:c>
      <x:c r="C3703" t="str" s="2">
        <x:v/>
      </x:c>
      <x:c r="D3703" t="str" s="2">
        <x:v>3364470983</x:v>
      </x:c>
      <x:c r="E3703" t="str" s="2">
        <x:v>cazzandrew38@gmail.com</x:v>
      </x:c>
      <x:c r="F3703" t="str" s="2">
        <x:v>Landing_BPM</x:v>
      </x:c>
      <x:c r="G3703" t="str" s="2">
        <x:v>Maria Lopez</x:v>
      </x:c>
      <x:c r="H3703" s="6">
        <x:v>46256.51768387731</x:v>
      </x:c>
      <x:c r="I3703" s="0"/>
      <x:c r="J3703" s="0"/>
      <x:c r="K3703" s="6">
        <x:v>46256</x:v>
      </x:c>
      <x:c r="L3703" t="str" s="2">
        <x:v>Message Sent</x:v>
      </x:c>
    </x:row>
    <x:row r="3704">
      <x:c r="A3704" t="str" s="2">
        <x:f>="Robertged RobertgedNB"</x:f>
      </x:c>
      <x:c r="B3704" t="str" s="2">
        <x:v>Heritage Housing of Greenville</x:v>
      </x:c>
      <x:c r="C3704" t="str" s="2">
        <x:v/>
      </x:c>
      <x:c r="D3704" t="str" s="2">
        <x:v>85153527811</x:v>
      </x:c>
      <x:c r="E3704" t="str" s="2">
        <x:v>auqoagm@icxepdr.toj</x:v>
      </x:c>
      <x:c r="F3704" t="str" s="2">
        <x:v>Website</x:v>
      </x:c>
      <x:c r="G3704" t="str" s="2">
        <x:v>Brooklynn Allen</x:v>
      </x:c>
      <x:c r="H3704" s="6">
        <x:v>46256.536042824075</x:v>
      </x:c>
      <x:c r="I3704" s="0"/>
      <x:c r="J3704" s="0"/>
      <x:c r="K3704" s="6">
        <x:v>46258</x:v>
      </x:c>
      <x:c r="L3704" t="str" s="2">
        <x:v>Message Sent</x:v>
      </x:c>
    </x:row>
    <x:row r="3705">
      <x:c r="A3705" t="str" s="2">
        <x:f>="Carl Moore"</x:f>
      </x:c>
      <x:c r="B3705" t="str" s="2">
        <x:v>Heritage Housing of Albany</x:v>
      </x:c>
      <x:c r="C3705" t="str" s="2">
        <x:v/>
      </x:c>
      <x:c r="D3705" t="str" s="2">
        <x:v>229/526/8509</x:v>
      </x:c>
      <x:c r="E3705" t="str" s="2">
        <x:v>carlmoore480@gmail.com</x:v>
      </x:c>
      <x:c r="F3705" t="str" s="2">
        <x:v>Landing_BPM</x:v>
      </x:c>
      <x:c r="G3705" t="str" s="2">
        <x:v>Yanet Alvarez</x:v>
      </x:c>
      <x:c r="H3705" s="6">
        <x:v>46256.61217465278</x:v>
      </x:c>
      <x:c r="I3705" s="0"/>
      <x:c r="J3705" s="0"/>
      <x:c r="K3705" s="6">
        <x:v>46302</x:v>
      </x:c>
      <x:c r="L3705" t="str" s="2">
        <x:v>Message Sent</x:v>
      </x:c>
    </x:row>
    <x:row r="3706">
      <x:c r="A3706" t="str" s="2">
        <x:f>="Rhonda cotterman"</x:f>
      </x:c>
      <x:c r="B3706" t="str" s="2">
        <x:v>Heritage Housing of Albany</x:v>
      </x:c>
      <x:c r="C3706" t="str" s="2">
        <x:v/>
      </x:c>
      <x:c r="D3706" t="str" s="2">
        <x:v>2294576483</x:v>
      </x:c>
      <x:c r="E3706" t="str" s="2">
        <x:v>0926cotterman@gmail.com</x:v>
      </x:c>
      <x:c r="F3706" t="str" s="2">
        <x:v>Financing Form</x:v>
      </x:c>
      <x:c r="G3706" t="str" s="2">
        <x:v>Yanet Alvarez</x:v>
      </x:c>
      <x:c r="H3706" s="6">
        <x:v>46256.66770297454</x:v>
      </x:c>
      <x:c r="I3706" s="0"/>
      <x:c r="J3706" s="0"/>
      <x:c r="K3706" s="6">
        <x:v>46302</x:v>
      </x:c>
      <x:c r="L3706" t="str" s="2">
        <x:v>Message Sent</x:v>
      </x:c>
    </x:row>
    <x:row r="3707">
      <x:c r="A3707" t="str" s="2">
        <x:f>="Allison Balliet"</x:f>
      </x:c>
      <x:c r="B3707" t="str" s="2">
        <x:v>Legacy Housing Corp. DBA Americasa</x:v>
      </x:c>
      <x:c r="C3707" t="str" s="2">
        <x:v/>
      </x:c>
      <x:c r="D3707" t="str" s="2">
        <x:v>7608698443</x:v>
      </x:c>
      <x:c r="E3707" t="str" s="2">
        <x:v>amballiet@pipeline.sbcc.edu</x:v>
      </x:c>
      <x:c r="F3707" t="str" s="2">
        <x:v>Financing Form</x:v>
      </x:c>
      <x:c r="G3707" t="str" s="2">
        <x:v>Jose Parada</x:v>
      </x:c>
      <x:c r="H3707" s="6">
        <x:v>46256.69255998843</x:v>
      </x:c>
      <x:c r="I3707" s="0"/>
      <x:c r="J3707" s="0"/>
      <x:c r="K3707" s="6">
        <x:v>46296</x:v>
      </x:c>
      <x:c r="L3707" t="str" s="2">
        <x:v>Message Sent</x:v>
      </x:c>
    </x:row>
    <x:row r="3708">
      <x:c r="A3708" t="str" s="2">
        <x:f>="Janora Moore"</x:f>
      </x:c>
      <x:c r="B3708" t="str" s="2">
        <x:v>Heritage Housing of Tulsa</x:v>
      </x:c>
      <x:c r="C3708" t="str" s="2">
        <x:v/>
      </x:c>
      <x:c r="D3708" t="str" s="2">
        <x:v>5399670140</x:v>
      </x:c>
      <x:c r="E3708" t="str" s="2">
        <x:v>mamas.babygirl.2025@gmail.com</x:v>
      </x:c>
      <x:c r="F3708" t="str" s="2">
        <x:v>Landing_BPM</x:v>
      </x:c>
      <x:c r="G3708" t="str" s="2">
        <x:v>Jenna Fransisco</x:v>
      </x:c>
      <x:c r="H3708" s="6">
        <x:v>46256.714123032405</x:v>
      </x:c>
      <x:c r="I3708" s="0"/>
      <x:c r="J3708" s="0"/>
      <x:c r="K3708" s="6">
        <x:v>46261</x:v>
      </x:c>
      <x:c r="L3708" t="str" s="2">
        <x:v>Message Sent</x:v>
      </x:c>
    </x:row>
    <x:row r="3709">
      <x:c r="A3709" t="str" s="2">
        <x:f>=HYPERLINK("https://rsms.futurehomex.com/lead/39322", "Joshua Jones")</x:f>
      </x:c>
      <x:c r="B3709" t="str" s="2">
        <x:v>Heritage Housing of Athens</x:v>
      </x:c>
      <x:c r="C3709" t="str" s="2">
        <x:v/>
      </x:c>
      <x:c r="D3709" t="str" s="2">
        <x:v>6787351629</x:v>
      </x:c>
      <x:c r="E3709" t="str" s="2">
        <x:v>Joshua14581@gmail.com</x:v>
      </x:c>
      <x:c r="F3709" t="str" s="2">
        <x:v>Walk-in</x:v>
      </x:c>
      <x:c r="G3709" t="str" s="2">
        <x:v>Nathan Bishop</x:v>
      </x:c>
      <x:c r="H3709" s="6">
        <x:v>46256.741916631945</x:v>
      </x:c>
      <x:c r="I3709" t="str" s="2">
        <x:v>Nathan Bishop</x:v>
      </x:c>
      <x:c r="J3709" s="0"/>
      <x:c r="K3709" s="6">
        <x:v>46258</x:v>
      </x:c>
      <x:c r="L3709" t="str" s="2">
        <x:v>Message Sent</x:v>
      </x:c>
    </x:row>
    <x:row r="3710">
      <x:c r="A3710" t="str" s="2">
        <x:f>="Elisha Harrison"</x:f>
      </x:c>
      <x:c r="B3710" t="str" s="2">
        <x:v>Heritage Housing of Jennings</x:v>
      </x:c>
      <x:c r="C3710" t="str" s="2">
        <x:v/>
      </x:c>
      <x:c r="D3710" t="str" s="2">
        <x:v>3373854817</x:v>
      </x:c>
      <x:c r="E3710" t="str" s="2">
        <x:v>eliperry260@gmail.com</x:v>
      </x:c>
      <x:c r="F3710" t="str" s="2">
        <x:v>Landing_BPM</x:v>
      </x:c>
      <x:c r="G3710" t="str" s="2">
        <x:v>Mervin Leslie Smith</x:v>
      </x:c>
      <x:c r="H3710" s="6">
        <x:v>46256.78691469907</x:v>
      </x:c>
      <x:c r="I3710" s="0"/>
      <x:c r="J3710" s="0"/>
      <x:c r="K3710" s="6">
        <x:v>46302.69126211805</x:v>
      </x:c>
      <x:c r="L3710" t="str" s="2">
        <x:v>Message Sent</x:v>
      </x:c>
    </x:row>
    <x:row r="3711">
      <x:c r="A3711" t="str" s="2">
        <x:f>="tanya spaulding"</x:f>
      </x:c>
      <x:c r="B3711" t="str" s="2">
        <x:v>Heritage Housing of Tulsa</x:v>
      </x:c>
      <x:c r="C3711" t="str" s="2">
        <x:v/>
      </x:c>
      <x:c r="D3711" t="str" s="2">
        <x:v>9185802349</x:v>
      </x:c>
      <x:c r="E3711" t="str" s="2">
        <x:v>skippythedog71@gmail.com</x:v>
      </x:c>
      <x:c r="F3711" t="str" s="2">
        <x:v>Landing_BPM</x:v>
      </x:c>
      <x:c r="G3711" t="str" s="2">
        <x:v>Jenna Fransisco</x:v>
      </x:c>
      <x:c r="H3711" s="6">
        <x:v>46256.78987476852</x:v>
      </x:c>
      <x:c r="I3711" s="0"/>
      <x:c r="J3711" s="0"/>
      <x:c r="K3711" s="6">
        <x:v>46259</x:v>
      </x:c>
      <x:c r="L3711" t="str" s="2">
        <x:v>Message Sent</x:v>
      </x:c>
    </x:row>
    <x:row r="3712">
      <x:c r="A3712" t="str" s="2">
        <x:f>="Tim Grasmick"</x:f>
      </x:c>
      <x:c r="B3712" t="str" s="2">
        <x:v>Heritage Housing of Greenville</x:v>
      </x:c>
      <x:c r="C3712" t="str" s="2">
        <x:v>0/1</x:v>
      </x:c>
      <x:c r="D3712" t="str" s="2">
        <x:v>4693475445</x:v>
      </x:c>
      <x:c r="E3712" t="str" s="2">
        <x:v>timgrasmick02@gmail.com</x:v>
      </x:c>
      <x:c r="F3712" t="str" s="2">
        <x:v>Landing_BPM</x:v>
      </x:c>
      <x:c r="G3712" t="str" s="2">
        <x:v>Brooklynn Allen</x:v>
      </x:c>
      <x:c r="H3712" s="6">
        <x:v>46256.80624829861</x:v>
      </x:c>
      <x:c r="I3712" s="0"/>
      <x:c r="J3712" s="0"/>
      <x:c r="K3712" s="6">
        <x:v>46267</x:v>
      </x:c>
      <x:c r="L3712" t="str" s="2">
        <x:v>Message Sent</x:v>
      </x:c>
    </x:row>
    <x:row r="3713">
      <x:c r="A3713" t="str" s="2">
        <x:f>=HYPERLINK("https://rsms.futurehomex.com/lead/39327", "TRAVION CARSWELL")</x:f>
      </x:c>
      <x:c r="B3713" t="str" s="2">
        <x:v>Heritage Housing of Augusta</x:v>
      </x:c>
      <x:c r="C3713" t="str" s="2">
        <x:v/>
      </x:c>
      <x:c r="D3713" t="str" s="2">
        <x:v>4782473914</x:v>
      </x:c>
      <x:c r="E3713" t="str" s="2">
        <x:v>CARSWELLT555@GMAIL.COM</x:v>
      </x:c>
      <x:c r="F3713" t="str" s="2">
        <x:v>Website</x:v>
      </x:c>
      <x:c r="G3713" t="str" s="2">
        <x:v>Faye Lively</x:v>
      </x:c>
      <x:c r="H3713" s="6">
        <x:v>46256.818918599536</x:v>
      </x:c>
      <x:c r="I3713" t="str" s="2">
        <x:v>Jennifer Johnson</x:v>
      </x:c>
      <x:c r="J3713" s="0"/>
      <x:c r="K3713" s="6">
        <x:v>46295</x:v>
      </x:c>
      <x:c r="L3713" t="str" s="2">
        <x:v>Message Sent</x:v>
      </x:c>
    </x:row>
    <x:row r="3714">
      <x:c r="A3714" t="str" s="2">
        <x:f>=HYPERLINK("https://rsms.futurehomex.com/lead/39329", "Elizabeth Hursey")</x:f>
      </x:c>
      <x:c r="B3714" t="str" s="2">
        <x:v>Heritage Housing of Athens</x:v>
      </x:c>
      <x:c r="C3714" t="str" s="2">
        <x:v>0/1</x:v>
      </x:c>
      <x:c r="D3714" t="str" s="2">
        <x:v>7064241839</x:v>
      </x:c>
      <x:c r="E3714" t="str" s="2">
        <x:v>mamaliz196454@gmail.com</x:v>
      </x:c>
      <x:c r="F3714" t="str" s="2">
        <x:v>Facebook Messenger</x:v>
      </x:c>
      <x:c r="G3714" t="str" s="2">
        <x:v>Nathan Bishop</x:v>
      </x:c>
      <x:c r="H3714" s="6">
        <x:v>46256.82840690972</x:v>
      </x:c>
      <x:c r="I3714" t="str" s="2">
        <x:v>Nathan Bishop</x:v>
      </x:c>
      <x:c r="J3714" s="0"/>
      <x:c r="K3714" s="6">
        <x:v>46287</x:v>
      </x:c>
      <x:c r="L3714" t="str" s="2">
        <x:v>Message Sent</x:v>
      </x:c>
    </x:row>
    <x:row r="3715">
      <x:c r="A3715" t="str" s="2">
        <x:f>="Amy Bagley"</x:f>
      </x:c>
      <x:c r="B3715" t="str" s="2">
        <x:v>Heritage Housing of Jennings</x:v>
      </x:c>
      <x:c r="C3715" t="str" s="2">
        <x:v/>
      </x:c>
      <x:c r="D3715" t="str" s="2">
        <x:v>3372806546</x:v>
      </x:c>
      <x:c r="E3715" t="str" s="2">
        <x:v>Dm5646320@gmail.com</x:v>
      </x:c>
      <x:c r="F3715" t="str" s="2">
        <x:v>Website</x:v>
      </x:c>
      <x:c r="G3715" t="str" s="2">
        <x:v>Clint O'Neal</x:v>
      </x:c>
      <x:c r="H3715" s="6">
        <x:v>46256.840316319445</x:v>
      </x:c>
      <x:c r="I3715" s="0"/>
      <x:c r="J3715" s="0"/>
      <x:c r="K3715" s="6">
        <x:v>46302.69158931713</x:v>
      </x:c>
      <x:c r="L3715" t="str" s="2">
        <x:v>Message Sent</x:v>
      </x:c>
    </x:row>
    <x:row r="3716">
      <x:c r="A3716" t="str" s="2">
        <x:f>="Alan Karl"</x:f>
      </x:c>
      <x:c r="B3716" t="str" s="2">
        <x:v>Heritage Housing of Asheboro</x:v>
      </x:c>
      <x:c r="C3716" t="str" s="2">
        <x:v/>
      </x:c>
      <x:c r="D3716" t="str" s="2">
        <x:v>5855054732</x:v>
      </x:c>
      <x:c r="E3716" t="str" s="2">
        <x:v>alankarl484@gmail.com</x:v>
      </x:c>
      <x:c r="F3716" t="str" s="2">
        <x:v>Website</x:v>
      </x:c>
      <x:c r="G3716" t="str" s="2">
        <x:v>Maria Lopez</x:v>
      </x:c>
      <x:c r="H3716" s="6">
        <x:v>46256.85399270833</x:v>
      </x:c>
      <x:c r="I3716" s="0"/>
      <x:c r="J3716" s="0"/>
      <x:c r="K3716" s="6">
        <x:v>46259</x:v>
      </x:c>
      <x:c r="L3716" t="str" s="2">
        <x:v>Message Sent</x:v>
      </x:c>
    </x:row>
    <x:row r="3717">
      <x:c r="A3717" t="str" s="2">
        <x:f>="Dana McIntyre"</x:f>
      </x:c>
      <x:c r="B3717" t="str" s="2">
        <x:v>Heritage Housing of Asheboro</x:v>
      </x:c>
      <x:c r="C3717" t="str" s="2">
        <x:v/>
      </x:c>
      <x:c r="D3717" t="str" s="2">
        <x:v>3363021455</x:v>
      </x:c>
      <x:c r="E3717" t="str" s="2">
        <x:v>danamcintyre02@gmail.com</x:v>
      </x:c>
      <x:c r="F3717" t="str" s="2">
        <x:v>Website</x:v>
      </x:c>
      <x:c r="G3717" t="str" s="2">
        <x:v>Maria Lopez</x:v>
      </x:c>
      <x:c r="H3717" s="6">
        <x:v>46256.87445123843</x:v>
      </x:c>
      <x:c r="I3717" s="0"/>
      <x:c r="J3717" s="0"/>
      <x:c r="K3717" s="6">
        <x:v>46258</x:v>
      </x:c>
      <x:c r="L3717" t="str" s="2">
        <x:v>Message Sent</x:v>
      </x:c>
    </x:row>
    <x:row r="3718">
      <x:c r="A3718" t="str" s="2">
        <x:f>="MaRilee Main"</x:f>
      </x:c>
      <x:c r="B3718" t="str" s="2">
        <x:v>Heritage Housing of Tulsa</x:v>
      </x:c>
      <x:c r="C3718" t="str" s="2">
        <x:v/>
      </x:c>
      <x:c r="D3718" t="str" s="2">
        <x:v>918-413-9634</x:v>
      </x:c>
      <x:c r="E3718" t="str" s="2">
        <x:v>marileemain02@gmail.com</x:v>
      </x:c>
      <x:c r="F3718" t="str" s="2">
        <x:v>Landing_BPM</x:v>
      </x:c>
      <x:c r="G3718" t="str" s="2">
        <x:v>Jenna Fransisco</x:v>
      </x:c>
      <x:c r="H3718" s="6">
        <x:v>46257.22281292824</x:v>
      </x:c>
      <x:c r="I3718" s="0"/>
      <x:c r="J3718" s="0"/>
      <x:c r="K3718" s="6">
        <x:v>46262</x:v>
      </x:c>
      <x:c r="L3718" t="str" s="2">
        <x:v>Message Sent</x:v>
      </x:c>
    </x:row>
    <x:row r="3719">
      <x:c r="A3719" t="str" s="2">
        <x:f>="Nadia OmesTaylor"</x:f>
      </x:c>
      <x:c r="B3719" t="str" s="2">
        <x:v>Heritage Housing of Asheboro</x:v>
      </x:c>
      <x:c r="C3719" t="str" s="2">
        <x:v/>
      </x:c>
      <x:c r="D3719" t="str" s="2">
        <x:v>7044309199</x:v>
      </x:c>
      <x:c r="E3719" t="str" s="2">
        <x:v>pastor.not@aol.com</x:v>
      </x:c>
      <x:c r="F3719" t="str" s="2">
        <x:v>Landing_BPM</x:v>
      </x:c>
      <x:c r="G3719" t="str" s="2">
        <x:v>Maria Lopez</x:v>
      </x:c>
      <x:c r="H3719" s="6">
        <x:v>46257.226118136576</x:v>
      </x:c>
      <x:c r="I3719" s="0"/>
      <x:c r="J3719" s="0"/>
      <x:c r="K3719" s="6">
        <x:v>46259</x:v>
      </x:c>
      <x:c r="L3719" t="str" s="2">
        <x:v>Message Sent</x:v>
      </x:c>
    </x:row>
    <x:row r="3720">
      <x:c r="A3720" t="str" s="2">
        <x:f>="Jacob McRae"</x:f>
      </x:c>
      <x:c r="B3720" t="str" s="2">
        <x:v>Heritage Housing of Augusta</x:v>
      </x:c>
      <x:c r="C3720" t="str" s="2">
        <x:v/>
      </x:c>
      <x:c r="D3720" t="str" s="2">
        <x:v>8039913352</x:v>
      </x:c>
      <x:c r="E3720" t="str" s="2">
        <x:v>jkool0801@gmail.com</x:v>
      </x:c>
      <x:c r="F3720" t="str" s="2">
        <x:v>Landing_BPM</x:v>
      </x:c>
      <x:c r="G3720" t="str" s="2">
        <x:v>Faye Lively</x:v>
      </x:c>
      <x:c r="H3720" s="6">
        <x:v>46257.60908677083</x:v>
      </x:c>
      <x:c r="I3720" s="0"/>
      <x:c r="J3720" s="0"/>
      <x:c r="K3720" s="6">
        <x:v>46274</x:v>
      </x:c>
      <x:c r="L3720" t="str" s="2">
        <x:v>Message Sent</x:v>
      </x:c>
    </x:row>
    <x:row r="3721">
      <x:c r="A3721" t="str" s="2">
        <x:f>="Annette Buchanan"</x:f>
      </x:c>
      <x:c r="B3721" t="str" s="2">
        <x:v>Heritage Housing Gainesville</x:v>
      </x:c>
      <x:c r="C3721" t="str" s="2">
        <x:v/>
      </x:c>
      <x:c r="D3721" t="str" s="2">
        <x:v>9727425224</x:v>
      </x:c>
      <x:c r="E3721" t="str" s="2">
        <x:v>ajstephens64@hotmail.com</x:v>
      </x:c>
      <x:c r="F3721" t="str" s="2">
        <x:v>Landing_BPM</x:v>
      </x:c>
      <x:c r="G3721" t="str" s="2">
        <x:v>Kelly Ford</x:v>
      </x:c>
      <x:c r="H3721" s="6">
        <x:v>46257.68297873843</x:v>
      </x:c>
      <x:c r="I3721" s="0"/>
      <x:c r="J3721" s="0"/>
      <x:c r="K3721" s="6">
        <x:v>46297</x:v>
      </x:c>
      <x:c r="L3721" t="str" s="2">
        <x:v>Message Sent</x:v>
      </x:c>
    </x:row>
    <x:row r="3722">
      <x:c r="A3722" t="str" s="2">
        <x:f>="Veranda Prince"</x:f>
      </x:c>
      <x:c r="B3722" t="str" s="2">
        <x:v>Legacy Housing Corp. DBA Americasa</x:v>
      </x:c>
      <x:c r="C3722" t="str" s="2">
        <x:v/>
      </x:c>
      <x:c r="D3722" t="str" s="2">
        <x:v>5048003572</x:v>
      </x:c>
      <x:c r="E3722" t="str" s="2">
        <x:v>verandaprince@yahoo.com</x:v>
      </x:c>
      <x:c r="F3722" t="str" s="2">
        <x:v>Landing_BPM</x:v>
      </x:c>
      <x:c r="G3722" t="str" s="2">
        <x:v>Rodrigo Ramirez</x:v>
      </x:c>
      <x:c r="H3722" s="6">
        <x:v>46257.68935112269</x:v>
      </x:c>
      <x:c r="I3722" s="0"/>
      <x:c r="J3722" s="0"/>
      <x:c r="K3722" s="6">
        <x:v>46296</x:v>
      </x:c>
      <x:c r="L3722" t="str" s="2">
        <x:v>Message Sent</x:v>
      </x:c>
    </x:row>
    <x:row r="3723">
      <x:c r="A3723" t="str" s="2">
        <x:f>="MarvinMig MarvinMigWE"</x:f>
      </x:c>
      <x:c r="B3723" t="str" s="2">
        <x:v>Heritage Housing of Greenville</x:v>
      </x:c>
      <x:c r="C3723" t="str" s="2">
        <x:v/>
      </x:c>
      <x:c r="D3723" t="str" s="2">
        <x:v>85617835974</x:v>
      </x:c>
      <x:c r="E3723" t="str" s="2">
        <x:v>lvuadwh@vqpasfc.qis</x:v>
      </x:c>
      <x:c r="F3723" t="str" s="2">
        <x:v>Website</x:v>
      </x:c>
      <x:c r="G3723" t="str" s="2">
        <x:v>Brooklynn Allen</x:v>
      </x:c>
      <x:c r="H3723" s="6">
        <x:v>46257.71659984954</x:v>
      </x:c>
      <x:c r="I3723" s="0"/>
      <x:c r="J3723" s="0"/>
      <x:c r="K3723" s="6">
        <x:v>46267</x:v>
      </x:c>
      <x:c r="L3723" t="str" s="2">
        <x:v>Message Sent</x:v>
      </x:c>
    </x:row>
    <x:row r="3724">
      <x:c r="A3724" t="str" s="2">
        <x:f>="Tarika Rivers"</x:f>
      </x:c>
      <x:c r="B3724" t="str" s="2">
        <x:v>Heritage Housing of Asheboro</x:v>
      </x:c>
      <x:c r="C3724" t="str" s="2">
        <x:v/>
      </x:c>
      <x:c r="D3724" t="str" s="2">
        <x:v>2528644838</x:v>
      </x:c>
      <x:c r="E3724" t="str" s="2">
        <x:v>furbabymccree@gmail.com</x:v>
      </x:c>
      <x:c r="F3724" t="str" s="2">
        <x:v>Landing_BPM</x:v>
      </x:c>
      <x:c r="G3724" t="str" s="2">
        <x:v>Maria Lopez</x:v>
      </x:c>
      <x:c r="H3724" s="6">
        <x:v>46257.72700471065</x:v>
      </x:c>
      <x:c r="I3724" s="0"/>
      <x:c r="J3724" s="0"/>
      <x:c r="K3724" s="6">
        <x:v>46259</x:v>
      </x:c>
      <x:c r="L3724" t="str" s="2">
        <x:v>Message Sent</x:v>
      </x:c>
    </x:row>
    <x:row r="3725">
      <x:c r="A3725" t="str" s="2">
        <x:f>="Susana Ponce Ponce"</x:f>
      </x:c>
      <x:c r="B3725" t="str" s="2">
        <x:v>Heritage Housing of Asheboro</x:v>
      </x:c>
      <x:c r="C3725" t="str" s="2">
        <x:v/>
      </x:c>
      <x:c r="D3725" t="str" s="2">
        <x:v>9197584613</x:v>
      </x:c>
      <x:c r="E3725" t="str" s="2">
        <x:v>poncesusana91@gmail.com</x:v>
      </x:c>
      <x:c r="F3725" t="str" s="2">
        <x:v>Landing_BPM</x:v>
      </x:c>
      <x:c r="G3725" t="str" s="2">
        <x:v>Maria Lopez</x:v>
      </x:c>
      <x:c r="H3725" s="6">
        <x:v>46257.753938043985</x:v>
      </x:c>
      <x:c r="I3725" s="0"/>
      <x:c r="J3725" s="0"/>
      <x:c r="K3725" s="6">
        <x:v>46258</x:v>
      </x:c>
      <x:c r="L3725" t="str" s="2">
        <x:v>Message Sent</x:v>
      </x:c>
    </x:row>
    <x:row r="3726">
      <x:c r="A3726" t="str" s="2">
        <x:f>="Jimmy Richardson"</x:f>
      </x:c>
      <x:c r="B3726" t="str" s="2">
        <x:v>Heritage Housing of Canton</x:v>
      </x:c>
      <x:c r="C3726" t="str" s="2">
        <x:v/>
      </x:c>
      <x:c r="D3726" t="str" s="2">
        <x:v>4692542335</x:v>
      </x:c>
      <x:c r="E3726" t="str" s="2">
        <x:v>jrichardson48@tx.rr.com</x:v>
      </x:c>
      <x:c r="F3726" t="str" s="2">
        <x:v>Landing_BPM</x:v>
      </x:c>
      <x:c r="G3726" t="str" s="2">
        <x:v>Maira Garcia</x:v>
      </x:c>
      <x:c r="H3726" s="6">
        <x:v>46257.801090277775</x:v>
      </x:c>
      <x:c r="I3726" s="0"/>
      <x:c r="J3726" s="0"/>
      <x:c r="K3726" s="6">
        <x:v>46258</x:v>
      </x:c>
      <x:c r="L3726" t="str" s="2">
        <x:v>Message Sent</x:v>
      </x:c>
    </x:row>
    <x:row r="3727">
      <x:c r="A3727" t="str" s="2">
        <x:f>="Zhanika Greathouse"</x:f>
      </x:c>
      <x:c r="B3727" t="str" s="2">
        <x:v>Heritage Housing of Asheboro</x:v>
      </x:c>
      <x:c r="C3727" t="str" s="2">
        <x:v/>
      </x:c>
      <x:c r="D3727" t="str" s="2">
        <x:v>6143709292</x:v>
      </x:c>
      <x:c r="E3727" t="str" s="2">
        <x:v>zhanikag@yahoo.com</x:v>
      </x:c>
      <x:c r="F3727" t="str" s="2">
        <x:v>Landing_BPM</x:v>
      </x:c>
      <x:c r="G3727" t="str" s="2">
        <x:v>Maria Lopez</x:v>
      </x:c>
      <x:c r="H3727" s="6">
        <x:v>46257.803222650466</x:v>
      </x:c>
      <x:c r="I3727" s="0"/>
      <x:c r="J3727" s="0"/>
      <x:c r="K3727" s="6">
        <x:v>46259</x:v>
      </x:c>
      <x:c r="L3727" t="str" s="2">
        <x:v>Message Sent</x:v>
      </x:c>
    </x:row>
    <x:row r="3728">
      <x:c r="A3728" t="str" s="2">
        <x:f>="Angela Basinger"</x:f>
      </x:c>
      <x:c r="B3728" t="str" s="2">
        <x:v>Heritage Housing of Asheboro</x:v>
      </x:c>
      <x:c r="C3728" t="str" s="2">
        <x:v/>
      </x:c>
      <x:c r="D3728" t="str" s="2">
        <x:v>7049566477</x:v>
      </x:c>
      <x:c r="E3728" t="str" s="2">
        <x:v>abasinger889@gmail.com</x:v>
      </x:c>
      <x:c r="F3728" t="str" s="2">
        <x:v>Landing_BPM</x:v>
      </x:c>
      <x:c r="G3728" t="str" s="2">
        <x:v>Maria Lopez</x:v>
      </x:c>
      <x:c r="H3728" s="6">
        <x:v>46257.86054259259</x:v>
      </x:c>
      <x:c r="I3728" s="0"/>
      <x:c r="J3728" s="0"/>
      <x:c r="K3728" s="6">
        <x:v>46259</x:v>
      </x:c>
      <x:c r="L3728" t="str" s="2">
        <x:v>Message Sent</x:v>
      </x:c>
    </x:row>
    <x:row r="3729">
      <x:c r="A3729" t="str" s="2">
        <x:f>="Janet Hurley"</x:f>
      </x:c>
      <x:c r="B3729" t="str" s="2">
        <x:v>Heritage Housing of Greenville</x:v>
      </x:c>
      <x:c r="C3729" t="str" s="2">
        <x:v/>
      </x:c>
      <x:c r="D3729" t="str" s="2">
        <x:v>4692318670</x:v>
      </x:c>
      <x:c r="E3729" t="str" s="2">
        <x:v>jul.de.@gmx.com</x:v>
      </x:c>
      <x:c r="F3729" t="str" s="2">
        <x:v>Financing Form</x:v>
      </x:c>
      <x:c r="G3729" t="str" s="2">
        <x:v>Brooklynn Allen</x:v>
      </x:c>
      <x:c r="H3729" s="6">
        <x:v>46257.88102939815</x:v>
      </x:c>
      <x:c r="I3729" s="0"/>
      <x:c r="J3729" s="0"/>
      <x:c r="K3729" s="6">
        <x:v>46267</x:v>
      </x:c>
      <x:c r="L3729" t="str" s="2">
        <x:v>Message Sent</x:v>
      </x:c>
    </x:row>
    <x:row r="3730">
      <x:c r="A3730" t="str" s="2">
        <x:f>="Amy Fontenette"</x:f>
      </x:c>
      <x:c r="B3730" t="str" s="2">
        <x:v>Heritage Housing of Jennings</x:v>
      </x:c>
      <x:c r="C3730" t="str" s="2">
        <x:v/>
      </x:c>
      <x:c r="D3730" t="str" s="2">
        <x:v>3374418124</x:v>
      </x:c>
      <x:c r="E3730" t="str" s="2">
        <x:v>Afontenette90@yahoo.com</x:v>
      </x:c>
      <x:c r="F3730" t="str" s="2">
        <x:v>Landing_BPM</x:v>
      </x:c>
      <x:c r="G3730" t="str" s="2">
        <x:v>Mervin Leslie Smith</x:v>
      </x:c>
      <x:c r="H3730" s="6">
        <x:v>46257.89244212963</x:v>
      </x:c>
      <x:c r="I3730" s="0"/>
      <x:c r="J3730" s="0"/>
      <x:c r="K3730" s="6">
        <x:v>46302.692814270835</x:v>
      </x:c>
      <x:c r="L3730" t="str" s="2">
        <x:v>Message Sent</x:v>
      </x:c>
    </x:row>
    <x:row r="3731">
      <x:c r="A3731" t="str" s="2">
        <x:f>="Jessica Webb"</x:f>
      </x:c>
      <x:c r="B3731" t="str" s="2">
        <x:v>Heritage Housing of Albany</x:v>
      </x:c>
      <x:c r="C3731" t="str" s="2">
        <x:v>0/3</x:v>
      </x:c>
      <x:c r="D3731" t="str" s="2">
        <x:v>8288386346</x:v>
      </x:c>
      <x:c r="E3731" t="str" s="2">
        <x:v>jaywebb15@gmail.com</x:v>
      </x:c>
      <x:c r="F3731" t="str" s="2">
        <x:v>Landing_BPM</x:v>
      </x:c>
      <x:c r="G3731" t="str" s="2">
        <x:v>Yanet Alvarez</x:v>
      </x:c>
      <x:c r="H3731" s="6">
        <x:v>46257.95819938657</x:v>
      </x:c>
      <x:c r="I3731" s="0"/>
      <x:c r="J3731" s="0"/>
      <x:c r="K3731" s="6">
        <x:v>46307</x:v>
      </x:c>
      <x:c r="L3731" t="str" s="2">
        <x:v>Message Sent</x:v>
      </x:c>
    </x:row>
    <x:row r="3732">
      <x:c r="A3732" t="str" s="2">
        <x:f>="Robertrer LouisrerGM"</x:f>
      </x:c>
      <x:c r="B3732" t="str" s="2">
        <x:v>Heritage Housing of Greenville</x:v>
      </x:c>
      <x:c r="C3732" t="str" s="2">
        <x:v/>
      </x:c>
      <x:c r="D3732" t="str" s="2">
        <x:v>85141825388</x:v>
      </x:c>
      <x:c r="E3732" t="str" s="2">
        <x:v>bhxaivw@gqqjjrg.soa</x:v>
      </x:c>
      <x:c r="F3732" t="str" s="2">
        <x:v>Website</x:v>
      </x:c>
      <x:c r="G3732" t="str" s="2">
        <x:v>Brooklynn Allen</x:v>
      </x:c>
      <x:c r="H3732" s="6">
        <x:v>46257.97127642361</x:v>
      </x:c>
      <x:c r="I3732" s="0"/>
      <x:c r="J3732" s="0"/>
      <x:c r="K3732" s="6">
        <x:v>46258</x:v>
      </x:c>
      <x:c r="L3732" t="str" s="2">
        <x:v>Message Sent</x:v>
      </x:c>
    </x:row>
    <x:row r="3733">
      <x:c r="A3733" t="str" s="2">
        <x:f>="Stephanie Rouse"</x:f>
      </x:c>
      <x:c r="B3733" t="str" s="2">
        <x:v>Heritage Housing of Tulsa</x:v>
      </x:c>
      <x:c r="C3733" t="str" s="2">
        <x:v/>
      </x:c>
      <x:c r="D3733" t="str" s="2">
        <x:v>4058540665</x:v>
      </x:c>
      <x:c r="E3733" t="str" s="2">
        <x:v>stephanierouse74075@yahoo.com</x:v>
      </x:c>
      <x:c r="F3733" t="str" s="2">
        <x:v>Financing Form</x:v>
      </x:c>
      <x:c r="G3733" t="str" s="2">
        <x:v>Jenna Fransisco</x:v>
      </x:c>
      <x:c r="H3733" s="6">
        <x:v>46257.99767025463</x:v>
      </x:c>
      <x:c r="I3733" s="0"/>
      <x:c r="J3733" s="0"/>
      <x:c r="K3733" s="6">
        <x:v>46258</x:v>
      </x:c>
      <x:c r="L3733" t="str" s="2">
        <x:v>Message Sent</x:v>
      </x:c>
    </x:row>
    <x:row r="3734">
      <x:c r="A3734" t="str" s="2">
        <x:f>="SONYIA Silas"</x:f>
      </x:c>
      <x:c r="B3734" t="str" s="2">
        <x:v>Heritage Housing of Athens</x:v>
      </x:c>
      <x:c r="C3734" t="str" s="2">
        <x:v>1/1</x:v>
      </x:c>
      <x:c r="D3734" t="str" s="2">
        <x:v>2294723881</x:v>
      </x:c>
      <x:c r="E3734" t="str" s="2">
        <x:v>dollene.stark@gmail.com</x:v>
      </x:c>
      <x:c r="F3734" t="str" s="2">
        <x:v>Landing_BPM</x:v>
      </x:c>
      <x:c r="G3734" t="str" s="2">
        <x:v>Nathan Bishop</x:v>
      </x:c>
      <x:c r="H3734" s="6">
        <x:v>46258.002210335646</x:v>
      </x:c>
      <x:c r="I3734" s="0"/>
      <x:c r="J3734" s="0"/>
      <x:c r="K3734" s="6">
        <x:v>46300</x:v>
      </x:c>
      <x:c r="L3734" t="str" s="2">
        <x:v>Message Sent</x:v>
      </x:c>
    </x:row>
    <x:row r="3735">
      <x:c r="A3735" t="str" s="2">
        <x:f>="Bryanna Chadwick"</x:f>
      </x:c>
      <x:c r="B3735" t="str" s="2">
        <x:v>Heritage Housing Mt Pleasant</x:v>
      </x:c>
      <x:c r="C3735" t="str" s="2">
        <x:v/>
      </x:c>
      <x:c r="D3735" t="str" s="2">
        <x:v>2544051429</x:v>
      </x:c>
      <x:c r="E3735" t="str" s="2">
        <x:v>brysatchell@gmail.com</x:v>
      </x:c>
      <x:c r="F3735" t="str" s="2">
        <x:v>Landing_BPM</x:v>
      </x:c>
      <x:c r="G3735" t="str" s="2">
        <x:v>Sandra Saldana</x:v>
      </x:c>
      <x:c r="H3735" s="6">
        <x:v>46258.00235200232</x:v>
      </x:c>
      <x:c r="I3735" s="0"/>
      <x:c r="J3735" s="0"/>
      <x:c r="K3735" s="6">
        <x:v>46258</x:v>
      </x:c>
      <x:c r="L3735" t="str" s="2">
        <x:v>Message Sent</x:v>
      </x:c>
    </x:row>
    <x:row r="3736">
      <x:c r="A3736" t="str" s="2">
        <x:f>="Jamar Howell"</x:f>
      </x:c>
      <x:c r="B3736" t="str" s="2">
        <x:v>Heritage Housing of Asheboro</x:v>
      </x:c>
      <x:c r="C3736" t="str" s="2">
        <x:v/>
      </x:c>
      <x:c r="D3736" t="str" s="2">
        <x:v>9808923187</x:v>
      </x:c>
      <x:c r="E3736" t="str" s="2">
        <x:v>howelljamar647@gmail.com</x:v>
      </x:c>
      <x:c r="F3736" t="str" s="2">
        <x:v>Landing_BPM</x:v>
      </x:c>
      <x:c r="G3736" t="str" s="2">
        <x:v>Maria Lopez</x:v>
      </x:c>
      <x:c r="H3736" s="6">
        <x:v>46258.04663379629</x:v>
      </x:c>
      <x:c r="I3736" s="0"/>
      <x:c r="J3736" s="0"/>
      <x:c r="K3736" s="6">
        <x:v>46258</x:v>
      </x:c>
      <x:c r="L3736" t="str" s="2">
        <x:v>Message Sent</x:v>
      </x:c>
    </x:row>
    <x:row r="3737">
      <x:c r="A3737" t="str" s="2">
        <x:f>="Jose Sequera"</x:f>
      </x:c>
      <x:c r="B3737" t="str" s="2">
        <x:v>Heritage Housing of Tulsa</x:v>
      </x:c>
      <x:c r="C3737" t="str" s="2">
        <x:v/>
      </x:c>
      <x:c r="D3737" t="str" s="2">
        <x:v>5396290782</x:v>
      </x:c>
      <x:c r="E3737" t="str" s="2">
        <x:v>jose.sequera.22@gmail.com</x:v>
      </x:c>
      <x:c r="F3737" t="str" s="2">
        <x:v>Landing_BPM</x:v>
      </x:c>
      <x:c r="G3737" t="str" s="2">
        <x:v>Jenna Fransisco</x:v>
      </x:c>
      <x:c r="H3737" s="6">
        <x:v>46258.05388475695</x:v>
      </x:c>
      <x:c r="I3737" s="0"/>
      <x:c r="J3737" s="0"/>
      <x:c r="K3737" s="6">
        <x:v>46261</x:v>
      </x:c>
      <x:c r="L3737" t="str" s="2">
        <x:v>Message Sent</x:v>
      </x:c>
    </x:row>
    <x:row r="3738">
      <x:c r="A3738" t="str" s="2">
        <x:f>="Salina Jones"</x:f>
      </x:c>
      <x:c r="B3738" t="str" s="2">
        <x:v>Heritage Housing of Albany</x:v>
      </x:c>
      <x:c r="C3738" t="str" s="2">
        <x:v/>
      </x:c>
      <x:c r="D3738" t="str" s="2">
        <x:v>7062701254</x:v>
      </x:c>
      <x:c r="E3738" t="str" s="2">
        <x:v>salinajones79@gmail.com</x:v>
      </x:c>
      <x:c r="F3738" t="str" s="2">
        <x:v>Financing Form</x:v>
      </x:c>
      <x:c r="G3738" t="str" s="2">
        <x:v>Yanet Alvarez</x:v>
      </x:c>
      <x:c r="H3738" s="6">
        <x:v>46258.12042384259</x:v>
      </x:c>
      <x:c r="I3738" s="0"/>
      <x:c r="J3738" s="0"/>
      <x:c r="K3738" s="6">
        <x:v>46307</x:v>
      </x:c>
      <x:c r="L3738" t="str" s="2">
        <x:v>Message Sent</x:v>
      </x:c>
    </x:row>
    <x:row r="3739">
      <x:c r="A3739" t="str" s="2">
        <x:f>="Uzira Fulton"</x:f>
      </x:c>
      <x:c r="B3739" t="str" s="2">
        <x:v>Heritage Housing of Albany</x:v>
      </x:c>
      <x:c r="C3739" t="str" s="2">
        <x:v/>
      </x:c>
      <x:c r="D3739" t="str" s="2">
        <x:v>2292723629</x:v>
      </x:c>
      <x:c r="E3739" t="str" s="2">
        <x:v>uzirafulton1987@yahoo.com</x:v>
      </x:c>
      <x:c r="F3739" t="str" s="2">
        <x:v>Financing Form</x:v>
      </x:c>
      <x:c r="G3739" t="str" s="2">
        <x:v>Yanet Alvarez</x:v>
      </x:c>
      <x:c r="H3739" s="6">
        <x:v>46258.12905034722</x:v>
      </x:c>
      <x:c r="I3739" s="0"/>
      <x:c r="J3739" s="0"/>
      <x:c r="K3739" s="6">
        <x:v>46302</x:v>
      </x:c>
      <x:c r="L3739" t="str" s="2">
        <x:v>Message Sent</x:v>
      </x:c>
    </x:row>
    <x:row r="3740">
      <x:c r="A3740" t="str" s="2">
        <x:f>="Andrea Griffin"</x:f>
      </x:c>
      <x:c r="B3740" t="str" s="2">
        <x:v>Legacy Housing Corp. DBA Americasa</x:v>
      </x:c>
      <x:c r="C3740" t="str" s="2">
        <x:v/>
      </x:c>
      <x:c r="D3740" t="str" s="2">
        <x:v>3468872805</x:v>
      </x:c>
      <x:c r="E3740" t="str" s="2">
        <x:v>denisegriffin4514@gmail.com</x:v>
      </x:c>
      <x:c r="F3740" t="str" s="2">
        <x:v>Landing_BPM</x:v>
      </x:c>
      <x:c r="G3740" t="str" s="2">
        <x:v>Rodrigo Ramirez</x:v>
      </x:c>
      <x:c r="H3740" s="6">
        <x:v>46258.22746149306</x:v>
      </x:c>
      <x:c r="I3740" s="0"/>
      <x:c r="J3740" s="0"/>
      <x:c r="K3740" s="6">
        <x:v>46296</x:v>
      </x:c>
      <x:c r="L3740" t="str" s="2">
        <x:v>Message Sent</x:v>
      </x:c>
    </x:row>
    <x:row r="3741">
      <x:c r="A3741" t="str" s="2">
        <x:f>="Amya Reese"</x:f>
      </x:c>
      <x:c r="B3741" t="str" s="2">
        <x:v>Heritage Housing of Albany</x:v>
      </x:c>
      <x:c r="C3741" t="str" s="2">
        <x:v/>
      </x:c>
      <x:c r="D3741" t="str" s="2">
        <x:v>2296028141</x:v>
      </x:c>
      <x:c r="E3741" t="str" s="2">
        <x:v>amyareese19@icloud.com</x:v>
      </x:c>
      <x:c r="F3741" t="str" s="2">
        <x:v>Financing Form</x:v>
      </x:c>
      <x:c r="G3741" t="str" s="2">
        <x:v>Yanet Alvarez</x:v>
      </x:c>
      <x:c r="H3741" s="6">
        <x:v>46258.229306215275</x:v>
      </x:c>
      <x:c r="I3741" s="0"/>
      <x:c r="J3741" s="0"/>
      <x:c r="K3741" s="6">
        <x:v>46302</x:v>
      </x:c>
      <x:c r="L3741" t="str" s="2">
        <x:v>Message Sent</x:v>
      </x:c>
    </x:row>
    <x:row r="3742">
      <x:c r="A3742" t="str" s="2">
        <x:f>="Rebecca Ray"</x:f>
      </x:c>
      <x:c r="B3742" t="str" s="2">
        <x:v>Heritage Housing of Canton</x:v>
      </x:c>
      <x:c r="C3742" t="str" s="2">
        <x:v/>
      </x:c>
      <x:c r="D3742" t="str" s="2">
        <x:v>9038182399</x:v>
      </x:c>
      <x:c r="E3742" t="str" s="2">
        <x:v>beckyray39@gmail.com</x:v>
      </x:c>
      <x:c r="F3742" t="str" s="2">
        <x:v>Landing_BPM</x:v>
      </x:c>
      <x:c r="G3742" t="str" s="2">
        <x:v>Jacob Hatten</x:v>
      </x:c>
      <x:c r="H3742" s="6">
        <x:v>46258.29922538195</x:v>
      </x:c>
      <x:c r="I3742" s="0"/>
      <x:c r="J3742" s="0"/>
      <x:c r="K3742" s="6">
        <x:v>46293</x:v>
      </x:c>
      <x:c r="L3742" t="str" s="2">
        <x:v>Message Sent</x:v>
      </x:c>
    </x:row>
    <x:row r="3743">
      <x:c r="A3743" t="str" s="2">
        <x:f>="Oscar Parra"</x:f>
      </x:c>
      <x:c r="B3743" t="str" s="2">
        <x:v>Heritage Housing of Tulsa</x:v>
      </x:c>
      <x:c r="C3743" t="str" s="2">
        <x:v/>
      </x:c>
      <x:c r="D3743" t="str" s="2">
        <x:v>7146122006</x:v>
      </x:c>
      <x:c r="E3743" t="str" s="2">
        <x:v>cordain7@gmail.com</x:v>
      </x:c>
      <x:c r="F3743" t="str" s="2">
        <x:v>Landing_BPM</x:v>
      </x:c>
      <x:c r="G3743" t="str" s="2">
        <x:v>Jenna Fransisco</x:v>
      </x:c>
      <x:c r="H3743" s="6">
        <x:v>46258.379450775465</x:v>
      </x:c>
      <x:c r="I3743" s="0"/>
      <x:c r="J3743" s="0"/>
      <x:c r="K3743" s="6">
        <x:v>46259</x:v>
      </x:c>
      <x:c r="L3743" t="str" s="2">
        <x:v>Message Sent</x:v>
      </x:c>
    </x:row>
    <x:row r="3744">
      <x:c r="A3744" t="str" s="2">
        <x:f>="Cindy Briner"</x:f>
      </x:c>
      <x:c r="B3744" t="str" s="2">
        <x:v>Heritage Housing of Tulsa</x:v>
      </x:c>
      <x:c r="C3744" t="str" s="2">
        <x:v/>
      </x:c>
      <x:c r="D3744" t="str" s="2">
        <x:v>5393224242</x:v>
      </x:c>
      <x:c r="E3744" t="str" s="2">
        <x:v>cindykbriner@gmail.com</x:v>
      </x:c>
      <x:c r="F3744" t="str" s="2">
        <x:v>Landing_BPM</x:v>
      </x:c>
      <x:c r="G3744" t="str" s="2">
        <x:v>Jenna Fransisco</x:v>
      </x:c>
      <x:c r="H3744" s="6">
        <x:v>46258.59002418981</x:v>
      </x:c>
      <x:c r="I3744" s="0"/>
      <x:c r="J3744" s="0"/>
      <x:c r="K3744" s="6">
        <x:v>46262</x:v>
      </x:c>
      <x:c r="L3744" t="str" s="2">
        <x:v>Message Sent</x:v>
      </x:c>
    </x:row>
    <x:row r="3745">
      <x:c r="A3745" t="str" s="2">
        <x:f>="Katherine Turner"</x:f>
      </x:c>
      <x:c r="B3745" t="str" s="2">
        <x:v>Heritage Housing of Augusta</x:v>
      </x:c>
      <x:c r="C3745" t="str" s="2">
        <x:v/>
      </x:c>
      <x:c r="D3745" t="str" s="2">
        <x:v>706-831-0740</x:v>
      </x:c>
      <x:c r="E3745" t="str" s="2">
        <x:v>krta07agosto1985@outlook.com</x:v>
      </x:c>
      <x:c r="F3745" t="str" s="2">
        <x:v>Landing_BPM</x:v>
      </x:c>
      <x:c r="G3745" t="str" s="2">
        <x:v>Faye Lively</x:v>
      </x:c>
      <x:c r="H3745" s="6">
        <x:v>46258.61277947917</x:v>
      </x:c>
      <x:c r="I3745" s="0"/>
      <x:c r="J3745" s="0"/>
      <x:c r="K3745" s="6">
        <x:v>46273</x:v>
      </x:c>
      <x:c r="L3745" t="str" s="2">
        <x:v>Message Sent</x:v>
      </x:c>
    </x:row>
    <x:row r="3746">
      <x:c r="A3746" t="str" s="2">
        <x:f>="William Reed Reed"</x:f>
      </x:c>
      <x:c r="B3746" t="str" s="2">
        <x:v>Legacy Housing Corp. DBA Americasa</x:v>
      </x:c>
      <x:c r="C3746" t="str" s="2">
        <x:v/>
      </x:c>
      <x:c r="D3746" t="str" s="2">
        <x:v>7137256210</x:v>
      </x:c>
      <x:c r="E3746" t="str" s="2">
        <x:v>william.cellance@gmail.com</x:v>
      </x:c>
      <x:c r="F3746" t="str" s="2">
        <x:v>Landing_BPM</x:v>
      </x:c>
      <x:c r="G3746" t="str" s="2">
        <x:v>Jose Parada</x:v>
      </x:c>
      <x:c r="H3746" s="6">
        <x:v>46258.67669302083</x:v>
      </x:c>
      <x:c r="I3746" s="0"/>
      <x:c r="J3746" s="0"/>
      <x:c r="K3746" s="6">
        <x:v>46296</x:v>
      </x:c>
      <x:c r="L3746" t="str" s="2">
        <x:v>Message Sent</x:v>
      </x:c>
    </x:row>
    <x:row r="3747">
      <x:c r="A3747" t="str" s="2">
        <x:f>="Rafsel Lara"</x:f>
      </x:c>
      <x:c r="B3747" t="str" s="2">
        <x:v>Heritage Housing of Canton</x:v>
      </x:c>
      <x:c r="C3747" t="str" s="2">
        <x:v/>
      </x:c>
      <x:c r="D3747" t="str" s="2">
        <x:v>9403772058</x:v>
      </x:c>
      <x:c r="E3747" t="str" s="2">
        <x:v>rafaelmejia881@gmail.com</x:v>
      </x:c>
      <x:c r="F3747" t="str" s="2">
        <x:v>Landing_BPM</x:v>
      </x:c>
      <x:c r="G3747" t="str" s="2">
        <x:v>Maira Garcia</x:v>
      </x:c>
      <x:c r="H3747" s="6">
        <x:v>46258.67871450231</x:v>
      </x:c>
      <x:c r="I3747" s="0"/>
      <x:c r="J3747" s="0"/>
      <x:c r="K3747" s="6">
        <x:v>46259</x:v>
      </x:c>
      <x:c r="L3747" t="str" s="2">
        <x:v>Message Sent</x:v>
      </x:c>
    </x:row>
    <x:row r="3748">
      <x:c r="A3748" t="str" s="2">
        <x:f>=HYPERLINK("https://rsms.futurehomex.com/lead/39357", "Brianna Burgess")</x:f>
      </x:c>
      <x:c r="B3748" t="str" s="2">
        <x:v>Heritage Housing of Athens</x:v>
      </x:c>
      <x:c r="C3748" t="str" s="2">
        <x:v/>
      </x:c>
      <x:c r="D3748" t="str" s="2">
        <x:v>6678516108</x:v>
      </x:c>
      <x:c r="E3748" t="str" s="2">
        <x:v>briannaboggus98@gmail.com</x:v>
      </x:c>
      <x:c r="F3748" t="str" s="2">
        <x:v>Facebook Messenger</x:v>
      </x:c>
      <x:c r="G3748" t="str" s="2">
        <x:v>Nathan Bishop</x:v>
      </x:c>
      <x:c r="H3748" s="6">
        <x:v>46258.722560532406</x:v>
      </x:c>
      <x:c r="I3748" t="str" s="2">
        <x:v>Nathan Bishop</x:v>
      </x:c>
      <x:c r="J3748" s="0"/>
      <x:c r="K3748" s="6">
        <x:v>46284</x:v>
      </x:c>
      <x:c r="L3748" t="str" s="2">
        <x:v>Message Sent</x:v>
      </x:c>
    </x:row>
    <x:row r="3749">
      <x:c r="A3749" t="str" s="2">
        <x:f>="Margaret Leblanc"</x:f>
      </x:c>
      <x:c r="B3749" t="str" s="2">
        <x:v>Heritage Housing of Jennings</x:v>
      </x:c>
      <x:c r="C3749" t="str" s="2">
        <x:v/>
      </x:c>
      <x:c r="D3749" t="str" s="2">
        <x:v>3373211616</x:v>
      </x:c>
      <x:c r="E3749" t="str" s="2">
        <x:v>nylaskye2020@gmail.com</x:v>
      </x:c>
      <x:c r="F3749" t="str" s="2">
        <x:v>Landing_BPM</x:v>
      </x:c>
      <x:c r="G3749" t="str" s="2">
        <x:v>Clint O'Neal</x:v>
      </x:c>
      <x:c r="H3749" s="6">
        <x:v>46258.73434579861</x:v>
      </x:c>
      <x:c r="I3749" s="0"/>
      <x:c r="J3749" s="0"/>
      <x:c r="K3749" s="6">
        <x:v>46302.692404016205</x:v>
      </x:c>
      <x:c r="L3749" t="str" s="2">
        <x:v>Message Sent</x:v>
      </x:c>
    </x:row>
    <x:row r="3750">
      <x:c r="A3750" t="str" s="2">
        <x:f>="Micah Prejean"</x:f>
      </x:c>
      <x:c r="B3750" t="str" s="2">
        <x:v>Heritage Housing of Jennings</x:v>
      </x:c>
      <x:c r="C3750" t="str" s="2">
        <x:v/>
      </x:c>
      <x:c r="D3750" t="str" s="2">
        <x:v>3377048294</x:v>
      </x:c>
      <x:c r="E3750" t="str" s="2">
        <x:v>micahprejean2018@gmail.com</x:v>
      </x:c>
      <x:c r="F3750" t="str" s="2">
        <x:v>Landing_BPM</x:v>
      </x:c>
      <x:c r="G3750" t="str" s="2">
        <x:v>Mervin Leslie Smith</x:v>
      </x:c>
      <x:c r="H3750" s="6">
        <x:v>46258.74907546296</x:v>
      </x:c>
      <x:c r="I3750" s="0"/>
      <x:c r="J3750" s="0"/>
      <x:c r="K3750" s="6">
        <x:v>46302.693150231484</x:v>
      </x:c>
      <x:c r="L3750" t="str" s="2">
        <x:v>Message Sent</x:v>
      </x:c>
    </x:row>
    <x:row r="3751">
      <x:c r="A3751" t="str" s="2">
        <x:f>="Joshua Provence"</x:f>
      </x:c>
      <x:c r="B3751" t="str" s="2">
        <x:v>Heritage Housing of Tulsa</x:v>
      </x:c>
      <x:c r="C3751" t="str" s="2">
        <x:v/>
      </x:c>
      <x:c r="D3751" t="str" s="2">
        <x:v>9189659089</x:v>
      </x:c>
      <x:c r="E3751" t="str" s="2">
        <x:v>jprovence390819@gmail.com</x:v>
      </x:c>
      <x:c r="F3751" t="str" s="2">
        <x:v>Landing_BPM</x:v>
      </x:c>
      <x:c r="G3751" t="str" s="2">
        <x:v>Jenna Fransisco</x:v>
      </x:c>
      <x:c r="H3751" s="6">
        <x:v>46258.74986153935</x:v>
      </x:c>
      <x:c r="I3751" s="0"/>
      <x:c r="J3751" s="0"/>
      <x:c r="K3751" s="6">
        <x:v>46258</x:v>
      </x:c>
      <x:c r="L3751" t="str" s="2">
        <x:v>Message Sent</x:v>
      </x:c>
    </x:row>
    <x:row r="3752">
      <x:c r="A3752" t="str" s="2">
        <x:f>="Lejawn Celestine"</x:f>
      </x:c>
      <x:c r="B3752" t="str" s="2">
        <x:v>Heritage Housing of Jennings</x:v>
      </x:c>
      <x:c r="C3752" t="str" s="2">
        <x:v/>
      </x:c>
      <x:c r="D3752" t="str" s="2">
        <x:v>3373580247</x:v>
      </x:c>
      <x:c r="E3752" t="str" s="2">
        <x:v>L.celestine@aol.com</x:v>
      </x:c>
      <x:c r="F3752" t="str" s="2">
        <x:v>Landing_BPM</x:v>
      </x:c>
      <x:c r="G3752" t="str" s="2">
        <x:v>Mervin Leslie Smith</x:v>
      </x:c>
      <x:c r="H3752" s="6">
        <x:v>46258.82075575231</x:v>
      </x:c>
      <x:c r="I3752" s="0"/>
      <x:c r="J3752" s="0"/>
      <x:c r="K3752" s="6">
        <x:v>46302.6935284375</x:v>
      </x:c>
      <x:c r="L3752" t="str" s="2">
        <x:v>Message Sent</x:v>
      </x:c>
    </x:row>
    <x:row r="3753">
      <x:c r="A3753" t="str" s="2">
        <x:f>="Rhonda Davis"</x:f>
      </x:c>
      <x:c r="B3753" t="str" s="2">
        <x:v>Heritage Housing Marble Falls</x:v>
      </x:c>
      <x:c r="C3753" t="str" s="2">
        <x:v/>
      </x:c>
      <x:c r="D3753" t="str" s="2">
        <x:v>8302203981</x:v>
      </x:c>
      <x:c r="E3753" t="str" s="2">
        <x:v>snapcracklepop18@yahoo.com</x:v>
      </x:c>
      <x:c r="F3753" t="str" s="2">
        <x:v>Walk-in</x:v>
      </x:c>
      <x:c r="G3753" s="0"/>
      <x:c r="H3753" s="6">
        <x:v>46258.84146091435</x:v>
      </x:c>
      <x:c r="I3753" s="0"/>
      <x:c r="J3753" s="0"/>
      <x:c r="K3753" s="6">
        <x:v>46274</x:v>
      </x:c>
      <x:c r="L3753" t="str" s="2">
        <x:v>Message Sent</x:v>
      </x:c>
    </x:row>
    <x:row r="3754">
      <x:c r="A3754" t="str" s="2">
        <x:f>="Cynthia Green"</x:f>
      </x:c>
      <x:c r="B3754" t="str" s="2">
        <x:v>Heritage Housing of Asheboro</x:v>
      </x:c>
      <x:c r="C3754" t="str" s="2">
        <x:v/>
      </x:c>
      <x:c r="D3754" t="str" s="2">
        <x:v>3369649374</x:v>
      </x:c>
      <x:c r="E3754" t="str" s="2">
        <x:v>cynthiagreen192@yahoo.com</x:v>
      </x:c>
      <x:c r="F3754" t="str" s="2">
        <x:v>LandingPage</x:v>
      </x:c>
      <x:c r="G3754" t="str" s="2">
        <x:v>Maria Lopez</x:v>
      </x:c>
      <x:c r="H3754" s="6">
        <x:v>46258.856792094906</x:v>
      </x:c>
      <x:c r="I3754" s="0"/>
      <x:c r="J3754" s="0"/>
      <x:c r="K3754" s="6">
        <x:v>46259</x:v>
      </x:c>
      <x:c r="L3754" t="str" s="2">
        <x:v>Message Sent</x:v>
      </x:c>
    </x:row>
    <x:row r="3755">
      <x:c r="A3755" t="str" s="2">
        <x:f>=HYPERLINK("https://rsms.futurehomex.com/lead/39385", "Luis Maldonado")</x:f>
      </x:c>
      <x:c r="B3755" t="str" s="2">
        <x:v>Legacy Housing Corp. DBA Americasa</x:v>
      </x:c>
      <x:c r="C3755" t="str" s="2">
        <x:v/>
      </x:c>
      <x:c r="D3755" t="str" s="2">
        <x:v>9363715124</x:v>
      </x:c>
      <x:c r="E3755" t="str" s="2">
        <x:v>luisg13maldonado@gmail.com</x:v>
      </x:c>
      <x:c r="F3755" t="str" s="2">
        <x:v>Financing Form</x:v>
      </x:c>
      <x:c r="G3755" t="str" s="2">
        <x:v>Rodrigo Ramirez</x:v>
      </x:c>
      <x:c r="H3755" s="6">
        <x:v>46258.87253090278</x:v>
      </x:c>
      <x:c r="I3755" t="str" s="2">
        <x:v>Jose Parada</x:v>
      </x:c>
      <x:c r="J3755" s="0"/>
      <x:c r="K3755" s="6">
        <x:v>46258</x:v>
      </x:c>
      <x:c r="L3755" t="str" s="2">
        <x:v>Message Sent</x:v>
      </x:c>
    </x:row>
    <x:row r="3756">
      <x:c r="A3756" t="str" s="2">
        <x:f>="Latashae Mosley"</x:f>
      </x:c>
      <x:c r="B3756" t="str" s="2">
        <x:v>Heritage Housing of Augusta</x:v>
      </x:c>
      <x:c r="C3756" t="str" s="2">
        <x:v/>
      </x:c>
      <x:c r="D3756" t="str" s="2">
        <x:v>8042296013</x:v>
      </x:c>
      <x:c r="E3756" t="str" s="2">
        <x:v>latashaemosley1@gmail.com</x:v>
      </x:c>
      <x:c r="F3756" t="str" s="2">
        <x:v>Landing_BPM</x:v>
      </x:c>
      <x:c r="G3756" t="str" s="2">
        <x:v>Faye Lively</x:v>
      </x:c>
      <x:c r="H3756" s="6">
        <x:v>46258.87359313657</x:v>
      </x:c>
      <x:c r="I3756" s="0"/>
      <x:c r="J3756" s="0"/>
      <x:c r="K3756" s="6">
        <x:v>46273</x:v>
      </x:c>
      <x:c r="L3756" t="str" s="2">
        <x:v>Message Sent</x:v>
      </x:c>
    </x:row>
    <x:row r="3757">
      <x:c r="A3757" t="str" s="2">
        <x:f>="Angela Long"</x:f>
      </x:c>
      <x:c r="B3757" t="str" s="2">
        <x:v>Heritage Housing of Greenville</x:v>
      </x:c>
      <x:c r="C3757" t="str" s="2">
        <x:v/>
      </x:c>
      <x:c r="D3757" t="str" s="2">
        <x:v>6824546250</x:v>
      </x:c>
      <x:c r="E3757" t="str" s="2">
        <x:v>joan22372@gmail.com</x:v>
      </x:c>
      <x:c r="F3757" t="str" s="2">
        <x:v>Landing_BPM</x:v>
      </x:c>
      <x:c r="G3757" t="str" s="2">
        <x:v>Brooklynn Allen</x:v>
      </x:c>
      <x:c r="H3757" s="6">
        <x:v>46258.88831863426</x:v>
      </x:c>
      <x:c r="I3757" s="0"/>
      <x:c r="J3757" s="0"/>
      <x:c r="K3757" s="6">
        <x:v>46267</x:v>
      </x:c>
      <x:c r="L3757" t="str" s="2">
        <x:v>Message Sent</x:v>
      </x:c>
    </x:row>
    <x:row r="3758">
      <x:c r="A3758" t="str" s="2">
        <x:f>="Adaima Gonzalez"</x:f>
      </x:c>
      <x:c r="B3758" t="str" s="2">
        <x:v>Legacy Housing Corp. DBA Americasa</x:v>
      </x:c>
      <x:c r="C3758" t="str" s="2">
        <x:v/>
      </x:c>
      <x:c r="D3758" t="str" s="2">
        <x:v>3466078470</x:v>
      </x:c>
      <x:c r="E3758" t="str" s="2">
        <x:v>anabertico2008@gmail.com</x:v>
      </x:c>
      <x:c r="F3758" t="str" s="2">
        <x:v>Landing_BPM</x:v>
      </x:c>
      <x:c r="G3758" t="str" s="2">
        <x:v>Rodrigo Ramirez</x:v>
      </x:c>
      <x:c r="H3758" s="6">
        <x:v>46258.92956033565</x:v>
      </x:c>
      <x:c r="I3758" s="0"/>
      <x:c r="J3758" s="0"/>
      <x:c r="K3758" s="6">
        <x:v>46296</x:v>
      </x:c>
      <x:c r="L3758" t="str" s="2">
        <x:v>Message Sent</x:v>
      </x:c>
    </x:row>
    <x:row r="3759">
      <x:c r="A3759" t="str" s="2">
        <x:f>=HYPERLINK("https://rsms.futurehomex.com/lead/40678", "Sharon Sterling")</x:f>
      </x:c>
      <x:c r="B3759" t="str" s="2">
        <x:v>Heritage Housing of Asheboro</x:v>
      </x:c>
      <x:c r="C3759" t="str" s="2">
        <x:v/>
      </x:c>
      <x:c r="D3759" t="str" s="2">
        <x:v>7046488162</x:v>
      </x:c>
      <x:c r="E3759" t="str" s="2">
        <x:v>shrn_sterling@yahoo.com</x:v>
      </x:c>
      <x:c r="F3759" t="str" s="2">
        <x:v>Landing_BPM</x:v>
      </x:c>
      <x:c r="G3759" t="str" s="2">
        <x:v>Maria Lopez</x:v>
      </x:c>
      <x:c r="H3759" s="6">
        <x:v>46258.93076623842</x:v>
      </x:c>
      <x:c r="I3759" t="str" s="2">
        <x:v>Kate Gutierrez</x:v>
      </x:c>
      <x:c r="J3759" s="0"/>
      <x:c r="K3759" s="6">
        <x:v>46262</x:v>
      </x:c>
      <x:c r="L3759" t="str" s="2">
        <x:v>Message Sent</x:v>
      </x:c>
    </x:row>
    <x:row r="3760">
      <x:c r="A3760" t="str" s="2">
        <x:f>="Melissa Miguez"</x:f>
      </x:c>
      <x:c r="B3760" t="str" s="2">
        <x:v>Heritage Housing of Jennings</x:v>
      </x:c>
      <x:c r="C3760" t="str" s="2">
        <x:v/>
      </x:c>
      <x:c r="D3760" t="str" s="2">
        <x:v>3374077456</x:v>
      </x:c>
      <x:c r="E3760" t="str" s="2">
        <x:v>mmiguez00337@gmail.com</x:v>
      </x:c>
      <x:c r="F3760" t="str" s="2">
        <x:v>Landing_BPM</x:v>
      </x:c>
      <x:c r="G3760" t="str" s="2">
        <x:v>Clint O'Neal</x:v>
      </x:c>
      <x:c r="H3760" s="6">
        <x:v>46258.98575436343</x:v>
      </x:c>
      <x:c r="I3760" s="0"/>
      <x:c r="J3760" s="0"/>
      <x:c r="K3760" s="6">
        <x:v>46302.693952002315</x:v>
      </x:c>
      <x:c r="L3760" t="str" s="2">
        <x:v>Message Sent</x:v>
      </x:c>
    </x:row>
    <x:row r="3761">
      <x:c r="A3761" t="str" s="2">
        <x:f>="Ronaldshare RonaldshareDM"</x:f>
      </x:c>
      <x:c r="B3761" t="str" s="2">
        <x:v>Heritage Housing of Greenville</x:v>
      </x:c>
      <x:c r="C3761" t="str" s="2">
        <x:v/>
      </x:c>
      <x:c r="D3761" t="str" s="2">
        <x:v>85744228534</x:v>
      </x:c>
      <x:c r="E3761" t="str" s="2">
        <x:v>bdcmpbg@ieucxoe.her</x:v>
      </x:c>
      <x:c r="F3761" t="str" s="2">
        <x:v>Website</x:v>
      </x:c>
      <x:c r="G3761" t="str" s="2">
        <x:v>Brooklynn Allen</x:v>
      </x:c>
      <x:c r="H3761" s="6">
        <x:v>46259.0383065625</x:v>
      </x:c>
      <x:c r="I3761" s="0"/>
      <x:c r="J3761" s="0"/>
      <x:c r="K3761" s="6">
        <x:v>46259</x:v>
      </x:c>
      <x:c r="L3761" t="str" s="2">
        <x:v>Message Sent</x:v>
      </x:c>
    </x:row>
    <x:row r="3762">
      <x:c r="A3762" t="str" s="2">
        <x:f>="Misty Johnson"</x:f>
      </x:c>
      <x:c r="B3762" t="str" s="2">
        <x:v>Heritage Housing Mt Pleasant</x:v>
      </x:c>
      <x:c r="C3762" t="str" s="2">
        <x:v/>
      </x:c>
      <x:c r="D3762" t="str" s="2">
        <x:v>3187808838</x:v>
      </x:c>
      <x:c r="E3762" t="str" s="2">
        <x:v>delacruzmisty075@gmail.com</x:v>
      </x:c>
      <x:c r="F3762" t="str" s="2">
        <x:v>Landing_BPM</x:v>
      </x:c>
      <x:c r="G3762" t="str" s="2">
        <x:v>Sandra Saldana</x:v>
      </x:c>
      <x:c r="H3762" s="6">
        <x:v>46259.057179131945</x:v>
      </x:c>
      <x:c r="I3762" s="0"/>
      <x:c r="J3762" s="0"/>
      <x:c r="K3762" s="6">
        <x:v>46260</x:v>
      </x:c>
      <x:c r="L3762" t="str" s="2">
        <x:v>Message Sent</x:v>
      </x:c>
    </x:row>
    <x:row r="3763">
      <x:c r="A3763" t="str" s="2">
        <x:f>="Rose Ruiz"</x:f>
      </x:c>
      <x:c r="B3763" t="str" s="2">
        <x:v>Heritage Housing of Asheboro</x:v>
      </x:c>
      <x:c r="C3763" t="str" s="2">
        <x:v/>
      </x:c>
      <x:c r="D3763" t="str" s="2">
        <x:v>7044215466</x:v>
      </x:c>
      <x:c r="E3763" t="str" s="2">
        <x:v>1988rmrr@gmail.com</x:v>
      </x:c>
      <x:c r="F3763" t="str" s="2">
        <x:v>Landing_BPM</x:v>
      </x:c>
      <x:c r="G3763" t="str" s="2">
        <x:v>Maria Lopez</x:v>
      </x:c>
      <x:c r="H3763" s="6">
        <x:v>46259.079375381945</x:v>
      </x:c>
      <x:c r="I3763" s="0"/>
      <x:c r="J3763" s="0"/>
      <x:c r="K3763" s="6">
        <x:v>46307</x:v>
      </x:c>
      <x:c r="L3763" t="str" s="2">
        <x:v>Message Sent</x:v>
      </x:c>
    </x:row>
    <x:row r="3764">
      <x:c r="A3764" t="str" s="2">
        <x:f>="Cindy Trammell"</x:f>
      </x:c>
      <x:c r="B3764" t="str" s="2">
        <x:v>Heritage Housing Mt Pleasant</x:v>
      </x:c>
      <x:c r="C3764" t="str" s="2">
        <x:v/>
      </x:c>
      <x:c r="D3764" t="str" s="2">
        <x:v>4698074021</x:v>
      </x:c>
      <x:c r="E3764" t="str" s="2">
        <x:v>cindytrammell10111957@gmail.com</x:v>
      </x:c>
      <x:c r="F3764" t="str" s="2">
        <x:v>Landing_BPM</x:v>
      </x:c>
      <x:c r="G3764" t="str" s="2">
        <x:v>Sandra Saldana</x:v>
      </x:c>
      <x:c r="H3764" s="6">
        <x:v>46259.12487133102</x:v>
      </x:c>
      <x:c r="I3764" s="0"/>
      <x:c r="J3764" s="0"/>
      <x:c r="K3764" s="6">
        <x:v>46259</x:v>
      </x:c>
      <x:c r="L3764" t="str" s="2">
        <x:v>Message Sent</x:v>
      </x:c>
    </x:row>
    <x:row r="3765">
      <x:c r="A3765" t="str" s="2">
        <x:f>="Paula Cox"</x:f>
      </x:c>
      <x:c r="B3765" t="str" s="2">
        <x:v>Heritage Housing Gainesville</x:v>
      </x:c>
      <x:c r="C3765" t="str" s="2">
        <x:v/>
      </x:c>
      <x:c r="D3765" t="str" s="2">
        <x:v>4093101004</x:v>
      </x:c>
      <x:c r="E3765" t="str" s="2">
        <x:v>psrc63@gmail.com</x:v>
      </x:c>
      <x:c r="F3765" t="str" s="2">
        <x:v>Landing_BPM</x:v>
      </x:c>
      <x:c r="G3765" t="str" s="2">
        <x:v>Kelly Ford</x:v>
      </x:c>
      <x:c r="H3765" s="6">
        <x:v>46259.1326940625</x:v>
      </x:c>
      <x:c r="I3765" s="0"/>
      <x:c r="J3765" s="0"/>
      <x:c r="K3765" s="6">
        <x:v>46297</x:v>
      </x:c>
      <x:c r="L3765" t="str" s="2">
        <x:v>Message Sent</x:v>
      </x:c>
    </x:row>
    <x:row r="3766">
      <x:c r="A3766" t="str" s="2">
        <x:f>="Jesus Aguirre"</x:f>
      </x:c>
      <x:c r="B3766" t="str" s="2">
        <x:v>Heritage Housing Gainesville</x:v>
      </x:c>
      <x:c r="C3766" t="str" s="2">
        <x:v/>
      </x:c>
      <x:c r="D3766" t="str" s="2">
        <x:v>4699341432</x:v>
      </x:c>
      <x:c r="E3766" t="str" s="2">
        <x:v>jesusmaguirre834@gmail.com</x:v>
      </x:c>
      <x:c r="F3766" t="str" s="2">
        <x:v>Landing_BPM</x:v>
      </x:c>
      <x:c r="G3766" t="str" s="2">
        <x:v>Kelly Ford</x:v>
      </x:c>
      <x:c r="H3766" s="6">
        <x:v>46259.13417596065</x:v>
      </x:c>
      <x:c r="I3766" s="0"/>
      <x:c r="J3766" s="0"/>
      <x:c r="K3766" s="6">
        <x:v>46297</x:v>
      </x:c>
      <x:c r="L3766" t="str" s="2">
        <x:v>Message Sent</x:v>
      </x:c>
    </x:row>
    <x:row r="3767">
      <x:c r="A3767" t="str" s="2">
        <x:f>="Dynea Moore"</x:f>
      </x:c>
      <x:c r="B3767" t="str" s="2">
        <x:v>Legacy Housing Corp. DBA Americasa</x:v>
      </x:c>
      <x:c r="C3767" t="str" s="2">
        <x:v/>
      </x:c>
      <x:c r="D3767" t="str" s="2">
        <x:v>8325499439</x:v>
      </x:c>
      <x:c r="E3767" t="str" s="2">
        <x:v>dy007yashun@yahoo.com</x:v>
      </x:c>
      <x:c r="F3767" t="str" s="2">
        <x:v>Landing_BPM</x:v>
      </x:c>
      <x:c r="G3767" t="str" s="2">
        <x:v>Jose Parada</x:v>
      </x:c>
      <x:c r="H3767" s="6">
        <x:v>46259.13775934028</x:v>
      </x:c>
      <x:c r="I3767" s="0"/>
      <x:c r="J3767" s="0"/>
      <x:c r="K3767" s="6">
        <x:v>46296</x:v>
      </x:c>
      <x:c r="L3767" t="str" s="2">
        <x:v>Message Sent</x:v>
      </x:c>
    </x:row>
    <x:row r="3768">
      <x:c r="A3768" t="str" s="2">
        <x:f>="Taryn Stokeling"</x:f>
      </x:c>
      <x:c r="B3768" t="str" s="2">
        <x:v>Heritage Housing of Asheboro</x:v>
      </x:c>
      <x:c r="C3768" t="str" s="2">
        <x:v/>
      </x:c>
      <x:c r="D3768" t="str" s="2">
        <x:v>3369627671</x:v>
      </x:c>
      <x:c r="E3768" t="str" s="2">
        <x:v>tlstokeling@gmail.com</x:v>
      </x:c>
      <x:c r="F3768" t="str" s="2">
        <x:v>Landing_BPM</x:v>
      </x:c>
      <x:c r="G3768" t="str" s="2">
        <x:v>Maria Lopez</x:v>
      </x:c>
      <x:c r="H3768" s="6">
        <x:v>46259.154578622685</x:v>
      </x:c>
      <x:c r="I3768" s="0"/>
      <x:c r="J3768" s="0"/>
      <x:c r="K3768" s="6">
        <x:v>46287</x:v>
      </x:c>
      <x:c r="L3768" t="str" s="2">
        <x:v>Message Sent</x:v>
      </x:c>
    </x:row>
    <x:row r="3769">
      <x:c r="A3769" t="str" s="2">
        <x:f>="jeda woodard"</x:f>
      </x:c>
      <x:c r="B3769" t="str" s="2">
        <x:v>Heritage Housing of Athens</x:v>
      </x:c>
      <x:c r="C3769" t="str" s="2">
        <x:v/>
      </x:c>
      <x:c r="D3769" t="str" s="2">
        <x:v>7066808848</x:v>
      </x:c>
      <x:c r="E3769" t="str" s="2">
        <x:v>jedawoodard@gmail.com</x:v>
      </x:c>
      <x:c r="F3769" t="str" s="2">
        <x:v>Landing_BPM</x:v>
      </x:c>
      <x:c r="G3769" t="str" s="2">
        <x:v>Nathan Bishop</x:v>
      </x:c>
      <x:c r="H3769" s="6">
        <x:v>46259.15501793982</x:v>
      </x:c>
      <x:c r="I3769" s="0"/>
      <x:c r="J3769" s="0"/>
      <x:c r="K3769" s="6">
        <x:v>46282</x:v>
      </x:c>
      <x:c r="L3769" t="str" s="2">
        <x:v>Message Sent</x:v>
      </x:c>
    </x:row>
    <x:row r="3770">
      <x:c r="A3770" t="str" s="2">
        <x:f>="Kristin Henderson"</x:f>
      </x:c>
      <x:c r="B3770" t="str" s="2">
        <x:v>Heritage Housing of Greenville</x:v>
      </x:c>
      <x:c r="C3770" t="str" s="2">
        <x:v>0/1</x:v>
      </x:c>
      <x:c r="D3770" t="str" s="2">
        <x:v>4694727198</x:v>
      </x:c>
      <x:c r="E3770" t="str" s="2">
        <x:v>khenderson2298@gmail.com</x:v>
      </x:c>
      <x:c r="F3770" t="str" s="2">
        <x:v>Landing_BPM</x:v>
      </x:c>
      <x:c r="G3770" t="str" s="2">
        <x:v>Greg Christman</x:v>
      </x:c>
      <x:c r="H3770" s="6">
        <x:v>46259.223103668985</x:v>
      </x:c>
      <x:c r="I3770" s="0"/>
      <x:c r="J3770" s="0"/>
      <x:c r="K3770" s="6">
        <x:v>46259</x:v>
      </x:c>
      <x:c r="L3770" t="str" s="2">
        <x:v>Message Sent</x:v>
      </x:c>
    </x:row>
    <x:row r="3771">
      <x:c r="A3771" t="str" s="2">
        <x:f>="Noelle Thomas"</x:f>
      </x:c>
      <x:c r="B3771" t="str" s="2">
        <x:v>Heritage Housing of Greenville</x:v>
      </x:c>
      <x:c r="C3771" t="str" s="2">
        <x:v/>
      </x:c>
      <x:c r="D3771" t="str" s="2">
        <x:v>9366710889</x:v>
      </x:c>
      <x:c r="E3771" t="str" s="2">
        <x:v>Noellejt2014@gmail.com</x:v>
      </x:c>
      <x:c r="F3771" t="str" s="2">
        <x:v>Landing_BPM</x:v>
      </x:c>
      <x:c r="G3771" t="str" s="2">
        <x:v>Brooklynn Allen</x:v>
      </x:c>
      <x:c r="H3771" s="6">
        <x:v>46259.26967954861</x:v>
      </x:c>
      <x:c r="I3771" s="0"/>
      <x:c r="J3771" s="0"/>
      <x:c r="K3771" s="6">
        <x:v>46267</x:v>
      </x:c>
      <x:c r="L3771" t="str" s="2">
        <x:v>Message Sent</x:v>
      </x:c>
    </x:row>
    <x:row r="3772">
      <x:c r="A3772" t="str" s="2">
        <x:f>="MarvinMig MarvinMigWE"</x:f>
      </x:c>
      <x:c r="B3772" t="str" s="2">
        <x:v>Heritage Housing of Greenville</x:v>
      </x:c>
      <x:c r="C3772" t="str" s="2">
        <x:v/>
      </x:c>
      <x:c r="D3772" t="str" s="2">
        <x:v>86854289989</x:v>
      </x:c>
      <x:c r="E3772" t="str" s="2">
        <x:v>pdhrwlx@wqteqxj.vsu</x:v>
      </x:c>
      <x:c r="F3772" t="str" s="2">
        <x:v>Website</x:v>
      </x:c>
      <x:c r="G3772" t="str" s="2">
        <x:v>Brooklynn Allen</x:v>
      </x:c>
      <x:c r="H3772" s="6">
        <x:v>46259.44337083333</x:v>
      </x:c>
      <x:c r="I3772" s="0"/>
      <x:c r="J3772" s="0"/>
      <x:c r="K3772" s="6">
        <x:v>46259</x:v>
      </x:c>
      <x:c r="L3772" t="str" s="2">
        <x:v>Message Sent</x:v>
      </x:c>
    </x:row>
    <x:row r="3773">
      <x:c r="A3773" t="str" s="2">
        <x:f>="MarvinMig MarvinMigWE"</x:f>
      </x:c>
      <x:c r="B3773" t="str" s="2">
        <x:v>Heritage Housing of Greenville</x:v>
      </x:c>
      <x:c r="C3773" t="str" s="2">
        <x:v/>
      </x:c>
      <x:c r="D3773" t="str" s="2">
        <x:v>85363851387</x:v>
      </x:c>
      <x:c r="E3773" t="str" s="2">
        <x:v>hectahp@bckvkcn.mis</x:v>
      </x:c>
      <x:c r="F3773" t="str" s="2">
        <x:v>Website</x:v>
      </x:c>
      <x:c r="G3773" t="str" s="2">
        <x:v>Brooklynn Allen</x:v>
      </x:c>
      <x:c r="H3773" s="6">
        <x:v>46259.45426403935</x:v>
      </x:c>
      <x:c r="I3773" s="0"/>
      <x:c r="J3773" s="0"/>
      <x:c r="K3773" s="6">
        <x:v>46259</x:v>
      </x:c>
      <x:c r="L3773" t="str" s="2">
        <x:v>Message Sent</x:v>
      </x:c>
    </x:row>
    <x:row r="3774">
      <x:c r="A3774" t="str" s="2">
        <x:f>="Naomi Dumas"</x:f>
      </x:c>
      <x:c r="B3774" t="str" s="2">
        <x:v>Heritage Housing of Albany</x:v>
      </x:c>
      <x:c r="C3774" t="str" s="2">
        <x:v/>
      </x:c>
      <x:c r="D3774" t="str" s="2">
        <x:v>2296857014</x:v>
      </x:c>
      <x:c r="E3774" t="str" s="2">
        <x:v>shereyldumas@gmail.com</x:v>
      </x:c>
      <x:c r="F3774" t="str" s="2">
        <x:v>Landing_BPM</x:v>
      </x:c>
      <x:c r="G3774" t="str" s="2">
        <x:v>Yanet Alvarez</x:v>
      </x:c>
      <x:c r="H3774" s="6">
        <x:v>46259.52697288195</x:v>
      </x:c>
      <x:c r="I3774" s="0"/>
      <x:c r="J3774" s="0"/>
      <x:c r="K3774" s="6">
        <x:v>46302</x:v>
      </x:c>
      <x:c r="L3774" t="str" s="2">
        <x:v>Message Sent</x:v>
      </x:c>
    </x:row>
    <x:row r="3775">
      <x:c r="A3775" t="str" s="2">
        <x:f>="BRITTANY DOIRON"</x:f>
      </x:c>
      <x:c r="B3775" t="str" s="2">
        <x:v>Heritage Housing of Jennings</x:v>
      </x:c>
      <x:c r="C3775" t="str" s="2">
        <x:v/>
      </x:c>
      <x:c r="D3775" t="str" s="2">
        <x:v>3373358001</x:v>
      </x:c>
      <x:c r="E3775" t="str" s="2">
        <x:v>britd4383@gmail.com</x:v>
      </x:c>
      <x:c r="F3775" t="str" s="2">
        <x:v>Landing_BPM</x:v>
      </x:c>
      <x:c r="G3775" t="str" s="2">
        <x:v>Mervin Leslie Smith</x:v>
      </x:c>
      <x:c r="H3775" s="6">
        <x:v>46259.56283753472</x:v>
      </x:c>
      <x:c r="I3775" s="0"/>
      <x:c r="J3775" s="0"/>
      <x:c r="K3775" s="6">
        <x:v>46302.69459378472</x:v>
      </x:c>
      <x:c r="L3775" t="str" s="2">
        <x:v>Message Sent</x:v>
      </x:c>
    </x:row>
    <x:row r="3776">
      <x:c r="A3776" t="str" s="2">
        <x:f>="Alisha Wright"</x:f>
      </x:c>
      <x:c r="B3776" t="str" s="2">
        <x:v>Heritage Housing of Canton</x:v>
      </x:c>
      <x:c r="C3776" t="str" s="2">
        <x:v/>
      </x:c>
      <x:c r="D3776" t="str" s="2">
        <x:v>9723027962</x:v>
      </x:c>
      <x:c r="E3776" t="str" s="2">
        <x:v>amwright1975@gmail.com</x:v>
      </x:c>
      <x:c r="F3776" t="str" s="2">
        <x:v>LandingPage</x:v>
      </x:c>
      <x:c r="G3776" t="str" s="2">
        <x:v>Maira Garcia</x:v>
      </x:c>
      <x:c r="H3776" s="6">
        <x:v>46259.567886805555</x:v>
      </x:c>
      <x:c r="I3776" s="0"/>
      <x:c r="J3776" s="0"/>
      <x:c r="K3776" s="6">
        <x:v>46262</x:v>
      </x:c>
      <x:c r="L3776" t="str" s="2">
        <x:v>Message Sent</x:v>
      </x:c>
    </x:row>
    <x:row r="3777">
      <x:c r="A3777" t="str" s="2">
        <x:f>="Michael Hu Herring"</x:f>
      </x:c>
      <x:c r="B3777" t="str" s="2">
        <x:v>Heritage Housing of Asheboro</x:v>
      </x:c>
      <x:c r="C3777" t="str" s="2">
        <x:v/>
      </x:c>
      <x:c r="D3777" t="str" s="2">
        <x:v>7042212853</x:v>
      </x:c>
      <x:c r="E3777" t="str" s="2">
        <x:v>christopherherring813@gmail.com</x:v>
      </x:c>
      <x:c r="F3777" t="str" s="2">
        <x:v>Landing_BPM</x:v>
      </x:c>
      <x:c r="G3777" t="str" s="2">
        <x:v>Maria Lopez</x:v>
      </x:c>
      <x:c r="H3777" s="6">
        <x:v>46259.594878159725</x:v>
      </x:c>
      <x:c r="I3777" s="0"/>
      <x:c r="J3777" s="0"/>
      <x:c r="K3777" s="6">
        <x:v>46259</x:v>
      </x:c>
      <x:c r="L3777" t="str" s="2">
        <x:v>Message Sent</x:v>
      </x:c>
    </x:row>
    <x:row r="3778">
      <x:c r="A3778" t="str" s="2">
        <x:f>="Maria Ratcliff"</x:f>
      </x:c>
      <x:c r="B3778" t="str" s="2">
        <x:v>Legacy Housing Corp. DBA Americasa</x:v>
      </x:c>
      <x:c r="C3778" t="str" s="2">
        <x:v/>
      </x:c>
      <x:c r="D3778" t="str" s="2">
        <x:v>5124580976</x:v>
      </x:c>
      <x:c r="E3778" t="str" s="2">
        <x:v>laraelyons@yahoo.com</x:v>
      </x:c>
      <x:c r="F3778" t="str" s="2">
        <x:v>Landing_BPM</x:v>
      </x:c>
      <x:c r="G3778" t="str" s="2">
        <x:v>Rodrigo Ramirez</x:v>
      </x:c>
      <x:c r="H3778" s="6">
        <x:v>46259.627906863425</x:v>
      </x:c>
      <x:c r="I3778" s="0"/>
      <x:c r="J3778" s="0"/>
      <x:c r="K3778" s="6">
        <x:v>46296</x:v>
      </x:c>
      <x:c r="L3778" t="str" s="2">
        <x:v>Message Sent</x:v>
      </x:c>
    </x:row>
    <x:row r="3779">
      <x:c r="A3779" t="str" s="2">
        <x:f>="Brandon Miller"</x:f>
      </x:c>
      <x:c r="B3779" t="str" s="2">
        <x:v>Heritage Housing of Asheboro</x:v>
      </x:c>
      <x:c r="C3779" t="str" s="2">
        <x:v/>
      </x:c>
      <x:c r="D3779" t="str" s="2">
        <x:v>3365598752</x:v>
      </x:c>
      <x:c r="E3779" t="str" s="2">
        <x:v>beehive629@gmail.com</x:v>
      </x:c>
      <x:c r="F3779" t="str" s="2">
        <x:v>Landing_BPM</x:v>
      </x:c>
      <x:c r="G3779" t="str" s="2">
        <x:v>Maria Lopez</x:v>
      </x:c>
      <x:c r="H3779" s="6">
        <x:v>46259.651236921294</x:v>
      </x:c>
      <x:c r="I3779" s="0"/>
      <x:c r="J3779" s="0"/>
      <x:c r="K3779" s="6">
        <x:v>46259</x:v>
      </x:c>
      <x:c r="L3779" t="str" s="2">
        <x:v>Message Sent</x:v>
      </x:c>
    </x:row>
    <x:row r="3780">
      <x:c r="A3780" t="str" s="2">
        <x:f>="Tod Moody Moody"</x:f>
      </x:c>
      <x:c r="B3780" t="str" s="2">
        <x:v>Heritage Housing of Canton</x:v>
      </x:c>
      <x:c r="C3780" t="str" s="2">
        <x:v/>
      </x:c>
      <x:c r="D3780" t="str" s="2">
        <x:v>4699577650</x:v>
      </x:c>
      <x:c r="E3780" t="str" s="2">
        <x:v>moodytod1971@gmail.com</x:v>
      </x:c>
      <x:c r="F3780" t="str" s="2">
        <x:v>Landing_BPM</x:v>
      </x:c>
      <x:c r="G3780" t="str" s="2">
        <x:v>Maira Garcia</x:v>
      </x:c>
      <x:c r="H3780" s="6">
        <x:v>46259.652964664354</x:v>
      </x:c>
      <x:c r="I3780" s="0"/>
      <x:c r="J3780" s="0"/>
      <x:c r="K3780" s="6">
        <x:v>46259</x:v>
      </x:c>
      <x:c r="L3780" t="str" s="2">
        <x:v>Message Sent</x:v>
      </x:c>
    </x:row>
    <x:row r="3781">
      <x:c r="A3781" t="str" s="2">
        <x:f>="Holly Hayward"</x:f>
      </x:c>
      <x:c r="B3781" t="str" s="2">
        <x:v>Heritage Housing Marble Falls</x:v>
      </x:c>
      <x:c r="C3781" t="str" s="2">
        <x:v/>
      </x:c>
      <x:c r="D3781" t="str" s="2">
        <x:v>7373865319</x:v>
      </x:c>
      <x:c r="E3781" t="str" s="2">
        <x:v>hhayward7773@gmail.com</x:v>
      </x:c>
      <x:c r="F3781" t="str" s="2">
        <x:v>Landing_BPM</x:v>
      </x:c>
      <x:c r="G3781" t="str" s="2">
        <x:v>Stephen Sanders</x:v>
      </x:c>
      <x:c r="H3781" s="6">
        <x:v>46259.67575459491</x:v>
      </x:c>
      <x:c r="I3781" s="0"/>
      <x:c r="J3781" s="0"/>
      <x:c r="K3781" s="6">
        <x:v>46274</x:v>
      </x:c>
      <x:c r="L3781" t="str" s="2">
        <x:v>Message Sent</x:v>
      </x:c>
    </x:row>
    <x:row r="3782">
      <x:c r="A3782" t="str" s="2">
        <x:f>=HYPERLINK("https://rsms.futurehomex.com/lead/39388", "Robert Felder")</x:f>
      </x:c>
      <x:c r="B3782" t="str" s="2">
        <x:v>Legacy Housing Corp. DBA Americasa</x:v>
      </x:c>
      <x:c r="C3782" t="str" s="2">
        <x:v/>
      </x:c>
      <x:c r="D3782" t="str" s="2">
        <x:v>3468689014</x:v>
      </x:c>
      <x:c r="E3782" t="str" s="2">
        <x:v>robertfelder56@yahoo.com</x:v>
      </x:c>
      <x:c r="F3782" t="str" s="2">
        <x:v>Landing_BPM</x:v>
      </x:c>
      <x:c r="G3782" t="str" s="2">
        <x:v>Rodrigo Ramirez</x:v>
      </x:c>
      <x:c r="H3782" s="6">
        <x:v>46259.68200555556</x:v>
      </x:c>
      <x:c r="I3782" t="str" s="2">
        <x:v>Joey Marquez</x:v>
      </x:c>
      <x:c r="J3782" s="0"/>
      <x:c r="K3782" s="6">
        <x:v>46259</x:v>
      </x:c>
      <x:c r="L3782" t="str" s="2">
        <x:v>Message Sent</x:v>
      </x:c>
    </x:row>
    <x:row r="3783">
      <x:c r="A3783" t="str" s="2">
        <x:f>="Aaron Brown Brown"</x:f>
      </x:c>
      <x:c r="B3783" t="str" s="2">
        <x:v>Heritage Housing of Tulsa</x:v>
      </x:c>
      <x:c r="C3783" t="str" s="2">
        <x:v/>
      </x:c>
      <x:c r="D3783" t="str" s="2">
        <x:v>4054500151</x:v>
      </x:c>
      <x:c r="E3783" t="str" s="2">
        <x:v>welokvet@gmail.com</x:v>
      </x:c>
      <x:c r="F3783" t="str" s="2">
        <x:v>Landing_BPM</x:v>
      </x:c>
      <x:c r="G3783" t="str" s="2">
        <x:v>Jenna Fransisco</x:v>
      </x:c>
      <x:c r="H3783" s="6">
        <x:v>46259.68362241898</x:v>
      </x:c>
      <x:c r="I3783" s="0"/>
      <x:c r="J3783" s="0"/>
      <x:c r="K3783" s="6">
        <x:v>46261</x:v>
      </x:c>
      <x:c r="L3783" t="str" s="2">
        <x:v>Message Sent</x:v>
      </x:c>
    </x:row>
    <x:row r="3784">
      <x:c r="A3784" t="str" s="2">
        <x:f>=HYPERLINK("https://rsms.futurehomex.com/lead/39379", "Fernando Cruz")</x:f>
      </x:c>
      <x:c r="B3784" t="str" s="2">
        <x:v>Heritage Housing Marble Falls</x:v>
      </x:c>
      <x:c r="C3784" t="str" s="2">
        <x:v/>
      </x:c>
      <x:c r="D3784" t="str" s="2">
        <x:v>5128885689</x:v>
      </x:c>
      <x:c r="E3784" t="str" s="2">
        <x:v>5128885689</x:v>
      </x:c>
      <x:c r="F3784" t="str" s="2">
        <x:v>Meta Marketplace</x:v>
      </x:c>
      <x:c r="G3784" t="str" s="2">
        <x:v>Stephen Sanders</x:v>
      </x:c>
      <x:c r="H3784" s="6">
        <x:v>46259.704259722224</x:v>
      </x:c>
      <x:c r="I3784" t="str" s="2">
        <x:v>Stephen Sanders</x:v>
      </x:c>
      <x:c r="J3784" s="0"/>
      <x:c r="K3784" s="6">
        <x:v>46274</x:v>
      </x:c>
      <x:c r="L3784" t="str" s="2">
        <x:v>Message Sent</x:v>
      </x:c>
    </x:row>
    <x:row r="3785">
      <x:c r="A3785" t="str" s="2">
        <x:f>="Warren Siler"</x:f>
      </x:c>
      <x:c r="B3785" t="str" s="2">
        <x:v>Heritage Housing of Asheboro</x:v>
      </x:c>
      <x:c r="C3785" t="str" s="2">
        <x:v/>
      </x:c>
      <x:c r="D3785" t="str" s="2">
        <x:v>3364608537</x:v>
      </x:c>
      <x:c r="E3785" t="str" s="2">
        <x:v>warrensiler3@gmail.com</x:v>
      </x:c>
      <x:c r="F3785" t="str" s="2">
        <x:v>Website</x:v>
      </x:c>
      <x:c r="G3785" t="str" s="2">
        <x:v>Maria Lopez</x:v>
      </x:c>
      <x:c r="H3785" s="6">
        <x:v>46259.72367954861</x:v>
      </x:c>
      <x:c r="I3785" s="0"/>
      <x:c r="J3785" s="0"/>
      <x:c r="K3785" s="6">
        <x:v>46307</x:v>
      </x:c>
      <x:c r="L3785" t="str" s="2">
        <x:v>Message Sent</x:v>
      </x:c>
    </x:row>
    <x:row r="3786">
      <x:c r="A3786" t="str" s="2">
        <x:f>="Debra Black"</x:f>
      </x:c>
      <x:c r="B3786" t="str" s="2">
        <x:v>Legacy Housing Corp. DBA Americasa</x:v>
      </x:c>
      <x:c r="C3786" t="str" s="2">
        <x:v/>
      </x:c>
      <x:c r="D3786" t="str" s="2">
        <x:v>3466122621</x:v>
      </x:c>
      <x:c r="E3786" t="str" s="2">
        <x:v>beaniebaby2316@gmail.com</x:v>
      </x:c>
      <x:c r="F3786" t="str" s="2">
        <x:v>Landing_BPM</x:v>
      </x:c>
      <x:c r="G3786" t="str" s="2">
        <x:v>Jose Parada</x:v>
      </x:c>
      <x:c r="H3786" s="6">
        <x:v>46259.74915640046</x:v>
      </x:c>
      <x:c r="I3786" s="0"/>
      <x:c r="J3786" s="0"/>
      <x:c r="K3786" s="6">
        <x:v>46296</x:v>
      </x:c>
      <x:c r="L3786" t="str" s="2">
        <x:v>Message Sent</x:v>
      </x:c>
    </x:row>
    <x:row r="3787">
      <x:c r="A3787" t="str" s="2">
        <x:f>="LAALPHAMEA ANDERSON"</x:f>
      </x:c>
      <x:c r="B3787" t="str" s="2">
        <x:v>Heritage Housing of Jennings</x:v>
      </x:c>
      <x:c r="C3787" t="str" s="2">
        <x:v/>
      </x:c>
      <x:c r="D3787" t="str" s="2">
        <x:v>3375789486</x:v>
      </x:c>
      <x:c r="E3787" t="str" s="2">
        <x:v>laalphameaanderson@yahoo.com</x:v>
      </x:c>
      <x:c r="F3787" t="str" s="2">
        <x:v>Landing_BPM</x:v>
      </x:c>
      <x:c r="G3787" t="str" s="2">
        <x:v>Mervin Leslie Smith</x:v>
      </x:c>
      <x:c r="H3787" s="6">
        <x:v>46259.79495787037</x:v>
      </x:c>
      <x:c r="I3787" s="0"/>
      <x:c r="J3787" s="0"/>
      <x:c r="K3787" s="6">
        <x:v>46302.69499456019</x:v>
      </x:c>
      <x:c r="L3787" t="str" s="2">
        <x:v>Message Sent</x:v>
      </x:c>
    </x:row>
    <x:row r="3788">
      <x:c r="A3788" t="str" s="2">
        <x:f>="Jairo Zepeda"</x:f>
      </x:c>
      <x:c r="B3788" t="str" s="2">
        <x:v>Heritage Housing of Canton</x:v>
      </x:c>
      <x:c r="C3788" t="str" s="2">
        <x:v/>
      </x:c>
      <x:c r="D3788" t="str" s="2">
        <x:v>9033526419</x:v>
      </x:c>
      <x:c r="E3788" t="str" s="2">
        <x:v>sortor97@icloud.com</x:v>
      </x:c>
      <x:c r="F3788" t="str" s="2">
        <x:v>Landing_BPM</x:v>
      </x:c>
      <x:c r="G3788" t="str" s="2">
        <x:v>Maira Garcia</x:v>
      </x:c>
      <x:c r="H3788" s="6">
        <x:v>46259.819099733795</x:v>
      </x:c>
      <x:c r="I3788" s="0"/>
      <x:c r="J3788" s="0"/>
      <x:c r="K3788" s="6">
        <x:v>46260</x:v>
      </x:c>
      <x:c r="L3788" t="str" s="2">
        <x:v>Message Sent</x:v>
      </x:c>
    </x:row>
    <x:row r="3789">
      <x:c r="A3789" t="str" s="2">
        <x:f>="Ronald wells"</x:f>
      </x:c>
      <x:c r="B3789" t="str" s="2">
        <x:v>Heritage Housing of Augusta</x:v>
      </x:c>
      <x:c r="C3789" t="str" s="2">
        <x:v/>
      </x:c>
      <x:c r="D3789" t="str" s="2">
        <x:v>7065136133</x:v>
      </x:c>
      <x:c r="E3789" t="str" s="2">
        <x:v>dalew0456@gmail.com</x:v>
      </x:c>
      <x:c r="F3789" t="str" s="2">
        <x:v>Landing_BPM</x:v>
      </x:c>
      <x:c r="G3789" t="str" s="2">
        <x:v>Jennifer Johnson</x:v>
      </x:c>
      <x:c r="H3789" s="6">
        <x:v>46259.83094872685</x:v>
      </x:c>
      <x:c r="I3789" s="0"/>
      <x:c r="J3789" s="0"/>
      <x:c r="K3789" s="6">
        <x:v>46300</x:v>
      </x:c>
      <x:c r="L3789" t="str" s="2">
        <x:v>Message Sent</x:v>
      </x:c>
    </x:row>
    <x:row r="3790">
      <x:c r="A3790" t="str" s="2">
        <x:f>="McKayla Holland Arroyo"</x:f>
      </x:c>
      <x:c r="B3790" t="str" s="2">
        <x:v>Heritage Housing of Albany</x:v>
      </x:c>
      <x:c r="C3790" t="str" s="2">
        <x:v/>
      </x:c>
      <x:c r="D3790" t="str" s="2">
        <x:v>8284217416</x:v>
      </x:c>
      <x:c r="E3790" t="str" s="2">
        <x:v>hmacie041520@gmail.com</x:v>
      </x:c>
      <x:c r="F3790" t="str" s="2">
        <x:v>Landing_BPM</x:v>
      </x:c>
      <x:c r="G3790" t="str" s="2">
        <x:v>Yanet Alvarez</x:v>
      </x:c>
      <x:c r="H3790" s="6">
        <x:v>46259.838218206016</x:v>
      </x:c>
      <x:c r="I3790" s="0"/>
      <x:c r="J3790" s="0"/>
      <x:c r="K3790" s="6">
        <x:v>46302</x:v>
      </x:c>
      <x:c r="L3790" t="str" s="2">
        <x:v>Message Sent</x:v>
      </x:c>
    </x:row>
    <x:row r="3791">
      <x:c r="A3791" t="str" s="2">
        <x:f>=HYPERLINK("https://rsms.futurehomex.com/lead/39389", "Juan Garcia")</x:f>
      </x:c>
      <x:c r="B3791" t="str" s="2">
        <x:v>Heritage Housing of Greenville</x:v>
      </x:c>
      <x:c r="C3791" t="str" s="2">
        <x:v/>
      </x:c>
      <x:c r="D3791" t="str" s="2">
        <x:v>4699295560</x:v>
      </x:c>
      <x:c r="E3791" t="str" s="2">
        <x:v>texgamc@yahoo.com</x:v>
      </x:c>
      <x:c r="F3791" t="str" s="2">
        <x:v>Meta Ads - Forms</x:v>
      </x:c>
      <x:c r="G3791" t="str" s="2">
        <x:v>Brooklynn Allen</x:v>
      </x:c>
      <x:c r="H3791" s="6">
        <x:v>46259.84849042824</x:v>
      </x:c>
      <x:c r="I3791" t="str" s="2">
        <x:v>Brooklynn Allen</x:v>
      </x:c>
      <x:c r="J3791" s="0"/>
      <x:c r="K3791" s="6">
        <x:v>46267</x:v>
      </x:c>
      <x:c r="L3791" t="str" s="2">
        <x:v>Message Sent</x:v>
      </x:c>
    </x:row>
    <x:row r="3792">
      <x:c r="A3792" t="str" s="2">
        <x:f>="Brandy Anderson Anderson"</x:f>
      </x:c>
      <x:c r="B3792" t="str" s="2">
        <x:v>Heritage Housing of Asheboro</x:v>
      </x:c>
      <x:c r="C3792" t="str" s="2">
        <x:v/>
      </x:c>
      <x:c r="D3792" t="str" s="2">
        <x:v>8433251591</x:v>
      </x:c>
      <x:c r="E3792" t="str" s="2">
        <x:v>djbeeadams@gmail.com</x:v>
      </x:c>
      <x:c r="F3792" t="str" s="2">
        <x:v>Landing_BPM</x:v>
      </x:c>
      <x:c r="G3792" t="str" s="2">
        <x:v>Maria Lopez</x:v>
      </x:c>
      <x:c r="H3792" s="6">
        <x:v>46259.85038715278</x:v>
      </x:c>
      <x:c r="I3792" s="0"/>
      <x:c r="J3792" s="0"/>
      <x:c r="K3792" s="6">
        <x:v>46287</x:v>
      </x:c>
      <x:c r="L3792" t="str" s="2">
        <x:v>Message Sent</x:v>
      </x:c>
    </x:row>
    <x:row r="3793">
      <x:c r="A3793" t="str" s="2">
        <x:f>="Kathryn Martire"</x:f>
      </x:c>
      <x:c r="B3793" t="str" s="2">
        <x:v>Legacy Housing Corp. DBA Americasa</x:v>
      </x:c>
      <x:c r="C3793" t="str" s="2">
        <x:v/>
      </x:c>
      <x:c r="D3793" t="str" s="2">
        <x:v>4094993588</x:v>
      </x:c>
      <x:c r="E3793" t="str" s="2">
        <x:v>iamkatundone@gmail.com</x:v>
      </x:c>
      <x:c r="F3793" t="str" s="2">
        <x:v>Landing_BPM</x:v>
      </x:c>
      <x:c r="G3793" t="str" s="2">
        <x:v>Rodrigo Ramirez</x:v>
      </x:c>
      <x:c r="H3793" s="6">
        <x:v>46259.85144690972</x:v>
      </x:c>
      <x:c r="I3793" s="0"/>
      <x:c r="J3793" s="0"/>
      <x:c r="K3793" s="6">
        <x:v>46296</x:v>
      </x:c>
      <x:c r="L3793" t="str" s="2">
        <x:v>Message Sent</x:v>
      </x:c>
    </x:row>
    <x:row r="3794">
      <x:c r="A3794" t="str" s="2">
        <x:f>="Madisyn Morgan"</x:f>
      </x:c>
      <x:c r="B3794" t="str" s="2">
        <x:v>Heritage Housing of Asheboro</x:v>
      </x:c>
      <x:c r="C3794" t="str" s="2">
        <x:v/>
      </x:c>
      <x:c r="D3794" t="str" s="2">
        <x:v>3364550922</x:v>
      </x:c>
      <x:c r="E3794" t="str" s="2">
        <x:v>briannasmorgan18@gmail.com</x:v>
      </x:c>
      <x:c r="F3794" t="str" s="2">
        <x:v>Financing Form</x:v>
      </x:c>
      <x:c r="G3794" t="str" s="2">
        <x:v>Maria Lopez</x:v>
      </x:c>
      <x:c r="H3794" s="6">
        <x:v>46259.890893055555</x:v>
      </x:c>
      <x:c r="I3794" s="0"/>
      <x:c r="J3794" s="0"/>
      <x:c r="K3794" s="6">
        <x:v>46261</x:v>
      </x:c>
      <x:c r="L3794" t="str" s="2">
        <x:v>Message Sent</x:v>
      </x:c>
    </x:row>
    <x:row r="3795">
      <x:c r="A3795" t="str" s="2">
        <x:f>=HYPERLINK("https://rsms.futurehomex.com/lead/40359", "Celia Lee")</x:f>
      </x:c>
      <x:c r="B3795" t="str" s="2">
        <x:v>Heritage Housing Gainesville</x:v>
      </x:c>
      <x:c r="C3795" t="str" s="2">
        <x:v/>
      </x:c>
      <x:c r="D3795" t="str" s="2">
        <x:v>8176090592</x:v>
      </x:c>
      <x:c r="E3795" t="str" s="2">
        <x:v>misslee48@gmail.comm</x:v>
      </x:c>
      <x:c r="F3795" t="str" s="2">
        <x:v>Landing_BPM</x:v>
      </x:c>
      <x:c r="G3795" t="str" s="2">
        <x:v>Jeniffer Arellano</x:v>
      </x:c>
      <x:c r="H3795" s="6">
        <x:v>46259.891170173614</x:v>
      </x:c>
      <x:c r="I3795" t="str" s="2">
        <x:v>Kelly Ford</x:v>
      </x:c>
      <x:c r="J3795" s="6">
        <x:v>46290.625</x:v>
      </x:c>
      <x:c r="K3795" s="6">
        <x:v>46290</x:v>
      </x:c>
      <x:c r="L3795" t="str" s="2">
        <x:v>Message Sent</x:v>
      </x:c>
    </x:row>
    <x:row r="3796">
      <x:c r="A3796" t="str" s="2">
        <x:f>="raed edfsx"</x:f>
      </x:c>
      <x:c r="B3796" t="str" s="2">
        <x:v>Heritage Housing of Jennings</x:v>
      </x:c>
      <x:c r="C3796" t="str" s="2">
        <x:v/>
      </x:c>
      <x:c r="D3796" t="str" s="2">
        <x:v>35245872211</x:v>
      </x:c>
      <x:c r="E3796" t="str" s="2">
        <x:v>sasx@gmail.com</x:v>
      </x:c>
      <x:c r="F3796" t="str" s="2">
        <x:v>Bing - Search</x:v>
      </x:c>
      <x:c r="G3796" t="str" s="2">
        <x:v>Mervin Leslie Smith</x:v>
      </x:c>
      <x:c r="H3796" s="6">
        <x:v>46259.937169097226</x:v>
      </x:c>
      <x:c r="I3796" s="0"/>
      <x:c r="J3796" s="0"/>
      <x:c r="K3796" s="6">
        <x:v>46302.69542372685</x:v>
      </x:c>
      <x:c r="L3796" t="str" s="2">
        <x:v>Message Sent</x:v>
      </x:c>
    </x:row>
    <x:row r="3797">
      <x:c r="A3797" t="str" s="2">
        <x:f>="bvcd bmmj"</x:f>
      </x:c>
      <x:c r="B3797" t="str" s="2">
        <x:v>Heritage Housing Marble Falls</x:v>
      </x:c>
      <x:c r="C3797" t="str" s="2">
        <x:v/>
      </x:c>
      <x:c r="D3797" t="str" s="2">
        <x:v>32245874522</x:v>
      </x:c>
      <x:c r="E3797" t="str" s="2">
        <x:v>wedr@gmail.com</x:v>
      </x:c>
      <x:c r="F3797" t="str" s="2">
        <x:v>Bing - Search</x:v>
      </x:c>
      <x:c r="G3797" t="str" s="2">
        <x:v>Stephen Sanders</x:v>
      </x:c>
      <x:c r="H3797" s="6">
        <x:v>46259.93779884259</x:v>
      </x:c>
      <x:c r="I3797" s="0"/>
      <x:c r="J3797" s="0"/>
      <x:c r="K3797" s="6">
        <x:v>46274</x:v>
      </x:c>
      <x:c r="L3797" t="str" s="2">
        <x:v>Message Sent</x:v>
      </x:c>
    </x:row>
    <x:row r="3798">
      <x:c r="A3798" t="str" s="2">
        <x:f>="Ashley Broussard"</x:f>
      </x:c>
      <x:c r="B3798" t="str" s="2">
        <x:v>Heritage Housing of Jennings</x:v>
      </x:c>
      <x:c r="C3798" t="str" s="2">
        <x:v/>
      </x:c>
      <x:c r="D3798" t="str" s="2">
        <x:v>3372018568</x:v>
      </x:c>
      <x:c r="E3798" t="str" s="2">
        <x:v>ashleybroussard1008@gmail.com</x:v>
      </x:c>
      <x:c r="F3798" t="str" s="2">
        <x:v>Landing_BPM</x:v>
      </x:c>
      <x:c r="G3798" t="str" s="2">
        <x:v>Mervin Leslie Smith</x:v>
      </x:c>
      <x:c r="H3798" s="6">
        <x:v>46259.95471527778</x:v>
      </x:c>
      <x:c r="I3798" s="0"/>
      <x:c r="J3798" s="0"/>
      <x:c r="K3798" s="6">
        <x:v>46302.69578576389</x:v>
      </x:c>
      <x:c r="L3798" t="str" s="2">
        <x:v>Message Sent</x:v>
      </x:c>
    </x:row>
    <x:row r="3799">
      <x:c r="A3799" t="str" s="2">
        <x:f>="Mike Gartrell"</x:f>
      </x:c>
      <x:c r="B3799" t="str" s="2">
        <x:v>Heritage Housing of Tulsa</x:v>
      </x:c>
      <x:c r="C3799" t="str" s="2">
        <x:v/>
      </x:c>
      <x:c r="D3799" t="str" s="2">
        <x:v>9182400456</x:v>
      </x:c>
      <x:c r="E3799" t="str" s="2">
        <x:v>1stbornsoonerchild@gmail.com</x:v>
      </x:c>
      <x:c r="F3799" t="str" s="2">
        <x:v>Landing_BPM</x:v>
      </x:c>
      <x:c r="G3799" t="str" s="2">
        <x:v>Jenna Fransisco</x:v>
      </x:c>
      <x:c r="H3799" s="6">
        <x:v>46259.95622314815</x:v>
      </x:c>
      <x:c r="I3799" s="0"/>
      <x:c r="J3799" s="0"/>
      <x:c r="K3799" s="6">
        <x:v>46260</x:v>
      </x:c>
      <x:c r="L3799" t="str" s="2">
        <x:v>Message Sent</x:v>
      </x:c>
    </x:row>
    <x:row r="3800">
      <x:c r="A3800" t="str" s="2">
        <x:f>="Chenavia Blue"</x:f>
      </x:c>
      <x:c r="B3800" t="str" s="2">
        <x:v>Legacy Housing Corp. DBA Americasa</x:v>
      </x:c>
      <x:c r="C3800" t="str" s="2">
        <x:v/>
      </x:c>
      <x:c r="D3800" t="str" s="2">
        <x:v>3344739896</x:v>
      </x:c>
      <x:c r="E3800" t="str" s="2">
        <x:v>mzcashmoney334@gmail.com</x:v>
      </x:c>
      <x:c r="F3800" t="str" s="2">
        <x:v>Landing_BPM</x:v>
      </x:c>
      <x:c r="G3800" t="str" s="2">
        <x:v>Jose Parada</x:v>
      </x:c>
      <x:c r="H3800" s="6">
        <x:v>46259.99037083334</x:v>
      </x:c>
      <x:c r="I3800" s="0"/>
      <x:c r="J3800" s="0"/>
      <x:c r="K3800" s="6">
        <x:v>46296</x:v>
      </x:c>
      <x:c r="L3800" t="str" s="2">
        <x:v>Message Sent</x:v>
      </x:c>
    </x:row>
    <x:row r="3801">
      <x:c r="A3801" t="str" s="2">
        <x:f>="Charles Archer"</x:f>
      </x:c>
      <x:c r="B3801" t="str" s="2">
        <x:v>Legacy Housing Corp. DBA Americasa</x:v>
      </x:c>
      <x:c r="C3801" t="str" s="2">
        <x:v/>
      </x:c>
      <x:c r="D3801" t="str" s="2">
        <x:v>8325158541</x:v>
      </x:c>
      <x:c r="E3801" t="str" s="2">
        <x:v>charlesarcher1218@gmail.com</x:v>
      </x:c>
      <x:c r="F3801" t="str" s="2">
        <x:v>Landing_BPM</x:v>
      </x:c>
      <x:c r="G3801" t="str" s="2">
        <x:v>Rodrigo Ramirez</x:v>
      </x:c>
      <x:c r="H3801" s="6">
        <x:v>46260.042483599536</x:v>
      </x:c>
      <x:c r="I3801" s="0"/>
      <x:c r="J3801" s="0"/>
      <x:c r="K3801" s="6">
        <x:v>46296</x:v>
      </x:c>
      <x:c r="L3801" t="str" s="2">
        <x:v>Message Sent</x:v>
      </x:c>
    </x:row>
    <x:row r="3802">
      <x:c r="A3802" t="str" s="2">
        <x:f>=HYPERLINK("https://rsms.futurehomex.com/lead/39413", "Anna Diehr")</x:f>
      </x:c>
      <x:c r="B3802" t="str" s="2">
        <x:v>Heritage Housing of Asheboro</x:v>
      </x:c>
      <x:c r="C3802" t="str" s="2">
        <x:v>1/2</x:v>
      </x:c>
      <x:c r="D3802" t="str" s="2">
        <x:v>8048363435</x:v>
      </x:c>
      <x:c r="E3802" t="str" s="2">
        <x:v>anna.diehr@yahoo.com</x:v>
      </x:c>
      <x:c r="F3802" t="str" s="2">
        <x:v>LandingPage</x:v>
      </x:c>
      <x:c r="G3802" t="str" s="2">
        <x:v>Jeremy Jacques</x:v>
      </x:c>
      <x:c r="H3802" s="6">
        <x:v>46260.07417195602</x:v>
      </x:c>
      <x:c r="I3802" t="str" s="2">
        <x:v>Jeremy Jacques</x:v>
      </x:c>
      <x:c r="J3802" s="6">
        <x:v>46262.645833333336</x:v>
      </x:c>
      <x:c r="K3802" s="6">
        <x:v>46260</x:v>
      </x:c>
      <x:c r="L3802" t="str" s="2">
        <x:v>Message Sent</x:v>
      </x:c>
    </x:row>
    <x:row r="3803">
      <x:c r="A3803" t="str" s="2">
        <x:f>="Eric Clay"</x:f>
      </x:c>
      <x:c r="B3803" t="str" s="2">
        <x:v>Heritage Housing of Canton</x:v>
      </x:c>
      <x:c r="C3803" t="str" s="2">
        <x:v/>
      </x:c>
      <x:c r="D3803" t="str" s="2">
        <x:v>5017225674</x:v>
      </x:c>
      <x:c r="E3803" t="str" s="2">
        <x:v>ericnclay5@gmail.com</x:v>
      </x:c>
      <x:c r="F3803" t="str" s="2">
        <x:v>Landing_BPM</x:v>
      </x:c>
      <x:c r="G3803" t="str" s="2">
        <x:v>Jacob Hatten</x:v>
      </x:c>
      <x:c r="H3803" s="6">
        <x:v>46260.09681778935</x:v>
      </x:c>
      <x:c r="I3803" s="0"/>
      <x:c r="J3803" s="0"/>
      <x:c r="K3803" s="6">
        <x:v>46293</x:v>
      </x:c>
      <x:c r="L3803" t="str" s="2">
        <x:v>Message Sent</x:v>
      </x:c>
    </x:row>
    <x:row r="3804">
      <x:c r="A3804" t="str" s="2">
        <x:f>="Shannon Thompson"</x:f>
      </x:c>
      <x:c r="B3804" t="str" s="2">
        <x:v>Heritage Housing of Albany</x:v>
      </x:c>
      <x:c r="C3804" t="str" s="2">
        <x:v/>
      </x:c>
      <x:c r="D3804" t="str" s="2">
        <x:v>4048441114</x:v>
      </x:c>
      <x:c r="E3804" t="str" s="2">
        <x:v>shan3426@gmail.com</x:v>
      </x:c>
      <x:c r="F3804" t="str" s="2">
        <x:v>Website</x:v>
      </x:c>
      <x:c r="G3804" t="str" s="2">
        <x:v>Yanet Alvarez</x:v>
      </x:c>
      <x:c r="H3804" s="6">
        <x:v>46260.10893869213</x:v>
      </x:c>
      <x:c r="I3804" s="0"/>
      <x:c r="J3804" s="0"/>
      <x:c r="K3804" s="6">
        <x:v>46302</x:v>
      </x:c>
      <x:c r="L3804" t="str" s="2">
        <x:v>Message Sent</x:v>
      </x:c>
    </x:row>
    <x:row r="3805">
      <x:c r="A3805" t="str" s="2">
        <x:f>="Selene Hill"</x:f>
      </x:c>
      <x:c r="B3805" t="str" s="2">
        <x:v>Heritage Housing of Asheboro</x:v>
      </x:c>
      <x:c r="C3805" t="str" s="2">
        <x:v/>
      </x:c>
      <x:c r="D3805" t="str" s="2">
        <x:v>9806805414</x:v>
      </x:c>
      <x:c r="E3805" t="str" s="2">
        <x:v>faeriesong1369@gmail.com</x:v>
      </x:c>
      <x:c r="F3805" t="str" s="2">
        <x:v>Landing_BPM</x:v>
      </x:c>
      <x:c r="G3805" t="str" s="2">
        <x:v>Maria Lopez</x:v>
      </x:c>
      <x:c r="H3805" s="6">
        <x:v>46260.11340605324</x:v>
      </x:c>
      <x:c r="I3805" s="0"/>
      <x:c r="J3805" s="0"/>
      <x:c r="K3805" s="6">
        <x:v>46262</x:v>
      </x:c>
      <x:c r="L3805" t="str" s="2">
        <x:v>Message Sent</x:v>
      </x:c>
    </x:row>
    <x:row r="3806">
      <x:c r="A3806" t="str" s="2">
        <x:f>="Makenna Howell"</x:f>
      </x:c>
      <x:c r="B3806" t="str" s="2">
        <x:v>Heritage Housing of Tulsa</x:v>
      </x:c>
      <x:c r="C3806" t="str" s="2">
        <x:v/>
      </x:c>
      <x:c r="D3806" t="str" s="2">
        <x:v>9182067254</x:v>
      </x:c>
      <x:c r="E3806" t="str" s="2">
        <x:v>makennah0850@icloud.com</x:v>
      </x:c>
      <x:c r="F3806" t="str" s="2">
        <x:v>LandingPage</x:v>
      </x:c>
      <x:c r="G3806" t="str" s="2">
        <x:v>Jenna Fransisco</x:v>
      </x:c>
      <x:c r="H3806" s="6">
        <x:v>46260.13527334491</x:v>
      </x:c>
      <x:c r="I3806" s="0"/>
      <x:c r="J3806" s="0"/>
      <x:c r="K3806" s="6">
        <x:v>46261</x:v>
      </x:c>
      <x:c r="L3806" t="str" s="2">
        <x:v>Message Sent</x:v>
      </x:c>
    </x:row>
    <x:row r="3807">
      <x:c r="A3807" t="str" s="2">
        <x:f>="William Brown"</x:f>
      </x:c>
      <x:c r="B3807" t="str" s="2">
        <x:v>Heritage Housing of Tulsa</x:v>
      </x:c>
      <x:c r="C3807" t="str" s="2">
        <x:v/>
      </x:c>
      <x:c r="D3807" t="str" s="2">
        <x:v>7149290213</x:v>
      </x:c>
      <x:c r="E3807" t="str" s="2">
        <x:v>wbown64@yahoo.com</x:v>
      </x:c>
      <x:c r="F3807" t="str" s="2">
        <x:v>Landing_BPM</x:v>
      </x:c>
      <x:c r="G3807" t="str" s="2">
        <x:v>Jenna Fransisco</x:v>
      </x:c>
      <x:c r="H3807" s="6">
        <x:v>46260.14063267361</x:v>
      </x:c>
      <x:c r="I3807" s="0"/>
      <x:c r="J3807" s="0"/>
      <x:c r="K3807" s="6">
        <x:v>46261</x:v>
      </x:c>
      <x:c r="L3807" t="str" s="2">
        <x:v>Message Sent</x:v>
      </x:c>
    </x:row>
    <x:row r="3808">
      <x:c r="A3808" t="str" s="2">
        <x:f>="Pika Mutonji"</x:f>
      </x:c>
      <x:c r="B3808" t="str" s="2">
        <x:v>Legacy Housing Corp. DBA Americasa</x:v>
      </x:c>
      <x:c r="C3808" t="str" s="2">
        <x:v/>
      </x:c>
      <x:c r="D3808" t="str" s="2">
        <x:v>3466534873</x:v>
      </x:c>
      <x:c r="E3808" t="str" s="2">
        <x:v>pikamatondo@yahoo.com</x:v>
      </x:c>
      <x:c r="F3808" t="str" s="2">
        <x:v>Landing_BPM</x:v>
      </x:c>
      <x:c r="G3808" t="str" s="2">
        <x:v>Rodrigo Ramirez</x:v>
      </x:c>
      <x:c r="H3808" s="6">
        <x:v>46260.22204644676</x:v>
      </x:c>
      <x:c r="I3808" s="0"/>
      <x:c r="J3808" s="0"/>
      <x:c r="K3808" s="6">
        <x:v>46296</x:v>
      </x:c>
      <x:c r="L3808" t="str" s="2">
        <x:v>Message Sent</x:v>
      </x:c>
    </x:row>
    <x:row r="3809">
      <x:c r="A3809" t="str" s="2">
        <x:f>="Patrick Creamer"</x:f>
      </x:c>
      <x:c r="B3809" t="str" s="2">
        <x:v>Heritage Housing of Augusta</x:v>
      </x:c>
      <x:c r="C3809" t="str" s="2">
        <x:v/>
      </x:c>
      <x:c r="D3809" t="str" s="2">
        <x:v>7739328788</x:v>
      </x:c>
      <x:c r="E3809" t="str" s="2">
        <x:v>creamerdanny133@gmail.com</x:v>
      </x:c>
      <x:c r="F3809" t="str" s="2">
        <x:v>Landing_BPM</x:v>
      </x:c>
      <x:c r="G3809" t="str" s="2">
        <x:v>Jennifer Johnson</x:v>
      </x:c>
      <x:c r="H3809" s="6">
        <x:v>46260.25256936342</x:v>
      </x:c>
      <x:c r="I3809" s="0"/>
      <x:c r="J3809" s="0"/>
      <x:c r="K3809" s="6">
        <x:v>46300</x:v>
      </x:c>
      <x:c r="L3809" t="str" s="2">
        <x:v>Message Sent</x:v>
      </x:c>
    </x:row>
    <x:row r="3810">
      <x:c r="A3810" t="str" s="2">
        <x:f>="Cynthia Shaw"</x:f>
      </x:c>
      <x:c r="B3810" t="str" s="2">
        <x:v>Heritage Housing of Tulsa</x:v>
      </x:c>
      <x:c r="C3810" t="str" s="2">
        <x:v/>
      </x:c>
      <x:c r="D3810" t="str" s="2">
        <x:v>5393678757</x:v>
      </x:c>
      <x:c r="E3810" t="str" s="2">
        <x:v>cindyshaw73@aol.com</x:v>
      </x:c>
      <x:c r="F3810" t="str" s="2">
        <x:v>Website</x:v>
      </x:c>
      <x:c r="G3810" t="str" s="2">
        <x:v>Jenna Fransisco</x:v>
      </x:c>
      <x:c r="H3810" s="6">
        <x:v>46260.386516666666</x:v>
      </x:c>
      <x:c r="I3810" s="0"/>
      <x:c r="J3810" s="0"/>
      <x:c r="K3810" s="6">
        <x:v>46261</x:v>
      </x:c>
      <x:c r="L3810" t="str" s="2">
        <x:v>Message Sent</x:v>
      </x:c>
    </x:row>
    <x:row r="3811">
      <x:c r="A3811" t="str" s="2">
        <x:f>="Austin Markcum"</x:f>
      </x:c>
      <x:c r="B3811" t="str" s="2">
        <x:v>Heritage Housing of Tulsa</x:v>
      </x:c>
      <x:c r="C3811" t="str" s="2">
        <x:v/>
      </x:c>
      <x:c r="D3811" t="str" s="2">
        <x:v>9187147574</x:v>
      </x:c>
      <x:c r="E3811" t="str" s="2">
        <x:v>Markcum.austin@gmail.com</x:v>
      </x:c>
      <x:c r="F3811" t="str" s="2">
        <x:v>Financing Form</x:v>
      </x:c>
      <x:c r="G3811" t="str" s="2">
        <x:v>Jenna Fransisco</x:v>
      </x:c>
      <x:c r="H3811" s="6">
        <x:v>46260.44626956018</x:v>
      </x:c>
      <x:c r="I3811" s="0"/>
      <x:c r="J3811" s="0"/>
      <x:c r="K3811" s="6">
        <x:v>46265</x:v>
      </x:c>
      <x:c r="L3811" t="str" s="2">
        <x:v>Message Sent</x:v>
      </x:c>
    </x:row>
    <x:row r="3812">
      <x:c r="A3812" t="str" s="2">
        <x:f>="Debra Diaz"</x:f>
      </x:c>
      <x:c r="B3812" t="str" s="2">
        <x:v>Heritage Housing Gainesville</x:v>
      </x:c>
      <x:c r="C3812" t="str" s="2">
        <x:v/>
      </x:c>
      <x:c r="D3812" t="str" s="2">
        <x:v>9722101681</x:v>
      </x:c>
      <x:c r="E3812" t="str" s="2">
        <x:v>foreveryoung92.dd@gmail.com</x:v>
      </x:c>
      <x:c r="F3812" t="str" s="2">
        <x:v>Landing_BPM</x:v>
      </x:c>
      <x:c r="G3812" t="str" s="2">
        <x:v>Kelly Ford</x:v>
      </x:c>
      <x:c r="H3812" s="6">
        <x:v>46260.557509108796</x:v>
      </x:c>
      <x:c r="I3812" s="0"/>
      <x:c r="J3812" s="0"/>
      <x:c r="K3812" s="6">
        <x:v>46297</x:v>
      </x:c>
      <x:c r="L3812" t="str" s="2">
        <x:v>Message Sent</x:v>
      </x:c>
    </x:row>
    <x:row r="3813">
      <x:c r="A3813" t="str" s="2">
        <x:f>="Stephanie Ross"</x:f>
      </x:c>
      <x:c r="B3813" t="str" s="2">
        <x:v>Heritage Housing Marble Falls</x:v>
      </x:c>
      <x:c r="C3813" t="str" s="2">
        <x:v/>
      </x:c>
      <x:c r="D3813" t="str" s="2">
        <x:v>8176965748</x:v>
      </x:c>
      <x:c r="E3813" t="str" s="2">
        <x:v>srr0131@gmail.com</x:v>
      </x:c>
      <x:c r="F3813" t="str" s="2">
        <x:v>Landing_BPM</x:v>
      </x:c>
      <x:c r="G3813" t="str" s="2">
        <x:v>Stephen Sanders</x:v>
      </x:c>
      <x:c r="H3813" s="6">
        <x:v>46260.563906284726</x:v>
      </x:c>
      <x:c r="I3813" s="0"/>
      <x:c r="J3813" s="0"/>
      <x:c r="K3813" s="6">
        <x:v>46274</x:v>
      </x:c>
      <x:c r="L3813" t="str" s="2">
        <x:v>Message Sent</x:v>
      </x:c>
    </x:row>
    <x:row r="3814">
      <x:c r="A3814" t="str" s="2">
        <x:f>="Kathryn Nations Pagano"</x:f>
      </x:c>
      <x:c r="B3814" t="str" s="2">
        <x:v>Heritage Housing Gainesville</x:v>
      </x:c>
      <x:c r="C3814" t="str" s="2">
        <x:v/>
      </x:c>
      <x:c r="D3814" t="str" s="2">
        <x:v>9728243441</x:v>
      </x:c>
      <x:c r="E3814" t="str" s="2">
        <x:v>kathryn.nationspagano@gmail.com</x:v>
      </x:c>
      <x:c r="F3814" t="str" s="2">
        <x:v>Landing_BPM</x:v>
      </x:c>
      <x:c r="G3814" t="str" s="2">
        <x:v>Kelly Ford</x:v>
      </x:c>
      <x:c r="H3814" s="6">
        <x:v>46260.628028900464</x:v>
      </x:c>
      <x:c r="I3814" s="0"/>
      <x:c r="J3814" s="0"/>
      <x:c r="K3814" s="6">
        <x:v>46297</x:v>
      </x:c>
      <x:c r="L3814" t="str" s="2">
        <x:v>Message Sent</x:v>
      </x:c>
    </x:row>
    <x:row r="3815">
      <x:c r="A3815" t="str" s="2">
        <x:f>="Edward Smith"</x:f>
      </x:c>
      <x:c r="B3815" t="str" s="2">
        <x:v>Heritage Housing of Asheboro</x:v>
      </x:c>
      <x:c r="C3815" t="str" s="2">
        <x:v/>
      </x:c>
      <x:c r="D3815" t="str" s="2">
        <x:v>3366143182</x:v>
      </x:c>
      <x:c r="E3815" t="str" s="2">
        <x:v>smithedward201269@gmail.com</x:v>
      </x:c>
      <x:c r="F3815" t="str" s="2">
        <x:v>Landing_BPM</x:v>
      </x:c>
      <x:c r="G3815" t="str" s="2">
        <x:v>Maria Lopez</x:v>
      </x:c>
      <x:c r="H3815" s="6">
        <x:v>46260.6603471412</x:v>
      </x:c>
      <x:c r="I3815" s="0"/>
      <x:c r="J3815" s="0"/>
      <x:c r="K3815" s="6">
        <x:v>46261</x:v>
      </x:c>
      <x:c r="L3815" t="str" s="2">
        <x:v>Message Sent</x:v>
      </x:c>
    </x:row>
    <x:row r="3816">
      <x:c r="A3816" t="str" s="2">
        <x:f>="Amy Smith"</x:f>
      </x:c>
      <x:c r="B3816" t="str" s="2">
        <x:v>Heritage Housing of Athens</x:v>
      </x:c>
      <x:c r="C3816" t="str" s="2">
        <x:v>1/1</x:v>
      </x:c>
      <x:c r="D3816" t="str" s="2">
        <x:v>4782456658</x:v>
      </x:c>
      <x:c r="E3816" t="str" s="2">
        <x:v>amysmith2881@gmail.com</x:v>
      </x:c>
      <x:c r="F3816" t="str" s="2">
        <x:v>Landing_BPM</x:v>
      </x:c>
      <x:c r="G3816" t="str" s="2">
        <x:v>Nathan Bishop</x:v>
      </x:c>
      <x:c r="H3816" s="6">
        <x:v>46260.66579398148</x:v>
      </x:c>
      <x:c r="I3816" s="0"/>
      <x:c r="J3816" s="0"/>
      <x:c r="K3816" s="6">
        <x:v>46307</x:v>
      </x:c>
      <x:c r="L3816" t="str" s="2">
        <x:v>Message Sent</x:v>
      </x:c>
    </x:row>
    <x:row r="3817">
      <x:c r="A3817" t="str" s="2">
        <x:f>=HYPERLINK("https://rsms.futurehomex.com/lead/39399", "Daniel Mendez")</x:f>
      </x:c>
      <x:c r="B3817" t="str" s="2">
        <x:v>Legacy Housing Corp. DBA Americasa</x:v>
      </x:c>
      <x:c r="C3817" t="str" s="2">
        <x:v/>
      </x:c>
      <x:c r="D3817" t="str" s="2">
        <x:v>8323501795</x:v>
      </x:c>
      <x:c r="E3817" t="str" s="2">
        <x:v>8323501795</x:v>
      </x:c>
      <x:c r="F3817" t="str" s="2">
        <x:v>Facebook Messenger</x:v>
      </x:c>
      <x:c r="G3817" t="str" s="2">
        <x:v>Rodrigo Ramirez</x:v>
      </x:c>
      <x:c r="H3817" s="6">
        <x:v>46260.67375957176</x:v>
      </x:c>
      <x:c r="I3817" t="str" s="2">
        <x:v>Jose Parada</x:v>
      </x:c>
      <x:c r="J3817" s="0"/>
      <x:c r="K3817" s="6">
        <x:v>46293</x:v>
      </x:c>
      <x:c r="L3817" t="str" s="2">
        <x:v>Message Sent</x:v>
      </x:c>
    </x:row>
    <x:row r="3818">
      <x:c r="A3818" t="str" s="2">
        <x:f>="Gloria Walker"</x:f>
      </x:c>
      <x:c r="B3818" t="str" s="2">
        <x:v>Heritage Housing of Asheboro</x:v>
      </x:c>
      <x:c r="C3818" t="str" s="2">
        <x:v/>
      </x:c>
      <x:c r="D3818" t="str" s="2">
        <x:v>9192555171</x:v>
      </x:c>
      <x:c r="E3818" t="str" s="2">
        <x:v>roamingannie3@gmail.com</x:v>
      </x:c>
      <x:c r="F3818" t="str" s="2">
        <x:v>Website</x:v>
      </x:c>
      <x:c r="G3818" t="str" s="2">
        <x:v>Maria Lopez</x:v>
      </x:c>
      <x:c r="H3818" s="6">
        <x:v>46260.70692418981</x:v>
      </x:c>
      <x:c r="I3818" s="0"/>
      <x:c r="J3818" s="0"/>
      <x:c r="K3818" s="6">
        <x:v>46266</x:v>
      </x:c>
      <x:c r="L3818" t="str" s="2">
        <x:v>Message Sent</x:v>
      </x:c>
    </x:row>
    <x:row r="3819">
      <x:c r="A3819" t="str" s="2">
        <x:f>="Zipporah Woodson"</x:f>
      </x:c>
      <x:c r="B3819" t="str" s="2">
        <x:v>Heritage Housing of Asheboro</x:v>
      </x:c>
      <x:c r="C3819" t="str" s="2">
        <x:v/>
      </x:c>
      <x:c r="D3819" t="str" s="2">
        <x:v>7579791809</x:v>
      </x:c>
      <x:c r="E3819" t="str" s="2">
        <x:v>woodsonzipporah@gmail.com</x:v>
      </x:c>
      <x:c r="F3819" t="str" s="2">
        <x:v>Financing Form</x:v>
      </x:c>
      <x:c r="G3819" t="str" s="2">
        <x:v>Maria Lopez</x:v>
      </x:c>
      <x:c r="H3819" s="6">
        <x:v>46260.744743020834</x:v>
      </x:c>
      <x:c r="I3819" s="0"/>
      <x:c r="J3819" s="0"/>
      <x:c r="K3819" s="6">
        <x:v>46261</x:v>
      </x:c>
      <x:c r="L3819" t="str" s="2">
        <x:v>Message Sent</x:v>
      </x:c>
    </x:row>
    <x:row r="3820">
      <x:c r="A3820" t="str" s="2">
        <x:f>="Christina Lyons"</x:f>
      </x:c>
      <x:c r="B3820" t="str" s="2">
        <x:v>Heritage Housing of Augusta</x:v>
      </x:c>
      <x:c r="C3820" t="str" s="2">
        <x:v/>
      </x:c>
      <x:c r="D3820" t="str" s="2">
        <x:v>4707918088</x:v>
      </x:c>
      <x:c r="E3820" t="str" s="2">
        <x:v>lyons.tina.75@gmail.com</x:v>
      </x:c>
      <x:c r="F3820" t="str" s="2">
        <x:v>Landing_BPM</x:v>
      </x:c>
      <x:c r="G3820" t="str" s="2">
        <x:v>Faye Lively</x:v>
      </x:c>
      <x:c r="H3820" s="6">
        <x:v>46260.80950107639</x:v>
      </x:c>
      <x:c r="I3820" s="0"/>
      <x:c r="J3820" s="0"/>
      <x:c r="K3820" s="6">
        <x:v>46273</x:v>
      </x:c>
      <x:c r="L3820" t="str" s="2">
        <x:v>Message Sent</x:v>
      </x:c>
    </x:row>
    <x:row r="3821">
      <x:c r="A3821" t="str" s="2">
        <x:f>="Rebecca Kent"</x:f>
      </x:c>
      <x:c r="B3821" t="str" s="2">
        <x:v>Heritage Housing of Athens</x:v>
      </x:c>
      <x:c r="C3821" t="str" s="2">
        <x:v/>
      </x:c>
      <x:c r="D3821" t="str" s="2">
        <x:v>7702563039</x:v>
      </x:c>
      <x:c r="E3821" t="str" s="2">
        <x:v>rebecca@stevesworld.org</x:v>
      </x:c>
      <x:c r="F3821" t="str" s="2">
        <x:v>Landing_BPM</x:v>
      </x:c>
      <x:c r="G3821" t="str" s="2">
        <x:v>Nathan Bishop</x:v>
      </x:c>
      <x:c r="H3821" s="6">
        <x:v>46260.81892878472</x:v>
      </x:c>
      <x:c r="I3821" s="0"/>
      <x:c r="J3821" s="0"/>
      <x:c r="K3821" s="6">
        <x:v>46283</x:v>
      </x:c>
      <x:c r="L3821" t="str" s="2">
        <x:v>Message Sent</x:v>
      </x:c>
    </x:row>
    <x:row r="3822">
      <x:c r="A3822" t="str" s="2">
        <x:f>="Dennis Bailey"</x:f>
      </x:c>
      <x:c r="B3822" t="str" s="2">
        <x:v>Heritage Housing Gainesville</x:v>
      </x:c>
      <x:c r="C3822" t="str" s="2">
        <x:v/>
      </x:c>
      <x:c r="D3822" t="str" s="2">
        <x:v>6787545891</x:v>
      </x:c>
      <x:c r="E3822" t="str" s="2">
        <x:v>dennisbailey8686@gmail.com</x:v>
      </x:c>
      <x:c r="F3822" t="str" s="2">
        <x:v>Landing_BPM</x:v>
      </x:c>
      <x:c r="G3822" t="str" s="2">
        <x:v>Kelly Ford</x:v>
      </x:c>
      <x:c r="H3822" s="6">
        <x:v>46260.821071377315</x:v>
      </x:c>
      <x:c r="I3822" s="0"/>
      <x:c r="J3822" s="0"/>
      <x:c r="K3822" s="6">
        <x:v>46297</x:v>
      </x:c>
      <x:c r="L3822" t="str" s="2">
        <x:v>Message Sent</x:v>
      </x:c>
    </x:row>
    <x:row r="3823">
      <x:c r="A3823" t="str" s="2">
        <x:f>="Rand Berwick"</x:f>
      </x:c>
      <x:c r="B3823" t="str" s="2">
        <x:v>Legacy Housing Corp. DBA Americasa</x:v>
      </x:c>
      <x:c r="C3823" t="str" s="2">
        <x:v/>
      </x:c>
      <x:c r="D3823" t="str" s="2">
        <x:v>4092311349</x:v>
      </x:c>
      <x:c r="E3823" t="str" s="2">
        <x:v>randiberwick21@gmail.com</x:v>
      </x:c>
      <x:c r="F3823" t="str" s="2">
        <x:v>Landing_BPM</x:v>
      </x:c>
      <x:c r="G3823" t="str" s="2">
        <x:v>Jose Parada</x:v>
      </x:c>
      <x:c r="H3823" s="6">
        <x:v>46260.824726770836</x:v>
      </x:c>
      <x:c r="I3823" s="0"/>
      <x:c r="J3823" s="0"/>
      <x:c r="K3823" s="6">
        <x:v>46296</x:v>
      </x:c>
      <x:c r="L3823" t="str" s="2">
        <x:v>Message Sent</x:v>
      </x:c>
    </x:row>
    <x:row r="3824">
      <x:c r="A3824" t="str" s="2">
        <x:f>="Thomas Landreth"</x:f>
      </x:c>
      <x:c r="B3824" t="str" s="2">
        <x:v>Heritage Housing of Asheboro</x:v>
      </x:c>
      <x:c r="C3824" t="str" s="2">
        <x:v>0/1</x:v>
      </x:c>
      <x:c r="D3824" t="str" s="2">
        <x:v>3364328171</x:v>
      </x:c>
      <x:c r="E3824" t="str" s="2">
        <x:v>thomaslandreth@gmail.com</x:v>
      </x:c>
      <x:c r="F3824" t="str" s="2">
        <x:v>Landing_BPM</x:v>
      </x:c>
      <x:c r="G3824" t="str" s="2">
        <x:v>Maria Lopez</x:v>
      </x:c>
      <x:c r="H3824" s="6">
        <x:v>46260.87382184028</x:v>
      </x:c>
      <x:c r="I3824" s="0"/>
      <x:c r="J3824" s="0"/>
      <x:c r="K3824" s="6">
        <x:v>46276</x:v>
      </x:c>
      <x:c r="L3824" t="str" s="2">
        <x:v>Message Sent</x:v>
      </x:c>
    </x:row>
    <x:row r="3825">
      <x:c r="A3825" t="str" s="2">
        <x:f>="Gerardo Banegas"</x:f>
      </x:c>
      <x:c r="B3825" t="str" s="2">
        <x:v>Heritage Housing of Athens</x:v>
      </x:c>
      <x:c r="C3825" t="str" s="2">
        <x:v>1/1</x:v>
      </x:c>
      <x:c r="D3825" t="str" s="2">
        <x:v>4707681010</x:v>
      </x:c>
      <x:c r="E3825" t="str" s="2">
        <x:v>banegas.gerardo@outlook.com</x:v>
      </x:c>
      <x:c r="F3825" t="str" s="2">
        <x:v>Financing Form</x:v>
      </x:c>
      <x:c r="G3825" t="str" s="2">
        <x:v>Nathan Bishop</x:v>
      </x:c>
      <x:c r="H3825" s="6">
        <x:v>46260.90073383102</x:v>
      </x:c>
      <x:c r="I3825" s="0"/>
      <x:c r="J3825" s="0"/>
      <x:c r="K3825" s="6">
        <x:v>46307</x:v>
      </x:c>
      <x:c r="L3825" t="str" s="2">
        <x:v>Message Sent</x:v>
      </x:c>
    </x:row>
    <x:row r="3826">
      <x:c r="A3826" t="str" s="2">
        <x:f>="Rodney Hattaway"</x:f>
      </x:c>
      <x:c r="B3826" t="str" s="2">
        <x:v>Heritage Housing of Tulsa</x:v>
      </x:c>
      <x:c r="C3826" t="str" s="2">
        <x:v/>
      </x:c>
      <x:c r="D3826" t="str" s="2">
        <x:v>9182648592</x:v>
      </x:c>
      <x:c r="E3826" t="str" s="2">
        <x:v>rodneyhattaway@aol.com</x:v>
      </x:c>
      <x:c r="F3826" t="str" s="2">
        <x:v>Financing Form</x:v>
      </x:c>
      <x:c r="G3826" t="str" s="2">
        <x:v>Jenna Fransisco</x:v>
      </x:c>
      <x:c r="H3826" s="6">
        <x:v>46260.92227824074</x:v>
      </x:c>
      <x:c r="I3826" s="0"/>
      <x:c r="J3826" s="0"/>
      <x:c r="K3826" s="6">
        <x:v>46261</x:v>
      </x:c>
      <x:c r="L3826" t="str" s="2">
        <x:v>Message Sent</x:v>
      </x:c>
    </x:row>
    <x:row r="3827">
      <x:c r="A3827" t="str" s="2">
        <x:f>="Taja O’Neal"</x:f>
      </x:c>
      <x:c r="B3827" t="str" s="2">
        <x:v>Heritage Housing of Albany</x:v>
      </x:c>
      <x:c r="C3827" t="str" s="2">
        <x:v>1/1</x:v>
      </x:c>
      <x:c r="D3827" t="str" s="2">
        <x:v>2293196741</x:v>
      </x:c>
      <x:c r="E3827" t="str" s="2">
        <x:v>tajanoneal98@gmail.com</x:v>
      </x:c>
      <x:c r="F3827" t="str" s="2">
        <x:v>Landing_BPM</x:v>
      </x:c>
      <x:c r="G3827" t="str" s="2">
        <x:v>Yanet Alvarez</x:v>
      </x:c>
      <x:c r="H3827" s="6">
        <x:v>46260.949028090276</x:v>
      </x:c>
      <x:c r="I3827" s="0"/>
      <x:c r="J3827" s="0"/>
      <x:c r="K3827" s="6">
        <x:v>46293</x:v>
      </x:c>
      <x:c r="L3827" t="str" s="2">
        <x:v>Message Sent</x:v>
      </x:c>
    </x:row>
    <x:row r="3828">
      <x:c r="A3828" t="str" s="2">
        <x:f>="Kaylee Mills"</x:f>
      </x:c>
      <x:c r="B3828" t="str" s="2">
        <x:v>Heritage Housing of Asheboro</x:v>
      </x:c>
      <x:c r="C3828" t="str" s="2">
        <x:v/>
      </x:c>
      <x:c r="D3828" t="str" s="2">
        <x:v>3368032240</x:v>
      </x:c>
      <x:c r="E3828" t="str" s="2">
        <x:v>kay.4105@icloud.com</x:v>
      </x:c>
      <x:c r="F3828" t="str" s="2">
        <x:v>Landing_BPM</x:v>
      </x:c>
      <x:c r="G3828" t="str" s="2">
        <x:v>Maria Lopez</x:v>
      </x:c>
      <x:c r="H3828" s="6">
        <x:v>46260.986844444444</x:v>
      </x:c>
      <x:c r="I3828" s="0"/>
      <x:c r="J3828" s="0"/>
      <x:c r="K3828" s="6">
        <x:v>46261</x:v>
      </x:c>
      <x:c r="L3828" t="str" s="2">
        <x:v>Message Sent</x:v>
      </x:c>
    </x:row>
    <x:row r="3829">
      <x:c r="A3829" t="str" s="2">
        <x:f>="Cassandra Washington"</x:f>
      </x:c>
      <x:c r="B3829" t="str" s="2">
        <x:v>Legacy Housing Corp. DBA Americasa</x:v>
      </x:c>
      <x:c r="C3829" t="str" s="2">
        <x:v/>
      </x:c>
      <x:c r="D3829" t="str" s="2">
        <x:v>4094661506</x:v>
      </x:c>
      <x:c r="E3829" t="str" s="2">
        <x:v>price.cassandra@yahoo.com</x:v>
      </x:c>
      <x:c r="F3829" t="str" s="2">
        <x:v>Website</x:v>
      </x:c>
      <x:c r="G3829" t="str" s="2">
        <x:v>Rodrigo Ramirez</x:v>
      </x:c>
      <x:c r="H3829" s="6">
        <x:v>46261.02890385417</x:v>
      </x:c>
      <x:c r="I3829" s="0"/>
      <x:c r="J3829" s="0"/>
      <x:c r="K3829" s="6">
        <x:v>46296</x:v>
      </x:c>
      <x:c r="L3829" t="str" s="2">
        <x:v>Message Sent</x:v>
      </x:c>
    </x:row>
    <x:row r="3830">
      <x:c r="A3830" t="str" s="2">
        <x:f>="David Antoine"</x:f>
      </x:c>
      <x:c r="B3830" t="str" s="2">
        <x:v>Heritage Housing of Jennings</x:v>
      </x:c>
      <x:c r="C3830" t="str" s="2">
        <x:v/>
      </x:c>
      <x:c r="D3830" t="str" s="2">
        <x:v>3374196248</x:v>
      </x:c>
      <x:c r="E3830" t="str" s="2">
        <x:v>Antoine.andrew7412@yahoo.com</x:v>
      </x:c>
      <x:c r="F3830" t="str" s="2">
        <x:v>Landing_BPM</x:v>
      </x:c>
      <x:c r="G3830" t="str" s="2">
        <x:v>Clint O'Neal</x:v>
      </x:c>
      <x:c r="H3830" s="6">
        <x:v>46261.047262002314</x:v>
      </x:c>
      <x:c r="I3830" s="0"/>
      <x:c r="J3830" s="0"/>
      <x:c r="K3830" s="6">
        <x:v>46302.6976533912</x:v>
      </x:c>
      <x:c r="L3830" t="str" s="2">
        <x:v>Message Sent</x:v>
      </x:c>
    </x:row>
    <x:row r="3831">
      <x:c r="A3831" t="str" s="2">
        <x:f>="Ana Briones"</x:f>
      </x:c>
      <x:c r="B3831" t="str" s="2">
        <x:v>Legacy Housing Corp. DBA Americasa</x:v>
      </x:c>
      <x:c r="C3831" t="str" s="2">
        <x:v/>
      </x:c>
      <x:c r="D3831" t="str" s="2">
        <x:v>8326708864</x:v>
      </x:c>
      <x:c r="E3831" t="str" s="2">
        <x:v>Anabriones08@gmail.com</x:v>
      </x:c>
      <x:c r="F3831" t="str" s="2">
        <x:v>Landing_BPM</x:v>
      </x:c>
      <x:c r="G3831" t="str" s="2">
        <x:v>Rodrigo Ramirez</x:v>
      </x:c>
      <x:c r="H3831" s="6">
        <x:v>46261.05691883102</x:v>
      </x:c>
      <x:c r="I3831" s="0"/>
      <x:c r="J3831" s="0"/>
      <x:c r="K3831" s="6">
        <x:v>46296</x:v>
      </x:c>
      <x:c r="L3831" t="str" s="2">
        <x:v>Message Sent</x:v>
      </x:c>
    </x:row>
    <x:row r="3832">
      <x:c r="A3832" t="str" s="2">
        <x:f>="Nikki Heard Quinn"</x:f>
      </x:c>
      <x:c r="B3832" t="str" s="2">
        <x:v>Heritage Housing of Athens</x:v>
      </x:c>
      <x:c r="C3832" t="str" s="2">
        <x:v/>
      </x:c>
      <x:c r="D3832" t="str" s="2">
        <x:v>7627210016</x:v>
      </x:c>
      <x:c r="E3832" t="str" s="2">
        <x:v>nikkiheard2011@yahoo.com</x:v>
      </x:c>
      <x:c r="F3832" t="str" s="2">
        <x:v>Financing Form</x:v>
      </x:c>
      <x:c r="G3832" t="str" s="2">
        <x:v>Nathan Bishop</x:v>
      </x:c>
      <x:c r="H3832" s="6">
        <x:v>46261.06052890046</x:v>
      </x:c>
      <x:c r="I3832" s="0"/>
      <x:c r="J3832" s="0"/>
      <x:c r="K3832" s="6">
        <x:v>46283</x:v>
      </x:c>
      <x:c r="L3832" t="str" s="2">
        <x:v>Message Sent</x:v>
      </x:c>
    </x:row>
    <x:row r="3833">
      <x:c r="A3833" t="str" s="2">
        <x:f>=HYPERLINK("https://rsms.futurehomex.com/lead/39418", "mary blankenship")</x:f>
      </x:c>
      <x:c r="B3833" t="str" s="2">
        <x:v>Heritage Housing of Asheboro</x:v>
      </x:c>
      <x:c r="C3833" t="str" s="2">
        <x:v/>
      </x:c>
      <x:c r="D3833" t="str" s="2">
        <x:v>8652969981</x:v>
      </x:c>
      <x:c r="E3833" t="str" s="2">
        <x:v>maryblankenship37865@gmail.com</x:v>
      </x:c>
      <x:c r="F3833" t="str" s="2">
        <x:v>Website</x:v>
      </x:c>
      <x:c r="G3833" t="str" s="2">
        <x:v>Maria Lopez</x:v>
      </x:c>
      <x:c r="H3833" s="6">
        <x:v>46261.113694479165</x:v>
      </x:c>
      <x:c r="I3833" t="str" s="2">
        <x:v>Nathan Bishop</x:v>
      </x:c>
      <x:c r="J3833" s="0"/>
      <x:c r="K3833" s="6">
        <x:v>46261</x:v>
      </x:c>
      <x:c r="L3833" t="str" s="2">
        <x:v>Message Sent</x:v>
      </x:c>
    </x:row>
    <x:row r="3834">
      <x:c r="A3834" t="str" s="2">
        <x:f>="Michaela Melancon"</x:f>
      </x:c>
      <x:c r="B3834" t="str" s="2">
        <x:v>Heritage Housing of Albany</x:v>
      </x:c>
      <x:c r="C3834" t="str" s="2">
        <x:v/>
      </x:c>
      <x:c r="D3834" t="str" s="2">
        <x:v>8082605231</x:v>
      </x:c>
      <x:c r="E3834" t="str" s="2">
        <x:v>melancon.michaela@outlook.com</x:v>
      </x:c>
      <x:c r="F3834" t="str" s="2">
        <x:v>Financing Form</x:v>
      </x:c>
      <x:c r="G3834" t="str" s="2">
        <x:v>Yanet Alvarez</x:v>
      </x:c>
      <x:c r="H3834" s="6">
        <x:v>46261.13005177084</x:v>
      </x:c>
      <x:c r="I3834" s="0"/>
      <x:c r="J3834" s="0"/>
      <x:c r="K3834" s="6">
        <x:v>46302</x:v>
      </x:c>
      <x:c r="L3834" t="str" s="2">
        <x:v>Message Sent</x:v>
      </x:c>
    </x:row>
    <x:row r="3835">
      <x:c r="A3835" t="str" s="2">
        <x:f>="MATTHEW MAVELY"</x:f>
      </x:c>
      <x:c r="B3835" t="str" s="2">
        <x:v>Heritage Housing of Asheboro</x:v>
      </x:c>
      <x:c r="C3835" t="str" s="2">
        <x:v/>
      </x:c>
      <x:c r="D3835" t="str" s="2">
        <x:v>7046573837</x:v>
      </x:c>
      <x:c r="E3835" t="str" s="2">
        <x:v>mavelymatthew43@gmail.com</x:v>
      </x:c>
      <x:c r="F3835" t="str" s="2">
        <x:v>Bing - Search</x:v>
      </x:c>
      <x:c r="G3835" t="str" s="2">
        <x:v>Maria Lopez</x:v>
      </x:c>
      <x:c r="H3835" s="6">
        <x:v>46261.187078738425</x:v>
      </x:c>
      <x:c r="I3835" s="0"/>
      <x:c r="J3835" s="0"/>
      <x:c r="K3835" s="6">
        <x:v>46261</x:v>
      </x:c>
      <x:c r="L3835" t="str" s="2">
        <x:v>Message Sent</x:v>
      </x:c>
    </x:row>
    <x:row r="3836">
      <x:c r="A3836" t="str" s="2">
        <x:f>="Reeser Knight"</x:f>
      </x:c>
      <x:c r="B3836" t="str" s="2">
        <x:v>Heritage Housing of Albany</x:v>
      </x:c>
      <x:c r="C3836" t="str" s="2">
        <x:v/>
      </x:c>
      <x:c r="D3836" t="str" s="2">
        <x:v>3344982520</x:v>
      </x:c>
      <x:c r="E3836" t="str" s="2">
        <x:v>re121857@gmail.com</x:v>
      </x:c>
      <x:c r="F3836" t="str" s="2">
        <x:v>Financing Form</x:v>
      </x:c>
      <x:c r="G3836" t="str" s="2">
        <x:v>Yanet Alvarez</x:v>
      </x:c>
      <x:c r="H3836" s="6">
        <x:v>46261.22886284722</x:v>
      </x:c>
      <x:c r="I3836" s="0"/>
      <x:c r="J3836" s="0"/>
      <x:c r="K3836" s="6">
        <x:v>46302</x:v>
      </x:c>
      <x:c r="L3836" t="str" s="2">
        <x:v>Message Sent</x:v>
      </x:c>
    </x:row>
    <x:row r="3837">
      <x:c r="A3837" t="str" s="2">
        <x:f>="Alicia Boucher"</x:f>
      </x:c>
      <x:c r="B3837" t="str" s="2">
        <x:v>Heritage Housing of Asheboro</x:v>
      </x:c>
      <x:c r="C3837" t="str" s="2">
        <x:v/>
      </x:c>
      <x:c r="D3837" t="str" s="2">
        <x:v>8284424671</x:v>
      </x:c>
      <x:c r="E3837" t="str" s="2">
        <x:v>Boucheralicia65@gmail.com</x:v>
      </x:c>
      <x:c r="F3837" t="str" s="2">
        <x:v>Landing_BPM</x:v>
      </x:c>
      <x:c r="G3837" t="str" s="2">
        <x:v>Maria Lopez</x:v>
      </x:c>
      <x:c r="H3837" s="6">
        <x:v>46261.258765625</x:v>
      </x:c>
      <x:c r="I3837" s="0"/>
      <x:c r="J3837" s="0"/>
      <x:c r="K3837" s="6">
        <x:v>46287</x:v>
      </x:c>
      <x:c r="L3837" t="str" s="2">
        <x:v>Message Sent</x:v>
      </x:c>
    </x:row>
    <x:row r="3838">
      <x:c r="A3838" t="str" s="2">
        <x:f>="Winnise Alexander"</x:f>
      </x:c>
      <x:c r="B3838" t="str" s="2">
        <x:v>Heritage Housing of Canton</x:v>
      </x:c>
      <x:c r="C3838" t="str" s="2">
        <x:v/>
      </x:c>
      <x:c r="D3838" t="str" s="2">
        <x:v>8179024694</x:v>
      </x:c>
      <x:c r="E3838" t="str" s="2">
        <x:v>winnisealexander@gmail.com</x:v>
      </x:c>
      <x:c r="F3838" t="str" s="2">
        <x:v>Landing_BPM</x:v>
      </x:c>
      <x:c r="G3838" t="str" s="2">
        <x:v>Maira Garcia</x:v>
      </x:c>
      <x:c r="H3838" s="6">
        <x:v>46261.25928769676</x:v>
      </x:c>
      <x:c r="I3838" s="0"/>
      <x:c r="J3838" s="0"/>
      <x:c r="K3838" s="6">
        <x:v>46262</x:v>
      </x:c>
      <x:c r="L3838" t="str" s="2">
        <x:v>Message Sent</x:v>
      </x:c>
    </x:row>
    <x:row r="3839">
      <x:c r="A3839" t="str" s="2">
        <x:f>=HYPERLINK("https://rsms.futurehomex.com/lead/39420", "Lori Schara")</x:f>
      </x:c>
      <x:c r="B3839" t="str" s="2">
        <x:v>Heritage Housing of Oklahoma City</x:v>
      </x:c>
      <x:c r="C3839" t="str" s="2">
        <x:v/>
      </x:c>
      <x:c r="D3839" t="str" s="2">
        <x:v>4059051057</x:v>
      </x:c>
      <x:c r="E3839" t="str" s="2">
        <x:v>lorioakes40@gmail.com</x:v>
      </x:c>
      <x:c r="F3839" t="str" s="2">
        <x:v>Financing Form</x:v>
      </x:c>
      <x:c r="G3839" t="str" s="2">
        <x:v>Steve Castell</x:v>
      </x:c>
      <x:c r="H3839" s="6">
        <x:v>46261.26170193287</x:v>
      </x:c>
      <x:c r="I3839" t="str" s="2">
        <x:v>Steve Castell</x:v>
      </x:c>
      <x:c r="J3839" s="0"/>
      <x:c r="K3839" s="6">
        <x:v>46266</x:v>
      </x:c>
      <x:c r="L3839" t="str" s="2">
        <x:v>Message Sent</x:v>
      </x:c>
    </x:row>
    <x:row r="3840">
      <x:c r="A3840" t="str" s="2">
        <x:f>="Jessica Trotter"</x:f>
      </x:c>
      <x:c r="B3840" t="str" s="2">
        <x:v>Heritage Housing Gainesville</x:v>
      </x:c>
      <x:c r="C3840" t="str" s="2">
        <x:v/>
      </x:c>
      <x:c r="D3840" t="str" s="2">
        <x:v>2107774405</x:v>
      </x:c>
      <x:c r="E3840" t="str" s="2">
        <x:v>jjltrot@yahoo.com</x:v>
      </x:c>
      <x:c r="F3840" t="str" s="2">
        <x:v>Landing_BPM</x:v>
      </x:c>
      <x:c r="G3840" t="str" s="2">
        <x:v>Kelly Ford</x:v>
      </x:c>
      <x:c r="H3840" s="6">
        <x:v>46261.35747673611</x:v>
      </x:c>
      <x:c r="I3840" s="0"/>
      <x:c r="J3840" s="0"/>
      <x:c r="K3840" s="6">
        <x:v>46297</x:v>
      </x:c>
      <x:c r="L3840" t="str" s="2">
        <x:v>Message Sent</x:v>
      </x:c>
    </x:row>
    <x:row r="3841">
      <x:c r="A3841" t="str" s="2">
        <x:f>="Aryann Cook"</x:f>
      </x:c>
      <x:c r="B3841" t="str" s="2">
        <x:v>Heritage Housing Mt Pleasant</x:v>
      </x:c>
      <x:c r="C3841" t="str" s="2">
        <x:v/>
      </x:c>
      <x:c r="D3841" t="str" s="2">
        <x:v>2547345074</x:v>
      </x:c>
      <x:c r="E3841" t="str" s="2">
        <x:v>anc121903@gmail.com</x:v>
      </x:c>
      <x:c r="F3841" t="str" s="2">
        <x:v>Bing - Search</x:v>
      </x:c>
      <x:c r="G3841" t="str" s="2">
        <x:v>Sandra Saldana</x:v>
      </x:c>
      <x:c r="H3841" s="6">
        <x:v>46261.35992862268</x:v>
      </x:c>
      <x:c r="I3841" s="0"/>
      <x:c r="J3841" s="0"/>
      <x:c r="K3841" s="6">
        <x:v>46267</x:v>
      </x:c>
      <x:c r="L3841" t="str" s="2">
        <x:v>Message Sent</x:v>
      </x:c>
    </x:row>
    <x:row r="3842">
      <x:c r="A3842" t="str" s="2">
        <x:f>="Rayana Tate"</x:f>
      </x:c>
      <x:c r="B3842" t="str" s="2">
        <x:v>Heritage Housing of Albany</x:v>
      </x:c>
      <x:c r="C3842" t="str" s="2">
        <x:v/>
      </x:c>
      <x:c r="D3842" t="str" s="2">
        <x:v>4424593558</x:v>
      </x:c>
      <x:c r="E3842" t="str" s="2">
        <x:v>rayanatate9@gmail.com</x:v>
      </x:c>
      <x:c r="F3842" t="str" s="2">
        <x:v>Landing_BPM</x:v>
      </x:c>
      <x:c r="G3842" t="str" s="2">
        <x:v>Yanet Alvarez</x:v>
      </x:c>
      <x:c r="H3842" s="6">
        <x:v>46261.38731774306</x:v>
      </x:c>
      <x:c r="I3842" s="0"/>
      <x:c r="J3842" s="0"/>
      <x:c r="K3842" s="6">
        <x:v>46307</x:v>
      </x:c>
      <x:c r="L3842" t="str" s="2">
        <x:v>Message Sent</x:v>
      </x:c>
    </x:row>
    <x:row r="3843">
      <x:c r="A3843" t="str" s="2">
        <x:f>="Felix Pugh"</x:f>
      </x:c>
      <x:c r="B3843" t="str" s="2">
        <x:v>Heritage Housing of Asheboro</x:v>
      </x:c>
      <x:c r="C3843" t="str" s="2">
        <x:v/>
      </x:c>
      <x:c r="D3843" t="str" s="2">
        <x:v>9196458698</x:v>
      </x:c>
      <x:c r="E3843" t="str" s="2">
        <x:v>ftpugh@hotmail.com</x:v>
      </x:c>
      <x:c r="F3843" t="str" s="2">
        <x:v>Financing Form</x:v>
      </x:c>
      <x:c r="G3843" t="str" s="2">
        <x:v>Maria Lopez</x:v>
      </x:c>
      <x:c r="H3843" s="6">
        <x:v>46261.41296388889</x:v>
      </x:c>
      <x:c r="I3843" s="0"/>
      <x:c r="J3843" s="0"/>
      <x:c r="K3843" s="6">
        <x:v>46261</x:v>
      </x:c>
      <x:c r="L3843" t="str" s="2">
        <x:v>Message Sent</x:v>
      </x:c>
    </x:row>
    <x:row r="3844">
      <x:c r="A3844" t="str" s="2">
        <x:f>="Angela Keddell"</x:f>
      </x:c>
      <x:c r="B3844" t="str" s="2">
        <x:v>Heritage Housing of Asheboro</x:v>
      </x:c>
      <x:c r="C3844" t="str" s="2">
        <x:v/>
      </x:c>
      <x:c r="D3844" t="str" s="2">
        <x:v>3365148992</x:v>
      </x:c>
      <x:c r="E3844" t="str" s="2">
        <x:v>akeddell315@gmail.com</x:v>
      </x:c>
      <x:c r="F3844" t="str" s="2">
        <x:v>Bing - Search</x:v>
      </x:c>
      <x:c r="G3844" t="str" s="2">
        <x:v>Maria Lopez</x:v>
      </x:c>
      <x:c r="H3844" s="6">
        <x:v>46261.42792569444</x:v>
      </x:c>
      <x:c r="I3844" s="0"/>
      <x:c r="J3844" s="0"/>
      <x:c r="K3844" s="6">
        <x:v>46261</x:v>
      </x:c>
      <x:c r="L3844" t="str" s="2">
        <x:v>Message Sent</x:v>
      </x:c>
    </x:row>
    <x:row r="3845">
      <x:c r="A3845" t="str" s="2">
        <x:f>="Diane Johnson Doughty"</x:f>
      </x:c>
      <x:c r="B3845" t="str" s="2">
        <x:v>Heritage Housing of Augusta</x:v>
      </x:c>
      <x:c r="C3845" t="str" s="2">
        <x:v/>
      </x:c>
      <x:c r="D3845" t="str" s="2">
        <x:v>8432470826</x:v>
      </x:c>
      <x:c r="E3845" t="str" s="2">
        <x:v>dianenbilly@aol.com</x:v>
      </x:c>
      <x:c r="F3845" t="str" s="2">
        <x:v>Website</x:v>
      </x:c>
      <x:c r="G3845" t="str" s="2">
        <x:v>Faye Lively</x:v>
      </x:c>
      <x:c r="H3845" s="6">
        <x:v>46261.4832193287</x:v>
      </x:c>
      <x:c r="I3845" s="0"/>
      <x:c r="J3845" s="0"/>
      <x:c r="K3845" s="6">
        <x:v>46274</x:v>
      </x:c>
      <x:c r="L3845" t="str" s="2">
        <x:v>Message Sent</x:v>
      </x:c>
    </x:row>
    <x:row r="3846">
      <x:c r="A3846" t="str" s="2">
        <x:f>="jamie marino"</x:f>
      </x:c>
      <x:c r="B3846" t="str" s="2">
        <x:v>Heritage Housing of Greenville</x:v>
      </x:c>
      <x:c r="C3846" t="str" s="2">
        <x:v>0/1</x:v>
      </x:c>
      <x:c r="D3846" t="str" s="2">
        <x:v>7023089886</x:v>
      </x:c>
      <x:c r="E3846" t="str" s="2">
        <x:v>jamie.marino@astound.net</x:v>
      </x:c>
      <x:c r="F3846" t="str" s="2">
        <x:v>Bing - Search</x:v>
      </x:c>
      <x:c r="G3846" t="str" s="2">
        <x:v>Greg Christman</x:v>
      </x:c>
      <x:c r="H3846" s="6">
        <x:v>46261.53815327546</x:v>
      </x:c>
      <x:c r="I3846" s="0"/>
      <x:c r="J3846" s="0"/>
      <x:c r="K3846" s="6">
        <x:v>46262</x:v>
      </x:c>
      <x:c r="L3846" t="str" s="2">
        <x:v>Message Sent</x:v>
      </x:c>
    </x:row>
    <x:row r="3847">
      <x:c r="A3847" t="str" s="2">
        <x:f>="Tyronica Jordan"</x:f>
      </x:c>
      <x:c r="B3847" t="str" s="2">
        <x:v>Heritage Housing of Augusta</x:v>
      </x:c>
      <x:c r="C3847" t="str" s="2">
        <x:v/>
      </x:c>
      <x:c r="D3847" t="str" s="2">
        <x:v>4783574300</x:v>
      </x:c>
      <x:c r="E3847" t="str" s="2">
        <x:v>tyronica223@gmail.com</x:v>
      </x:c>
      <x:c r="F3847" t="str" s="2">
        <x:v>Financing Form</x:v>
      </x:c>
      <x:c r="G3847" t="str" s="2">
        <x:v>Faye Lively</x:v>
      </x:c>
      <x:c r="H3847" s="6">
        <x:v>46261.55125582176</x:v>
      </x:c>
      <x:c r="I3847" s="0"/>
      <x:c r="J3847" s="0"/>
      <x:c r="K3847" s="6">
        <x:v>46275</x:v>
      </x:c>
      <x:c r="L3847" t="str" s="2">
        <x:v>Message Sent</x:v>
      </x:c>
    </x:row>
    <x:row r="3848">
      <x:c r="A3848" t="str" s="2">
        <x:f>="YOLANDA STOKES"</x:f>
      </x:c>
      <x:c r="B3848" t="str" s="2">
        <x:v>Heritage Housing of Greenville</x:v>
      </x:c>
      <x:c r="C3848" t="str" s="2">
        <x:v/>
      </x:c>
      <x:c r="D3848" t="str" s="2">
        <x:v>6026166079</x:v>
      </x:c>
      <x:c r="E3848" t="str" s="2">
        <x:v>dryolandastokes2@gmail.com</x:v>
      </x:c>
      <x:c r="F3848" t="str" s="2">
        <x:v>Website</x:v>
      </x:c>
      <x:c r="G3848" t="str" s="2">
        <x:v>Brooklynn Allen</x:v>
      </x:c>
      <x:c r="H3848" s="6">
        <x:v>46261.56886898148</x:v>
      </x:c>
      <x:c r="I3848" s="0"/>
      <x:c r="J3848" s="0"/>
      <x:c r="K3848" s="6">
        <x:v>46267</x:v>
      </x:c>
      <x:c r="L3848" t="str" s="2">
        <x:v>Message Sent</x:v>
      </x:c>
    </x:row>
    <x:row r="3849">
      <x:c r="A3849" t="str" s="2">
        <x:f>="Astrid Rodriguez Rodriguez"</x:f>
      </x:c>
      <x:c r="B3849" t="str" s="2">
        <x:v>Heritage Housing of Asheboro</x:v>
      </x:c>
      <x:c r="C3849" t="str" s="2">
        <x:v/>
      </x:c>
      <x:c r="D3849" t="str" s="2">
        <x:v>7044989504</x:v>
      </x:c>
      <x:c r="E3849" t="str" s="2">
        <x:v>yayarodriguez1059@gmail.com</x:v>
      </x:c>
      <x:c r="F3849" t="str" s="2">
        <x:v>Landing_BPM</x:v>
      </x:c>
      <x:c r="G3849" t="str" s="2">
        <x:v>Maria Lopez</x:v>
      </x:c>
      <x:c r="H3849" s="6">
        <x:v>46261.58977878472</x:v>
      </x:c>
      <x:c r="I3849" s="0"/>
      <x:c r="J3849" s="0"/>
      <x:c r="K3849" s="6">
        <x:v>46261</x:v>
      </x:c>
      <x:c r="L3849" t="str" s="2">
        <x:v>Message Sent</x:v>
      </x:c>
    </x:row>
    <x:row r="3850">
      <x:c r="A3850" t="str" s="2">
        <x:f>="Steven DeLaRosa"</x:f>
      </x:c>
      <x:c r="B3850" t="str" s="2">
        <x:v>Legacy Housing Corp. DBA Americasa</x:v>
      </x:c>
      <x:c r="C3850" t="str" s="2">
        <x:v/>
      </x:c>
      <x:c r="D3850" t="str" s="2">
        <x:v>3462280619</x:v>
      </x:c>
      <x:c r="E3850" t="str" s="2">
        <x:v>sdelarosacrow@gmail.com</x:v>
      </x:c>
      <x:c r="F3850" t="str" s="2">
        <x:v>Landing_BPM</x:v>
      </x:c>
      <x:c r="G3850" t="str" s="2">
        <x:v>Jose Parada</x:v>
      </x:c>
      <x:c r="H3850" s="6">
        <x:v>46261.605418402774</x:v>
      </x:c>
      <x:c r="I3850" s="0"/>
      <x:c r="J3850" s="0"/>
      <x:c r="K3850" s="6">
        <x:v>46296</x:v>
      </x:c>
      <x:c r="L3850" t="str" s="2">
        <x:v>Message Sent</x:v>
      </x:c>
    </x:row>
    <x:row r="3851">
      <x:c r="A3851" t="str" s="2">
        <x:f>="Craig Morris"</x:f>
      </x:c>
      <x:c r="B3851" t="str" s="2">
        <x:v>Legacy Housing Corp. DBA Americasa</x:v>
      </x:c>
      <x:c r="C3851" t="str" s="2">
        <x:v/>
      </x:c>
      <x:c r="D3851" t="str" s="2">
        <x:v>2816915845</x:v>
      </x:c>
      <x:c r="E3851" t="str" s="2">
        <x:v>bigtexmorris3@gmail.com</x:v>
      </x:c>
      <x:c r="F3851" t="str" s="2">
        <x:v>Landing_BPM</x:v>
      </x:c>
      <x:c r="G3851" t="str" s="2">
        <x:v>Rodrigo Ramirez</x:v>
      </x:c>
      <x:c r="H3851" s="6">
        <x:v>46261.69254309028</x:v>
      </x:c>
      <x:c r="I3851" s="0"/>
      <x:c r="J3851" s="0"/>
      <x:c r="K3851" s="6">
        <x:v>46296</x:v>
      </x:c>
      <x:c r="L3851" t="str" s="2">
        <x:v>Message Sent</x:v>
      </x:c>
    </x:row>
    <x:row r="3852">
      <x:c r="A3852" t="str" s="2">
        <x:f>="Jerry Lubarsky"</x:f>
      </x:c>
      <x:c r="B3852" t="str" s="2">
        <x:v>Heritage Housing of Asheboro</x:v>
      </x:c>
      <x:c r="C3852" t="str" s="2">
        <x:v/>
      </x:c>
      <x:c r="D3852" t="str" s="2">
        <x:v>3369602213</x:v>
      </x:c>
      <x:c r="E3852" t="str" s="2">
        <x:v>preacherman143@yahoo.com</x:v>
      </x:c>
      <x:c r="F3852" t="str" s="2">
        <x:v>Landing_BPM</x:v>
      </x:c>
      <x:c r="G3852" t="str" s="2">
        <x:v>Maria Lopez</x:v>
      </x:c>
      <x:c r="H3852" s="6">
        <x:v>46261.7284872338</x:v>
      </x:c>
      <x:c r="I3852" s="0"/>
      <x:c r="J3852" s="0"/>
      <x:c r="K3852" s="6">
        <x:v>46265</x:v>
      </x:c>
      <x:c r="L3852" t="str" s="2">
        <x:v>Message Sent</x:v>
      </x:c>
    </x:row>
    <x:row r="3853">
      <x:c r="A3853" t="str" s="2">
        <x:f>="Cheryl Ward"</x:f>
      </x:c>
      <x:c r="B3853" t="str" s="2">
        <x:v>Heritage Housing of Albany</x:v>
      </x:c>
      <x:c r="C3853" t="str" s="2">
        <x:v/>
      </x:c>
      <x:c r="D3853" t="str" s="2">
        <x:v>2293104690</x:v>
      </x:c>
      <x:c r="E3853" t="str" s="2">
        <x:v>billingslakeisha4@gmail.com</x:v>
      </x:c>
      <x:c r="F3853" t="str" s="2">
        <x:v>Landing_BPM</x:v>
      </x:c>
      <x:c r="G3853" t="str" s="2">
        <x:v>Yanet Alvarez</x:v>
      </x:c>
      <x:c r="H3853" s="6">
        <x:v>46261.802955983796</x:v>
      </x:c>
      <x:c r="I3853" s="0"/>
      <x:c r="J3853" s="0"/>
      <x:c r="K3853" s="6">
        <x:v>46293</x:v>
      </x:c>
      <x:c r="L3853" t="str" s="2">
        <x:v>Message Sent</x:v>
      </x:c>
    </x:row>
    <x:row r="3854">
      <x:c r="A3854" t="str" s="2">
        <x:f>=HYPERLINK("https://rsms.futurehomex.com/lead/39663", "Ezequiel Sanchez")</x:f>
      </x:c>
      <x:c r="B3854" t="str" s="2">
        <x:v>Legacy Housing Corp. DBA Americasa</x:v>
      </x:c>
      <x:c r="C3854" t="str" s="2">
        <x:v/>
      </x:c>
      <x:c r="D3854" t="str" s="2">
        <x:v>8325121286</x:v>
      </x:c>
      <x:c r="E3854" t="str" s="2">
        <x:v>8325121286</x:v>
      </x:c>
      <x:c r="F3854" t="str" s="2">
        <x:v>Referrals</x:v>
      </x:c>
      <x:c r="G3854" t="str" s="2">
        <x:v>Rodrigo Ramirez</x:v>
      </x:c>
      <x:c r="H3854" s="6">
        <x:v>46261.83518596065</x:v>
      </x:c>
      <x:c r="I3854" t="str" s="2">
        <x:v>Joey Marquez</x:v>
      </x:c>
      <x:c r="J3854" s="6">
        <x:v>46267.708333333336</x:v>
      </x:c>
      <x:c r="K3854" s="6">
        <x:v>46307</x:v>
      </x:c>
      <x:c r="L3854" t="str" s="2">
        <x:v>Message Sent</x:v>
      </x:c>
    </x:row>
    <x:row r="3855">
      <x:c r="A3855" t="str" s="2">
        <x:f>="Annie Smith"</x:f>
      </x:c>
      <x:c r="B3855" t="str" s="2">
        <x:v>Heritage Housing of Albany</x:v>
      </x:c>
      <x:c r="C3855" t="str" s="2">
        <x:v/>
      </x:c>
      <x:c r="D3855" t="str" s="2">
        <x:v>7065288440</x:v>
      </x:c>
      <x:c r="E3855" t="str" s="2">
        <x:v>dashopt66@gmail.com</x:v>
      </x:c>
      <x:c r="F3855" t="str" s="2">
        <x:v>Landing_BPM</x:v>
      </x:c>
      <x:c r="G3855" t="str" s="2">
        <x:v>Yanet Alvarez</x:v>
      </x:c>
      <x:c r="H3855" s="6">
        <x:v>46261.85506890046</x:v>
      </x:c>
      <x:c r="I3855" s="0"/>
      <x:c r="J3855" s="0"/>
      <x:c r="K3855" s="6">
        <x:v>46307</x:v>
      </x:c>
      <x:c r="L3855" t="str" s="2">
        <x:v>Message Sent</x:v>
      </x:c>
    </x:row>
    <x:row r="3856">
      <x:c r="A3856" t="str" s="2">
        <x:f>="Jazmere Moore"</x:f>
      </x:c>
      <x:c r="B3856" t="str" s="2">
        <x:v>Heritage Housing Marble Falls</x:v>
      </x:c>
      <x:c r="C3856" t="str" s="2">
        <x:v/>
      </x:c>
      <x:c r="D3856" t="str" s="2">
        <x:v>2548459259</x:v>
      </x:c>
      <x:c r="E3856" t="str" s="2">
        <x:v>lovejazz37@gmail.com</x:v>
      </x:c>
      <x:c r="F3856" t="str" s="2">
        <x:v>Landing_BPM</x:v>
      </x:c>
      <x:c r="G3856" t="str" s="2">
        <x:v>Stephen Sanders</x:v>
      </x:c>
      <x:c r="H3856" s="6">
        <x:v>46261.906117210645</x:v>
      </x:c>
      <x:c r="I3856" s="0"/>
      <x:c r="J3856" s="0"/>
      <x:c r="K3856" s="6">
        <x:v>46274</x:v>
      </x:c>
      <x:c r="L3856" t="str" s="2">
        <x:v>Message Sent</x:v>
      </x:c>
    </x:row>
    <x:row r="3857">
      <x:c r="A3857" t="str" s="2">
        <x:f>="Brenda Smith"</x:f>
      </x:c>
      <x:c r="B3857" t="str" s="2">
        <x:v>Heritage Housing of Greenville</x:v>
      </x:c>
      <x:c r="C3857" t="str" s="2">
        <x:v/>
      </x:c>
      <x:c r="D3857" t="str" s="2">
        <x:v>4694340599</x:v>
      </x:c>
      <x:c r="E3857" t="str" s="2">
        <x:v>bssmith1958@gmail.com</x:v>
      </x:c>
      <x:c r="F3857" t="str" s="2">
        <x:v>Landing_BPM</x:v>
      </x:c>
      <x:c r="G3857" t="str" s="2">
        <x:v>Brooklynn Allen</x:v>
      </x:c>
      <x:c r="H3857" s="6">
        <x:v>46261.96943333333</x:v>
      </x:c>
      <x:c r="I3857" s="0"/>
      <x:c r="J3857" s="0"/>
      <x:c r="K3857" s="6">
        <x:v>46267</x:v>
      </x:c>
      <x:c r="L3857" t="str" s="2">
        <x:v>Message Sent</x:v>
      </x:c>
    </x:row>
    <x:row r="3858">
      <x:c r="A3858" t="str" s="2">
        <x:f>="Octavia Jones"</x:f>
      </x:c>
      <x:c r="B3858" t="str" s="2">
        <x:v>Legacy Housing Corp. DBA Americasa</x:v>
      </x:c>
      <x:c r="C3858" t="str" s="2">
        <x:v/>
      </x:c>
      <x:c r="D3858" t="str" s="2">
        <x:v>8324997502</x:v>
      </x:c>
      <x:c r="E3858" t="str" s="2">
        <x:v>mrseaglin11@gmail.com</x:v>
      </x:c>
      <x:c r="F3858" t="str" s="2">
        <x:v>Landing_BPM</x:v>
      </x:c>
      <x:c r="G3858" t="str" s="2">
        <x:v>Rodrigo Ramirez</x:v>
      </x:c>
      <x:c r="H3858" s="6">
        <x:v>46262.006075613426</x:v>
      </x:c>
      <x:c r="I3858" s="0"/>
      <x:c r="J3858" s="0"/>
      <x:c r="K3858" s="6">
        <x:v>46296</x:v>
      </x:c>
      <x:c r="L3858" t="str" s="2">
        <x:v>Message Sent</x:v>
      </x:c>
    </x:row>
    <x:row r="3859">
      <x:c r="A3859" t="str" s="2">
        <x:f>="Hunter Curtis"</x:f>
      </x:c>
      <x:c r="B3859" t="str" s="2">
        <x:v>Heritage Housing of Canton</x:v>
      </x:c>
      <x:c r="C3859" t="str" s="2">
        <x:v/>
      </x:c>
      <x:c r="D3859" t="str" s="2">
        <x:v>9183325620</x:v>
      </x:c>
      <x:c r="E3859" t="str" s="2">
        <x:v>Hunter.specops@outlook.com</x:v>
      </x:c>
      <x:c r="F3859" t="str" s="2">
        <x:v>Website</x:v>
      </x:c>
      <x:c r="G3859" t="str" s="2">
        <x:v>Jacob Hatten</x:v>
      </x:c>
      <x:c r="H3859" s="6">
        <x:v>46262.0336434375</x:v>
      </x:c>
      <x:c r="I3859" s="0"/>
      <x:c r="J3859" s="0"/>
      <x:c r="K3859" s="6">
        <x:v>46293</x:v>
      </x:c>
      <x:c r="L3859" t="str" s="2">
        <x:v>Message Sent</x:v>
      </x:c>
    </x:row>
    <x:row r="3860">
      <x:c r="A3860" t="str" s="2">
        <x:f>="Courtney Townsend"</x:f>
      </x:c>
      <x:c r="B3860" t="str" s="2">
        <x:v>Heritage Housing of Tulsa</x:v>
      </x:c>
      <x:c r="C3860" t="str" s="2">
        <x:v/>
      </x:c>
      <x:c r="D3860" t="str" s="2">
        <x:v>4053133357</x:v>
      </x:c>
      <x:c r="E3860" t="str" s="2">
        <x:v>sdcourtneytownsend@student.rsu.edu</x:v>
      </x:c>
      <x:c r="F3860" t="str" s="2">
        <x:v>Website</x:v>
      </x:c>
      <x:c r="G3860" t="str" s="2">
        <x:v>Jenna Fransisco</x:v>
      </x:c>
      <x:c r="H3860" s="6">
        <x:v>46262.191497685184</x:v>
      </x:c>
      <x:c r="I3860" s="0"/>
      <x:c r="J3860" s="0"/>
      <x:c r="K3860" s="6">
        <x:v>46262</x:v>
      </x:c>
      <x:c r="L3860" t="str" s="2">
        <x:v>Message Sent</x:v>
      </x:c>
    </x:row>
    <x:row r="3861">
      <x:c r="A3861" t="str" s="2">
        <x:f>="Andrea Johnson"</x:f>
      </x:c>
      <x:c r="B3861" t="str" s="2">
        <x:v>Heritage Housing Mt Pleasant</x:v>
      </x:c>
      <x:c r="C3861" t="str" s="2">
        <x:v/>
      </x:c>
      <x:c r="D3861" t="str" s="2">
        <x:v>2144125793</x:v>
      </x:c>
      <x:c r="E3861" t="str" s="2">
        <x:v>gale03011970@gmail.com</x:v>
      </x:c>
      <x:c r="F3861" t="str" s="2">
        <x:v>Landing_BPM</x:v>
      </x:c>
      <x:c r="G3861" t="str" s="2">
        <x:v>Sandra Saldana</x:v>
      </x:c>
      <x:c r="H3861" s="6">
        <x:v>46262.41020300926</x:v>
      </x:c>
      <x:c r="I3861" s="0"/>
      <x:c r="J3861" s="6">
        <x:v>46268.75</x:v>
      </x:c>
      <x:c r="K3861" s="6">
        <x:v>46300</x:v>
      </x:c>
      <x:c r="L3861" t="str" s="2">
        <x:v>Message Sent</x:v>
      </x:c>
    </x:row>
    <x:row r="3862">
      <x:c r="A3862" t="str" s="2">
        <x:f>="Adrean Vermeulen"</x:f>
      </x:c>
      <x:c r="B3862" t="str" s="2">
        <x:v>Heritage Housing of Canton</x:v>
      </x:c>
      <x:c r="C3862" t="str" s="2">
        <x:v/>
      </x:c>
      <x:c r="D3862" t="str" s="2">
        <x:v>2017376382</x:v>
      </x:c>
      <x:c r="E3862" t="str" s="2">
        <x:v>anewlife4dream@gmail.com</x:v>
      </x:c>
      <x:c r="F3862" t="str" s="2">
        <x:v>Financing Form</x:v>
      </x:c>
      <x:c r="G3862" t="str" s="2">
        <x:v>Maira Garcia</x:v>
      </x:c>
      <x:c r="H3862" s="6">
        <x:v>46262.45759394676</x:v>
      </x:c>
      <x:c r="I3862" s="0"/>
      <x:c r="J3862" s="0"/>
      <x:c r="K3862" s="6">
        <x:v>46262</x:v>
      </x:c>
      <x:c r="L3862" t="str" s="2">
        <x:v>Message Sent</x:v>
      </x:c>
    </x:row>
    <x:row r="3863">
      <x:c r="A3863" t="str" s="2">
        <x:f>="Julia Dyson Dyson"</x:f>
      </x:c>
      <x:c r="B3863" t="str" s="2">
        <x:v>Heritage Housing Mt Pleasant</x:v>
      </x:c>
      <x:c r="C3863" t="str" s="2">
        <x:v/>
      </x:c>
      <x:c r="D3863" t="str" s="2">
        <x:v>3144372770</x:v>
      </x:c>
      <x:c r="E3863" t="str" s="2">
        <x:v>julia.dyson2004@gmail.com</x:v>
      </x:c>
      <x:c r="F3863" t="str" s="2">
        <x:v>Landing_BPM</x:v>
      </x:c>
      <x:c r="G3863" t="str" s="2">
        <x:v>Yarelis Torres</x:v>
      </x:c>
      <x:c r="H3863" s="6">
        <x:v>46262.47069444445</x:v>
      </x:c>
      <x:c r="I3863" s="0"/>
      <x:c r="J3863" s="0"/>
      <x:c r="K3863" s="6">
        <x:v>46280</x:v>
      </x:c>
      <x:c r="L3863" t="str" s="2">
        <x:v>Message Sent</x:v>
      </x:c>
    </x:row>
    <x:row r="3864">
      <x:c r="A3864" t="str" s="2">
        <x:f>="Cydni Walker"</x:f>
      </x:c>
      <x:c r="B3864" t="str" s="2">
        <x:v>Heritage Housing of Jennings</x:v>
      </x:c>
      <x:c r="C3864" t="str" s="2">
        <x:v/>
      </x:c>
      <x:c r="D3864" t="str" s="2">
        <x:v>3183740305</x:v>
      </x:c>
      <x:c r="E3864" t="str" s="2">
        <x:v>cydddni@gmail.com</x:v>
      </x:c>
      <x:c r="F3864" t="str" s="2">
        <x:v>Landing_BPM</x:v>
      </x:c>
      <x:c r="G3864" t="str" s="2">
        <x:v>Clint O'Neal</x:v>
      </x:c>
      <x:c r="H3864" s="6">
        <x:v>46262.50723082176</x:v>
      </x:c>
      <x:c r="I3864" s="0"/>
      <x:c r="J3864" s="0"/>
      <x:c r="K3864" s="6">
        <x:v>46302.69813133102</x:v>
      </x:c>
      <x:c r="L3864" t="str" s="2">
        <x:v>Message Sent</x:v>
      </x:c>
    </x:row>
    <x:row r="3865">
      <x:c r="A3865" t="str" s="2">
        <x:f>="Bobby Rosea"</x:f>
      </x:c>
      <x:c r="B3865" t="str" s="2">
        <x:v>Heritage Housing of Asheboro</x:v>
      </x:c>
      <x:c r="C3865" t="str" s="2">
        <x:v/>
      </x:c>
      <x:c r="D3865" t="str" s="2">
        <x:v>336-823-4320</x:v>
      </x:c>
      <x:c r="E3865" t="str" s="2">
        <x:v>bobrosea553@gmail.com</x:v>
      </x:c>
      <x:c r="F3865" t="str" s="2">
        <x:v>Landing_BPM</x:v>
      </x:c>
      <x:c r="G3865" t="str" s="2">
        <x:v>Maria Lopez</x:v>
      </x:c>
      <x:c r="H3865" s="6">
        <x:v>46262.539007210646</x:v>
      </x:c>
      <x:c r="I3865" s="0"/>
      <x:c r="J3865" s="0"/>
      <x:c r="K3865" s="6">
        <x:v>46268</x:v>
      </x:c>
      <x:c r="L3865" t="str" s="2">
        <x:v>Message Sent</x:v>
      </x:c>
    </x:row>
    <x:row r="3866">
      <x:c r="A3866" t="str" s="2">
        <x:f>=HYPERLINK("https://rsms.futurehomex.com/lead/39531", "Tiffany Barron")</x:f>
      </x:c>
      <x:c r="B3866" t="str" s="2">
        <x:v>Heritage Housing of Greenville</x:v>
      </x:c>
      <x:c r="C3866" t="str" s="2">
        <x:v/>
      </x:c>
      <x:c r="D3866" t="str" s="2">
        <x:v>9453319919</x:v>
      </x:c>
      <x:c r="E3866" t="str" s="2">
        <x:v>TBarron@ensignservices.net</x:v>
      </x:c>
      <x:c r="F3866" t="str" s="2">
        <x:v>Financing Form</x:v>
      </x:c>
      <x:c r="G3866" t="str" s="2">
        <x:v>Brooklynn Allen</x:v>
      </x:c>
      <x:c r="H3866" s="6">
        <x:v>46262.57297028935</x:v>
      </x:c>
      <x:c r="I3866" t="str" s="2">
        <x:v>Brooklynn Allen</x:v>
      </x:c>
      <x:c r="J3866" s="0"/>
      <x:c r="K3866" s="6">
        <x:v>46262</x:v>
      </x:c>
      <x:c r="L3866" t="str" s="2">
        <x:v>Message Sent</x:v>
      </x:c>
    </x:row>
    <x:row r="3867">
      <x:c r="A3867" t="str" s="2">
        <x:f>="Melia Dorre"</x:f>
      </x:c>
      <x:c r="B3867" t="str" s="2">
        <x:v>Legacy Housing Corp. DBA Americasa</x:v>
      </x:c>
      <x:c r="C3867" t="str" s="2">
        <x:v/>
      </x:c>
      <x:c r="D3867" t="str" s="2">
        <x:v>8329881723</x:v>
      </x:c>
      <x:c r="E3867" t="str" s="2">
        <x:v>meliadorre@gmail.com</x:v>
      </x:c>
      <x:c r="F3867" t="str" s="2">
        <x:v>Landing_BPM</x:v>
      </x:c>
      <x:c r="G3867" t="str" s="2">
        <x:v>Jose Parada</x:v>
      </x:c>
      <x:c r="H3867" s="6">
        <x:v>46262.58902167824</x:v>
      </x:c>
      <x:c r="I3867" s="0"/>
      <x:c r="J3867" s="0"/>
      <x:c r="K3867" s="6">
        <x:v>46296</x:v>
      </x:c>
      <x:c r="L3867" t="str" s="2">
        <x:v>Message Sent</x:v>
      </x:c>
    </x:row>
    <x:row r="3868">
      <x:c r="A3868" t="str" s="2">
        <x:f>="tamara vann"</x:f>
      </x:c>
      <x:c r="B3868" t="str" s="2">
        <x:v>Heritage Housing of Asheboro</x:v>
      </x:c>
      <x:c r="C3868" t="str" s="2">
        <x:v/>
      </x:c>
      <x:c r="D3868" t="str" s="2">
        <x:v>3368622367</x:v>
      </x:c>
      <x:c r="E3868" t="str" s="2">
        <x:v>mrstrvann@gmail.com</x:v>
      </x:c>
      <x:c r="F3868" t="str" s="2">
        <x:v>Landing_BPM</x:v>
      </x:c>
      <x:c r="G3868" t="str" s="2">
        <x:v>Maria Lopez</x:v>
      </x:c>
      <x:c r="H3868" s="6">
        <x:v>46262.60512346065</x:v>
      </x:c>
      <x:c r="I3868" s="0"/>
      <x:c r="J3868" s="0"/>
      <x:c r="K3868" s="6">
        <x:v>46265</x:v>
      </x:c>
      <x:c r="L3868" t="str" s="2">
        <x:v>Message Sent</x:v>
      </x:c>
    </x:row>
    <x:row r="3869">
      <x:c r="A3869" t="str" s="2">
        <x:f>=HYPERLINK("https://rsms.futurehomex.com/lead/39442", "Jada Bishop")</x:f>
      </x:c>
      <x:c r="B3869" t="str" s="2">
        <x:v>Heritage Housing of Oklahoma City</x:v>
      </x:c>
      <x:c r="C3869" t="str" s="2">
        <x:v/>
      </x:c>
      <x:c r="D3869" t="str" s="2">
        <x:v>4173858421</x:v>
      </x:c>
      <x:c r="E3869" t="str" s="2">
        <x:v>jada.bishop57@gmail.com</x:v>
      </x:c>
      <x:c r="F3869" t="str" s="2">
        <x:v>Landing_BPM</x:v>
      </x:c>
      <x:c r="G3869" t="str" s="2">
        <x:v>Alejandra Calderon</x:v>
      </x:c>
      <x:c r="H3869" s="6">
        <x:v>46262.63317936342</x:v>
      </x:c>
      <x:c r="I3869" t="str" s="2">
        <x:v>Alejandra Calderon</x:v>
      </x:c>
      <x:c r="J3869" s="0"/>
      <x:c r="K3869" s="6">
        <x:v>46270</x:v>
      </x:c>
      <x:c r="L3869" t="str" s="2">
        <x:v>Message Sent</x:v>
      </x:c>
    </x:row>
    <x:row r="3870">
      <x:c r="A3870" t="str" s="2">
        <x:f>="Jeremy Thomas"</x:f>
      </x:c>
      <x:c r="B3870" t="str" s="2">
        <x:v>Legacy Housing Corp. DBA Americasa</x:v>
      </x:c>
      <x:c r="C3870" t="str" s="2">
        <x:v/>
      </x:c>
      <x:c r="D3870" t="str" s="2">
        <x:v>3468619873</x:v>
      </x:c>
      <x:c r="E3870" t="str" s="2">
        <x:v>bcritical2@gmail.com</x:v>
      </x:c>
      <x:c r="F3870" t="str" s="2">
        <x:v>Landing_BPM</x:v>
      </x:c>
      <x:c r="G3870" t="str" s="2">
        <x:v>Rodrigo Ramirez</x:v>
      </x:c>
      <x:c r="H3870" s="6">
        <x:v>46262.64099733796</x:v>
      </x:c>
      <x:c r="I3870" s="0"/>
      <x:c r="J3870" s="0"/>
      <x:c r="K3870" s="6">
        <x:v>46296</x:v>
      </x:c>
      <x:c r="L3870" t="str" s="2">
        <x:v>Message Sent</x:v>
      </x:c>
    </x:row>
    <x:row r="3871">
      <x:c r="A3871" t="str" s="2">
        <x:f>="Brenda Cooper"</x:f>
      </x:c>
      <x:c r="B3871" t="str" s="2">
        <x:v>Heritage Housing of Canton</x:v>
      </x:c>
      <x:c r="C3871" t="str" s="2">
        <x:v/>
      </x:c>
      <x:c r="D3871" t="str" s="2">
        <x:v>3045174010</x:v>
      </x:c>
      <x:c r="E3871" t="str" s="2">
        <x:v>brenjocooper@gmail.com</x:v>
      </x:c>
      <x:c r="F3871" t="str" s="2">
        <x:v>Landing_BPM</x:v>
      </x:c>
      <x:c r="G3871" t="str" s="2">
        <x:v>Jacob Hatten</x:v>
      </x:c>
      <x:c r="H3871" s="6">
        <x:v>46262.6830815625</x:v>
      </x:c>
      <x:c r="I3871" s="0"/>
      <x:c r="J3871" s="0"/>
      <x:c r="K3871" s="6">
        <x:v>46293</x:v>
      </x:c>
      <x:c r="L3871" t="str" s="2">
        <x:v>Message Sent</x:v>
      </x:c>
    </x:row>
    <x:row r="3872">
      <x:c r="A3872" t="str" s="2">
        <x:f>="Angela Prohaska"</x:f>
      </x:c>
      <x:c r="B3872" t="str" s="2">
        <x:v>Heritage Housing of Augusta</x:v>
      </x:c>
      <x:c r="C3872" t="str" s="2">
        <x:v/>
      </x:c>
      <x:c r="D3872" t="str" s="2">
        <x:v>7063122565</x:v>
      </x:c>
      <x:c r="E3872" t="str" s="2">
        <x:v>angelaprohaska@gmail.com</x:v>
      </x:c>
      <x:c r="F3872" t="str" s="2">
        <x:v>Landing_BPM</x:v>
      </x:c>
      <x:c r="G3872" t="str" s="2">
        <x:v>Faye Lively</x:v>
      </x:c>
      <x:c r="H3872" s="6">
        <x:v>46262.76071412037</x:v>
      </x:c>
      <x:c r="I3872" s="0"/>
      <x:c r="J3872" s="0"/>
      <x:c r="K3872" s="6">
        <x:v>46273</x:v>
      </x:c>
      <x:c r="L3872" t="str" s="2">
        <x:v>Message Sent</x:v>
      </x:c>
    </x:row>
    <x:row r="3873">
      <x:c r="A3873" t="str" s="2">
        <x:f>="Richard Flowers"</x:f>
      </x:c>
      <x:c r="B3873" t="str" s="2">
        <x:v>Legacy Housing Corp. DBA Americasa</x:v>
      </x:c>
      <x:c r="C3873" t="str" s="2">
        <x:v/>
      </x:c>
      <x:c r="D3873" t="str" s="2">
        <x:v>8323888044</x:v>
      </x:c>
      <x:c r="E3873" t="str" s="2">
        <x:v>raflowers47@gmail.com</x:v>
      </x:c>
      <x:c r="F3873" t="str" s="2">
        <x:v>Landing_BPM</x:v>
      </x:c>
      <x:c r="G3873" t="str" s="2">
        <x:v>Jose Parada</x:v>
      </x:c>
      <x:c r="H3873" s="6">
        <x:v>46262.791808761576</x:v>
      </x:c>
      <x:c r="I3873" s="0"/>
      <x:c r="J3873" s="0"/>
      <x:c r="K3873" s="6">
        <x:v>46296</x:v>
      </x:c>
      <x:c r="L3873" t="str" s="2">
        <x:v>Message Sent</x:v>
      </x:c>
    </x:row>
    <x:row r="3874">
      <x:c r="A3874" t="str" s="2">
        <x:f>="Kristen Rivera"</x:f>
      </x:c>
      <x:c r="B3874" t="str" s="2">
        <x:v>Legacy Housing Corp. DBA Americasa</x:v>
      </x:c>
      <x:c r="C3874" t="str" s="2">
        <x:v/>
      </x:c>
      <x:c r="D3874" t="str" s="2">
        <x:v>8178291286</x:v>
      </x:c>
      <x:c r="E3874" t="str" s="2">
        <x:v>tkristen133@gmail.com</x:v>
      </x:c>
      <x:c r="F3874" t="str" s="2">
        <x:v>Landing_BPM</x:v>
      </x:c>
      <x:c r="G3874" t="str" s="2">
        <x:v>Rodrigo Ramirez</x:v>
      </x:c>
      <x:c r="H3874" s="6">
        <x:v>46262.82613070602</x:v>
      </x:c>
      <x:c r="I3874" s="0"/>
      <x:c r="J3874" s="0"/>
      <x:c r="K3874" s="6">
        <x:v>46296</x:v>
      </x:c>
      <x:c r="L3874" t="str" s="2">
        <x:v>Message Sent</x:v>
      </x:c>
    </x:row>
    <x:row r="3875">
      <x:c r="A3875" t="str" s="2">
        <x:f>="Zuri Abuchi"</x:f>
      </x:c>
      <x:c r="B3875" t="str" s="2">
        <x:v>Legacy Housing Corp. DBA Americasa</x:v>
      </x:c>
      <x:c r="C3875" t="str" s="2">
        <x:v/>
      </x:c>
      <x:c r="D3875" t="str" s="2">
        <x:v>3465049973</x:v>
      </x:c>
      <x:c r="E3875" t="str" s="2">
        <x:v>zuriabuchi_73@yahoo.com</x:v>
      </x:c>
      <x:c r="F3875" t="str" s="2">
        <x:v>Landing_BPM</x:v>
      </x:c>
      <x:c r="G3875" t="str" s="2">
        <x:v>Rodrigo Ramirez</x:v>
      </x:c>
      <x:c r="H3875" s="6">
        <x:v>46262.8271190625</x:v>
      </x:c>
      <x:c r="I3875" s="0"/>
      <x:c r="J3875" s="0"/>
      <x:c r="K3875" s="6">
        <x:v>46296</x:v>
      </x:c>
      <x:c r="L3875" t="str" s="2">
        <x:v>Message Sent</x:v>
      </x:c>
    </x:row>
    <x:row r="3876">
      <x:c r="A3876" t="str" s="2">
        <x:f>="Kelly Stacy"</x:f>
      </x:c>
      <x:c r="B3876" t="str" s="2">
        <x:v>Heritage Housing of Asheboro</x:v>
      </x:c>
      <x:c r="C3876" t="str" s="2">
        <x:v/>
      </x:c>
      <x:c r="D3876" t="str" s="2">
        <x:v>9192762050</x:v>
      </x:c>
      <x:c r="E3876" t="str" s="2">
        <x:v>kstwins_77@yahoo.com</x:v>
      </x:c>
      <x:c r="F3876" t="str" s="2">
        <x:v>Financing Form</x:v>
      </x:c>
      <x:c r="G3876" t="str" s="2">
        <x:v>Maria Lopez</x:v>
      </x:c>
      <x:c r="H3876" s="6">
        <x:v>46262.91190543982</x:v>
      </x:c>
      <x:c r="I3876" s="0"/>
      <x:c r="J3876" s="0"/>
      <x:c r="K3876" s="6">
        <x:v>46268</x:v>
      </x:c>
      <x:c r="L3876" t="str" s="2">
        <x:v>Message Sent</x:v>
      </x:c>
    </x:row>
    <x:row r="3877">
      <x:c r="A3877" t="str" s="2">
        <x:f>="Donna Ramsey"</x:f>
      </x:c>
      <x:c r="B3877" t="str" s="2">
        <x:v>Heritage Housing Marble Falls</x:v>
      </x:c>
      <x:c r="C3877" t="str" s="2">
        <x:v/>
      </x:c>
      <x:c r="D3877" t="str" s="2">
        <x:v>4173963929</x:v>
      </x:c>
      <x:c r="E3877" t="str" s="2">
        <x:v>ramseyd63@gmail.com</x:v>
      </x:c>
      <x:c r="F3877" t="str" s="2">
        <x:v>Financing Form</x:v>
      </x:c>
      <x:c r="G3877" t="str" s="2">
        <x:v>Stephen Sanders</x:v>
      </x:c>
      <x:c r="H3877" s="6">
        <x:v>46262.91330917824</x:v>
      </x:c>
      <x:c r="I3877" s="0"/>
      <x:c r="J3877" s="0"/>
      <x:c r="K3877" s="6">
        <x:v>46274</x:v>
      </x:c>
      <x:c r="L3877" t="str" s="2">
        <x:v>Message Sent</x:v>
      </x:c>
    </x:row>
    <x:row r="3878">
      <x:c r="A3878" t="str" s="2">
        <x:f>="Frances Rosado"</x:f>
      </x:c>
      <x:c r="B3878" t="str" s="2">
        <x:v>Legacy Housing Corp. DBA Americasa</x:v>
      </x:c>
      <x:c r="C3878" t="str" s="2">
        <x:v/>
      </x:c>
      <x:c r="D3878" t="str" s="2">
        <x:v>7879236409</x:v>
      </x:c>
      <x:c r="E3878" t="str" s="2">
        <x:v>francesrosadoval@gmail.com</x:v>
      </x:c>
      <x:c r="F3878" t="str" s="2">
        <x:v>Landing_BPM</x:v>
      </x:c>
      <x:c r="G3878" t="str" s="2">
        <x:v>Jose Parada</x:v>
      </x:c>
      <x:c r="H3878" s="6">
        <x:v>46262.913368981484</x:v>
      </x:c>
      <x:c r="I3878" s="0"/>
      <x:c r="J3878" s="0"/>
      <x:c r="K3878" s="6">
        <x:v>46296</x:v>
      </x:c>
      <x:c r="L3878" t="str" s="2">
        <x:v>Message Sent</x:v>
      </x:c>
    </x:row>
    <x:row r="3879">
      <x:c r="A3879" t="str" s="2">
        <x:f>="Diane Music cabrera"</x:f>
      </x:c>
      <x:c r="B3879" t="str" s="2">
        <x:v>Heritage Housing of Augusta</x:v>
      </x:c>
      <x:c r="C3879" t="str" s="2">
        <x:v/>
      </x:c>
      <x:c r="D3879" t="str" s="2">
        <x:v>8033417553</x:v>
      </x:c>
      <x:c r="E3879" t="str" s="2">
        <x:v>musicdiane334@gmail.com</x:v>
      </x:c>
      <x:c r="F3879" t="str" s="2">
        <x:v>Website</x:v>
      </x:c>
      <x:c r="G3879" t="str" s="2">
        <x:v>Faye Lively</x:v>
      </x:c>
      <x:c r="H3879" s="6">
        <x:v>46262.93641234954</x:v>
      </x:c>
      <x:c r="I3879" s="0"/>
      <x:c r="J3879" s="0"/>
      <x:c r="K3879" s="6">
        <x:v>46274</x:v>
      </x:c>
      <x:c r="L3879" t="str" s="2">
        <x:v>Message Sent</x:v>
      </x:c>
    </x:row>
    <x:row r="3880">
      <x:c r="A3880" t="str" s="2">
        <x:f>="Philip A Swiderski Jr"</x:f>
      </x:c>
      <x:c r="B3880" t="str" s="2">
        <x:v>Heritage Housing of Canton</x:v>
      </x:c>
      <x:c r="C3880" t="str" s="2">
        <x:v/>
      </x:c>
      <x:c r="D3880" t="str" s="2">
        <x:v>4692477097</x:v>
      </x:c>
      <x:c r="E3880" t="str" s="2">
        <x:v>pasjrwoctx@gmail.com</x:v>
      </x:c>
      <x:c r="F3880" t="str" s="2">
        <x:v>Landing_BPM</x:v>
      </x:c>
      <x:c r="G3880" t="str" s="2">
        <x:v>Maira Garcia</x:v>
      </x:c>
      <x:c r="H3880" s="6">
        <x:v>46263.00961137732</x:v>
      </x:c>
      <x:c r="I3880" s="0"/>
      <x:c r="J3880" s="0"/>
      <x:c r="K3880" s="6">
        <x:v>46265</x:v>
      </x:c>
      <x:c r="L3880" t="str" s="2">
        <x:v>Message Sent</x:v>
      </x:c>
    </x:row>
    <x:row r="3881">
      <x:c r="A3881" t="str" s="2">
        <x:f>="Jackie Milton"</x:f>
      </x:c>
      <x:c r="B3881" t="str" s="2">
        <x:v>Heritage Housing of Canton</x:v>
      </x:c>
      <x:c r="C3881" t="str" s="2">
        <x:v/>
      </x:c>
      <x:c r="D3881" t="str" s="2">
        <x:v>4699847343</x:v>
      </x:c>
      <x:c r="E3881" t="str" s="2">
        <x:v>jackiemilton35@gmail.com</x:v>
      </x:c>
      <x:c r="F3881" t="str" s="2">
        <x:v>Bing - Search</x:v>
      </x:c>
      <x:c r="G3881" t="str" s="2">
        <x:v>Maira Garcia</x:v>
      </x:c>
      <x:c r="H3881" s="6">
        <x:v>46263.02983429398</x:v>
      </x:c>
      <x:c r="I3881" s="0"/>
      <x:c r="J3881" s="0"/>
      <x:c r="K3881" s="6">
        <x:v>46270</x:v>
      </x:c>
      <x:c r="L3881" t="str" s="2">
        <x:v>Message Sent</x:v>
      </x:c>
    </x:row>
    <x:row r="3882">
      <x:c r="A3882" t="str" s="2">
        <x:f>="Andrew Willis"</x:f>
      </x:c>
      <x:c r="B3882" t="str" s="2">
        <x:v>Heritage Housing of Jennings</x:v>
      </x:c>
      <x:c r="C3882" t="str" s="2">
        <x:v/>
      </x:c>
      <x:c r="D3882" t="str" s="2">
        <x:v>2817398998</x:v>
      </x:c>
      <x:c r="E3882" t="str" s="2">
        <x:v>drew79269@gmail.com</x:v>
      </x:c>
      <x:c r="F3882" t="str" s="2">
        <x:v>Landing_BPM</x:v>
      </x:c>
      <x:c r="G3882" t="str" s="2">
        <x:v>Mervin Leslie Smith</x:v>
      </x:c>
      <x:c r="H3882" s="6">
        <x:v>46263.04086006944</x:v>
      </x:c>
      <x:c r="I3882" s="0"/>
      <x:c r="J3882" s="0"/>
      <x:c r="K3882" s="6">
        <x:v>46302.69855709491</x:v>
      </x:c>
      <x:c r="L3882" t="str" s="2">
        <x:v>Message Sent</x:v>
      </x:c>
    </x:row>
    <x:row r="3883">
      <x:c r="A3883" t="str" s="2">
        <x:f>="Vernie Paille"</x:f>
      </x:c>
      <x:c r="B3883" t="str" s="2">
        <x:v>Legacy Housing Corp. DBA Americasa</x:v>
      </x:c>
      <x:c r="C3883" t="str" s="2">
        <x:v/>
      </x:c>
      <x:c r="D3883" t="str" s="2">
        <x:v>2253689365</x:v>
      </x:c>
      <x:c r="E3883" t="str" s="2">
        <x:v>vpaille1977@gmail.com</x:v>
      </x:c>
      <x:c r="F3883" t="str" s="2">
        <x:v>Financing Form</x:v>
      </x:c>
      <x:c r="G3883" t="str" s="2">
        <x:v>Rodrigo Ramirez</x:v>
      </x:c>
      <x:c r="H3883" s="6">
        <x:v>46263.04337670139</x:v>
      </x:c>
      <x:c r="I3883" s="0"/>
      <x:c r="J3883" s="0"/>
      <x:c r="K3883" s="6">
        <x:v>46296</x:v>
      </x:c>
      <x:c r="L3883" t="str" s="2">
        <x:v>Message Sent</x:v>
      </x:c>
    </x:row>
    <x:row r="3884">
      <x:c r="A3884" t="str" s="2">
        <x:f>="Wayneta Britton"</x:f>
      </x:c>
      <x:c r="B3884" t="str" s="2">
        <x:v>Legacy Housing Corp. DBA Americasa</x:v>
      </x:c>
      <x:c r="C3884" t="str" s="2">
        <x:v/>
      </x:c>
      <x:c r="D3884" t="str" s="2">
        <x:v>8066629488</x:v>
      </x:c>
      <x:c r="E3884" t="str" s="2">
        <x:v>netabritton@gmail.com</x:v>
      </x:c>
      <x:c r="F3884" t="str" s="2">
        <x:v>Landing_BPM</x:v>
      </x:c>
      <x:c r="G3884" t="str" s="2">
        <x:v>Rodrigo Ramirez</x:v>
      </x:c>
      <x:c r="H3884" s="6">
        <x:v>46263.08611967593</x:v>
      </x:c>
      <x:c r="I3884" s="0"/>
      <x:c r="J3884" s="0"/>
      <x:c r="K3884" s="6">
        <x:v>46296</x:v>
      </x:c>
      <x:c r="L3884" t="str" s="2">
        <x:v>Message Sent</x:v>
      </x:c>
    </x:row>
    <x:row r="3885">
      <x:c r="A3885" t="str" s="2">
        <x:f>="Astryd Hernandez"</x:f>
      </x:c>
      <x:c r="B3885" t="str" s="2">
        <x:v>Heritage Housing of Asheboro</x:v>
      </x:c>
      <x:c r="C3885" t="str" s="2">
        <x:v/>
      </x:c>
      <x:c r="D3885" t="str" s="2">
        <x:v>3234126060</x:v>
      </x:c>
      <x:c r="E3885" t="str" s="2">
        <x:v>astryd0711silva@gmail.com</x:v>
      </x:c>
      <x:c r="F3885" t="str" s="2">
        <x:v>Financing Form</x:v>
      </x:c>
      <x:c r="G3885" t="str" s="2">
        <x:v>Maria Lopez</x:v>
      </x:c>
      <x:c r="H3885" s="6">
        <x:v>46263.13015309028</x:v>
      </x:c>
      <x:c r="I3885" s="0"/>
      <x:c r="J3885" s="0"/>
      <x:c r="K3885" s="6">
        <x:v>46263</x:v>
      </x:c>
      <x:c r="L3885" t="str" s="2">
        <x:v>Message Sent</x:v>
      </x:c>
    </x:row>
    <x:row r="3886">
      <x:c r="A3886" t="str" s="2">
        <x:f>="Jamemesha Hall"</x:f>
      </x:c>
      <x:c r="B3886" t="str" s="2">
        <x:v>Heritage Housing of Athens</x:v>
      </x:c>
      <x:c r="C3886" t="str" s="2">
        <x:v/>
      </x:c>
      <x:c r="D3886" t="str" s="2">
        <x:v>3182250131</x:v>
      </x:c>
      <x:c r="E3886" t="str" s="2">
        <x:v>jamemeshahall823@gmail.com</x:v>
      </x:c>
      <x:c r="F3886" t="str" s="2">
        <x:v>Landing_BPM</x:v>
      </x:c>
      <x:c r="G3886" t="str" s="2">
        <x:v>Nathan Bishop</x:v>
      </x:c>
      <x:c r="H3886" s="6">
        <x:v>46263.145773958335</x:v>
      </x:c>
      <x:c r="I3886" s="0"/>
      <x:c r="J3886" s="0"/>
      <x:c r="K3886" s="6">
        <x:v>46283</x:v>
      </x:c>
      <x:c r="L3886" t="str" s="2">
        <x:v>Message Sent</x:v>
      </x:c>
    </x:row>
    <x:row r="3887">
      <x:c r="A3887" t="str" s="2">
        <x:f>="Rebekah Arrington"</x:f>
      </x:c>
      <x:c r="B3887" t="str" s="2">
        <x:v>Legacy Housing Corp. DBA Americasa</x:v>
      </x:c>
      <x:c r="C3887" t="str" s="2">
        <x:v/>
      </x:c>
      <x:c r="D3887" t="str" s="2">
        <x:v>9368273294</x:v>
      </x:c>
      <x:c r="E3887" t="str" s="2">
        <x:v>rebekah.i.arring@gmail.com</x:v>
      </x:c>
      <x:c r="F3887" t="str" s="2">
        <x:v>Landing_BPM</x:v>
      </x:c>
      <x:c r="G3887" t="str" s="2">
        <x:v>Jose Parada</x:v>
      </x:c>
      <x:c r="H3887" s="6">
        <x:v>46263.14765332176</x:v>
      </x:c>
      <x:c r="I3887" s="0"/>
      <x:c r="J3887" s="0"/>
      <x:c r="K3887" s="6">
        <x:v>46296</x:v>
      </x:c>
      <x:c r="L3887" t="str" s="2">
        <x:v>Message Sent</x:v>
      </x:c>
    </x:row>
    <x:row r="3888">
      <x:c r="A3888" t="str" s="2">
        <x:f>="Simone Martin"</x:f>
      </x:c>
      <x:c r="B3888" t="str" s="2">
        <x:v>Heritage Housing Marble Falls</x:v>
      </x:c>
      <x:c r="C3888" t="str" s="2">
        <x:v/>
      </x:c>
      <x:c r="D3888" t="str" s="2">
        <x:v>2544669051</x:v>
      </x:c>
      <x:c r="E3888" t="str" s="2">
        <x:v>blue_hummingbird@gmx.com</x:v>
      </x:c>
      <x:c r="F3888" t="str" s="2">
        <x:v>Landing_BPM</x:v>
      </x:c>
      <x:c r="G3888" t="str" s="2">
        <x:v>Stephen Sanders</x:v>
      </x:c>
      <x:c r="H3888" s="6">
        <x:v>46263.36824085648</x:v>
      </x:c>
      <x:c r="I3888" s="0"/>
      <x:c r="J3888" s="0"/>
      <x:c r="K3888" s="6">
        <x:v>46274</x:v>
      </x:c>
      <x:c r="L3888" t="str" s="2">
        <x:v>Message Sent</x:v>
      </x:c>
    </x:row>
    <x:row r="3889">
      <x:c r="A3889" t="str" s="2">
        <x:f>="Kevin Davidson"</x:f>
      </x:c>
      <x:c r="B3889" t="str" s="2">
        <x:v>Heritage Housing of Tulsa</x:v>
      </x:c>
      <x:c r="C3889" t="str" s="2">
        <x:v/>
      </x:c>
      <x:c r="D3889" t="str" s="2">
        <x:v>9185091663</x:v>
      </x:c>
      <x:c r="E3889" t="str" s="2">
        <x:v>davidsonk529@gmail.com</x:v>
      </x:c>
      <x:c r="F3889" t="str" s="2">
        <x:v>Landing_BPM</x:v>
      </x:c>
      <x:c r="G3889" t="str" s="2">
        <x:v>Jenna Fransisco</x:v>
      </x:c>
      <x:c r="H3889" s="6">
        <x:v>46263.44530366898</x:v>
      </x:c>
      <x:c r="I3889" s="0"/>
      <x:c r="J3889" s="0"/>
      <x:c r="K3889" s="6">
        <x:v>46263</x:v>
      </x:c>
      <x:c r="L3889" t="str" s="2">
        <x:v>Message Sent</x:v>
      </x:c>
    </x:row>
    <x:row r="3890">
      <x:c r="A3890" t="str" s="2">
        <x:f>=HYPERLINK("https://rsms.futurehomex.com/lead/39898", "Chad Page")</x:f>
      </x:c>
      <x:c r="B3890" t="str" s="2">
        <x:v>Heritage Housing of Athens</x:v>
      </x:c>
      <x:c r="C3890" t="str" s="2">
        <x:v/>
      </x:c>
      <x:c r="D3890" t="str" s="2">
        <x:v>7069739750</x:v>
      </x:c>
      <x:c r="E3890" t="str" s="2">
        <x:v>jcpage30534@gmail.com</x:v>
      </x:c>
      <x:c r="F3890" t="str" s="2">
        <x:v>Landing_BPM</x:v>
      </x:c>
      <x:c r="G3890" t="str" s="2">
        <x:v>Nathan Bishop</x:v>
      </x:c>
      <x:c r="H3890" s="6">
        <x:v>46263.57405732639</x:v>
      </x:c>
      <x:c r="I3890" t="str" s="2">
        <x:v>Nathan Bishop</x:v>
      </x:c>
      <x:c r="J3890" s="0"/>
      <x:c r="K3890" s="6">
        <x:v>46276</x:v>
      </x:c>
      <x:c r="L3890" t="str" s="2">
        <x:v>Message Sent</x:v>
      </x:c>
    </x:row>
    <x:row r="3891">
      <x:c r="A3891" t="str" s="2">
        <x:f>="Neco Vernon"</x:f>
      </x:c>
      <x:c r="B3891" t="str" s="2">
        <x:v>Heritage Housing of Jennings</x:v>
      </x:c>
      <x:c r="C3891" t="str" s="2">
        <x:v/>
      </x:c>
      <x:c r="D3891" t="str" s="2">
        <x:v>9859565717</x:v>
      </x:c>
      <x:c r="E3891" t="str" s="2">
        <x:v>plainjane1122@gmail.com</x:v>
      </x:c>
      <x:c r="F3891" t="str" s="2">
        <x:v>Youtube</x:v>
      </x:c>
      <x:c r="G3891" t="str" s="2">
        <x:v>Mervin Leslie Smith</x:v>
      </x:c>
      <x:c r="H3891" s="6">
        <x:v>46263.63667526621</x:v>
      </x:c>
      <x:c r="I3891" s="0"/>
      <x:c r="J3891" s="0"/>
      <x:c r="K3891" s="6">
        <x:v>46302.699111608796</x:v>
      </x:c>
      <x:c r="L3891" t="str" s="2">
        <x:v>Message Sent</x:v>
      </x:c>
    </x:row>
    <x:row r="3892">
      <x:c r="A3892" t="str" s="2">
        <x:f>="Sabrina Humphries"</x:f>
      </x:c>
      <x:c r="B3892" t="str" s="2">
        <x:v>Heritage Housing of Albany</x:v>
      </x:c>
      <x:c r="C3892" t="str" s="2">
        <x:v/>
      </x:c>
      <x:c r="D3892" t="str" s="2">
        <x:v>5722469223</x:v>
      </x:c>
      <x:c r="E3892" t="str" s="2">
        <x:v>sabrina23srh@yahoo.com</x:v>
      </x:c>
      <x:c r="F3892" t="str" s="2">
        <x:v>Financing Form</x:v>
      </x:c>
      <x:c r="G3892" t="str" s="2">
        <x:v>Yanet Alvarez</x:v>
      </x:c>
      <x:c r="H3892" s="6">
        <x:v>46263.65088306713</x:v>
      </x:c>
      <x:c r="I3892" s="0"/>
      <x:c r="J3892" s="0"/>
      <x:c r="K3892" s="6">
        <x:v>46303</x:v>
      </x:c>
      <x:c r="L3892" t="str" s="2">
        <x:v>Message Sent</x:v>
      </x:c>
    </x:row>
    <x:row r="3893">
      <x:c r="A3893" t="str" s="2">
        <x:f>="Alexxia Hill"</x:f>
      </x:c>
      <x:c r="B3893" t="str" s="2">
        <x:v>Heritage Housing of Canton</x:v>
      </x:c>
      <x:c r="C3893" t="str" s="2">
        <x:v/>
      </x:c>
      <x:c r="D3893" t="str" s="2">
        <x:v>9032884203</x:v>
      </x:c>
      <x:c r="E3893" t="str" s="2">
        <x:v>alexxiahill1@gmail.com</x:v>
      </x:c>
      <x:c r="F3893" t="str" s="2">
        <x:v>Website</x:v>
      </x:c>
      <x:c r="G3893" t="str" s="2">
        <x:v>Maira Garcia</x:v>
      </x:c>
      <x:c r="H3893" s="6">
        <x:v>46263.65183579861</x:v>
      </x:c>
      <x:c r="I3893" s="0"/>
      <x:c r="J3893" s="0"/>
      <x:c r="K3893" s="6">
        <x:v>46265</x:v>
      </x:c>
      <x:c r="L3893" t="str" s="2">
        <x:v>Message Sent</x:v>
      </x:c>
    </x:row>
    <x:row r="3894">
      <x:c r="A3894" t="str" s="2">
        <x:f>="Laura Cranford"</x:f>
      </x:c>
      <x:c r="B3894" t="str" s="2">
        <x:v>Legacy Housing Corp. DBA Americasa</x:v>
      </x:c>
      <x:c r="C3894" t="str" s="2">
        <x:v/>
      </x:c>
      <x:c r="D3894" t="str" s="2">
        <x:v>9367276469</x:v>
      </x:c>
      <x:c r="E3894" t="str" s="2">
        <x:v>lauracranford04@gmail.com</x:v>
      </x:c>
      <x:c r="F3894" t="str" s="2">
        <x:v>Landing_BPM</x:v>
      </x:c>
      <x:c r="G3894" t="str" s="2">
        <x:v>Rodrigo Ramirez</x:v>
      </x:c>
      <x:c r="H3894" s="6">
        <x:v>46263.65633596065</x:v>
      </x:c>
      <x:c r="I3894" s="0"/>
      <x:c r="J3894" s="0"/>
      <x:c r="K3894" s="6">
        <x:v>46296</x:v>
      </x:c>
      <x:c r="L3894" t="str" s="2">
        <x:v>Message Sent</x:v>
      </x:c>
    </x:row>
    <x:row r="3895">
      <x:c r="A3895" t="str" s="2">
        <x:f>="Marshall Manning"</x:f>
      </x:c>
      <x:c r="B3895" t="str" s="2">
        <x:v>Heritage Housing of Greenville</x:v>
      </x:c>
      <x:c r="C3895" t="str" s="2">
        <x:v/>
      </x:c>
      <x:c r="D3895" t="str" s="2">
        <x:v>9034137666</x:v>
      </x:c>
      <x:c r="E3895" t="str" s="2">
        <x:v>martymanning@rocketmail.com</x:v>
      </x:c>
      <x:c r="F3895" t="str" s="2">
        <x:v>Website</x:v>
      </x:c>
      <x:c r="G3895" t="str" s="2">
        <x:v>Greg Christman</x:v>
      </x:c>
      <x:c r="H3895" s="6">
        <x:v>46263.6782659375</x:v>
      </x:c>
      <x:c r="I3895" s="0"/>
      <x:c r="J3895" s="0"/>
      <x:c r="K3895" s="6">
        <x:v>46269</x:v>
      </x:c>
      <x:c r="L3895" t="str" s="2">
        <x:v>Message Sent</x:v>
      </x:c>
    </x:row>
    <x:row r="3896">
      <x:c r="A3896" t="str" s="2">
        <x:f>="Vanessa Grier"</x:f>
      </x:c>
      <x:c r="B3896" t="str" s="2">
        <x:v>Heritage Housing of Augusta</x:v>
      </x:c>
      <x:c r="C3896" t="str" s="2">
        <x:v/>
      </x:c>
      <x:c r="D3896" t="str" s="2">
        <x:v>9432267415</x:v>
      </x:c>
      <x:c r="E3896" t="str" s="2">
        <x:v>vharmoney@aol.comv</x:v>
      </x:c>
      <x:c r="F3896" t="str" s="2">
        <x:v>Landing_BPM</x:v>
      </x:c>
      <x:c r="G3896" t="str" s="2">
        <x:v>Faye Lively</x:v>
      </x:c>
      <x:c r="H3896" s="6">
        <x:v>46263.78603244213</x:v>
      </x:c>
      <x:c r="I3896" s="0"/>
      <x:c r="J3896" s="0"/>
      <x:c r="K3896" s="6">
        <x:v>46274</x:v>
      </x:c>
      <x:c r="L3896" t="str" s="2">
        <x:v>Message Sent</x:v>
      </x:c>
    </x:row>
    <x:row r="3897">
      <x:c r="A3897" t="str" s="2">
        <x:f>="Kyle Henry"</x:f>
      </x:c>
      <x:c r="B3897" t="str" s="2">
        <x:v>Heritage Housing of Athens</x:v>
      </x:c>
      <x:c r="C3897" t="str" s="2">
        <x:v/>
      </x:c>
      <x:c r="D3897" t="str" s="2">
        <x:v>7064365197</x:v>
      </x:c>
      <x:c r="E3897" t="str" s="2">
        <x:v>kkyle02@aol.com</x:v>
      </x:c>
      <x:c r="F3897" t="str" s="2">
        <x:v>Financing Form</x:v>
      </x:c>
      <x:c r="G3897" t="str" s="2">
        <x:v>Nathan Bishop</x:v>
      </x:c>
      <x:c r="H3897" s="6">
        <x:v>46263.78698464121</x:v>
      </x:c>
      <x:c r="I3897" s="0"/>
      <x:c r="J3897" s="0"/>
      <x:c r="K3897" s="6">
        <x:v>46283</x:v>
      </x:c>
      <x:c r="L3897" t="str" s="2">
        <x:v>Message Sent</x:v>
      </x:c>
    </x:row>
    <x:row r="3898">
      <x:c r="A3898" t="str" s="2">
        <x:f>="Terica nunn"</x:f>
      </x:c>
      <x:c r="B3898" t="str" s="2">
        <x:v>Heritage Housing of Asheboro</x:v>
      </x:c>
      <x:c r="C3898" t="str" s="2">
        <x:v/>
      </x:c>
      <x:c r="D3898" t="str" s="2">
        <x:v>919-339-8578</x:v>
      </x:c>
      <x:c r="E3898" t="str" s="2">
        <x:v>tericarnunn@gmail.com</x:v>
      </x:c>
      <x:c r="F3898" t="str" s="2">
        <x:v>Bing - Search</x:v>
      </x:c>
      <x:c r="G3898" t="str" s="2">
        <x:v>Maria Lopez</x:v>
      </x:c>
      <x:c r="H3898" s="6">
        <x:v>46263.79934849537</x:v>
      </x:c>
      <x:c r="I3898" s="0"/>
      <x:c r="J3898" s="0"/>
      <x:c r="K3898" s="6">
        <x:v>46268</x:v>
      </x:c>
      <x:c r="L3898" t="str" s="2">
        <x:v>Message Sent</x:v>
      </x:c>
    </x:row>
    <x:row r="3899">
      <x:c r="A3899" t="str" s="2">
        <x:f>="Lori Pryor"</x:f>
      </x:c>
      <x:c r="B3899" t="str" s="2">
        <x:v>Heritage Housing of Asheboro</x:v>
      </x:c>
      <x:c r="C3899" t="str" s="2">
        <x:v/>
      </x:c>
      <x:c r="D3899" t="str" s="2">
        <x:v>7432381212</x:v>
      </x:c>
      <x:c r="E3899" t="str" s="2">
        <x:v>lorimarie2004@icloud.com</x:v>
      </x:c>
      <x:c r="F3899" t="str" s="2">
        <x:v>Financing Form</x:v>
      </x:c>
      <x:c r="G3899" t="str" s="2">
        <x:v>Maria Lopez</x:v>
      </x:c>
      <x:c r="H3899" s="6">
        <x:v>46263.804985532406</x:v>
      </x:c>
      <x:c r="I3899" s="0"/>
      <x:c r="J3899" s="0"/>
      <x:c r="K3899" s="6">
        <x:v>46265</x:v>
      </x:c>
      <x:c r="L3899" t="str" s="2">
        <x:v>Message Sent</x:v>
      </x:c>
    </x:row>
    <x:row r="3900">
      <x:c r="A3900" t="str" s="2">
        <x:f>="Carolyn Mastowski"</x:f>
      </x:c>
      <x:c r="B3900" t="str" s="2">
        <x:v>Heritage Housing of Asheboro</x:v>
      </x:c>
      <x:c r="C3900" t="str" s="2">
        <x:v/>
      </x:c>
      <x:c r="D3900" t="str" s="2">
        <x:v>3367625467</x:v>
      </x:c>
      <x:c r="E3900" t="str" s="2">
        <x:v>f8cancercarolyn@gmail.com</x:v>
      </x:c>
      <x:c r="F3900" t="str" s="2">
        <x:v>Financing Form</x:v>
      </x:c>
      <x:c r="G3900" t="str" s="2">
        <x:v>Maria Lopez</x:v>
      </x:c>
      <x:c r="H3900" s="6">
        <x:v>46263.87013113426</x:v>
      </x:c>
      <x:c r="I3900" s="0"/>
      <x:c r="J3900" s="0"/>
      <x:c r="K3900" s="6">
        <x:v>46268</x:v>
      </x:c>
      <x:c r="L3900" t="str" s="2">
        <x:v>Message Sent</x:v>
      </x:c>
    </x:row>
    <x:row r="3901">
      <x:c r="A3901" t="str" s="2">
        <x:f>="Carolyn Davis"</x:f>
      </x:c>
      <x:c r="B3901" t="str" s="2">
        <x:v>Heritage Housing of Asheboro</x:v>
      </x:c>
      <x:c r="C3901" t="str" s="2">
        <x:v/>
      </x:c>
      <x:c r="D3901" t="str" s="2">
        <x:v>5409155172</x:v>
      </x:c>
      <x:c r="E3901" t="str" s="2">
        <x:v>cardav1955@gmail.com</x:v>
      </x:c>
      <x:c r="F3901" t="str" s="2">
        <x:v>Landing_BPM</x:v>
      </x:c>
      <x:c r="G3901" t="str" s="2">
        <x:v>Maria Lopez</x:v>
      </x:c>
      <x:c r="H3901" s="6">
        <x:v>46263.87375960648</x:v>
      </x:c>
      <x:c r="I3901" s="0"/>
      <x:c r="J3901" s="0"/>
      <x:c r="K3901" s="6">
        <x:v>46265</x:v>
      </x:c>
      <x:c r="L3901" t="str" s="2">
        <x:v>Message Sent</x:v>
      </x:c>
    </x:row>
    <x:row r="3902">
      <x:c r="A3902" t="str" s="2">
        <x:f>="Irma Talamantez"</x:f>
      </x:c>
      <x:c r="B3902" t="str" s="2">
        <x:v>Heritage Housing of Canton</x:v>
      </x:c>
      <x:c r="C3902" t="str" s="2">
        <x:v/>
      </x:c>
      <x:c r="D3902" t="str" s="2">
        <x:v>2109260847</x:v>
      </x:c>
      <x:c r="E3902" t="str" s="2">
        <x:v>mykingsqueen.06.24@gmail.com</x:v>
      </x:c>
      <x:c r="F3902" t="str" s="2">
        <x:v>Youtube</x:v>
      </x:c>
      <x:c r="G3902" t="str" s="2">
        <x:v>Maira Garcia</x:v>
      </x:c>
      <x:c r="H3902" s="6">
        <x:v>46263.904191863425</x:v>
      </x:c>
      <x:c r="I3902" s="0"/>
      <x:c r="J3902" s="0"/>
      <x:c r="K3902" s="6">
        <x:v>46270</x:v>
      </x:c>
      <x:c r="L3902" t="str" s="2">
        <x:v>Message Sent</x:v>
      </x:c>
    </x:row>
    <x:row r="3903">
      <x:c r="A3903" t="str" s="2">
        <x:f>="Terry Stokes"</x:f>
      </x:c>
      <x:c r="B3903" t="str" s="2">
        <x:v>Heritage Housing of Asheboro</x:v>
      </x:c>
      <x:c r="C3903" t="str" s="2">
        <x:v/>
      </x:c>
      <x:c r="D3903" t="str" s="2">
        <x:v>7043726247</x:v>
      </x:c>
      <x:c r="E3903" t="str" s="2">
        <x:v>terrystokes@bellsouth.net</x:v>
      </x:c>
      <x:c r="F3903" t="str" s="2">
        <x:v>Bing - Search</x:v>
      </x:c>
      <x:c r="G3903" t="str" s="2">
        <x:v>Maria Lopez</x:v>
      </x:c>
      <x:c r="H3903" s="6">
        <x:v>46263.93409016204</x:v>
      </x:c>
      <x:c r="I3903" s="0"/>
      <x:c r="J3903" s="0"/>
      <x:c r="K3903" s="6">
        <x:v>46268</x:v>
      </x:c>
      <x:c r="L3903" t="str" s="2">
        <x:v>Message Sent</x:v>
      </x:c>
    </x:row>
    <x:row r="3904">
      <x:c r="A3904" t="str" s="2">
        <x:f>=HYPERLINK("https://rsms.futurehomex.com/lead/39525", "Mark Leffler")</x:f>
      </x:c>
      <x:c r="B3904" t="str" s="2">
        <x:v>Heritage Housing of Oklahoma City</x:v>
      </x:c>
      <x:c r="C3904" t="str" s="2">
        <x:v/>
      </x:c>
      <x:c r="D3904" t="str" s="2">
        <x:v>6824201268</x:v>
      </x:c>
      <x:c r="E3904" t="str" s="2">
        <x:v>Ml061411@gmail.com</x:v>
      </x:c>
      <x:c r="F3904" t="str" s="2">
        <x:v>LandingPage</x:v>
      </x:c>
      <x:c r="G3904" t="str" s="2">
        <x:v>Steve Castell</x:v>
      </x:c>
      <x:c r="H3904" s="6">
        <x:v>46263.98181597222</x:v>
      </x:c>
      <x:c r="I3904" t="str" s="2">
        <x:v>Steve Castell</x:v>
      </x:c>
      <x:c r="J3904" s="0"/>
      <x:c r="K3904" s="6">
        <x:v>46274</x:v>
      </x:c>
      <x:c r="L3904" t="str" s="2">
        <x:v>Message Sent</x:v>
      </x:c>
    </x:row>
    <x:row r="3905">
      <x:c r="A3905" t="str" s="2">
        <x:f>=HYPERLINK("https://rsms.futurehomex.com/lead/40357", "Joan Bennett")</x:f>
      </x:c>
      <x:c r="B3905" t="str" s="2">
        <x:v>Heritage Housing Gainesville</x:v>
      </x:c>
      <x:c r="C3905" t="str" s="2">
        <x:v/>
      </x:c>
      <x:c r="D3905" t="str" s="2">
        <x:v>9409104274</x:v>
      </x:c>
      <x:c r="E3905" t="str" s="2">
        <x:v>joanbennett66@gmail.com</x:v>
      </x:c>
      <x:c r="F3905" t="str" s="2">
        <x:v>Landing_BPM</x:v>
      </x:c>
      <x:c r="G3905" t="str" s="2">
        <x:v>Kelly Ford</x:v>
      </x:c>
      <x:c r="H3905" s="6">
        <x:v>46263.98255709491</x:v>
      </x:c>
      <x:c r="I3905" t="str" s="2">
        <x:v>Jeniffer Arellano</x:v>
      </x:c>
      <x:c r="J3905" s="6">
        <x:v>46290.583333333336</x:v>
      </x:c>
      <x:c r="K3905" s="6">
        <x:v>46273</x:v>
      </x:c>
      <x:c r="L3905" t="str" s="2">
        <x:v>Message Sent</x:v>
      </x:c>
    </x:row>
    <x:row r="3906">
      <x:c r="A3906" t="str" s="2">
        <x:f>="Francisca Caballero"</x:f>
      </x:c>
      <x:c r="B3906" t="str" s="2">
        <x:v>Heritage Housing of Athens</x:v>
      </x:c>
      <x:c r="C3906" t="str" s="2">
        <x:v>0/2</x:v>
      </x:c>
      <x:c r="D3906" t="str" s="2">
        <x:v>3016530609</x:v>
      </x:c>
      <x:c r="E3906" t="str" s="2">
        <x:v>franciscacaballero19@gmail.com</x:v>
      </x:c>
      <x:c r="F3906" t="str" s="2">
        <x:v>Landing_BPM</x:v>
      </x:c>
      <x:c r="G3906" t="str" s="2">
        <x:v>Nathan Bishop</x:v>
      </x:c>
      <x:c r="H3906" s="6">
        <x:v>46264.03470300926</x:v>
      </x:c>
      <x:c r="I3906" s="0"/>
      <x:c r="J3906" s="0"/>
      <x:c r="K3906" s="6">
        <x:v>46279</x:v>
      </x:c>
      <x:c r="L3906" t="str" s="2">
        <x:v>Message Sent</x:v>
      </x:c>
    </x:row>
    <x:row r="3907">
      <x:c r="A3907" t="str" s="2">
        <x:f>="Kevin Paz"</x:f>
      </x:c>
      <x:c r="B3907" t="str" s="2">
        <x:v>Heritage Housing of Canton</x:v>
      </x:c>
      <x:c r="C3907" t="str" s="2">
        <x:v/>
      </x:c>
      <x:c r="D3907" t="str" s="2">
        <x:v>4093335981</x:v>
      </x:c>
      <x:c r="E3907" t="str" s="2">
        <x:v>kevinorlandopazreyes@gmail.com</x:v>
      </x:c>
      <x:c r="F3907" t="str" s="2">
        <x:v>Youtube</x:v>
      </x:c>
      <x:c r="G3907" t="str" s="2">
        <x:v>Maira Garcia</x:v>
      </x:c>
      <x:c r="H3907" s="6">
        <x:v>46264.04693521991</x:v>
      </x:c>
      <x:c r="I3907" s="0"/>
      <x:c r="J3907" s="0"/>
      <x:c r="K3907" s="6">
        <x:v>46265</x:v>
      </x:c>
      <x:c r="L3907" t="str" s="2">
        <x:v>Message Sent</x:v>
      </x:c>
    </x:row>
    <x:row r="3908">
      <x:c r="A3908" t="str" s="2">
        <x:f>="Alex Sorensen"</x:f>
      </x:c>
      <x:c r="B3908" t="str" s="2">
        <x:v>Legacy Housing Corp. DBA Americasa</x:v>
      </x:c>
      <x:c r="C3908" t="str" s="2">
        <x:v/>
      </x:c>
      <x:c r="D3908" t="str" s="2">
        <x:v>7136143677</x:v>
      </x:c>
      <x:c r="E3908" t="str" s="2">
        <x:v>alexsorensen264@gmail.com</x:v>
      </x:c>
      <x:c r="F3908" t="str" s="2">
        <x:v>Landing_BPM</x:v>
      </x:c>
      <x:c r="G3908" t="str" s="2">
        <x:v>Rodrigo Ramirez</x:v>
      </x:c>
      <x:c r="H3908" s="6">
        <x:v>46264.06633306713</x:v>
      </x:c>
      <x:c r="I3908" s="0"/>
      <x:c r="J3908" s="0"/>
      <x:c r="K3908" s="6">
        <x:v>46296</x:v>
      </x:c>
      <x:c r="L3908" t="str" s="2">
        <x:v>Message Sent</x:v>
      </x:c>
    </x:row>
    <x:row r="3909">
      <x:c r="A3909" t="str" s="2">
        <x:f>="Laketta Graham"</x:f>
      </x:c>
      <x:c r="B3909" t="str" s="2">
        <x:v>Heritage Housing of Albany</x:v>
      </x:c>
      <x:c r="C3909" t="str" s="2">
        <x:v>1/2</x:v>
      </x:c>
      <x:c r="D3909" t="str" s="2">
        <x:v>4046188016</x:v>
      </x:c>
      <x:c r="E3909" t="str" s="2">
        <x:v>galonezllc@gmail.com</x:v>
      </x:c>
      <x:c r="F3909" t="str" s="2">
        <x:v>Financing Form</x:v>
      </x:c>
      <x:c r="G3909" t="str" s="2">
        <x:v>Yanet Alvarez</x:v>
      </x:c>
      <x:c r="H3909" s="6">
        <x:v>46264.25349082176</x:v>
      </x:c>
      <x:c r="I3909" s="0"/>
      <x:c r="J3909" s="0"/>
      <x:c r="K3909" s="6">
        <x:v>46303</x:v>
      </x:c>
      <x:c r="L3909" t="str" s="2">
        <x:v>Message Sent</x:v>
      </x:c>
    </x:row>
    <x:row r="3910">
      <x:c r="A3910" t="str" s="2">
        <x:f>="Debra Turnage"</x:f>
      </x:c>
      <x:c r="B3910" t="str" s="2">
        <x:v>Heritage Housing of Jennings</x:v>
      </x:c>
      <x:c r="C3910" t="str" s="2">
        <x:v/>
      </x:c>
      <x:c r="D3910" t="str" s="2">
        <x:v>3186805381</x:v>
      </x:c>
      <x:c r="E3910" t="str" s="2">
        <x:v>debraturnage27@gmail.com</x:v>
      </x:c>
      <x:c r="F3910" t="str" s="2">
        <x:v>Landing_BPM</x:v>
      </x:c>
      <x:c r="G3910" t="str" s="2">
        <x:v>Mervin Leslie Smith</x:v>
      </x:c>
      <x:c r="H3910" s="6">
        <x:v>46264.283365428244</x:v>
      </x:c>
      <x:c r="I3910" s="0"/>
      <x:c r="J3910" s="0"/>
      <x:c r="K3910" s="6">
        <x:v>46302.65271898148</x:v>
      </x:c>
      <x:c r="L3910" t="str" s="2">
        <x:v>Message Sent</x:v>
      </x:c>
    </x:row>
    <x:row r="3911">
      <x:c r="A3911" t="str" s="2">
        <x:f>=HYPERLINK("https://rsms.futurehomex.com/lead/39493", "De'Neisha Moon")</x:f>
      </x:c>
      <x:c r="B3911" t="str" s="2">
        <x:v>Heritage Housing of Oklahoma City</x:v>
      </x:c>
      <x:c r="C3911" t="str" s="2">
        <x:v/>
      </x:c>
      <x:c r="D3911" t="str" s="2">
        <x:v>4057882472</x:v>
      </x:c>
      <x:c r="E3911" t="str" s="2">
        <x:v>moon.neisha1208@gmail.com</x:v>
      </x:c>
      <x:c r="F3911" t="str" s="2">
        <x:v>Landing_BPM</x:v>
      </x:c>
      <x:c r="G3911" t="str" s="2">
        <x:v>Steve Castell</x:v>
      </x:c>
      <x:c r="H3911" s="6">
        <x:v>46264.29575443287</x:v>
      </x:c>
      <x:c r="I3911" t="str" s="2">
        <x:v>Steve Castell</x:v>
      </x:c>
      <x:c r="J3911" s="0"/>
      <x:c r="K3911" s="6">
        <x:v>46264</x:v>
      </x:c>
      <x:c r="L3911" t="str" s="2">
        <x:v>Message Sent</x:v>
      </x:c>
    </x:row>
    <x:row r="3912">
      <x:c r="A3912" t="str" s="2">
        <x:f>="Cedric Stover Stover"</x:f>
      </x:c>
      <x:c r="B3912" t="str" s="2">
        <x:v>Heritage Housing of Augusta</x:v>
      </x:c>
      <x:c r="C3912" t="str" s="2">
        <x:v/>
      </x:c>
      <x:c r="D3912" t="str" s="2">
        <x:v>8033101371</x:v>
      </x:c>
      <x:c r="E3912" t="str" s="2">
        <x:v>c.stover803@gmail.com</x:v>
      </x:c>
      <x:c r="F3912" t="str" s="2">
        <x:v>Landing_BPM</x:v>
      </x:c>
      <x:c r="G3912" t="str" s="2">
        <x:v>Faye Lively</x:v>
      </x:c>
      <x:c r="H3912" s="6">
        <x:v>46264.365755590276</x:v>
      </x:c>
      <x:c r="I3912" s="0"/>
      <x:c r="J3912" s="0"/>
      <x:c r="K3912" s="6">
        <x:v>46274</x:v>
      </x:c>
      <x:c r="L3912" t="str" s="2">
        <x:v>Message Sent</x:v>
      </x:c>
    </x:row>
    <x:row r="3913">
      <x:c r="A3913" t="str" s="2">
        <x:f>="Catherine Gray"</x:f>
      </x:c>
      <x:c r="B3913" t="str" s="2">
        <x:v>Heritage Housing of Jennings</x:v>
      </x:c>
      <x:c r="C3913" t="str" s="2">
        <x:v/>
      </x:c>
      <x:c r="D3913" t="str" s="2">
        <x:v>2253259785</x:v>
      </x:c>
      <x:c r="E3913" t="str" s="2">
        <x:v>catherinegray574801@gmail.com</x:v>
      </x:c>
      <x:c r="F3913" t="str" s="2">
        <x:v>Youtube</x:v>
      </x:c>
      <x:c r="G3913" t="str" s="2">
        <x:v>Mervin Leslie Smith</x:v>
      </x:c>
      <x:c r="H3913" s="6">
        <x:v>46264.504185763886</x:v>
      </x:c>
      <x:c r="I3913" s="0"/>
      <x:c r="J3913" s="0"/>
      <x:c r="K3913" s="6">
        <x:v>46302.699497141206</x:v>
      </x:c>
      <x:c r="L3913" t="str" s="2">
        <x:v>Message Sent</x:v>
      </x:c>
    </x:row>
    <x:row r="3914">
      <x:c r="A3914" t="str" s="2">
        <x:f>="Laterria Johnson"</x:f>
      </x:c>
      <x:c r="B3914" t="str" s="2">
        <x:v>Heritage Housing of Jennings</x:v>
      </x:c>
      <x:c r="C3914" t="str" s="2">
        <x:v/>
      </x:c>
      <x:c r="D3914" t="str" s="2">
        <x:v>2253495200</x:v>
      </x:c>
      <x:c r="E3914" t="str" s="2">
        <x:v>Mzlcwalls@gmail.com</x:v>
      </x:c>
      <x:c r="F3914" t="str" s="2">
        <x:v>Youtube</x:v>
      </x:c>
      <x:c r="G3914" t="str" s="2">
        <x:v>Clint O'Neal</x:v>
      </x:c>
      <x:c r="H3914" s="6">
        <x:v>46264.50610640046</x:v>
      </x:c>
      <x:c r="I3914" s="0"/>
      <x:c r="J3914" s="0"/>
      <x:c r="K3914" s="6">
        <x:v>46302.69986493055</x:v>
      </x:c>
      <x:c r="L3914" t="str" s="2">
        <x:v>Message Sent</x:v>
      </x:c>
    </x:row>
    <x:row r="3915">
      <x:c r="A3915" t="str" s="2">
        <x:f>="Margaret Myers"</x:f>
      </x:c>
      <x:c r="B3915" t="str" s="2">
        <x:v>Heritage Housing of Athens</x:v>
      </x:c>
      <x:c r="C3915" t="str" s="2">
        <x:v/>
      </x:c>
      <x:c r="D3915" t="str" s="2">
        <x:v>4704629458</x:v>
      </x:c>
      <x:c r="E3915" t="str" s="2">
        <x:v>myers9953b@gmail.com</x:v>
      </x:c>
      <x:c r="F3915" t="str" s="2">
        <x:v>Youtube</x:v>
      </x:c>
      <x:c r="G3915" t="str" s="2">
        <x:v>Nathan Bishop</x:v>
      </x:c>
      <x:c r="H3915" s="6">
        <x:v>46264.51059131944</x:v>
      </x:c>
      <x:c r="I3915" s="0"/>
      <x:c r="J3915" s="0"/>
      <x:c r="K3915" s="6">
        <x:v>46283</x:v>
      </x:c>
      <x:c r="L3915" t="str" s="2">
        <x:v>Message Sent</x:v>
      </x:c>
    </x:row>
    <x:row r="3916">
      <x:c r="A3916" t="str" s="2">
        <x:f>="Shawnta McCain"</x:f>
      </x:c>
      <x:c r="B3916" t="str" s="2">
        <x:v>Heritage Housing of Asheboro</x:v>
      </x:c>
      <x:c r="C3916" t="str" s="2">
        <x:v/>
      </x:c>
      <x:c r="D3916" t="str" s="2">
        <x:v>3368909464</x:v>
      </x:c>
      <x:c r="E3916" t="str" s="2">
        <x:v>nicholegorrellmccain@gmail.com</x:v>
      </x:c>
      <x:c r="F3916" t="str" s="2">
        <x:v>Youtube</x:v>
      </x:c>
      <x:c r="G3916" t="str" s="2">
        <x:v>Maria Lopez</x:v>
      </x:c>
      <x:c r="H3916" s="6">
        <x:v>46264.54042809028</x:v>
      </x:c>
      <x:c r="I3916" s="0"/>
      <x:c r="J3916" s="0"/>
      <x:c r="K3916" s="6">
        <x:v>46268</x:v>
      </x:c>
      <x:c r="L3916" t="str" s="2">
        <x:v>Message Sent</x:v>
      </x:c>
    </x:row>
    <x:row r="3917">
      <x:c r="A3917" t="str" s="2">
        <x:f>="Danny Hunter"</x:f>
      </x:c>
      <x:c r="B3917" t="str" s="2">
        <x:v>Heritage Housing of Athens</x:v>
      </x:c>
      <x:c r="C3917" t="str" s="2">
        <x:v>1/3</x:v>
      </x:c>
      <x:c r="D3917" t="str" s="2">
        <x:v>4045479798</x:v>
      </x:c>
      <x:c r="E3917" t="str" s="2">
        <x:v>dannyjoehunter88@gmail.com</x:v>
      </x:c>
      <x:c r="F3917" t="str" s="2">
        <x:v>Youtube</x:v>
      </x:c>
      <x:c r="G3917" t="str" s="2">
        <x:v>Nathan Bishop</x:v>
      </x:c>
      <x:c r="H3917" s="6">
        <x:v>46264.5978596875</x:v>
      </x:c>
      <x:c r="I3917" s="0"/>
      <x:c r="J3917" s="0"/>
      <x:c r="K3917" s="6">
        <x:v>46307.872585763886</x:v>
      </x:c>
      <x:c r="L3917" t="str" s="2">
        <x:v>Message Sent</x:v>
      </x:c>
    </x:row>
    <x:row r="3918">
      <x:c r="A3918" t="str" s="2">
        <x:f>="Melissa Lipkeman"</x:f>
      </x:c>
      <x:c r="B3918" t="str" s="2">
        <x:v>Heritage Housing of Canton</x:v>
      </x:c>
      <x:c r="C3918" t="str" s="2">
        <x:v/>
      </x:c>
      <x:c r="D3918" t="str" s="2">
        <x:v>9032628213</x:v>
      </x:c>
      <x:c r="E3918" t="str" s="2">
        <x:v>mlipkeman@gmail.com</x:v>
      </x:c>
      <x:c r="F3918" t="str" s="2">
        <x:v>Cliengo Bot</x:v>
      </x:c>
      <x:c r="G3918" t="str" s="2">
        <x:v>Maira Garcia</x:v>
      </x:c>
      <x:c r="H3918" s="6">
        <x:v>46264.61201967593</x:v>
      </x:c>
      <x:c r="I3918" s="0"/>
      <x:c r="J3918" s="0"/>
      <x:c r="K3918" s="6">
        <x:v>46270</x:v>
      </x:c>
      <x:c r="L3918" t="str" s="2">
        <x:v>Message Sent</x:v>
      </x:c>
    </x:row>
    <x:row r="3919">
      <x:c r="A3919" t="str" s="2">
        <x:f>="Ashanta Sinegar"</x:f>
      </x:c>
      <x:c r="B3919" t="str" s="2">
        <x:v>Heritage Housing of Jennings</x:v>
      </x:c>
      <x:c r="C3919" t="str" s="2">
        <x:v>0/2</x:v>
      </x:c>
      <x:c r="D3919" t="str" s="2">
        <x:v>5044470457</x:v>
      </x:c>
      <x:c r="E3919" t="str" s="2">
        <x:v>asbtechsavvy@gmail.com</x:v>
      </x:c>
      <x:c r="F3919" t="str" s="2">
        <x:v>Youtube</x:v>
      </x:c>
      <x:c r="G3919" t="str" s="2">
        <x:v>Clint O'Neal</x:v>
      </x:c>
      <x:c r="H3919" s="6">
        <x:v>46264.61274849537</x:v>
      </x:c>
      <x:c r="I3919" s="0"/>
      <x:c r="J3919" s="0"/>
      <x:c r="K3919" s="6">
        <x:v>46302.65320590278</x:v>
      </x:c>
      <x:c r="L3919" t="str" s="2">
        <x:v>Message Sent</x:v>
      </x:c>
    </x:row>
    <x:row r="3920">
      <x:c r="A3920" t="str" s="2">
        <x:f>=HYPERLINK("https://rsms.futurehomex.com/lead/39534", "Ramon Smith")</x:f>
      </x:c>
      <x:c r="B3920" t="str" s="2">
        <x:v>Heritage Housing of Oklahoma City</x:v>
      </x:c>
      <x:c r="C3920" t="str" s="2">
        <x:v/>
      </x:c>
      <x:c r="D3920" t="str" s="2">
        <x:v>4054066017</x:v>
      </x:c>
      <x:c r="E3920" t="str" s="2">
        <x:v>dwaynesmith1055@gmail.com</x:v>
      </x:c>
      <x:c r="F3920" t="str" s="2">
        <x:v>Youtube</x:v>
      </x:c>
      <x:c r="G3920" t="str" s="2">
        <x:v>Steve Castell</x:v>
      </x:c>
      <x:c r="H3920" s="6">
        <x:v>46264.62151056713</x:v>
      </x:c>
      <x:c r="I3920" t="str" s="2">
        <x:v>Steve Castell</x:v>
      </x:c>
      <x:c r="J3920" s="0"/>
      <x:c r="K3920" s="6">
        <x:v>46265</x:v>
      </x:c>
      <x:c r="L3920" t="str" s="2">
        <x:v>Message Sent</x:v>
      </x:c>
    </x:row>
    <x:row r="3921">
      <x:c r="A3921" t="str" s="2">
        <x:f>="Kahonia Davis"</x:f>
      </x:c>
      <x:c r="B3921" t="str" s="2">
        <x:v>Heritage Housing of Asheboro</x:v>
      </x:c>
      <x:c r="C3921" t="str" s="2">
        <x:v/>
      </x:c>
      <x:c r="D3921" t="str" s="2">
        <x:v>2343357842</x:v>
      </x:c>
      <x:c r="E3921" t="str" s="2">
        <x:v>kahonia.davis@icloud.com</x:v>
      </x:c>
      <x:c r="F3921" t="str" s="2">
        <x:v>Landing_BPM</x:v>
      </x:c>
      <x:c r="G3921" t="str" s="2">
        <x:v>Maria Lopez</x:v>
      </x:c>
      <x:c r="H3921" s="6">
        <x:v>46264.62444811343</x:v>
      </x:c>
      <x:c r="I3921" s="0"/>
      <x:c r="J3921" s="0"/>
      <x:c r="K3921" s="6">
        <x:v>46268</x:v>
      </x:c>
      <x:c r="L3921" t="str" s="2">
        <x:v>Message Sent</x:v>
      </x:c>
    </x:row>
    <x:row r="3922">
      <x:c r="A3922" t="str" s="2">
        <x:f>="Lisa Gagnon Gagnon"</x:f>
      </x:c>
      <x:c r="B3922" t="str" s="2">
        <x:v>Heritage Housing of Augusta</x:v>
      </x:c>
      <x:c r="C3922" t="str" s="2">
        <x:v/>
      </x:c>
      <x:c r="D3922" t="str" s="2">
        <x:v>7064952842</x:v>
      </x:c>
      <x:c r="E3922" t="str" s="2">
        <x:v>lisagagnon33@gmail.com</x:v>
      </x:c>
      <x:c r="F3922" t="str" s="2">
        <x:v>Landing_BPM</x:v>
      </x:c>
      <x:c r="G3922" t="str" s="2">
        <x:v>Faye Lively</x:v>
      </x:c>
      <x:c r="H3922" s="6">
        <x:v>46264.632899421296</x:v>
      </x:c>
      <x:c r="I3922" s="0"/>
      <x:c r="J3922" s="0"/>
      <x:c r="K3922" s="6">
        <x:v>46274</x:v>
      </x:c>
      <x:c r="L3922" t="str" s="2">
        <x:v>Message Sent</x:v>
      </x:c>
    </x:row>
    <x:row r="3923">
      <x:c r="A3923" t="str" s="2">
        <x:f>="Tori Hackett"</x:f>
      </x:c>
      <x:c r="B3923" t="str" s="2">
        <x:v>Heritage Housing of Greenville</x:v>
      </x:c>
      <x:c r="C3923" t="str" s="2">
        <x:v/>
      </x:c>
      <x:c r="D3923" t="str" s="2">
        <x:v>8648709080</x:v>
      </x:c>
      <x:c r="E3923" t="str" s="2">
        <x:v>Torihackett491@aol.com</x:v>
      </x:c>
      <x:c r="F3923" t="str" s="2">
        <x:v>Landing_BPM</x:v>
      </x:c>
      <x:c r="G3923" t="str" s="2">
        <x:v>Brooklynn Allen</x:v>
      </x:c>
      <x:c r="H3923" s="6">
        <x:v>46264.66507040509</x:v>
      </x:c>
      <x:c r="I3923" s="0"/>
      <x:c r="J3923" s="0"/>
      <x:c r="K3923" s="6">
        <x:v>46265</x:v>
      </x:c>
      <x:c r="L3923" t="str" s="2">
        <x:v>Message Sent</x:v>
      </x:c>
    </x:row>
    <x:row r="3924">
      <x:c r="A3924" t="str" s="2">
        <x:f>=HYPERLINK("https://rsms.futurehomex.com/lead/39522", "Larry Mayo")</x:f>
      </x:c>
      <x:c r="B3924" t="str" s="2">
        <x:v>Heritage Housing of Oklahoma City</x:v>
      </x:c>
      <x:c r="C3924" t="str" s="2">
        <x:v/>
      </x:c>
      <x:c r="D3924" t="str" s="2">
        <x:v>9183296146</x:v>
      </x:c>
      <x:c r="E3924" t="str" s="2">
        <x:v>oldustysack247@gmail.com</x:v>
      </x:c>
      <x:c r="F3924" t="str" s="2">
        <x:v>Youtube</x:v>
      </x:c>
      <x:c r="G3924" t="str" s="2">
        <x:v>Steve Castell</x:v>
      </x:c>
      <x:c r="H3924" s="6">
        <x:v>46264.72340274305</x:v>
      </x:c>
      <x:c r="I3924" t="str" s="2">
        <x:v>Steve Castell</x:v>
      </x:c>
      <x:c r="J3924" s="0"/>
      <x:c r="K3924" s="6">
        <x:v>46301</x:v>
      </x:c>
      <x:c r="L3924" t="str" s="2">
        <x:v>Message Sent</x:v>
      </x:c>
    </x:row>
    <x:row r="3925">
      <x:c r="A3925" t="str" s="2">
        <x:f>="April Myrick"</x:f>
      </x:c>
      <x:c r="B3925" t="str" s="2">
        <x:v>Heritage Housing of Athens</x:v>
      </x:c>
      <x:c r="C3925" t="str" s="2">
        <x:v/>
      </x:c>
      <x:c r="D3925" t="str" s="2">
        <x:v>4782337548</x:v>
      </x:c>
      <x:c r="E3925" t="str" s="2">
        <x:v>mrs.franklinmyrick@gmail.com</x:v>
      </x:c>
      <x:c r="F3925" t="str" s="2">
        <x:v>LandingPage</x:v>
      </x:c>
      <x:c r="G3925" t="str" s="2">
        <x:v>Nathan Bishop</x:v>
      </x:c>
      <x:c r="H3925" s="6">
        <x:v>46264.73921049768</x:v>
      </x:c>
      <x:c r="I3925" s="0"/>
      <x:c r="J3925" s="0"/>
      <x:c r="K3925" s="6">
        <x:v>46283</x:v>
      </x:c>
      <x:c r="L3925" t="str" s="2">
        <x:v>Message Sent</x:v>
      </x:c>
    </x:row>
    <x:row r="3926">
      <x:c r="A3926" t="str" s="2">
        <x:f>=HYPERLINK("https://rsms.futurehomex.com/lead/39571", "Avery Laney")</x:f>
      </x:c>
      <x:c r="B3926" t="str" s="2">
        <x:v>Heritage Housing of Oklahoma City</x:v>
      </x:c>
      <x:c r="C3926" t="str" s="2">
        <x:v/>
      </x:c>
      <x:c r="D3926" t="str" s="2">
        <x:v>6202181916</x:v>
      </x:c>
      <x:c r="E3926" t="str" s="2">
        <x:v>averyblythe1201@icloud.com</x:v>
      </x:c>
      <x:c r="F3926" t="str" s="2">
        <x:v>Landing_BPM</x:v>
      </x:c>
      <x:c r="G3926" t="str" s="2">
        <x:v>Steve Castell</x:v>
      </x:c>
      <x:c r="H3926" s="6">
        <x:v>46264.75431739583</x:v>
      </x:c>
      <x:c r="I3926" t="str" s="2">
        <x:v>Steve Castell</x:v>
      </x:c>
      <x:c r="J3926" s="0"/>
      <x:c r="K3926" s="6">
        <x:v>46274</x:v>
      </x:c>
      <x:c r="L3926" t="str" s="2">
        <x:v>Message Sent</x:v>
      </x:c>
    </x:row>
    <x:row r="3927">
      <x:c r="A3927" t="str" s="2">
        <x:f>="Andrew Young"</x:f>
      </x:c>
      <x:c r="B3927" t="str" s="2">
        <x:v>Legacy Housing Corp. DBA Americasa</x:v>
      </x:c>
      <x:c r="C3927" t="str" s="2">
        <x:v/>
      </x:c>
      <x:c r="D3927" t="str" s="2">
        <x:v>2546546244</x:v>
      </x:c>
      <x:c r="E3927" t="str" s="2">
        <x:v>AAYoung0304@gmail.com</x:v>
      </x:c>
      <x:c r="F3927" t="str" s="2">
        <x:v>Landing_BPM</x:v>
      </x:c>
      <x:c r="G3927" t="str" s="2">
        <x:v>Rodrigo Ramirez</x:v>
      </x:c>
      <x:c r="H3927" s="6">
        <x:v>46264.780045405096</x:v>
      </x:c>
      <x:c r="I3927" s="0"/>
      <x:c r="J3927" s="0"/>
      <x:c r="K3927" s="6">
        <x:v>46296</x:v>
      </x:c>
      <x:c r="L3927" t="str" s="2">
        <x:v>Message Sent</x:v>
      </x:c>
    </x:row>
    <x:row r="3928">
      <x:c r="A3928" t="str" s="2">
        <x:f>="Joey Robertson"</x:f>
      </x:c>
      <x:c r="B3928" t="str" s="2">
        <x:v>Heritage Housing of Canton</x:v>
      </x:c>
      <x:c r="C3928" t="str" s="2">
        <x:v/>
      </x:c>
      <x:c r="D3928" t="str" s="2">
        <x:v>4694104214</x:v>
      </x:c>
      <x:c r="E3928" t="str" s="2">
        <x:v>brandymonus111@gmail.com</x:v>
      </x:c>
      <x:c r="F3928" t="str" s="2">
        <x:v>Landing_BPM</x:v>
      </x:c>
      <x:c r="G3928" t="str" s="2">
        <x:v>Maira Garcia</x:v>
      </x:c>
      <x:c r="H3928" s="6">
        <x:v>46264.815472650465</x:v>
      </x:c>
      <x:c r="I3928" s="0"/>
      <x:c r="J3928" s="0"/>
      <x:c r="K3928" s="6">
        <x:v>46265</x:v>
      </x:c>
      <x:c r="L3928" t="str" s="2">
        <x:v>Message Sent</x:v>
      </x:c>
    </x:row>
    <x:row r="3929">
      <x:c r="A3929" t="str" s="2">
        <x:f>="Donnie Davis"</x:f>
      </x:c>
      <x:c r="B3929" t="str" s="2">
        <x:v>Legacy Housing Corp. DBA Americasa</x:v>
      </x:c>
      <x:c r="C3929" t="str" s="2">
        <x:v/>
      </x:c>
      <x:c r="D3929" t="str" s="2">
        <x:v>2814514595</x:v>
      </x:c>
      <x:c r="E3929" t="str" s="2">
        <x:v>davis.donnie780@gmail.com</x:v>
      </x:c>
      <x:c r="F3929" t="str" s="2">
        <x:v>Landing_BPM</x:v>
      </x:c>
      <x:c r="G3929" t="str" s="2">
        <x:v>Jose Parada</x:v>
      </x:c>
      <x:c r="H3929" s="6">
        <x:v>46264.82170428241</x:v>
      </x:c>
      <x:c r="I3929" s="0"/>
      <x:c r="J3929" s="0"/>
      <x:c r="K3929" s="6">
        <x:v>46296</x:v>
      </x:c>
      <x:c r="L3929" t="str" s="2">
        <x:v>Message Sent</x:v>
      </x:c>
    </x:row>
    <x:row r="3930">
      <x:c r="A3930" t="str" s="2">
        <x:f>="Brandi Headrick"</x:f>
      </x:c>
      <x:c r="B3930" t="str" s="2">
        <x:v>Heritage Housing of Augusta</x:v>
      </x:c>
      <x:c r="C3930" t="str" s="2">
        <x:v>0/1</x:v>
      </x:c>
      <x:c r="D3930" t="str" s="2">
        <x:v>4708339918</x:v>
      </x:c>
      <x:c r="E3930" t="str" s="2">
        <x:v>brownbrandi57@gmail.com</x:v>
      </x:c>
      <x:c r="F3930" t="str" s="2">
        <x:v>Landing_BPM</x:v>
      </x:c>
      <x:c r="G3930" t="str" s="2">
        <x:v>Jennifer Johnson</x:v>
      </x:c>
      <x:c r="H3930" s="6">
        <x:v>46264.83121319445</x:v>
      </x:c>
      <x:c r="I3930" s="0"/>
      <x:c r="J3930" s="6">
        <x:v>46270.645833333336</x:v>
      </x:c>
      <x:c r="K3930" s="6">
        <x:v>46270.75780922454</x:v>
      </x:c>
      <x:c r="L3930" t="str" s="2">
        <x:v>Message Sent</x:v>
      </x:c>
    </x:row>
    <x:row r="3931">
      <x:c r="A3931" t="str" s="2">
        <x:f>="Sherry Adamson Adamson"</x:f>
      </x:c>
      <x:c r="B3931" t="str" s="2">
        <x:v>Heritage Housing of Asheboro</x:v>
      </x:c>
      <x:c r="C3931" t="str" s="2">
        <x:v/>
      </x:c>
      <x:c r="D3931" t="str" s="2">
        <x:v>3367621983</x:v>
      </x:c>
      <x:c r="E3931" t="str" s="2">
        <x:v>sherryadamson1@yahoo.com</x:v>
      </x:c>
      <x:c r="F3931" t="str" s="2">
        <x:v>Landing_BPM</x:v>
      </x:c>
      <x:c r="G3931" t="str" s="2">
        <x:v>Maria Lopez</x:v>
      </x:c>
      <x:c r="H3931" s="6">
        <x:v>46264.832191354166</x:v>
      </x:c>
      <x:c r="I3931" s="0"/>
      <x:c r="J3931" s="0"/>
      <x:c r="K3931" s="6">
        <x:v>46307</x:v>
      </x:c>
      <x:c r="L3931" t="str" s="2">
        <x:v>Message Sent</x:v>
      </x:c>
    </x:row>
    <x:row r="3932">
      <x:c r="A3932" t="str" s="2">
        <x:f>=HYPERLINK("https://rsms.futurehomex.com/lead/39521", "Misti Downs")</x:f>
      </x:c>
      <x:c r="B3932" t="str" s="2">
        <x:v>Heritage Housing of Oklahoma City</x:v>
      </x:c>
      <x:c r="C3932" t="str" s="2">
        <x:v/>
      </x:c>
      <x:c r="D3932" t="str" s="2">
        <x:v>4056125085</x:v>
      </x:c>
      <x:c r="E3932" t="str" s="2">
        <x:v>mistildowns@gmail.com</x:v>
      </x:c>
      <x:c r="F3932" t="str" s="2">
        <x:v>Financing Form</x:v>
      </x:c>
      <x:c r="G3932" t="str" s="2">
        <x:v>Steve Castell</x:v>
      </x:c>
      <x:c r="H3932" s="6">
        <x:v>46264.89167253472</x:v>
      </x:c>
      <x:c r="I3932" t="str" s="2">
        <x:v>Steve Castell</x:v>
      </x:c>
      <x:c r="J3932" s="0"/>
      <x:c r="K3932" s="6">
        <x:v>46270</x:v>
      </x:c>
      <x:c r="L3932" t="str" s="2">
        <x:v>Message Sent</x:v>
      </x:c>
    </x:row>
    <x:row r="3933">
      <x:c r="A3933" t="str" s="2">
        <x:f>="Lynda Henson"</x:f>
      </x:c>
      <x:c r="B3933" t="str" s="2">
        <x:v>Legacy Housing Corp. DBA Americasa</x:v>
      </x:c>
      <x:c r="C3933" t="str" s="2">
        <x:v/>
      </x:c>
      <x:c r="D3933" t="str" s="2">
        <x:v>7373609178</x:v>
      </x:c>
      <x:c r="E3933" t="str" s="2">
        <x:v>limestoneholeyrock@gmail.com</x:v>
      </x:c>
      <x:c r="F3933" t="str" s="2">
        <x:v>Financing Form</x:v>
      </x:c>
      <x:c r="G3933" t="str" s="2">
        <x:v>Rodrigo Ramirez</x:v>
      </x:c>
      <x:c r="H3933" s="6">
        <x:v>46264.916116863424</x:v>
      </x:c>
      <x:c r="I3933" s="0"/>
      <x:c r="J3933" s="0"/>
      <x:c r="K3933" s="6">
        <x:v>46296</x:v>
      </x:c>
      <x:c r="L3933" t="str" s="2">
        <x:v>Message Sent</x:v>
      </x:c>
    </x:row>
    <x:row r="3934">
      <x:c r="A3934" t="str" s="2">
        <x:f>="CINDY CLAPP"</x:f>
      </x:c>
      <x:c r="B3934" t="str" s="2">
        <x:v>Heritage Housing of Canton</x:v>
      </x:c>
      <x:c r="C3934" t="str" s="2">
        <x:v/>
      </x:c>
      <x:c r="D3934" t="str" s="2">
        <x:v>8179832787</x:v>
      </x:c>
      <x:c r="E3934" t="str" s="2">
        <x:v>cclapp4519@gmail.com</x:v>
      </x:c>
      <x:c r="F3934" t="str" s="2">
        <x:v>Landing_BPM</x:v>
      </x:c>
      <x:c r="G3934" t="str" s="2">
        <x:v>Maira Garcia</x:v>
      </x:c>
      <x:c r="H3934" s="6">
        <x:v>46264.932445833336</x:v>
      </x:c>
      <x:c r="I3934" s="0"/>
      <x:c r="J3934" s="0"/>
      <x:c r="K3934" s="6">
        <x:v>46270</x:v>
      </x:c>
      <x:c r="L3934" t="str" s="2">
        <x:v>Message Sent</x:v>
      </x:c>
    </x:row>
    <x:row r="3935">
      <x:c r="A3935" t="str" s="2">
        <x:f>="James Roller"</x:f>
      </x:c>
      <x:c r="B3935" t="str" s="2">
        <x:v>Heritage Housing of Tulsa</x:v>
      </x:c>
      <x:c r="C3935" t="str" s="2">
        <x:v/>
      </x:c>
      <x:c r="D3935" t="str" s="2">
        <x:v>5396292377</x:v>
      </x:c>
      <x:c r="E3935" t="str" s="2">
        <x:v>jamesroller272@gmail.com</x:v>
      </x:c>
      <x:c r="F3935" t="str" s="2">
        <x:v>Landing_BPM</x:v>
      </x:c>
      <x:c r="G3935" t="str" s="2">
        <x:v>Jenna Fransisco</x:v>
      </x:c>
      <x:c r="H3935" s="6">
        <x:v>46264.96374922454</x:v>
      </x:c>
      <x:c r="I3935" s="0"/>
      <x:c r="J3935" s="0"/>
      <x:c r="K3935" s="6">
        <x:v>46280</x:v>
      </x:c>
      <x:c r="L3935" t="str" s="2">
        <x:v>Message Sent</x:v>
      </x:c>
    </x:row>
    <x:row r="3936">
      <x:c r="A3936" t="str" s="2">
        <x:f>="DaMyJa Moore"</x:f>
      </x:c>
      <x:c r="B3936" t="str" s="2">
        <x:v>Legacy Housing Corp. DBA Americasa</x:v>
      </x:c>
      <x:c r="C3936" t="str" s="2">
        <x:v/>
      </x:c>
      <x:c r="D3936" t="str" s="2">
        <x:v>2816546849</x:v>
      </x:c>
      <x:c r="E3936" t="str" s="2">
        <x:v>damyjamoore@gmail.com</x:v>
      </x:c>
      <x:c r="F3936" t="str" s="2">
        <x:v>Landing_BPM</x:v>
      </x:c>
      <x:c r="G3936" t="str" s="2">
        <x:v>Rodrigo Ramirez</x:v>
      </x:c>
      <x:c r="H3936" s="6">
        <x:v>46264.96892453704</x:v>
      </x:c>
      <x:c r="I3936" s="0"/>
      <x:c r="J3936" s="0"/>
      <x:c r="K3936" s="6">
        <x:v>46296</x:v>
      </x:c>
      <x:c r="L3936" t="str" s="2">
        <x:v>Message Sent</x:v>
      </x:c>
    </x:row>
    <x:row r="3937">
      <x:c r="A3937" t="str" s="2">
        <x:f>="Beatrice Chandler"</x:f>
      </x:c>
      <x:c r="B3937" t="str" s="2">
        <x:v>Heritage Housing of Jennings</x:v>
      </x:c>
      <x:c r="C3937" t="str" s="2">
        <x:v/>
      </x:c>
      <x:c r="D3937" t="str" s="2">
        <x:v>6623860633</x:v>
      </x:c>
      <x:c r="E3937" t="str" s="2">
        <x:v>b3982861@gmail.com</x:v>
      </x:c>
      <x:c r="F3937" t="str" s="2">
        <x:v>Youtube</x:v>
      </x:c>
      <x:c r="G3937" t="str" s="2">
        <x:v>Clint O'Neal</x:v>
      </x:c>
      <x:c r="H3937" s="6">
        <x:v>46264.9729869213</x:v>
      </x:c>
      <x:c r="I3937" s="0"/>
      <x:c r="J3937" s="0"/>
      <x:c r="K3937" s="6">
        <x:v>46302.7002491088</x:v>
      </x:c>
      <x:c r="L3937" t="str" s="2">
        <x:v>Message Sent</x:v>
      </x:c>
    </x:row>
    <x:row r="3938">
      <x:c r="A3938" t="str" s="2">
        <x:f>="Gage Curtis"</x:f>
      </x:c>
      <x:c r="B3938" t="str" s="2">
        <x:v>Heritage Housing of Canton</x:v>
      </x:c>
      <x:c r="C3938" t="str" s="2">
        <x:v/>
      </x:c>
      <x:c r="D3938" t="str" s="2">
        <x:v>6824395662</x:v>
      </x:c>
      <x:c r="E3938" t="str" s="2">
        <x:v>Gcurt0326@gmail.com</x:v>
      </x:c>
      <x:c r="F3938" t="str" s="2">
        <x:v>Website</x:v>
      </x:c>
      <x:c r="G3938" t="str" s="2">
        <x:v>Maira Garcia</x:v>
      </x:c>
      <x:c r="H3938" s="6">
        <x:v>46264.973969212966</x:v>
      </x:c>
      <x:c r="I3938" s="0"/>
      <x:c r="J3938" s="0"/>
      <x:c r="K3938" s="6">
        <x:v>46265</x:v>
      </x:c>
      <x:c r="L3938" t="str" s="2">
        <x:v>Message Sent</x:v>
      </x:c>
    </x:row>
    <x:row r="3939">
      <x:c r="A3939" t="str" s="2">
        <x:f>="Andres Cortes"</x:f>
      </x:c>
      <x:c r="B3939" t="str" s="2">
        <x:v>Legacy Housing Corp. DBA Americasa</x:v>
      </x:c>
      <x:c r="C3939" t="str" s="2">
        <x:v/>
      </x:c>
      <x:c r="D3939" t="str" s="2">
        <x:v>2816308585</x:v>
      </x:c>
      <x:c r="E3939" t="str" s="2">
        <x:v>cortesandre@yahoo.com</x:v>
      </x:c>
      <x:c r="F3939" t="str" s="2">
        <x:v>Landing_BPM</x:v>
      </x:c>
      <x:c r="G3939" t="str" s="2">
        <x:v>Jose Parada</x:v>
      </x:c>
      <x:c r="H3939" s="6">
        <x:v>46264.9861803588</x:v>
      </x:c>
      <x:c r="I3939" s="0"/>
      <x:c r="J3939" s="0"/>
      <x:c r="K3939" s="6">
        <x:v>46296</x:v>
      </x:c>
      <x:c r="L3939" t="str" s="2">
        <x:v>Message Sent</x:v>
      </x:c>
    </x:row>
    <x:row r="3940">
      <x:c r="A3940" t="str" s="2">
        <x:f>="SIMONE Reuben"</x:f>
      </x:c>
      <x:c r="B3940" t="str" s="2">
        <x:v>Heritage Housing of Asheboro</x:v>
      </x:c>
      <x:c r="C3940" t="str" s="2">
        <x:v/>
      </x:c>
      <x:c r="D3940" t="str" s="2">
        <x:v>9108768567</x:v>
      </x:c>
      <x:c r="E3940" t="str" s="2">
        <x:v>yagirlmo9@gmail.com</x:v>
      </x:c>
      <x:c r="F3940" t="str" s="2">
        <x:v>Financing Form</x:v>
      </x:c>
      <x:c r="G3940" t="str" s="2">
        <x:v>Maria Lopez</x:v>
      </x:c>
      <x:c r="H3940" s="6">
        <x:v>46265.08281006944</x:v>
      </x:c>
      <x:c r="I3940" s="0"/>
      <x:c r="J3940" s="0"/>
      <x:c r="K3940" s="6">
        <x:v>46274</x:v>
      </x:c>
      <x:c r="L3940" t="str" s="2">
        <x:v>Message Sent</x:v>
      </x:c>
    </x:row>
    <x:row r="3941">
      <x:c r="A3941" t="str" s="2">
        <x:f>="Terry Taylor Taylor"</x:f>
      </x:c>
      <x:c r="B3941" t="str" s="2">
        <x:v>Heritage Housing of Augusta</x:v>
      </x:c>
      <x:c r="C3941" t="str" s="2">
        <x:v/>
      </x:c>
      <x:c r="D3941" t="str" s="2">
        <x:v>8035092251</x:v>
      </x:c>
      <x:c r="E3941" t="str" s="2">
        <x:v>terrytaylorway@gmail.com</x:v>
      </x:c>
      <x:c r="F3941" t="str" s="2">
        <x:v>Landing_BPM</x:v>
      </x:c>
      <x:c r="G3941" t="str" s="2">
        <x:v>Faye Lively</x:v>
      </x:c>
      <x:c r="H3941" s="6">
        <x:v>46265.10262109954</x:v>
      </x:c>
      <x:c r="I3941" s="0"/>
      <x:c r="J3941" s="0"/>
      <x:c r="K3941" s="6">
        <x:v>46274</x:v>
      </x:c>
      <x:c r="L3941" t="str" s="2">
        <x:v>Message Sent</x:v>
      </x:c>
    </x:row>
    <x:row r="3942">
      <x:c r="A3942" t="str" s="2">
        <x:f>="Emma Mcleod"</x:f>
      </x:c>
      <x:c r="B3942" t="str" s="2">
        <x:v>Heritage Housing of Greenville</x:v>
      </x:c>
      <x:c r="C3942" t="str" s="2">
        <x:v/>
      </x:c>
      <x:c r="D3942" t="str" s="2">
        <x:v>9034747288</x:v>
      </x:c>
      <x:c r="E3942" t="str" s="2">
        <x:v>emmarsmith14@gmail.com</x:v>
      </x:c>
      <x:c r="F3942" t="str" s="2">
        <x:v>Financing Form</x:v>
      </x:c>
      <x:c r="G3942" t="str" s="2">
        <x:v>Brooklynn Allen</x:v>
      </x:c>
      <x:c r="H3942" s="6">
        <x:v>46265.10609690972</x:v>
      </x:c>
      <x:c r="I3942" s="0"/>
      <x:c r="J3942" s="0"/>
      <x:c r="K3942" s="6">
        <x:v>46265</x:v>
      </x:c>
      <x:c r="L3942" t="str" s="2">
        <x:v>Message Sent</x:v>
      </x:c>
    </x:row>
    <x:row r="3943">
      <x:c r="A3943" t="str" s="2">
        <x:f>="Jaron Fowler"</x:f>
      </x:c>
      <x:c r="B3943" t="str" s="2">
        <x:v>Legacy Housing Corp. DBA Americasa</x:v>
      </x:c>
      <x:c r="C3943" t="str" s="2">
        <x:v/>
      </x:c>
      <x:c r="D3943" t="str" s="2">
        <x:v>9362219696</x:v>
      </x:c>
      <x:c r="E3943" t="str" s="2">
        <x:v>jaronfowler121479@gmail.com</x:v>
      </x:c>
      <x:c r="F3943" t="str" s="2">
        <x:v>Financing Form</x:v>
      </x:c>
      <x:c r="G3943" t="str" s="2">
        <x:v>Rodrigo Ramirez</x:v>
      </x:c>
      <x:c r="H3943" s="6">
        <x:v>46265.12950003472</x:v>
      </x:c>
      <x:c r="I3943" s="0"/>
      <x:c r="J3943" s="0"/>
      <x:c r="K3943" s="6">
        <x:v>46266</x:v>
      </x:c>
      <x:c r="L3943" t="str" s="2">
        <x:v>Message Sent</x:v>
      </x:c>
    </x:row>
    <x:row r="3944">
      <x:c r="A3944" t="str" s="2">
        <x:f>="Patricia Bradley"</x:f>
      </x:c>
      <x:c r="B3944" t="str" s="2">
        <x:v>Legacy Housing Corp. DBA Americasa</x:v>
      </x:c>
      <x:c r="C3944" t="str" s="2">
        <x:v/>
      </x:c>
      <x:c r="D3944" t="str" s="2">
        <x:v>9718049412</x:v>
      </x:c>
      <x:c r="E3944" t="str" s="2">
        <x:v>Patricia_bradley76@hotmail.com</x:v>
      </x:c>
      <x:c r="F3944" t="str" s="2">
        <x:v>Landing_BPM</x:v>
      </x:c>
      <x:c r="G3944" t="str" s="2">
        <x:v>Rodrigo Ramirez</x:v>
      </x:c>
      <x:c r="H3944" s="6">
        <x:v>46265.226228472224</x:v>
      </x:c>
      <x:c r="I3944" s="0"/>
      <x:c r="J3944" s="0"/>
      <x:c r="K3944" s="6">
        <x:v>46296</x:v>
      </x:c>
      <x:c r="L3944" t="str" s="2">
        <x:v>Message Sent</x:v>
      </x:c>
    </x:row>
    <x:row r="3945">
      <x:c r="A3945" t="str" s="2">
        <x:f>="Angelo Saliba"</x:f>
      </x:c>
      <x:c r="B3945" t="str" s="2">
        <x:v>Legacy Housing Corp. DBA Americasa</x:v>
      </x:c>
      <x:c r="C3945" t="str" s="2">
        <x:v/>
      </x:c>
      <x:c r="D3945" t="str" s="2">
        <x:v>8322759292</x:v>
      </x:c>
      <x:c r="E3945" t="str" s="2">
        <x:v>angelosaliba728@yahoo.com</x:v>
      </x:c>
      <x:c r="F3945" t="str" s="2">
        <x:v>Bing - Search</x:v>
      </x:c>
      <x:c r="G3945" t="str" s="2">
        <x:v>Jose Parada</x:v>
      </x:c>
      <x:c r="H3945" s="6">
        <x:v>46265.290489583334</x:v>
      </x:c>
      <x:c r="I3945" s="0"/>
      <x:c r="J3945" s="0"/>
      <x:c r="K3945" s="6">
        <x:v>46296</x:v>
      </x:c>
      <x:c r="L3945" t="str" s="2">
        <x:v>Message Sent</x:v>
      </x:c>
    </x:row>
    <x:row r="3946">
      <x:c r="A3946" t="str" s="2">
        <x:f>="Nacita Keys"</x:f>
      </x:c>
      <x:c r="B3946" t="str" s="2">
        <x:v>Legacy Housing Corp. DBA Americasa</x:v>
      </x:c>
      <x:c r="C3946" t="str" s="2">
        <x:v/>
      </x:c>
      <x:c r="D3946" t="str" s="2">
        <x:v>6784094302</x:v>
      </x:c>
      <x:c r="E3946" t="str" s="2">
        <x:v>nacita0829@gmail.com</x:v>
      </x:c>
      <x:c r="F3946" t="str" s="2">
        <x:v>Financing Form</x:v>
      </x:c>
      <x:c r="G3946" t="str" s="2">
        <x:v>Jose Parada</x:v>
      </x:c>
      <x:c r="H3946" s="6">
        <x:v>46265.29261635416</x:v>
      </x:c>
      <x:c r="I3946" s="0"/>
      <x:c r="J3946" s="0"/>
      <x:c r="K3946" s="6">
        <x:v>46296</x:v>
      </x:c>
      <x:c r="L3946" t="str" s="2">
        <x:v>Message Sent</x:v>
      </x:c>
    </x:row>
    <x:row r="3947">
      <x:c r="A3947" t="str" s="2">
        <x:f>="Michael Johnson Johnson"</x:f>
      </x:c>
      <x:c r="B3947" t="str" s="2">
        <x:v>Heritage Housing of Albany</x:v>
      </x:c>
      <x:c r="C3947" t="str" s="2">
        <x:v/>
      </x:c>
      <x:c r="D3947" t="str" s="2">
        <x:v>2025550149</x:v>
      </x:c>
      <x:c r="E3947" t="str" s="2">
        <x:v>tickettm2019@gmail.com</x:v>
      </x:c>
      <x:c r="F3947" t="str" s="2">
        <x:v>Website</x:v>
      </x:c>
      <x:c r="G3947" t="str" s="2">
        <x:v>Yanet Alvarez</x:v>
      </x:c>
      <x:c r="H3947" s="6">
        <x:v>46265.3446409375</x:v>
      </x:c>
      <x:c r="I3947" s="0"/>
      <x:c r="J3947" s="0"/>
      <x:c r="K3947" s="6">
        <x:v>46303</x:v>
      </x:c>
      <x:c r="L3947" t="str" s="2">
        <x:v>Message Sent</x:v>
      </x:c>
    </x:row>
    <x:row r="3948">
      <x:c r="A3948" t="str" s="2">
        <x:f>="Tammi Crowe"</x:f>
      </x:c>
      <x:c r="B3948" t="str" s="2">
        <x:v>Heritage Housing of Athens</x:v>
      </x:c>
      <x:c r="C3948" t="str" s="2">
        <x:v/>
      </x:c>
      <x:c r="D3948" t="str" s="2">
        <x:v>4783574580</x:v>
      </x:c>
      <x:c r="E3948" t="str" s="2">
        <x:v>tammicrowe61@gmail.com</x:v>
      </x:c>
      <x:c r="F3948" t="str" s="2">
        <x:v>Landing_BPM</x:v>
      </x:c>
      <x:c r="G3948" t="str" s="2">
        <x:v>Nathan Bishop</x:v>
      </x:c>
      <x:c r="H3948" s="6">
        <x:v>46265.37735563658</x:v>
      </x:c>
      <x:c r="I3948" s="0"/>
      <x:c r="J3948" s="0"/>
      <x:c r="K3948" s="6">
        <x:v>46283</x:v>
      </x:c>
      <x:c r="L3948" t="str" s="2">
        <x:v>Message Sent</x:v>
      </x:c>
    </x:row>
    <x:row r="3949">
      <x:c r="A3949" t="str" s="2">
        <x:f>="ROBIN Willis"</x:f>
      </x:c>
      <x:c r="B3949" t="str" s="2">
        <x:v>Heritage Housing of Asheboro</x:v>
      </x:c>
      <x:c r="C3949" t="str" s="2">
        <x:v/>
      </x:c>
      <x:c r="D3949" t="str" s="2">
        <x:v>3366140973</x:v>
      </x:c>
      <x:c r="E3949" t="str" s="2">
        <x:v>robinwillis586@gmail.com</x:v>
      </x:c>
      <x:c r="F3949" t="str" s="2">
        <x:v>Landing_BPM</x:v>
      </x:c>
      <x:c r="G3949" t="str" s="2">
        <x:v>Maria Lopez</x:v>
      </x:c>
      <x:c r="H3949" s="6">
        <x:v>46265.39956056713</x:v>
      </x:c>
      <x:c r="I3949" s="0"/>
      <x:c r="J3949" s="0"/>
      <x:c r="K3949" s="6">
        <x:v>46265</x:v>
      </x:c>
      <x:c r="L3949" t="str" s="2">
        <x:v>Message Sent</x:v>
      </x:c>
    </x:row>
    <x:row r="3950">
      <x:c r="A3950" t="str" s="2">
        <x:f>="Caiden Taylor"</x:f>
      </x:c>
      <x:c r="B3950" t="str" s="2">
        <x:v>Heritage Housing of Athens</x:v>
      </x:c>
      <x:c r="C3950" t="str" s="2">
        <x:v>1/2</x:v>
      </x:c>
      <x:c r="D3950" t="str" s="2">
        <x:v>9037521944</x:v>
      </x:c>
      <x:c r="E3950" t="str" s="2">
        <x:v>tcaiden28@gmail.com</x:v>
      </x:c>
      <x:c r="F3950" t="str" s="2">
        <x:v>Landing_BPM</x:v>
      </x:c>
      <x:c r="G3950" t="str" s="2">
        <x:v>Nathan Bishop</x:v>
      </x:c>
      <x:c r="H3950" s="6">
        <x:v>46265.523251770835</x:v>
      </x:c>
      <x:c r="I3950" s="0"/>
      <x:c r="J3950" s="0"/>
      <x:c r="K3950" s="6">
        <x:v>46307.8750909375</x:v>
      </x:c>
      <x:c r="L3950" t="str" s="2">
        <x:v>Message Sent</x:v>
      </x:c>
    </x:row>
    <x:row r="3951">
      <x:c r="A3951" t="str" s="2">
        <x:f>="Freddie Williams"</x:f>
      </x:c>
      <x:c r="B3951" t="str" s="2">
        <x:v>Legacy Housing Corp. DBA Americasa</x:v>
      </x:c>
      <x:c r="C3951" t="str" s="2">
        <x:v/>
      </x:c>
      <x:c r="D3951" t="str" s="2">
        <x:v>2816767215</x:v>
      </x:c>
      <x:c r="E3951" t="str" s="2">
        <x:v>wfreddy933@gmail.com</x:v>
      </x:c>
      <x:c r="F3951" t="str" s="2">
        <x:v>Youtube</x:v>
      </x:c>
      <x:c r="G3951" t="str" s="2">
        <x:v>Rodrigo Ramirez</x:v>
      </x:c>
      <x:c r="H3951" s="6">
        <x:v>46265.539412418984</x:v>
      </x:c>
      <x:c r="I3951" s="0"/>
      <x:c r="J3951" s="0"/>
      <x:c r="K3951" s="6">
        <x:v>46296</x:v>
      </x:c>
      <x:c r="L3951" t="str" s="2">
        <x:v>Message Sent</x:v>
      </x:c>
    </x:row>
    <x:row r="3952">
      <x:c r="A3952" t="str" s="2">
        <x:f>="boris Favor"</x:f>
      </x:c>
      <x:c r="B3952" t="str" s="2">
        <x:v>Heritage Housing of Asheboro</x:v>
      </x:c>
      <x:c r="C3952" t="str" s="2">
        <x:v/>
      </x:c>
      <x:c r="D3952" t="str" s="2">
        <x:v>8034060787</x:v>
      </x:c>
      <x:c r="E3952" t="str" s="2">
        <x:v>borisfavor@aol.com</x:v>
      </x:c>
      <x:c r="F3952" t="str" s="2">
        <x:v>Landing_BPM</x:v>
      </x:c>
      <x:c r="G3952" t="str" s="2">
        <x:v>Maria Lopez</x:v>
      </x:c>
      <x:c r="H3952" s="6">
        <x:v>46265.55926886574</x:v>
      </x:c>
      <x:c r="I3952" s="0"/>
      <x:c r="J3952" s="0"/>
      <x:c r="K3952" s="6">
        <x:v>46304</x:v>
      </x:c>
      <x:c r="L3952" t="str" s="2">
        <x:v>Message Sent</x:v>
      </x:c>
    </x:row>
    <x:row r="3953">
      <x:c r="A3953" t="str" s="2">
        <x:f>=HYPERLINK("https://rsms.futurehomex.com/lead/39526", "Charlie Brown")</x:f>
      </x:c>
      <x:c r="B3953" t="str" s="2">
        <x:v>Heritage Housing of Augusta</x:v>
      </x:c>
      <x:c r="C3953" t="str" s="2">
        <x:v/>
      </x:c>
      <x:c r="D3953" t="str" s="2">
        <x:v>7068327202</x:v>
      </x:c>
      <x:c r="E3953" t="str" s="2">
        <x:v>bcharlie639@gmail.com</x:v>
      </x:c>
      <x:c r="F3953" t="str" s="2">
        <x:v>Walk-in</x:v>
      </x:c>
      <x:c r="G3953" t="str" s="2">
        <x:v>Faye Lively</x:v>
      </x:c>
      <x:c r="H3953" s="6">
        <x:v>46265.58427777778</x:v>
      </x:c>
      <x:c r="I3953" t="str" s="2">
        <x:v>Faye Lively</x:v>
      </x:c>
      <x:c r="J3953" s="0"/>
      <x:c r="K3953" s="6">
        <x:v>46280</x:v>
      </x:c>
      <x:c r="L3953" t="str" s="2">
        <x:v>Message Sent</x:v>
      </x:c>
    </x:row>
    <x:row r="3954">
      <x:c r="A3954" t="str" s="2">
        <x:f>=HYPERLINK("https://rsms.futurehomex.com/lead/39527", "Brett Savage")</x:f>
      </x:c>
      <x:c r="B3954" t="str" s="2">
        <x:v>Heritage Housing of Augusta</x:v>
      </x:c>
      <x:c r="C3954" t="str" s="2">
        <x:v/>
      </x:c>
      <x:c r="D3954" t="str" s="2">
        <x:v>7066316565</x:v>
      </x:c>
      <x:c r="E3954" t="str" s="2">
        <x:v>bretts@gmail.com</x:v>
      </x:c>
      <x:c r="F3954" t="str" s="2">
        <x:v>Walk-in</x:v>
      </x:c>
      <x:c r="G3954" t="str" s="2">
        <x:v>Faye Lively</x:v>
      </x:c>
      <x:c r="H3954" s="6">
        <x:v>46265.58619540509</x:v>
      </x:c>
      <x:c r="I3954" t="str" s="2">
        <x:v>Faye Lively</x:v>
      </x:c>
      <x:c r="J3954" s="0"/>
      <x:c r="K3954" s="6">
        <x:v>46280</x:v>
      </x:c>
      <x:c r="L3954" t="str" s="2">
        <x:v>Message Sent</x:v>
      </x:c>
    </x:row>
    <x:row r="3955">
      <x:c r="A3955" t="str" s="2">
        <x:f>="Tonnya Thomson"</x:f>
      </x:c>
      <x:c r="B3955" t="str" s="2">
        <x:v>Heritage Housing of Canton</x:v>
      </x:c>
      <x:c r="C3955" t="str" s="2">
        <x:v/>
      </x:c>
      <x:c r="D3955" t="str" s="2">
        <x:v>9032191158</x:v>
      </x:c>
      <x:c r="E3955" t="str" s="2">
        <x:v>tonnyastorey45@gmail.com</x:v>
      </x:c>
      <x:c r="F3955" t="str" s="2">
        <x:v>Youtube</x:v>
      </x:c>
      <x:c r="G3955" t="str" s="2">
        <x:v>Maira Garcia</x:v>
      </x:c>
      <x:c r="H3955" s="6">
        <x:v>46265.594890162036</x:v>
      </x:c>
      <x:c r="I3955" s="0"/>
      <x:c r="J3955" s="0"/>
      <x:c r="K3955" s="6">
        <x:v>46270</x:v>
      </x:c>
      <x:c r="L3955" t="str" s="2">
        <x:v>Message Sent</x:v>
      </x:c>
    </x:row>
    <x:row r="3956">
      <x:c r="A3956" t="str" s="2">
        <x:f>=HYPERLINK("https://rsms.futurehomex.com/lead/39537", "Tiffany McReynolds")</x:f>
      </x:c>
      <x:c r="B3956" t="str" s="2">
        <x:v>Heritage Housing of Oklahoma City</x:v>
      </x:c>
      <x:c r="C3956" t="str" s="2">
        <x:v/>
      </x:c>
      <x:c r="D3956" t="str" s="2">
        <x:v>5725680206</x:v>
      </x:c>
      <x:c r="E3956" t="str" s="2">
        <x:v>blow45373@gmail.com</x:v>
      </x:c>
      <x:c r="F3956" t="str" s="2">
        <x:v>Youtube</x:v>
      </x:c>
      <x:c r="G3956" t="str" s="2">
        <x:v>Steve Castell</x:v>
      </x:c>
      <x:c r="H3956" s="6">
        <x:v>46265.60159320602</x:v>
      </x:c>
      <x:c r="I3956" t="str" s="2">
        <x:v>Steve Castell</x:v>
      </x:c>
      <x:c r="J3956" s="0"/>
      <x:c r="K3956" s="6">
        <x:v>46265</x:v>
      </x:c>
      <x:c r="L3956" t="str" s="2">
        <x:v>Message Sent</x:v>
      </x:c>
    </x:row>
    <x:row r="3957">
      <x:c r="A3957" t="str" s="2">
        <x:f>="Yazmine Collins"</x:f>
      </x:c>
      <x:c r="B3957" t="str" s="2">
        <x:v>Heritage Housing of Albany</x:v>
      </x:c>
      <x:c r="C3957" t="str" s="2">
        <x:v/>
      </x:c>
      <x:c r="D3957" t="str" s="2">
        <x:v>2294258410</x:v>
      </x:c>
      <x:c r="E3957" t="str" s="2">
        <x:v>yvcollins1@gmail.com</x:v>
      </x:c>
      <x:c r="F3957" t="str" s="2">
        <x:v>Landing_BPM</x:v>
      </x:c>
      <x:c r="G3957" t="str" s="2">
        <x:v>Yanet Alvarez</x:v>
      </x:c>
      <x:c r="H3957" s="6">
        <x:v>46265.63191420139</x:v>
      </x:c>
      <x:c r="I3957" s="0"/>
      <x:c r="J3957" s="0"/>
      <x:c r="K3957" s="6">
        <x:v>46303</x:v>
      </x:c>
      <x:c r="L3957" t="str" s="2">
        <x:v>Message Sent</x:v>
      </x:c>
    </x:row>
    <x:row r="3958">
      <x:c r="A3958" t="str" s="2">
        <x:f>="Robert Hammontree"</x:f>
      </x:c>
      <x:c r="B3958" t="str" s="2">
        <x:v>Heritage Housing of Tulsa</x:v>
      </x:c>
      <x:c r="C3958" t="str" s="2">
        <x:v/>
      </x:c>
      <x:c r="D3958" t="str" s="2">
        <x:v>918-200-7725</x:v>
      </x:c>
      <x:c r="E3958" t="str" s="2">
        <x:v>robert41820@gmail.com</x:v>
      </x:c>
      <x:c r="F3958" t="str" s="2">
        <x:v>Landing_BPM</x:v>
      </x:c>
      <x:c r="G3958" t="str" s="2">
        <x:v>Jenna Fransisco</x:v>
      </x:c>
      <x:c r="H3958" s="6">
        <x:v>46265.634326851854</x:v>
      </x:c>
      <x:c r="I3958" s="0"/>
      <x:c r="J3958" s="0"/>
      <x:c r="K3958" s="6">
        <x:v>46265</x:v>
      </x:c>
      <x:c r="L3958" t="str" s="2">
        <x:v>Message Sent</x:v>
      </x:c>
    </x:row>
    <x:row r="3959">
      <x:c r="A3959" t="str" s="2">
        <x:f>=HYPERLINK("https://rsms.futurehomex.com/lead/39532", "Trey Dean")</x:f>
      </x:c>
      <x:c r="B3959" t="str" s="2">
        <x:v>Heritage Housing of Augusta</x:v>
      </x:c>
      <x:c r="C3959" t="str" s="2">
        <x:v/>
      </x:c>
      <x:c r="D3959" t="str" s="2">
        <x:v>7068268939</x:v>
      </x:c>
      <x:c r="E3959" t="str" s="2">
        <x:v>sctdbusiness.td@gmail.com</x:v>
      </x:c>
      <x:c r="F3959" t="str" s="2">
        <x:v>Walk-in</x:v>
      </x:c>
      <x:c r="G3959" t="str" s="2">
        <x:v>Faye Lively</x:v>
      </x:c>
      <x:c r="H3959" s="6">
        <x:v>46265.64988680556</x:v>
      </x:c>
      <x:c r="I3959" t="str" s="2">
        <x:v>Faye Lively</x:v>
      </x:c>
      <x:c r="J3959" s="0"/>
      <x:c r="K3959" s="6">
        <x:v>46273</x:v>
      </x:c>
      <x:c r="L3959" t="str" s="2">
        <x:v>Message Sent</x:v>
      </x:c>
    </x:row>
    <x:row r="3960">
      <x:c r="A3960" t="str" s="2">
        <x:f>="cary hullender"</x:f>
      </x:c>
      <x:c r="B3960" t="str" s="2">
        <x:v>Heritage Housing Gainesville</x:v>
      </x:c>
      <x:c r="C3960" t="str" s="2">
        <x:v/>
      </x:c>
      <x:c r="D3960" t="str" s="2">
        <x:v>9723317357</x:v>
      </x:c>
      <x:c r="E3960" t="str" s="2">
        <x:v>crenee@buyyourbiz.com</x:v>
      </x:c>
      <x:c r="F3960" t="str" s="2">
        <x:v>LandingPage</x:v>
      </x:c>
      <x:c r="G3960" t="str" s="2">
        <x:v>Maira Garcia</x:v>
      </x:c>
      <x:c r="H3960" s="6">
        <x:v>46265.65314552083</x:v>
      </x:c>
      <x:c r="I3960" s="0"/>
      <x:c r="J3960" s="0"/>
      <x:c r="K3960" s="6">
        <x:v>46297</x:v>
      </x:c>
      <x:c r="L3960" t="str" s="2">
        <x:v>Message Sent</x:v>
      </x:c>
    </x:row>
    <x:row r="3961">
      <x:c r="A3961" t="str" s="2">
        <x:f>=HYPERLINK("https://rsms.futurehomex.com/lead/39533", "Marlana Jones")</x:f>
      </x:c>
      <x:c r="B3961" t="str" s="2">
        <x:v>Heritage Housing of Oklahoma City</x:v>
      </x:c>
      <x:c r="C3961" t="str" s="2">
        <x:v/>
      </x:c>
      <x:c r="D3961" t="str" s="2">
        <x:v>9185273021</x:v>
      </x:c>
      <x:c r="E3961" t="str" s="2">
        <x:v>jonesmarlana0@gmail.com</x:v>
      </x:c>
      <x:c r="F3961" t="str" s="2">
        <x:v>Financing Form</x:v>
      </x:c>
      <x:c r="G3961" t="str" s="2">
        <x:v>Steve Castell</x:v>
      </x:c>
      <x:c r="H3961" s="6">
        <x:v>46265.66208746528</x:v>
      </x:c>
      <x:c r="I3961" t="str" s="2">
        <x:v>Steve Castell</x:v>
      </x:c>
      <x:c r="J3961" s="0"/>
      <x:c r="K3961" s="6">
        <x:v>46265</x:v>
      </x:c>
      <x:c r="L3961" t="str" s="2">
        <x:v>Message Sent</x:v>
      </x:c>
    </x:row>
    <x:row r="3962">
      <x:c r="A3962" t="str" s="2">
        <x:f>="Tristan Mcateer"</x:f>
      </x:c>
      <x:c r="B3962" t="str" s="2">
        <x:v>Heritage Housing of Greenville</x:v>
      </x:c>
      <x:c r="C3962" t="str" s="2">
        <x:v/>
      </x:c>
      <x:c r="D3962" t="str" s="2">
        <x:v>4692852219</x:v>
      </x:c>
      <x:c r="E3962" t="str" s="2">
        <x:v>jamie.holbrook420@gmail.com</x:v>
      </x:c>
      <x:c r="F3962" t="str" s="2">
        <x:v>Landing_BPM</x:v>
      </x:c>
      <x:c r="G3962" t="str" s="2">
        <x:v>Brooklynn Allen</x:v>
      </x:c>
      <x:c r="H3962" s="6">
        <x:v>46265.677052314815</x:v>
      </x:c>
      <x:c r="I3962" s="0"/>
      <x:c r="J3962" s="0"/>
      <x:c r="K3962" s="6">
        <x:v>46267</x:v>
      </x:c>
      <x:c r="L3962" t="str" s="2">
        <x:v>Message Sent</x:v>
      </x:c>
    </x:row>
    <x:row r="3963">
      <x:c r="A3963" t="str" s="2">
        <x:f>="Kyndra Lundy"</x:f>
      </x:c>
      <x:c r="B3963" t="str" s="2">
        <x:v>Heritage Housing of Athens</x:v>
      </x:c>
      <x:c r="C3963" t="str" s="2">
        <x:v>1/1</x:v>
      </x:c>
      <x:c r="D3963" t="str" s="2">
        <x:v>4789736740</x:v>
      </x:c>
      <x:c r="E3963" t="str" s="2">
        <x:v>kynlundy@gmail.com</x:v>
      </x:c>
      <x:c r="F3963" t="str" s="2">
        <x:v>Landing_BPM</x:v>
      </x:c>
      <x:c r="G3963" t="str" s="2">
        <x:v>Nathan Bishop</x:v>
      </x:c>
      <x:c r="H3963" s="6">
        <x:v>46265.67761377315</x:v>
      </x:c>
      <x:c r="I3963" s="0"/>
      <x:c r="J3963" s="0"/>
      <x:c r="K3963" s="6">
        <x:v>46289</x:v>
      </x:c>
      <x:c r="L3963" t="str" s="2">
        <x:v>Message Sent</x:v>
      </x:c>
    </x:row>
    <x:row r="3964">
      <x:c r="A3964" t="str" s="2">
        <x:f>="Felicia Hughes"</x:f>
      </x:c>
      <x:c r="B3964" t="str" s="2">
        <x:v>Heritage Housing of Jennings</x:v>
      </x:c>
      <x:c r="C3964" t="str" s="2">
        <x:v/>
      </x:c>
      <x:c r="D3964" t="str" s="2">
        <x:v>318-363-0250</x:v>
      </x:c>
      <x:c r="E3964" t="str" s="2">
        <x:v>feliciakaye8@gmail.com</x:v>
      </x:c>
      <x:c r="F3964" t="str" s="2">
        <x:v>Youtube</x:v>
      </x:c>
      <x:c r="G3964" t="str" s="2">
        <x:v>Clint O'Neal</x:v>
      </x:c>
      <x:c r="H3964" s="6">
        <x:v>46265.697938275465</x:v>
      </x:c>
      <x:c r="I3964" s="0"/>
      <x:c r="J3964" s="0"/>
      <x:c r="K3964" s="6">
        <x:v>46302.70173318287</x:v>
      </x:c>
      <x:c r="L3964" t="str" s="2">
        <x:v>Message Sent</x:v>
      </x:c>
    </x:row>
    <x:row r="3965">
      <x:c r="A3965" t="str" s="2">
        <x:f>="Charles Hurst"</x:f>
      </x:c>
      <x:c r="B3965" t="str" s="2">
        <x:v>Heritage Housing of Greenville</x:v>
      </x:c>
      <x:c r="C3965" t="str" s="2">
        <x:v/>
      </x:c>
      <x:c r="D3965" t="str" s="2">
        <x:v>2148427559</x:v>
      </x:c>
      <x:c r="E3965" t="str" s="2">
        <x:v>Charleshurst54@gmail.com</x:v>
      </x:c>
      <x:c r="F3965" t="str" s="2">
        <x:v>Landing_BPM</x:v>
      </x:c>
      <x:c r="G3965" t="str" s="2">
        <x:v>Brooklynn Allen</x:v>
      </x:c>
      <x:c r="H3965" s="6">
        <x:v>46265.73953020833</x:v>
      </x:c>
      <x:c r="I3965" s="0"/>
      <x:c r="J3965" s="0"/>
      <x:c r="K3965" s="6">
        <x:v>46267</x:v>
      </x:c>
      <x:c r="L3965" t="str" s="2">
        <x:v>Message Sent</x:v>
      </x:c>
    </x:row>
    <x:row r="3966">
      <x:c r="A3966" t="str" s="2">
        <x:f>="Lisa Witwer"</x:f>
      </x:c>
      <x:c r="B3966" t="str" s="2">
        <x:v>Heritage Housing Marble Falls</x:v>
      </x:c>
      <x:c r="C3966" t="str" s="2">
        <x:v/>
      </x:c>
      <x:c r="D3966" t="str" s="2">
        <x:v>8322336085</x:v>
      </x:c>
      <x:c r="E3966" t="str" s="2">
        <x:v>lisareene46@gmail.com</x:v>
      </x:c>
      <x:c r="F3966" t="str" s="2">
        <x:v>Landing_BPM</x:v>
      </x:c>
      <x:c r="G3966" t="str" s="2">
        <x:v>Stephen Sanders</x:v>
      </x:c>
      <x:c r="H3966" s="6">
        <x:v>46265.742535034726</x:v>
      </x:c>
      <x:c r="I3966" s="0"/>
      <x:c r="J3966" s="0"/>
      <x:c r="K3966" s="6">
        <x:v>46274</x:v>
      </x:c>
      <x:c r="L3966" t="str" s="2">
        <x:v>Message Sent</x:v>
      </x:c>
    </x:row>
    <x:row r="3967">
      <x:c r="A3967" t="str" s="2">
        <x:f>="shaner igbojekwe"</x:f>
      </x:c>
      <x:c r="B3967" t="str" s="2">
        <x:v>Heritage Housing of Jennings</x:v>
      </x:c>
      <x:c r="C3967" t="str" s="2">
        <x:v/>
      </x:c>
      <x:c r="D3967" t="str" s="2">
        <x:v>(325) 603-5788</x:v>
      </x:c>
      <x:c r="E3967" t="str" s="2">
        <x:v>shaner_hardy@yahoo.com</x:v>
      </x:c>
      <x:c r="F3967" t="str" s="2">
        <x:v>Website</x:v>
      </x:c>
      <x:c r="G3967" t="str" s="2">
        <x:v>Mervin Leslie Smith</x:v>
      </x:c>
      <x:c r="H3967" s="6">
        <x:v>46265.74907855324</x:v>
      </x:c>
      <x:c r="I3967" s="0"/>
      <x:c r="J3967" s="0"/>
      <x:c r="K3967" s="6">
        <x:v>46302.70059699074</x:v>
      </x:c>
      <x:c r="L3967" t="str" s="2">
        <x:v>Message Sent</x:v>
      </x:c>
    </x:row>
    <x:row r="3968">
      <x:c r="A3968" t="str" s="2">
        <x:f>="catherine convey"</x:f>
      </x:c>
      <x:c r="B3968" t="str" s="2">
        <x:v>Heritage Housing of Jennings</x:v>
      </x:c>
      <x:c r="C3968" t="str" s="2">
        <x:v/>
      </x:c>
      <x:c r="D3968" t="str" s="2">
        <x:v>7085174177</x:v>
      </x:c>
      <x:c r="E3968" t="str" s="2">
        <x:v>catherineconvey305@gmail.com</x:v>
      </x:c>
      <x:c r="F3968" t="str" s="2">
        <x:v>Youtube</x:v>
      </x:c>
      <x:c r="G3968" t="str" s="2">
        <x:v>Clint O'Neal</x:v>
      </x:c>
      <x:c r="H3968" s="6">
        <x:v>46265.76442665509</x:v>
      </x:c>
      <x:c r="I3968" s="0"/>
      <x:c r="J3968" s="0"/>
      <x:c r="K3968" s="6">
        <x:v>46302.70140034722</x:v>
      </x:c>
      <x:c r="L3968" t="str" s="2">
        <x:v>Message Sent</x:v>
      </x:c>
    </x:row>
    <x:row r="3969">
      <x:c r="A3969" t="str" s="2">
        <x:f>="Charles Moore"</x:f>
      </x:c>
      <x:c r="B3969" t="str" s="2">
        <x:v>Heritage Housing of Asheboro</x:v>
      </x:c>
      <x:c r="C3969" t="str" s="2">
        <x:v/>
      </x:c>
      <x:c r="D3969" t="str" s="2">
        <x:v>704457810</x:v>
      </x:c>
      <x:c r="E3969" t="str" s="2">
        <x:v>cm0784137@gmail.com</x:v>
      </x:c>
      <x:c r="F3969" t="str" s="2">
        <x:v>Website</x:v>
      </x:c>
      <x:c r="G3969" t="str" s="2">
        <x:v>Maria Lopez</x:v>
      </x:c>
      <x:c r="H3969" s="6">
        <x:v>46265.89795517361</x:v>
      </x:c>
      <x:c r="I3969" s="0"/>
      <x:c r="J3969" s="0"/>
      <x:c r="K3969" s="6">
        <x:v>46283</x:v>
      </x:c>
      <x:c r="L3969" t="str" s="2">
        <x:v>Message Sent</x:v>
      </x:c>
    </x:row>
    <x:row r="3970">
      <x:c r="A3970" t="str" s="2">
        <x:f>="MONICA PAEZ PAEZ"</x:f>
      </x:c>
      <x:c r="B3970" t="str" s="2">
        <x:v>Legacy Housing Corp. DBA Americasa</x:v>
      </x:c>
      <x:c r="C3970" t="str" s="2">
        <x:v/>
      </x:c>
      <x:c r="D3970" t="str" s="2">
        <x:v>3468401201</x:v>
      </x:c>
      <x:c r="E3970" t="str" s="2">
        <x:v>mpaez1802@gmail.com</x:v>
      </x:c>
      <x:c r="F3970" t="str" s="2">
        <x:v>Landing_BPM</x:v>
      </x:c>
      <x:c r="G3970" t="str" s="2">
        <x:v>Jose Parada</x:v>
      </x:c>
      <x:c r="H3970" s="6">
        <x:v>46265.916424965275</x:v>
      </x:c>
      <x:c r="I3970" s="0"/>
      <x:c r="J3970" s="0"/>
      <x:c r="K3970" s="6">
        <x:v>46296</x:v>
      </x:c>
      <x:c r="L3970" t="str" s="2">
        <x:v>Message Sent</x:v>
      </x:c>
    </x:row>
    <x:row r="3971">
      <x:c r="A3971" t="str" s="2">
        <x:f>="Ava Martin Martin"</x:f>
      </x:c>
      <x:c r="B3971" t="str" s="2">
        <x:v>Heritage Housing of Albany</x:v>
      </x:c>
      <x:c r="C3971" t="str" s="2">
        <x:v/>
      </x:c>
      <x:c r="D3971" t="str" s="2">
        <x:v>2025550146</x:v>
      </x:c>
      <x:c r="E3971" t="str" s="2">
        <x:v>loganwea@gmail.com</x:v>
      </x:c>
      <x:c r="F3971" t="str" s="2">
        <x:v>Website</x:v>
      </x:c>
      <x:c r="G3971" t="str" s="2">
        <x:v>Yanet Alvarez</x:v>
      </x:c>
      <x:c r="H3971" s="6">
        <x:v>46265.93516871528</x:v>
      </x:c>
      <x:c r="I3971" s="0"/>
      <x:c r="J3971" s="0"/>
      <x:c r="K3971" s="6">
        <x:v>46303.85241299769</x:v>
      </x:c>
      <x:c r="L3971" t="str" s="2">
        <x:v>Message Sent</x:v>
      </x:c>
    </x:row>
    <x:row r="3972">
      <x:c r="A3972" t="str" s="2">
        <x:f>="Clarence Wallace"</x:f>
      </x:c>
      <x:c r="B3972" t="str" s="2">
        <x:v>Heritage Housing of Canton</x:v>
      </x:c>
      <x:c r="C3972" t="str" s="2">
        <x:v/>
      </x:c>
      <x:c r="D3972" t="str" s="2">
        <x:v>4692540521</x:v>
      </x:c>
      <x:c r="E3972" t="str" s="2">
        <x:v>clarence.wallace@lucky7dsp.com</x:v>
      </x:c>
      <x:c r="F3972" t="str" s="2">
        <x:v>Landing_BPM</x:v>
      </x:c>
      <x:c r="G3972" t="str" s="2">
        <x:v>Maira Garcia</x:v>
      </x:c>
      <x:c r="H3972" s="6">
        <x:v>46265.94871493056</x:v>
      </x:c>
      <x:c r="I3972" s="0"/>
      <x:c r="J3972" s="0"/>
      <x:c r="K3972" s="6">
        <x:v>46270</x:v>
      </x:c>
      <x:c r="L3972" t="str" s="2">
        <x:v>Message Sent</x:v>
      </x:c>
    </x:row>
    <x:row r="3973">
      <x:c r="A3973" t="str" s="2">
        <x:f>="Frederick Stanton"</x:f>
      </x:c>
      <x:c r="B3973" t="str" s="2">
        <x:v>Heritage Housing of Augusta</x:v>
      </x:c>
      <x:c r="C3973" t="str" s="2">
        <x:v/>
      </x:c>
      <x:c r="D3973" t="str" s="2">
        <x:v>7048328425</x:v>
      </x:c>
      <x:c r="E3973" t="str" s="2">
        <x:v>stantonquality@gmail.com</x:v>
      </x:c>
      <x:c r="F3973" t="str" s="2">
        <x:v>Landing_BPM</x:v>
      </x:c>
      <x:c r="G3973" t="str" s="2">
        <x:v>Faye Lively</x:v>
      </x:c>
      <x:c r="H3973" s="6">
        <x:v>46265.96552172454</x:v>
      </x:c>
      <x:c r="I3973" s="0"/>
      <x:c r="J3973" s="0"/>
      <x:c r="K3973" s="6">
        <x:v>46274</x:v>
      </x:c>
      <x:c r="L3973" t="str" s="2">
        <x:v>Message Sent</x:v>
      </x:c>
    </x:row>
    <x:row r="3974">
      <x:c r="A3974" t="str" s="2">
        <x:f>="Marjorie Moore"</x:f>
      </x:c>
      <x:c r="B3974" t="str" s="2">
        <x:v>Heritage Housing of Jennings</x:v>
      </x:c>
      <x:c r="C3974" t="str" s="2">
        <x:v/>
      </x:c>
      <x:c r="D3974" t="str" s="2">
        <x:v>2257883980</x:v>
      </x:c>
      <x:c r="E3974" t="str" s="2">
        <x:v>shortstopsixshooter@gmail.com</x:v>
      </x:c>
      <x:c r="F3974" t="str" s="2">
        <x:v>Youtube</x:v>
      </x:c>
      <x:c r="G3974" t="str" s="2">
        <x:v>Clint O'Neal</x:v>
      </x:c>
      <x:c r="H3974" s="6">
        <x:v>46265.99525960648</x:v>
      </x:c>
      <x:c r="I3974" s="0"/>
      <x:c r="J3974" s="0"/>
      <x:c r="K3974" s="6">
        <x:v>46302.70206261574</x:v>
      </x:c>
      <x:c r="L3974" t="str" s="2">
        <x:v>Message Sent</x:v>
      </x:c>
    </x:row>
    <x:row r="3975">
      <x:c r="A3975" t="str" s="2">
        <x:f>="Patricia Jordan"</x:f>
      </x:c>
      <x:c r="B3975" t="str" s="2">
        <x:v>Heritage Housing of Jennings</x:v>
      </x:c>
      <x:c r="C3975" t="str" s="2">
        <x:v/>
      </x:c>
      <x:c r="D3975" t="str" s="2">
        <x:v>3182376654</x:v>
      </x:c>
      <x:c r="E3975" t="str" s="2">
        <x:v>PATSILLER1972@GMAIL.COM</x:v>
      </x:c>
      <x:c r="F3975" t="str" s="2">
        <x:v>Youtube</x:v>
      </x:c>
      <x:c r="G3975" t="str" s="2">
        <x:v>Mervin Leslie Smith</x:v>
      </x:c>
      <x:c r="H3975" s="6">
        <x:v>46266.017852233796</x:v>
      </x:c>
      <x:c r="I3975" s="0"/>
      <x:c r="J3975" s="0"/>
      <x:c r="K3975" s="6">
        <x:v>46302.702450613426</x:v>
      </x:c>
      <x:c r="L3975" t="str" s="2">
        <x:v>Message Sent</x:v>
      </x:c>
    </x:row>
    <x:row r="3976">
      <x:c r="A3976" t="str" s="2">
        <x:f>="Beatrice Molina"</x:f>
      </x:c>
      <x:c r="B3976" t="str" s="2">
        <x:v>Heritage Housing of Canton</x:v>
      </x:c>
      <x:c r="C3976" t="str" s="2">
        <x:v/>
      </x:c>
      <x:c r="D3976" t="str" s="2">
        <x:v>2145022258</x:v>
      </x:c>
      <x:c r="E3976" t="str" s="2">
        <x:v>bettyluna1993@gmail.com</x:v>
      </x:c>
      <x:c r="F3976" t="str" s="2">
        <x:v>Financing Form</x:v>
      </x:c>
      <x:c r="G3976" t="str" s="2">
        <x:v>Maira Garcia</x:v>
      </x:c>
      <x:c r="H3976" s="6">
        <x:v>46266.05195934028</x:v>
      </x:c>
      <x:c r="I3976" s="0"/>
      <x:c r="J3976" s="0"/>
      <x:c r="K3976" s="6">
        <x:v>46266</x:v>
      </x:c>
      <x:c r="L3976" t="str" s="2">
        <x:v>Message Sent</x:v>
      </x:c>
    </x:row>
    <x:row r="3977">
      <x:c r="A3977" t="str" s="2">
        <x:f>=HYPERLINK("https://rsms.futurehomex.com/lead/39611", "TRACIE CLINE")</x:f>
      </x:c>
      <x:c r="B3977" t="str" s="2">
        <x:v>Heritage Housing of Asheboro</x:v>
      </x:c>
      <x:c r="C3977" t="str" s="2">
        <x:v/>
      </x:c>
      <x:c r="D3977" t="str" s="2">
        <x:v>3364685117</x:v>
      </x:c>
      <x:c r="E3977" t="str" s="2">
        <x:v>grandmaready18@gmail.com</x:v>
      </x:c>
      <x:c r="F3977" t="str" s="2">
        <x:v>Financing Form</x:v>
      </x:c>
      <x:c r="G3977" t="str" s="2">
        <x:v>Jeremy Jacques</x:v>
      </x:c>
      <x:c r="H3977" s="6">
        <x:v>46266.07854695602</x:v>
      </x:c>
      <x:c r="I3977" t="str" s="2">
        <x:v>Maria Lopez</x:v>
      </x:c>
      <x:c r="J3977" s="0"/>
      <x:c r="K3977" s="6">
        <x:v>46276</x:v>
      </x:c>
      <x:c r="L3977" t="str" s="2">
        <x:v>Message Sent</x:v>
      </x:c>
    </x:row>
    <x:row r="3978">
      <x:c r="A3978" t="str" s="2">
        <x:f>="Amanda Monge"</x:f>
      </x:c>
      <x:c r="B3978" t="str" s="2">
        <x:v>Heritage Housing of Asheboro</x:v>
      </x:c>
      <x:c r="C3978" t="str" s="2">
        <x:v/>
      </x:c>
      <x:c r="D3978" t="str" s="2">
        <x:v>6315681086</x:v>
      </x:c>
      <x:c r="E3978" t="str" s="2">
        <x:v>Mandamonge@mail.com</x:v>
      </x:c>
      <x:c r="F3978" t="str" s="2">
        <x:v>Landing_BPM</x:v>
      </x:c>
      <x:c r="G3978" t="str" s="2">
        <x:v>Maria Lopez</x:v>
      </x:c>
      <x:c r="H3978" s="6">
        <x:v>46266.09007288195</x:v>
      </x:c>
      <x:c r="I3978" s="0"/>
      <x:c r="J3978" s="0"/>
      <x:c r="K3978" s="6">
        <x:v>46266</x:v>
      </x:c>
      <x:c r="L3978" t="str" s="2">
        <x:v>Message Sent</x:v>
      </x:c>
    </x:row>
    <x:row r="3979">
      <x:c r="A3979" t="str" s="2">
        <x:f>="Jimmy Trevino"</x:f>
      </x:c>
      <x:c r="B3979" t="str" s="2">
        <x:v>Heritage Housing of Canton</x:v>
      </x:c>
      <x:c r="C3979" t="str" s="2">
        <x:v/>
      </x:c>
      <x:c r="D3979" t="str" s="2">
        <x:v>2143543985</x:v>
      </x:c>
      <x:c r="E3979" t="str" s="2">
        <x:v>Jim60trevino@gmail.com</x:v>
      </x:c>
      <x:c r="F3979" t="str" s="2">
        <x:v>Youtube</x:v>
      </x:c>
      <x:c r="G3979" t="str" s="2">
        <x:v>Maira Garcia</x:v>
      </x:c>
      <x:c r="H3979" s="6">
        <x:v>46266.1277091088</x:v>
      </x:c>
      <x:c r="I3979" s="0"/>
      <x:c r="J3979" s="0"/>
      <x:c r="K3979" s="6">
        <x:v>46267</x:v>
      </x:c>
      <x:c r="L3979" t="str" s="2">
        <x:v>Message Sent</x:v>
      </x:c>
    </x:row>
    <x:row r="3980">
      <x:c r="A3980" t="str" s="2">
        <x:f>="Patricia Orsetti Orsetti"</x:f>
      </x:c>
      <x:c r="B3980" t="str" s="2">
        <x:v>Heritage Housing of Athens</x:v>
      </x:c>
      <x:c r="C3980" t="str" s="2">
        <x:v>1/2</x:v>
      </x:c>
      <x:c r="D3980" t="str" s="2">
        <x:v>8645810745</x:v>
      </x:c>
      <x:c r="E3980" t="str" s="2">
        <x:v>roseycupid@yahoo.com</x:v>
      </x:c>
      <x:c r="F3980" t="str" s="2">
        <x:v>Landing_BPM</x:v>
      </x:c>
      <x:c r="G3980" t="str" s="2">
        <x:v>Nathan Bishop</x:v>
      </x:c>
      <x:c r="H3980" s="6">
        <x:v>46266.14033653935</x:v>
      </x:c>
      <x:c r="I3980" s="0"/>
      <x:c r="J3980" s="0"/>
      <x:c r="K3980" s="6">
        <x:v>46302</x:v>
      </x:c>
      <x:c r="L3980" t="str" s="2">
        <x:v>Message Sent</x:v>
      </x:c>
    </x:row>
    <x:row r="3981">
      <x:c r="A3981" t="str" s="2">
        <x:f>="Christopher Hyde"</x:f>
      </x:c>
      <x:c r="B3981" t="str" s="2">
        <x:v>Heritage Housing of Albany</x:v>
      </x:c>
      <x:c r="C3981" t="str" s="2">
        <x:v/>
      </x:c>
      <x:c r="D3981" t="str" s="2">
        <x:v>4702094397</x:v>
      </x:c>
      <x:c r="E3981" t="str" s="2">
        <x:v>whogotone420@gmail.com</x:v>
      </x:c>
      <x:c r="F3981" t="str" s="2">
        <x:v>Financing Form</x:v>
      </x:c>
      <x:c r="G3981" t="str" s="2">
        <x:v>Sandra Saldana</x:v>
      </x:c>
      <x:c r="H3981" s="6">
        <x:v>46266.18916890046</x:v>
      </x:c>
      <x:c r="I3981" s="0"/>
      <x:c r="J3981" s="0"/>
      <x:c r="K3981" s="6">
        <x:v>46267</x:v>
      </x:c>
      <x:c r="L3981" t="str" s="2">
        <x:v>Message Sent</x:v>
      </x:c>
    </x:row>
    <x:row r="3982">
      <x:c r="A3982" t="str" s="2">
        <x:f>="Mabre Maynard"</x:f>
      </x:c>
      <x:c r="B3982" t="str" s="2">
        <x:v>Heritage Housing of Tulsa</x:v>
      </x:c>
      <x:c r="C3982" t="str" s="2">
        <x:v/>
      </x:c>
      <x:c r="D3982" t="str" s="2">
        <x:v>4793886890</x:v>
      </x:c>
      <x:c r="E3982" t="str" s="2">
        <x:v>mabre405@gmail.com</x:v>
      </x:c>
      <x:c r="F3982" t="str" s="2">
        <x:v>Website</x:v>
      </x:c>
      <x:c r="G3982" t="str" s="2">
        <x:v>Jenna Fransisco</x:v>
      </x:c>
      <x:c r="H3982" s="6">
        <x:v>46266.48848043982</x:v>
      </x:c>
      <x:c r="I3982" s="0"/>
      <x:c r="J3982" s="0"/>
      <x:c r="K3982" s="6">
        <x:v>46266</x:v>
      </x:c>
      <x:c r="L3982" t="str" s="2">
        <x:v>Message Sent</x:v>
      </x:c>
    </x:row>
    <x:row r="3983">
      <x:c r="A3983" t="str" s="2">
        <x:f>="Saras Chandra"</x:f>
      </x:c>
      <x:c r="B3983" t="str" s="2">
        <x:v>Heritage Housing of Athens</x:v>
      </x:c>
      <x:c r="C3983" t="str" s="2">
        <x:v/>
      </x:c>
      <x:c r="D3983" t="str" s="2">
        <x:v>4087707674</x:v>
      </x:c>
      <x:c r="E3983" t="str" s="2">
        <x:v>chandra.saras@yahoo.com</x:v>
      </x:c>
      <x:c r="F3983" t="str" s="2">
        <x:v>Bing - Search</x:v>
      </x:c>
      <x:c r="G3983" t="str" s="2">
        <x:v>Nathan Bishop</x:v>
      </x:c>
      <x:c r="H3983" s="6">
        <x:v>46266.60543630787</x:v>
      </x:c>
      <x:c r="I3983" s="0"/>
      <x:c r="J3983" s="0"/>
      <x:c r="K3983" s="6">
        <x:v>46288</x:v>
      </x:c>
      <x:c r="L3983" t="str" s="2">
        <x:v>Message Sent</x:v>
      </x:c>
    </x:row>
    <x:row r="3984">
      <x:c r="A3984" t="str" s="2">
        <x:f>="Kendra Morris"</x:f>
      </x:c>
      <x:c r="B3984" t="str" s="2">
        <x:v>Heritage Housing of Athens</x:v>
      </x:c>
      <x:c r="C3984" t="str" s="2">
        <x:v/>
      </x:c>
      <x:c r="D3984" t="str" s="2">
        <x:v>9729898253</x:v>
      </x:c>
      <x:c r="E3984" t="str" s="2">
        <x:v>kmorris.pres@gmail.com</x:v>
      </x:c>
      <x:c r="F3984" t="str" s="2">
        <x:v>LandingPage</x:v>
      </x:c>
      <x:c r="G3984" t="str" s="2">
        <x:v>Nathan Bishop</x:v>
      </x:c>
      <x:c r="H3984" s="6">
        <x:v>46266.65964409722</x:v>
      </x:c>
      <x:c r="I3984" s="0"/>
      <x:c r="J3984" s="0"/>
      <x:c r="K3984" s="6">
        <x:v>46267</x:v>
      </x:c>
      <x:c r="L3984" t="str" s="2">
        <x:v>Message Sent</x:v>
      </x:c>
    </x:row>
    <x:row r="3985">
      <x:c r="A3985" t="str" s="2">
        <x:f>="Lori Boudreaux"</x:f>
      </x:c>
      <x:c r="B3985" t="str" s="2">
        <x:v>Heritage Housing of Jennings</x:v>
      </x:c>
      <x:c r="C3985" t="str" s="2">
        <x:v/>
      </x:c>
      <x:c r="D3985" t="str" s="2">
        <x:v>3182400488</x:v>
      </x:c>
      <x:c r="E3985" t="str" s="2">
        <x:v>lboudreaux@avoyellespsb.com</x:v>
      </x:c>
      <x:c r="F3985" t="str" s="2">
        <x:v>Website</x:v>
      </x:c>
      <x:c r="G3985" t="str" s="2">
        <x:v>Clint O'Neal</x:v>
      </x:c>
      <x:c r="H3985" s="6">
        <x:v>46266.66110251157</x:v>
      </x:c>
      <x:c r="I3985" s="0"/>
      <x:c r="J3985" s="0"/>
      <x:c r="K3985" s="6">
        <x:v>46302.702909224536</x:v>
      </x:c>
      <x:c r="L3985" t="str" s="2">
        <x:v>Message Sent</x:v>
      </x:c>
    </x:row>
    <x:row r="3986">
      <x:c r="A3986" t="str" s="2">
        <x:f>="Desmond Height"</x:f>
      </x:c>
      <x:c r="B3986" t="str" s="2">
        <x:v>Heritage Housing of Greenville</x:v>
      </x:c>
      <x:c r="C3986" t="str" s="2">
        <x:v/>
      </x:c>
      <x:c r="D3986" t="str" s="2">
        <x:v>4698267934</x:v>
      </x:c>
      <x:c r="E3986" t="str" s="2">
        <x:v>dheight1995@gmail.com</x:v>
      </x:c>
      <x:c r="F3986" t="str" s="2">
        <x:v>Landing_BPM</x:v>
      </x:c>
      <x:c r="G3986" t="str" s="2">
        <x:v>Brooklynn Allen</x:v>
      </x:c>
      <x:c r="H3986" s="6">
        <x:v>46266.693480821756</x:v>
      </x:c>
      <x:c r="I3986" s="0"/>
      <x:c r="J3986" s="0"/>
      <x:c r="K3986" s="6">
        <x:v>46268</x:v>
      </x:c>
      <x:c r="L3986" t="str" s="2">
        <x:v>Message Sent</x:v>
      </x:c>
    </x:row>
    <x:row r="3987">
      <x:c r="A3987" t="str" s="2">
        <x:f>="Kynnedi Charles"</x:f>
      </x:c>
      <x:c r="B3987" t="str" s="2">
        <x:v>Heritage Housing of Jennings</x:v>
      </x:c>
      <x:c r="C3987" t="str" s="2">
        <x:v/>
      </x:c>
      <x:c r="D3987" t="str" s="2">
        <x:v>3374039224</x:v>
      </x:c>
      <x:c r="E3987" t="str" s="2">
        <x:v>KYNNEDISAMONE1@ICLOUD.COM</x:v>
      </x:c>
      <x:c r="F3987" t="str" s="2">
        <x:v>Financing Form</x:v>
      </x:c>
      <x:c r="G3987" t="str" s="2">
        <x:v>Mervin Leslie Smith</x:v>
      </x:c>
      <x:c r="H3987" s="6">
        <x:v>46266.713585729165</x:v>
      </x:c>
      <x:c r="I3987" s="0"/>
      <x:c r="J3987" s="0"/>
      <x:c r="K3987" s="6">
        <x:v>46302.65370193287</x:v>
      </x:c>
      <x:c r="L3987" t="str" s="2">
        <x:v>Message Sent</x:v>
      </x:c>
    </x:row>
    <x:row r="3988">
      <x:c r="A3988" t="str" s="2">
        <x:f>=HYPERLINK("https://rsms.futurehomex.com/lead/39752", "Marcos Hernandez")</x:f>
      </x:c>
      <x:c r="B3988" t="str" s="2">
        <x:v>Legacy Housing Corp. DBA Americasa</x:v>
      </x:c>
      <x:c r="C3988" t="str" s="2">
        <x:v/>
      </x:c>
      <x:c r="D3988" t="str" s="2">
        <x:v>7134982324</x:v>
      </x:c>
      <x:c r="E3988" t="str" s="2">
        <x:v>7134982324</x:v>
      </x:c>
      <x:c r="F3988" t="str" s="2">
        <x:v>TikTok</x:v>
      </x:c>
      <x:c r="G3988" t="str" s="2">
        <x:v>Rodrigo Ramirez</x:v>
      </x:c>
      <x:c r="H3988" s="6">
        <x:v>46266.72665859954</x:v>
      </x:c>
      <x:c r="I3988" t="str" s="2">
        <x:v>Jose Parada</x:v>
      </x:c>
      <x:c r="J3988" s="6">
        <x:v>46270.708333333336</x:v>
      </x:c>
      <x:c r="K3988" s="6">
        <x:v>46308</x:v>
      </x:c>
      <x:c r="L3988" t="str" s="2">
        <x:v>Message Sent</x:v>
      </x:c>
    </x:row>
    <x:row r="3989">
      <x:c r="A3989" t="str" s="2">
        <x:f>="Sierra Horne"</x:f>
      </x:c>
      <x:c r="B3989" t="str" s="2">
        <x:v>Heritage Housing of Asheboro</x:v>
      </x:c>
      <x:c r="C3989" t="str" s="2">
        <x:v/>
      </x:c>
      <x:c r="D3989" t="str" s="2">
        <x:v>3367903150</x:v>
      </x:c>
      <x:c r="E3989" t="str" s="2">
        <x:v>sierrahorne621@yahoo.com</x:v>
      </x:c>
      <x:c r="F3989" t="str" s="2">
        <x:v>Financing Form</x:v>
      </x:c>
      <x:c r="G3989" t="str" s="2">
        <x:v>Maria Lopez</x:v>
      </x:c>
      <x:c r="H3989" s="6">
        <x:v>46266.73152650463</x:v>
      </x:c>
      <x:c r="I3989" s="0"/>
      <x:c r="J3989" s="0"/>
      <x:c r="K3989" s="6">
        <x:v>46307</x:v>
      </x:c>
      <x:c r="L3989" t="str" s="2">
        <x:v>Message Sent</x:v>
      </x:c>
    </x:row>
    <x:row r="3990">
      <x:c r="A3990" t="str" s="2">
        <x:f>="Terrence Scott"</x:f>
      </x:c>
      <x:c r="B3990" t="str" s="2">
        <x:v>Heritage Housing of Augusta</x:v>
      </x:c>
      <x:c r="C3990" t="str" s="2">
        <x:v>0/2</x:v>
      </x:c>
      <x:c r="D3990" t="str" s="2">
        <x:v>7065358794</x:v>
      </x:c>
      <x:c r="E3990" t="str" s="2">
        <x:v>scottterrence330@gmail.com</x:v>
      </x:c>
      <x:c r="F3990" t="str" s="2">
        <x:v>Financing Form</x:v>
      </x:c>
      <x:c r="G3990" t="str" s="2">
        <x:v>Jennifer Johnson</x:v>
      </x:c>
      <x:c r="H3990" s="6">
        <x:v>46266.74715138889</x:v>
      </x:c>
      <x:c r="I3990" s="0"/>
      <x:c r="J3990" s="0"/>
      <x:c r="K3990" s="6">
        <x:v>46298</x:v>
      </x:c>
      <x:c r="L3990" t="str" s="2">
        <x:v>Message Sent</x:v>
      </x:c>
    </x:row>
    <x:row r="3991">
      <x:c r="A3991" t="str" s="2">
        <x:f>="Breanna Solomon"</x:f>
      </x:c>
      <x:c r="B3991" t="str" s="2">
        <x:v>Legacy Housing Corp. DBA Americasa</x:v>
      </x:c>
      <x:c r="C3991" t="str" s="2">
        <x:v/>
      </x:c>
      <x:c r="D3991" t="str" s="2">
        <x:v>9792180632</x:v>
      </x:c>
      <x:c r="E3991" t="str" s="2">
        <x:v>breannawalker97@yahoo.com</x:v>
      </x:c>
      <x:c r="F3991" t="str" s="2">
        <x:v>Landing_BPM</x:v>
      </x:c>
      <x:c r="G3991" t="str" s="2">
        <x:v>Rodrigo Ramirez</x:v>
      </x:c>
      <x:c r="H3991" s="6">
        <x:v>46266.79787210648</x:v>
      </x:c>
      <x:c r="I3991" s="0"/>
      <x:c r="J3991" s="0"/>
      <x:c r="K3991" s="6">
        <x:v>46296</x:v>
      </x:c>
      <x:c r="L3991" t="str" s="2">
        <x:v>Message Sent</x:v>
      </x:c>
    </x:row>
    <x:row r="3992">
      <x:c r="A3992" t="str" s="2">
        <x:f>="Brooklynn Bamres"</x:f>
      </x:c>
      <x:c r="B3992" t="str" s="2">
        <x:v>Heritage Housing of Tulsa</x:v>
      </x:c>
      <x:c r="C3992" t="str" s="2">
        <x:v/>
      </x:c>
      <x:c r="D3992" t="str" s="2">
        <x:v>5394325117</x:v>
      </x:c>
      <x:c r="E3992" t="str" s="2">
        <x:v>avery2remi1@gmail.com</x:v>
      </x:c>
      <x:c r="F3992" t="str" s="2">
        <x:v>Landing_BPM</x:v>
      </x:c>
      <x:c r="G3992" t="str" s="2">
        <x:v>Jenna Fransisco</x:v>
      </x:c>
      <x:c r="H3992" s="6">
        <x:v>46266.84681516204</x:v>
      </x:c>
      <x:c r="I3992" s="0"/>
      <x:c r="J3992" s="0"/>
      <x:c r="K3992" s="6">
        <x:v>46279</x:v>
      </x:c>
      <x:c r="L3992" t="str" s="2">
        <x:v>Message Sent</x:v>
      </x:c>
    </x:row>
    <x:row r="3993">
      <x:c r="A3993" t="str" s="2">
        <x:f>="Denise Hicks"</x:f>
      </x:c>
      <x:c r="B3993" t="str" s="2">
        <x:v>Heritage Housing of Canton</x:v>
      </x:c>
      <x:c r="C3993" t="str" s="2">
        <x:v/>
      </x:c>
      <x:c r="D3993" t="str" s="2">
        <x:v>5627377920</x:v>
      </x:c>
      <x:c r="E3993" t="str" s="2">
        <x:v>denisehicks520@gmail.com</x:v>
      </x:c>
      <x:c r="F3993" t="str" s="2">
        <x:v>Youtube</x:v>
      </x:c>
      <x:c r="G3993" t="str" s="2">
        <x:v>Maira Garcia</x:v>
      </x:c>
      <x:c r="H3993" s="6">
        <x:v>46266.884841666666</x:v>
      </x:c>
      <x:c r="I3993" s="0"/>
      <x:c r="J3993" s="0"/>
      <x:c r="K3993" s="6">
        <x:v>46267</x:v>
      </x:c>
      <x:c r="L3993" t="str" s="2">
        <x:v>Message Sent</x:v>
      </x:c>
    </x:row>
    <x:row r="3994">
      <x:c r="A3994" t="str" s="2">
        <x:f>="Liberty Chandler"</x:f>
      </x:c>
      <x:c r="B3994" t="str" s="2">
        <x:v>Heritage Housing of Tulsa</x:v>
      </x:c>
      <x:c r="C3994" t="str" s="2">
        <x:v/>
      </x:c>
      <x:c r="D3994" t="str" s="2">
        <x:v>9189780609</x:v>
      </x:c>
      <x:c r="E3994" t="str" s="2">
        <x:v>libertyjdcarey@gmail.com</x:v>
      </x:c>
      <x:c r="F3994" t="str" s="2">
        <x:v>Landing_BPM</x:v>
      </x:c>
      <x:c r="G3994" t="str" s="2">
        <x:v>Jenna Fransisco</x:v>
      </x:c>
      <x:c r="H3994" s="6">
        <x:v>46266.8917352662</x:v>
      </x:c>
      <x:c r="I3994" s="0"/>
      <x:c r="J3994" s="0"/>
      <x:c r="K3994" s="6">
        <x:v>46279</x:v>
      </x:c>
      <x:c r="L3994" t="str" s="2">
        <x:v>Message Sent</x:v>
      </x:c>
    </x:row>
    <x:row r="3995">
      <x:c r="A3995" t="str" s="2">
        <x:f>="Tonya Sloan"</x:f>
      </x:c>
      <x:c r="B3995" t="str" s="2">
        <x:v>Heritage Housing of Asheboro</x:v>
      </x:c>
      <x:c r="C3995" t="str" s="2">
        <x:v/>
      </x:c>
      <x:c r="D3995" t="str" s="2">
        <x:v>9194757907</x:v>
      </x:c>
      <x:c r="E3995" t="str" s="2">
        <x:v>tonya.sloan77@yahoo.com</x:v>
      </x:c>
      <x:c r="F3995" t="str" s="2">
        <x:v>Landing_BPM</x:v>
      </x:c>
      <x:c r="G3995" t="str" s="2">
        <x:v>Maria Lopez</x:v>
      </x:c>
      <x:c r="H3995" s="6">
        <x:v>46266.905587002315</x:v>
      </x:c>
      <x:c r="I3995" s="0"/>
      <x:c r="J3995" s="0"/>
      <x:c r="K3995" s="6">
        <x:v>46268</x:v>
      </x:c>
      <x:c r="L3995" t="str" s="2">
        <x:v>Message Sent</x:v>
      </x:c>
    </x:row>
    <x:row r="3996">
      <x:c r="A3996" t="str" s="2">
        <x:f>="Tracy Bryant"</x:f>
      </x:c>
      <x:c r="B3996" t="str" s="2">
        <x:v>Heritage Housing of Tulsa</x:v>
      </x:c>
      <x:c r="C3996" t="str" s="2">
        <x:v/>
      </x:c>
      <x:c r="D3996" t="str" s="2">
        <x:v>9182192356</x:v>
      </x:c>
      <x:c r="E3996" t="str" s="2">
        <x:v>tracyb5691@yahoo.com</x:v>
      </x:c>
      <x:c r="F3996" t="str" s="2">
        <x:v>Landing_BPM</x:v>
      </x:c>
      <x:c r="G3996" t="str" s="2">
        <x:v>Jenna Fransisco</x:v>
      </x:c>
      <x:c r="H3996" s="6">
        <x:v>46266.90614950231</x:v>
      </x:c>
      <x:c r="I3996" s="0"/>
      <x:c r="J3996" s="0"/>
      <x:c r="K3996" s="6">
        <x:v>46282</x:v>
      </x:c>
      <x:c r="L3996" t="str" s="2">
        <x:v>Message Sent</x:v>
      </x:c>
    </x:row>
    <x:row r="3997">
      <x:c r="A3997" t="str" s="2">
        <x:f>=HYPERLINK("https://rsms.futurehomex.com/lead/39595", "Brandon Wood")</x:f>
      </x:c>
      <x:c r="B3997" t="str" s="2">
        <x:v>Heritage Housing of Augusta</x:v>
      </x:c>
      <x:c r="C3997" t="str" s="2">
        <x:v/>
      </x:c>
      <x:c r="D3997" t="str" s="2">
        <x:v>8035080873</x:v>
      </x:c>
      <x:c r="E3997" t="str" s="2">
        <x:v>brandon219126@gmail.com</x:v>
      </x:c>
      <x:c r="F3997" t="str" s="2">
        <x:v>Walk-in</x:v>
      </x:c>
      <x:c r="G3997" t="str" s="2">
        <x:v>Faye Lively</x:v>
      </x:c>
      <x:c r="H3997" s="6">
        <x:v>46266.919315046296</x:v>
      </x:c>
      <x:c r="I3997" t="str" s="2">
        <x:v>Jennifer Johnson</x:v>
      </x:c>
      <x:c r="J3997" s="0"/>
      <x:c r="K3997" s="6">
        <x:v>46302</x:v>
      </x:c>
      <x:c r="L3997" t="str" s="2">
        <x:v>Message Sent</x:v>
      </x:c>
    </x:row>
    <x:row r="3998">
      <x:c r="A3998" t="str" s="2">
        <x:f>="Lacasie Lytle"</x:f>
      </x:c>
      <x:c r="B3998" t="str" s="2">
        <x:v>Heritage Housing Gainesville</x:v>
      </x:c>
      <x:c r="C3998" t="str" s="2">
        <x:v/>
      </x:c>
      <x:c r="D3998" t="str" s="2">
        <x:v>5808129490</x:v>
      </x:c>
      <x:c r="E3998" t="str" s="2">
        <x:v>lacasie29@gmail.com</x:v>
      </x:c>
      <x:c r="F3998" t="str" s="2">
        <x:v>Landing_BPM</x:v>
      </x:c>
      <x:c r="G3998" t="str" s="2">
        <x:v>Kelly Ford</x:v>
      </x:c>
      <x:c r="H3998" s="6">
        <x:v>46266.93885100695</x:v>
      </x:c>
      <x:c r="I3998" s="0"/>
      <x:c r="J3998" s="0"/>
      <x:c r="K3998" s="6">
        <x:v>46297</x:v>
      </x:c>
      <x:c r="L3998" t="str" s="2">
        <x:v>Message Sent</x:v>
      </x:c>
    </x:row>
    <x:row r="3999">
      <x:c r="A3999" t="str" s="2">
        <x:f>="Ashley Martin"</x:f>
      </x:c>
      <x:c r="B3999" t="str" s="2">
        <x:v>Heritage Housing of Asheboro</x:v>
      </x:c>
      <x:c r="C3999" t="str" s="2">
        <x:v/>
      </x:c>
      <x:c r="D3999" t="str" s="2">
        <x:v>3363032556</x:v>
      </x:c>
      <x:c r="E3999" t="str" s="2">
        <x:v>ash22nm@gmail.com</x:v>
      </x:c>
      <x:c r="F3999" t="str" s="2">
        <x:v>Landing_BPM</x:v>
      </x:c>
      <x:c r="G3999" t="str" s="2">
        <x:v>Maria Lopez</x:v>
      </x:c>
      <x:c r="H3999" s="6">
        <x:v>46266.95397820602</x:v>
      </x:c>
      <x:c r="I3999" s="0"/>
      <x:c r="J3999" s="0"/>
      <x:c r="K3999" s="6">
        <x:v>46267</x:v>
      </x:c>
      <x:c r="L3999" t="str" s="2">
        <x:v>Message Sent</x:v>
      </x:c>
    </x:row>
    <x:row r="4000">
      <x:c r="A4000" t="str" s="2">
        <x:f>="Michael Gerken"</x:f>
      </x:c>
      <x:c r="B4000" t="str" s="2">
        <x:v>Heritage Housing of Canton</x:v>
      </x:c>
      <x:c r="C4000" t="str" s="2">
        <x:v/>
      </x:c>
      <x:c r="D4000" t="str" s="2">
        <x:v>3868017764</x:v>
      </x:c>
      <x:c r="E4000" t="str" s="2">
        <x:v>gpservices@email.com</x:v>
      </x:c>
      <x:c r="F4000" t="str" s="2">
        <x:v>Website</x:v>
      </x:c>
      <x:c r="G4000" t="str" s="2">
        <x:v>Jacob Hatten</x:v>
      </x:c>
      <x:c r="H4000" s="6">
        <x:v>46266.959845983794</x:v>
      </x:c>
      <x:c r="I4000" s="0"/>
      <x:c r="J4000" s="0"/>
      <x:c r="K4000" s="6">
        <x:v>46293</x:v>
      </x:c>
      <x:c r="L4000" t="str" s="2">
        <x:v>Message Sent</x:v>
      </x:c>
    </x:row>
    <x:row r="4001">
      <x:c r="A4001" t="str" s="2">
        <x:f>="Leriona Jones"</x:f>
      </x:c>
      <x:c r="B4001" t="str" s="2">
        <x:v>Heritage Housing of Athens</x:v>
      </x:c>
      <x:c r="C4001" t="str" s="2">
        <x:v/>
      </x:c>
      <x:c r="D4001" t="str" s="2">
        <x:v>9432066468</x:v>
      </x:c>
      <x:c r="E4001" t="str" s="2">
        <x:v>ljones54528@gmail.com</x:v>
      </x:c>
      <x:c r="F4001" t="str" s="2">
        <x:v>Landing_BPM</x:v>
      </x:c>
      <x:c r="G4001" t="str" s="2">
        <x:v>Nathan Bishop</x:v>
      </x:c>
      <x:c r="H4001" s="6">
        <x:v>46266.97932774306</x:v>
      </x:c>
      <x:c r="I4001" s="0"/>
      <x:c r="J4001" s="0"/>
      <x:c r="K4001" s="6">
        <x:v>46288</x:v>
      </x:c>
      <x:c r="L4001" t="str" s="2">
        <x:v>Message Sent</x:v>
      </x:c>
    </x:row>
    <x:row r="4002">
      <x:c r="A4002" t="str" s="2">
        <x:f>="Shemetta Moore"</x:f>
      </x:c>
      <x:c r="B4002" t="str" s="2">
        <x:v>Heritage Housing of Albany</x:v>
      </x:c>
      <x:c r="C4002" t="str" s="2">
        <x:v/>
      </x:c>
      <x:c r="D4002" t="str" s="2">
        <x:v>2294294912</x:v>
      </x:c>
      <x:c r="E4002" t="str" s="2">
        <x:v>shemettamoore4@gmail.com</x:v>
      </x:c>
      <x:c r="F4002" t="str" s="2">
        <x:v>Landing_BPM</x:v>
      </x:c>
      <x:c r="G4002" t="str" s="2">
        <x:v>Yanet Alvarez</x:v>
      </x:c>
      <x:c r="H4002" s="6">
        <x:v>46267.02968302083</x:v>
      </x:c>
      <x:c r="I4002" s="0"/>
      <x:c r="J4002" s="0"/>
      <x:c r="K4002" s="6">
        <x:v>46303</x:v>
      </x:c>
      <x:c r="L4002" t="str" s="2">
        <x:v>Message Sent</x:v>
      </x:c>
    </x:row>
    <x:row r="4003">
      <x:c r="A4003" t="str" s="2">
        <x:f>="Latoya Toliver"</x:f>
      </x:c>
      <x:c r="B4003" t="str" s="2">
        <x:v>Heritage Housing of Augusta</x:v>
      </x:c>
      <x:c r="C4003" t="str" s="2">
        <x:v/>
      </x:c>
      <x:c r="D4003" t="str" s="2">
        <x:v>8032958751</x:v>
      </x:c>
      <x:c r="E4003" t="str" s="2">
        <x:v>Ltoliver57@gmail.com</x:v>
      </x:c>
      <x:c r="F4003" t="str" s="2">
        <x:v>Youtube</x:v>
      </x:c>
      <x:c r="G4003" t="str" s="2">
        <x:v>Faye Lively</x:v>
      </x:c>
      <x:c r="H4003" s="6">
        <x:v>46267.04579675926</x:v>
      </x:c>
      <x:c r="I4003" s="0"/>
      <x:c r="J4003" s="0"/>
      <x:c r="K4003" s="6">
        <x:v>46283</x:v>
      </x:c>
      <x:c r="L4003" t="str" s="2">
        <x:v>Message Sent</x:v>
      </x:c>
    </x:row>
    <x:row r="4004">
      <x:c r="A4004" t="str" s="2">
        <x:f>="Latrecha Scott"</x:f>
      </x:c>
      <x:c r="B4004" t="str" s="2">
        <x:v>Heritage Housing of Jennings</x:v>
      </x:c>
      <x:c r="C4004" t="str" s="2">
        <x:v/>
      </x:c>
      <x:c r="D4004" t="str" s="2">
        <x:v>3189485683</x:v>
      </x:c>
      <x:c r="E4004" t="str" s="2">
        <x:v>latrechascott28@gmail.com</x:v>
      </x:c>
      <x:c r="F4004" t="str" s="2">
        <x:v>Youtube</x:v>
      </x:c>
      <x:c r="G4004" t="str" s="2">
        <x:v>Clint O'Neal</x:v>
      </x:c>
      <x:c r="H4004" s="6">
        <x:v>46267.0607497338</x:v>
      </x:c>
      <x:c r="I4004" s="0"/>
      <x:c r="J4004" s="0"/>
      <x:c r="K4004" s="6">
        <x:v>46302.6541715625</x:v>
      </x:c>
      <x:c r="L4004" t="str" s="2">
        <x:v>Message Sent</x:v>
      </x:c>
    </x:row>
    <x:row r="4005">
      <x:c r="A4005" t="str" s="2">
        <x:f>="Crystal squier"</x:f>
      </x:c>
      <x:c r="B4005" t="str" s="2">
        <x:v>Heritage Housing of Tulsa</x:v>
      </x:c>
      <x:c r="C4005" t="str" s="2">
        <x:v/>
      </x:c>
      <x:c r="D4005" t="str" s="2">
        <x:v>5392520431</x:v>
      </x:c>
      <x:c r="E4005" t="str" s="2">
        <x:v>cmsquier85@gmail.com</x:v>
      </x:c>
      <x:c r="F4005" t="str" s="2">
        <x:v>LandingPage</x:v>
      </x:c>
      <x:c r="G4005" t="str" s="2">
        <x:v>Jenna Fransisco</x:v>
      </x:c>
      <x:c r="H4005" s="6">
        <x:v>46267.06786311343</x:v>
      </x:c>
      <x:c r="I4005" s="0"/>
      <x:c r="J4005" s="0"/>
      <x:c r="K4005" s="6">
        <x:v>46279</x:v>
      </x:c>
      <x:c r="L4005" t="str" s="2">
        <x:v>Message Sent</x:v>
      </x:c>
    </x:row>
    <x:row r="4006">
      <x:c r="A4006" t="str" s="2">
        <x:f>="Darren Harper"</x:f>
      </x:c>
      <x:c r="B4006" t="str" s="2">
        <x:v>Heritage Housing of Tulsa</x:v>
      </x:c>
      <x:c r="C4006" t="str" s="2">
        <x:v/>
      </x:c>
      <x:c r="D4006" t="str" s="2">
        <x:v>5392082030</x:v>
      </x:c>
      <x:c r="E4006" t="str" s="2">
        <x:v>charlottecapone9@gmail.com</x:v>
      </x:c>
      <x:c r="F4006" t="str" s="2">
        <x:v>Landing_BPM</x:v>
      </x:c>
      <x:c r="G4006" t="str" s="2">
        <x:v>Jenna Fransisco</x:v>
      </x:c>
      <x:c r="H4006" s="6">
        <x:v>46267.129169328706</x:v>
      </x:c>
      <x:c r="I4006" s="0"/>
      <x:c r="J4006" s="0"/>
      <x:c r="K4006" s="6">
        <x:v>46279</x:v>
      </x:c>
      <x:c r="L4006" t="str" s="2">
        <x:v>Message Sent</x:v>
      </x:c>
    </x:row>
    <x:row r="4007">
      <x:c r="A4007" t="str" s="2">
        <x:f>="TALIA DALTON"</x:f>
      </x:c>
      <x:c r="B4007" t="str" s="2">
        <x:v>Heritage Housing of Athens</x:v>
      </x:c>
      <x:c r="C4007" t="str" s="2">
        <x:v>1/1</x:v>
      </x:c>
      <x:c r="D4007" t="str" s="2">
        <x:v>6789368764</x:v>
      </x:c>
      <x:c r="E4007" t="str" s="2">
        <x:v>daltontalia07@gmail.com</x:v>
      </x:c>
      <x:c r="F4007" t="str" s="2">
        <x:v>Landing_BPM</x:v>
      </x:c>
      <x:c r="G4007" t="str" s="2">
        <x:v>Nathan Bishop</x:v>
      </x:c>
      <x:c r="H4007" s="6">
        <x:v>46267.147999155095</x:v>
      </x:c>
      <x:c r="I4007" s="0"/>
      <x:c r="J4007" s="0"/>
      <x:c r="K4007" s="6">
        <x:v>46300.9345253125</x:v>
      </x:c>
      <x:c r="L4007" t="str" s="2">
        <x:v>Message Sent</x:v>
      </x:c>
    </x:row>
    <x:row r="4008">
      <x:c r="A4008" t="str" s="2">
        <x:f>="Everette Stroman"</x:f>
      </x:c>
      <x:c r="B4008" t="str" s="2">
        <x:v>Heritage Housing of Asheboro</x:v>
      </x:c>
      <x:c r="C4008" t="str" s="2">
        <x:v/>
      </x:c>
      <x:c r="D4008" t="str" s="2">
        <x:v>9202807826</x:v>
      </x:c>
      <x:c r="E4008" t="str" s="2">
        <x:v>misterstroman3@gmail.com</x:v>
      </x:c>
      <x:c r="F4008" t="str" s="2">
        <x:v>Landing_BPM</x:v>
      </x:c>
      <x:c r="G4008" t="str" s="2">
        <x:v>Maria Lopez</x:v>
      </x:c>
      <x:c r="H4008" s="6">
        <x:v>46267.16296458333</x:v>
      </x:c>
      <x:c r="I4008" s="0"/>
      <x:c r="J4008" s="0"/>
      <x:c r="K4008" s="6">
        <x:v>46267</x:v>
      </x:c>
      <x:c r="L4008" t="str" s="2">
        <x:v>Message Sent</x:v>
      </x:c>
    </x:row>
    <x:row r="4009">
      <x:c r="A4009" t="str" s="2">
        <x:f>="Amy Jones"</x:f>
      </x:c>
      <x:c r="B4009" t="str" s="2">
        <x:v>Heritage Housing of Jennings</x:v>
      </x:c>
      <x:c r="C4009" t="str" s="2">
        <x:v/>
      </x:c>
      <x:c r="D4009" t="str" s="2">
        <x:v>5398329293</x:v>
      </x:c>
      <x:c r="E4009" t="str" s="2">
        <x:v>jones.amyla2364@gmail.com</x:v>
      </x:c>
      <x:c r="F4009" t="str" s="2">
        <x:v>Website</x:v>
      </x:c>
      <x:c r="G4009" t="str" s="2">
        <x:v>Clint O'Neal</x:v>
      </x:c>
      <x:c r="H4009" s="6">
        <x:v>46267.209572685184</x:v>
      </x:c>
      <x:c r="I4009" s="0"/>
      <x:c r="J4009" s="0"/>
      <x:c r="K4009" s="6">
        <x:v>46302.70333376157</x:v>
      </x:c>
      <x:c r="L4009" t="str" s="2">
        <x:v>Message Sent</x:v>
      </x:c>
    </x:row>
    <x:row r="4010">
      <x:c r="A4010" t="str" s="2">
        <x:f>="Paula. Davenport"</x:f>
      </x:c>
      <x:c r="B4010" t="str" s="2">
        <x:v>Heritage Housing of Tulsa</x:v>
      </x:c>
      <x:c r="C4010" t="str" s="2">
        <x:v/>
      </x:c>
      <x:c r="D4010" t="str" s="2">
        <x:v>5753181075</x:v>
      </x:c>
      <x:c r="E4010" t="str" s="2">
        <x:v>paula.davenport@me.com</x:v>
      </x:c>
      <x:c r="F4010" t="str" s="2">
        <x:v>Landing_BPM</x:v>
      </x:c>
      <x:c r="G4010" t="str" s="2">
        <x:v>Jenna Fransisco</x:v>
      </x:c>
      <x:c r="H4010" s="6">
        <x:v>46267.2243721875</x:v>
      </x:c>
      <x:c r="I4010" s="0"/>
      <x:c r="J4010" s="0"/>
      <x:c r="K4010" s="6">
        <x:v>46279.847889351855</x:v>
      </x:c>
      <x:c r="L4010" t="str" s="2">
        <x:v>Message Sent</x:v>
      </x:c>
    </x:row>
    <x:row r="4011">
      <x:c r="A4011" t="str" s="2">
        <x:f>="Supritha Arsikere"</x:f>
      </x:c>
      <x:c r="B4011" t="str" s="2">
        <x:v>Heritage Housing Mt Pleasant</x:v>
      </x:c>
      <x:c r="C4011" t="str" s="2">
        <x:v/>
      </x:c>
      <x:c r="D4011" t="str" s="2">
        <x:v>9035207683</x:v>
      </x:c>
      <x:c r="E4011" t="str" s="2">
        <x:v>sup_ark@yahoo.com</x:v>
      </x:c>
      <x:c r="F4011" t="str" s="2">
        <x:v>Landing_BPM</x:v>
      </x:c>
      <x:c r="G4011" t="str" s="2">
        <x:v>Yarelis Torres</x:v>
      </x:c>
      <x:c r="H4011" s="6">
        <x:v>46267.2902003125</x:v>
      </x:c>
      <x:c r="I4011" s="0"/>
      <x:c r="J4011" s="0"/>
      <x:c r="K4011" s="6">
        <x:v>46280</x:v>
      </x:c>
      <x:c r="L4011" t="str" s="2">
        <x:v>Message Sent</x:v>
      </x:c>
    </x:row>
    <x:row r="4012">
      <x:c r="A4012" t="str" s="2">
        <x:f>="Coty Rich"</x:f>
      </x:c>
      <x:c r="B4012" t="str" s="2">
        <x:v>Heritage Housing of Asheboro</x:v>
      </x:c>
      <x:c r="C4012" t="str" s="2">
        <x:v/>
      </x:c>
      <x:c r="D4012" t="str" s="2">
        <x:v>3362696281</x:v>
      </x:c>
      <x:c r="E4012" t="str" s="2">
        <x:v>croxy1989@yahoo.com</x:v>
      </x:c>
      <x:c r="F4012" t="str" s="2">
        <x:v>Financing Form</x:v>
      </x:c>
      <x:c r="G4012" t="str" s="2">
        <x:v>Maria Lopez</x:v>
      </x:c>
      <x:c r="H4012" s="6">
        <x:v>46267.43931959491</x:v>
      </x:c>
      <x:c r="I4012" s="0"/>
      <x:c r="J4012" s="0"/>
      <x:c r="K4012" s="6">
        <x:v>46268</x:v>
      </x:c>
      <x:c r="L4012" t="str" s="2">
        <x:v>Message Sent</x:v>
      </x:c>
    </x:row>
    <x:row r="4013">
      <x:c r="A4013" t="str" s="2">
        <x:f>="DeMario Coleman"</x:f>
      </x:c>
      <x:c r="B4013" t="str" s="2">
        <x:v>Heritage Housing of Augusta</x:v>
      </x:c>
      <x:c r="C4013" t="str" s="2">
        <x:v/>
      </x:c>
      <x:c r="D4013" t="str" s="2">
        <x:v>7067232624</x:v>
      </x:c>
      <x:c r="E4013" t="str" s="2">
        <x:v>demar4coleman@gmail.com</x:v>
      </x:c>
      <x:c r="F4013" t="str" s="2">
        <x:v>Landing_BPM</x:v>
      </x:c>
      <x:c r="G4013" t="str" s="2">
        <x:v>Faye Lively</x:v>
      </x:c>
      <x:c r="H4013" s="6">
        <x:v>46267.51078144676</x:v>
      </x:c>
      <x:c r="I4013" s="0"/>
      <x:c r="J4013" s="0"/>
      <x:c r="K4013" s="6">
        <x:v>46274</x:v>
      </x:c>
      <x:c r="L4013" t="str" s="2">
        <x:v>Message Sent</x:v>
      </x:c>
    </x:row>
    <x:row r="4014">
      <x:c r="A4014" t="str" s="2">
        <x:f>="Sandra Bundrick"</x:f>
      </x:c>
      <x:c r="B4014" t="str" s="2">
        <x:v>Heritage Housing of Canton</x:v>
      </x:c>
      <x:c r="C4014" t="str" s="2">
        <x:v/>
      </x:c>
      <x:c r="D4014" t="str" s="2">
        <x:v>903-440-4320</x:v>
      </x:c>
      <x:c r="E4014" t="str" s="2">
        <x:v>meme178045@gmail.com</x:v>
      </x:c>
      <x:c r="F4014" t="str" s="2">
        <x:v>Landing_BPM</x:v>
      </x:c>
      <x:c r="G4014" t="str" s="2">
        <x:v>Jacob Hatten</x:v>
      </x:c>
      <x:c r="H4014" s="6">
        <x:v>46267.52765300926</x:v>
      </x:c>
      <x:c r="I4014" s="0"/>
      <x:c r="J4014" s="0"/>
      <x:c r="K4014" s="6">
        <x:v>46293</x:v>
      </x:c>
      <x:c r="L4014" t="str" s="2">
        <x:v>Message Sent</x:v>
      </x:c>
    </x:row>
    <x:row r="4015">
      <x:c r="A4015" t="str" s="2">
        <x:f>="Ashley Morris"</x:f>
      </x:c>
      <x:c r="B4015" t="str" s="2">
        <x:v>Heritage Housing Marble Falls</x:v>
      </x:c>
      <x:c r="C4015" t="str" s="2">
        <x:v/>
      </x:c>
      <x:c r="D4015" t="str" s="2">
        <x:v>9403328858</x:v>
      </x:c>
      <x:c r="E4015" t="str" s="2">
        <x:v>ashleythomas123124@gmail.com</x:v>
      </x:c>
      <x:c r="F4015" t="str" s="2">
        <x:v>Landing_BPM</x:v>
      </x:c>
      <x:c r="G4015" t="str" s="2">
        <x:v>Stephen Sanders</x:v>
      </x:c>
      <x:c r="H4015" s="6">
        <x:v>46267.53309884259</x:v>
      </x:c>
      <x:c r="I4015" s="0"/>
      <x:c r="J4015" s="0"/>
      <x:c r="K4015" s="6">
        <x:v>46274</x:v>
      </x:c>
      <x:c r="L4015" t="str" s="2">
        <x:v>Message Sent</x:v>
      </x:c>
    </x:row>
    <x:row r="4016">
      <x:c r="A4016" t="str" s="2">
        <x:f>="A'Kese Jett"</x:f>
      </x:c>
      <x:c r="B4016" t="str" s="2">
        <x:v>Heritage Housing of Tulsa</x:v>
      </x:c>
      <x:c r="C4016" t="str" s="2">
        <x:v/>
      </x:c>
      <x:c r="D4016" t="str" s="2">
        <x:v>9182693129</x:v>
      </x:c>
      <x:c r="E4016" t="str" s="2">
        <x:v>akesejett8@gmail.com</x:v>
      </x:c>
      <x:c r="F4016" t="str" s="2">
        <x:v>Youtube</x:v>
      </x:c>
      <x:c r="G4016" t="str" s="2">
        <x:v>Jenna Fransisco</x:v>
      </x:c>
      <x:c r="H4016" s="6">
        <x:v>46267.540024155096</x:v>
      </x:c>
      <x:c r="I4016" s="0"/>
      <x:c r="J4016" s="0"/>
      <x:c r="K4016" s="6">
        <x:v>46279</x:v>
      </x:c>
      <x:c r="L4016" t="str" s="2">
        <x:v>Message Sent</x:v>
      </x:c>
    </x:row>
    <x:row r="4017">
      <x:c r="A4017" t="str" s="2">
        <x:f>="CIJI Barfield"</x:f>
      </x:c>
      <x:c r="B4017" t="str" s="2">
        <x:v>Heritage Housing of Asheboro</x:v>
      </x:c>
      <x:c r="C4017" t="str" s="2">
        <x:v/>
      </x:c>
      <x:c r="D4017" t="str" s="2">
        <x:v>4722785929</x:v>
      </x:c>
      <x:c r="E4017" t="str" s="2">
        <x:v>Lumbee3786@gmail.com</x:v>
      </x:c>
      <x:c r="F4017" t="str" s="2">
        <x:v>Financing Form</x:v>
      </x:c>
      <x:c r="G4017" t="str" s="2">
        <x:v>Maria Lopez</x:v>
      </x:c>
      <x:c r="H4017" s="6">
        <x:v>46267.55361782407</x:v>
      </x:c>
      <x:c r="I4017" s="0"/>
      <x:c r="J4017" s="0"/>
      <x:c r="K4017" s="6">
        <x:v>46268</x:v>
      </x:c>
      <x:c r="L4017" t="str" s="2">
        <x:v>Message Sent</x:v>
      </x:c>
    </x:row>
    <x:row r="4018">
      <x:c r="A4018" t="str" s="2">
        <x:f>="Danethria Rogers"</x:f>
      </x:c>
      <x:c r="B4018" t="str" s="2">
        <x:v>Legacy Housing Corp. DBA Americasa</x:v>
      </x:c>
      <x:c r="C4018" t="str" s="2">
        <x:v/>
      </x:c>
      <x:c r="D4018" t="str" s="2">
        <x:v>2816237129</x:v>
      </x:c>
      <x:c r="E4018" t="str" s="2">
        <x:v>rogersdanethria1989@gmail.com</x:v>
      </x:c>
      <x:c r="F4018" t="str" s="2">
        <x:v>Youtube</x:v>
      </x:c>
      <x:c r="G4018" t="str" s="2">
        <x:v>Rodrigo Ramirez</x:v>
      </x:c>
      <x:c r="H4018" s="6">
        <x:v>46267.56327268518</x:v>
      </x:c>
      <x:c r="I4018" s="0"/>
      <x:c r="J4018" s="0"/>
      <x:c r="K4018" s="6">
        <x:v>46296</x:v>
      </x:c>
      <x:c r="L4018" t="str" s="2">
        <x:v>Message Sent</x:v>
      </x:c>
    </x:row>
    <x:row r="4019">
      <x:c r="A4019" t="str" s="2">
        <x:f>="Jermaine Butler"</x:f>
      </x:c>
      <x:c r="B4019" t="str" s="2">
        <x:v>Heritage Housing of Asheboro</x:v>
      </x:c>
      <x:c r="C4019" t="str" s="2">
        <x:v/>
      </x:c>
      <x:c r="D4019" t="str" s="2">
        <x:v>7046176630</x:v>
      </x:c>
      <x:c r="E4019" t="str" s="2">
        <x:v>maino100781@gmail.com</x:v>
      </x:c>
      <x:c r="F4019" t="str" s="2">
        <x:v>Landing_BPM</x:v>
      </x:c>
      <x:c r="G4019" t="str" s="2">
        <x:v>Maria Lopez</x:v>
      </x:c>
      <x:c r="H4019" s="6">
        <x:v>46267.56479579861</x:v>
      </x:c>
      <x:c r="I4019" s="0"/>
      <x:c r="J4019" s="0"/>
      <x:c r="K4019" s="6">
        <x:v>46267</x:v>
      </x:c>
      <x:c r="L4019" t="str" s="2">
        <x:v>Message Sent</x:v>
      </x:c>
    </x:row>
    <x:row r="4020">
      <x:c r="A4020" t="str" s="2">
        <x:f>="J Williams"</x:f>
      </x:c>
      <x:c r="B4020" t="str" s="2">
        <x:v>Legacy Housing Corp. DBA Americasa</x:v>
      </x:c>
      <x:c r="C4020" t="str" s="2">
        <x:v/>
      </x:c>
      <x:c r="D4020" t="str" s="2">
        <x:v>2283423191</x:v>
      </x:c>
      <x:c r="E4020" t="str" s="2">
        <x:v>beblessed92@yahoo.com</x:v>
      </x:c>
      <x:c r="F4020" t="str" s="2">
        <x:v>Landing_BPM</x:v>
      </x:c>
      <x:c r="G4020" t="str" s="2">
        <x:v>Jose Parada</x:v>
      </x:c>
      <x:c r="H4020" s="6">
        <x:v>46267.57106304398</x:v>
      </x:c>
      <x:c r="I4020" s="0"/>
      <x:c r="J4020" s="0"/>
      <x:c r="K4020" s="6">
        <x:v>46267</x:v>
      </x:c>
      <x:c r="L4020" t="str" s="2">
        <x:v>Message Sent</x:v>
      </x:c>
    </x:row>
    <x:row r="4021">
      <x:c r="A4021" t="str" s="2">
        <x:f>="Jesiloyi Lyesi"</x:f>
      </x:c>
      <x:c r="B4021" t="str" s="2">
        <x:v>Legacy Housing Corp. DBA Americasa</x:v>
      </x:c>
      <x:c r="C4021" t="str" s="2">
        <x:v/>
      </x:c>
      <x:c r="D4021" t="str" s="2">
        <x:v>8327589776</x:v>
      </x:c>
      <x:c r="E4021" t="str" s="2">
        <x:v>lyesijesiloyi@gmail.com</x:v>
      </x:c>
      <x:c r="F4021" t="str" s="2">
        <x:v>Landing_BPM</x:v>
      </x:c>
      <x:c r="G4021" t="str" s="2">
        <x:v>Rodrigo Ramirez</x:v>
      </x:c>
      <x:c r="H4021" s="6">
        <x:v>46267.59388846065</x:v>
      </x:c>
      <x:c r="I4021" s="0"/>
      <x:c r="J4021" s="0"/>
      <x:c r="K4021" s="6">
        <x:v>46267</x:v>
      </x:c>
      <x:c r="L4021" t="str" s="2">
        <x:v>Message Sent</x:v>
      </x:c>
    </x:row>
    <x:row r="4022">
      <x:c r="A4022" t="str" s="2">
        <x:f>="Ryan Wertz"</x:f>
      </x:c>
      <x:c r="B4022" t="str" s="2">
        <x:v>Heritage Housing of Jennings</x:v>
      </x:c>
      <x:c r="C4022" t="str" s="2">
        <x:v/>
      </x:c>
      <x:c r="D4022" t="str" s="2">
        <x:v>9852331717</x:v>
      </x:c>
      <x:c r="E4022" t="str" s="2">
        <x:v>wertz.ryan@yahoo.com</x:v>
      </x:c>
      <x:c r="F4022" t="str" s="2">
        <x:v>Landing_BPM</x:v>
      </x:c>
      <x:c r="G4022" t="str" s="2">
        <x:v>Mervin Leslie Smith</x:v>
      </x:c>
      <x:c r="H4022" s="6">
        <x:v>46267.7011565625</x:v>
      </x:c>
      <x:c r="I4022" s="0"/>
      <x:c r="J4022" s="0"/>
      <x:c r="K4022" s="6">
        <x:v>46302.70363545139</x:v>
      </x:c>
      <x:c r="L4022" t="str" s="2">
        <x:v>Message Sent</x:v>
      </x:c>
    </x:row>
    <x:row r="4023">
      <x:c r="A4023" t="str" s="2">
        <x:f>="Mark Heath Heath"</x:f>
      </x:c>
      <x:c r="B4023" t="str" s="2">
        <x:v>Heritage Housing Mt Pleasant</x:v>
      </x:c>
      <x:c r="C4023" t="str" s="2">
        <x:v/>
      </x:c>
      <x:c r="D4023" t="str" s="2">
        <x:v>9032935243</x:v>
      </x:c>
      <x:c r="E4023" t="str" s="2">
        <x:v>markhth@yahoo.com</x:v>
      </x:c>
      <x:c r="F4023" t="str" s="2">
        <x:v>Landing_BPM</x:v>
      </x:c>
      <x:c r="G4023" t="str" s="2">
        <x:v>Sandra Saldana</x:v>
      </x:c>
      <x:c r="H4023" s="6">
        <x:v>46267.702685648146</x:v>
      </x:c>
      <x:c r="I4023" s="0"/>
      <x:c r="J4023" s="0"/>
      <x:c r="K4023" s="6">
        <x:v>46267</x:v>
      </x:c>
      <x:c r="L4023" t="str" s="2">
        <x:v>Message Sent</x:v>
      </x:c>
    </x:row>
    <x:row r="4024">
      <x:c r="A4024" t="str" s="2">
        <x:f>=HYPERLINK("https://rsms.futurehomex.com/lead/39640", "Michael Steffen")</x:f>
      </x:c>
      <x:c r="B4024" t="str" s="2">
        <x:v>Heritage Housing of Oklahoma City</x:v>
      </x:c>
      <x:c r="C4024" t="str" s="2">
        <x:v/>
      </x:c>
      <x:c r="D4024" t="str" s="2">
        <x:v>4054824010</x:v>
      </x:c>
      <x:c r="E4024" t="str" s="2">
        <x:v>Michael.steffen1999@outlook.com</x:v>
      </x:c>
      <x:c r="F4024" t="str" s="2">
        <x:v>Landing_BPM</x:v>
      </x:c>
      <x:c r="G4024" t="str" s="2">
        <x:v>Steve Castell</x:v>
      </x:c>
      <x:c r="H4024" s="6">
        <x:v>46267.72663017361</x:v>
      </x:c>
      <x:c r="I4024" t="str" s="2">
        <x:v>Steve Castell</x:v>
      </x:c>
      <x:c r="J4024" s="0"/>
      <x:c r="K4024" s="6">
        <x:v>46268</x:v>
      </x:c>
      <x:c r="L4024" t="str" s="2">
        <x:v>Message Sent</x:v>
      </x:c>
    </x:row>
    <x:row r="4025">
      <x:c r="A4025" t="str" s="2">
        <x:f>="Meosha Roquemore"</x:f>
      </x:c>
      <x:c r="B4025" t="str" s="2">
        <x:v>Legacy Housing Corp. DBA Americasa</x:v>
      </x:c>
      <x:c r="C4025" t="str" s="2">
        <x:v/>
      </x:c>
      <x:c r="D4025" t="str" s="2">
        <x:v>3463225851</x:v>
      </x:c>
      <x:c r="E4025" t="str" s="2">
        <x:v>Mroquemore05@yahoo.com</x:v>
      </x:c>
      <x:c r="F4025" t="str" s="2">
        <x:v>Landing_BPM</x:v>
      </x:c>
      <x:c r="G4025" t="str" s="2">
        <x:v>Jose Parada</x:v>
      </x:c>
      <x:c r="H4025" s="6">
        <x:v>46267.76341261574</x:v>
      </x:c>
      <x:c r="I4025" s="0"/>
      <x:c r="J4025" s="0"/>
      <x:c r="K4025" s="6">
        <x:v>46273</x:v>
      </x:c>
      <x:c r="L4025" t="str" s="2">
        <x:v>Message Sent</x:v>
      </x:c>
    </x:row>
    <x:row r="4026">
      <x:c r="A4026" t="str" s="2">
        <x:f>="Donald atwood"</x:f>
      </x:c>
      <x:c r="B4026" t="str" s="2">
        <x:v>Heritage Housing of Tulsa</x:v>
      </x:c>
      <x:c r="C4026" t="str" s="2">
        <x:v/>
      </x:c>
      <x:c r="D4026" t="str" s="2">
        <x:v>9405008611</x:v>
      </x:c>
      <x:c r="E4026" t="str" s="2">
        <x:v>piglets1982@gmail.com</x:v>
      </x:c>
      <x:c r="F4026" t="str" s="2">
        <x:v>Youtube</x:v>
      </x:c>
      <x:c r="G4026" t="str" s="2">
        <x:v>Jenna Fransisco</x:v>
      </x:c>
      <x:c r="H4026" s="6">
        <x:v>46267.76849737269</x:v>
      </x:c>
      <x:c r="I4026" s="0"/>
      <x:c r="J4026" s="0"/>
      <x:c r="K4026" s="6">
        <x:v>46270</x:v>
      </x:c>
      <x:c r="L4026" t="str" s="2">
        <x:v>Message Sent</x:v>
      </x:c>
    </x:row>
    <x:row r="4027">
      <x:c r="A4027" t="str" s="2">
        <x:f>="Mary Lord"</x:f>
      </x:c>
      <x:c r="B4027" t="str" s="2">
        <x:v>Legacy Housing Corp. DBA Americasa</x:v>
      </x:c>
      <x:c r="C4027" t="str" s="2">
        <x:v/>
      </x:c>
      <x:c r="D4027" t="str" s="2">
        <x:v>8329960314</x:v>
      </x:c>
      <x:c r="E4027" t="str" s="2">
        <x:v>marylord00@gmail.com</x:v>
      </x:c>
      <x:c r="F4027" t="str" s="2">
        <x:v>Website</x:v>
      </x:c>
      <x:c r="G4027" t="str" s="2">
        <x:v>Jose Parada</x:v>
      </x:c>
      <x:c r="H4027" s="6">
        <x:v>46267.81572337963</x:v>
      </x:c>
      <x:c r="I4027" s="0"/>
      <x:c r="J4027" s="0"/>
      <x:c r="K4027" s="6">
        <x:v>46280</x:v>
      </x:c>
      <x:c r="L4027" t="str" s="2">
        <x:v>Message Sent</x:v>
      </x:c>
    </x:row>
    <x:row r="4028">
      <x:c r="A4028" t="str" s="2">
        <x:f>="Tashal Hester"</x:f>
      </x:c>
      <x:c r="B4028" t="str" s="2">
        <x:v>Heritage Housing of Asheboro</x:v>
      </x:c>
      <x:c r="C4028" t="str" s="2">
        <x:v/>
      </x:c>
      <x:c r="D4028" t="str" s="2">
        <x:v>33635808888</x:v>
      </x:c>
      <x:c r="E4028" t="str" s="2">
        <x:v>tashahester113@gmail.com</x:v>
      </x:c>
      <x:c r="F4028" t="str" s="2">
        <x:v>Landing_BPM</x:v>
      </x:c>
      <x:c r="G4028" t="str" s="2">
        <x:v>Kate Gutierrez</x:v>
      </x:c>
      <x:c r="H4028" s="6">
        <x:v>46267.83463839121</x:v>
      </x:c>
      <x:c r="I4028" s="0"/>
      <x:c r="J4028" s="0"/>
      <x:c r="K4028" s="6">
        <x:v>46276</x:v>
      </x:c>
      <x:c r="L4028" t="str" s="2">
        <x:v>Message Sent</x:v>
      </x:c>
    </x:row>
    <x:row r="4029">
      <x:c r="A4029" t="str" s="2">
        <x:f>=HYPERLINK("https://rsms.futurehomex.com/lead/39639", "Robert Reese")</x:f>
      </x:c>
      <x:c r="B4029" t="str" s="2">
        <x:v>Heritage Housing of Oklahoma City</x:v>
      </x:c>
      <x:c r="C4029" t="str" s="2">
        <x:v/>
      </x:c>
      <x:c r="D4029" t="str" s="2">
        <x:v>4058030578</x:v>
      </x:c>
      <x:c r="E4029" t="str" s="2">
        <x:v>reeserobert0684@gmail.com</x:v>
      </x:c>
      <x:c r="F4029" t="str" s="2">
        <x:v>Website</x:v>
      </x:c>
      <x:c r="G4029" t="str" s="2">
        <x:v>Steve Castell</x:v>
      </x:c>
      <x:c r="H4029" s="6">
        <x:v>46267.84157002315</x:v>
      </x:c>
      <x:c r="I4029" t="str" s="2">
        <x:v>Steve Castell</x:v>
      </x:c>
      <x:c r="J4029" s="0"/>
      <x:c r="K4029" s="6">
        <x:v>46268</x:v>
      </x:c>
      <x:c r="L4029" t="str" s="2">
        <x:v>Message Sent</x:v>
      </x:c>
    </x:row>
    <x:row r="4030">
      <x:c r="A4030" t="str" s="2">
        <x:f>="Gabriela Trigo"</x:f>
      </x:c>
      <x:c r="B4030" t="str" s="2">
        <x:v>Legacy Housing Corp. DBA Americasa</x:v>
      </x:c>
      <x:c r="C4030" t="str" s="2">
        <x:v/>
      </x:c>
      <x:c r="D4030" t="str" s="2">
        <x:v>8303643006</x:v>
      </x:c>
      <x:c r="E4030" t="str" s="2">
        <x:v>grivera650@icloud.com</x:v>
      </x:c>
      <x:c r="F4030" t="str" s="2">
        <x:v>Landing_BPM</x:v>
      </x:c>
      <x:c r="G4030" t="str" s="2">
        <x:v>Jose Parada</x:v>
      </x:c>
      <x:c r="H4030" s="6">
        <x:v>46267.84428197917</x:v>
      </x:c>
      <x:c r="I4030" s="0"/>
      <x:c r="J4030" s="0"/>
      <x:c r="K4030" s="6">
        <x:v>46267</x:v>
      </x:c>
      <x:c r="L4030" t="str" s="2">
        <x:v>Message Sent</x:v>
      </x:c>
    </x:row>
    <x:row r="4031">
      <x:c r="A4031" t="str" s="2">
        <x:f>="Anastasia Taylor"</x:f>
      </x:c>
      <x:c r="B4031" t="str" s="2">
        <x:v>Heritage Housing of Tulsa</x:v>
      </x:c>
      <x:c r="C4031" t="str" s="2">
        <x:v/>
      </x:c>
      <x:c r="D4031" t="str" s="2">
        <x:v>8702921475</x:v>
      </x:c>
      <x:c r="E4031" t="str" s="2">
        <x:v>87anastasiataylor@gmail.com</x:v>
      </x:c>
      <x:c r="F4031" t="str" s="2">
        <x:v>Landing_BPM</x:v>
      </x:c>
      <x:c r="G4031" t="str" s="2">
        <x:v>Jenna Fransisco</x:v>
      </x:c>
      <x:c r="H4031" s="6">
        <x:v>46267.86155883102</x:v>
      </x:c>
      <x:c r="I4031" s="0"/>
      <x:c r="J4031" s="0"/>
      <x:c r="K4031" s="6">
        <x:v>46279</x:v>
      </x:c>
      <x:c r="L4031" t="str" s="2">
        <x:v>Message Sent</x:v>
      </x:c>
    </x:row>
    <x:row r="4032">
      <x:c r="A4032" t="str" s="2">
        <x:f>="Gretchen Pruitt"</x:f>
      </x:c>
      <x:c r="B4032" t="str" s="2">
        <x:v>Heritage Housing of Jennings</x:v>
      </x:c>
      <x:c r="C4032" t="str" s="2">
        <x:v/>
      </x:c>
      <x:c r="D4032" t="str" s="2">
        <x:v>3374994484</x:v>
      </x:c>
      <x:c r="E4032" t="str" s="2">
        <x:v>gretchenpruitt39@yahoo.com</x:v>
      </x:c>
      <x:c r="F4032" t="str" s="2">
        <x:v>Youtube</x:v>
      </x:c>
      <x:c r="G4032" t="str" s="2">
        <x:v>Clint O'Neal</x:v>
      </x:c>
      <x:c r="H4032" s="6">
        <x:v>46267.882614664355</x:v>
      </x:c>
      <x:c r="I4032" s="0"/>
      <x:c r="J4032" s="0"/>
      <x:c r="K4032" s="6">
        <x:v>46302.70401420139</x:v>
      </x:c>
      <x:c r="L4032" t="str" s="2">
        <x:v>Message Sent</x:v>
      </x:c>
    </x:row>
    <x:row r="4033">
      <x:c r="A4033" t="str" s="2">
        <x:f>=HYPERLINK("https://rsms.futurehomex.com/lead/39636", "Ashley Gourley")</x:f>
      </x:c>
      <x:c r="B4033" t="str" s="2">
        <x:v>Heritage Housing of Oklahoma City</x:v>
      </x:c>
      <x:c r="C4033" t="str" s="2">
        <x:v/>
      </x:c>
      <x:c r="D4033" t="str" s="2">
        <x:v>4054030915</x:v>
      </x:c>
      <x:c r="E4033" t="str" s="2">
        <x:v>evilfroggie@gmail.com</x:v>
      </x:c>
      <x:c r="F4033" t="str" s="2">
        <x:v>Youtube</x:v>
      </x:c>
      <x:c r="G4033" t="str" s="2">
        <x:v>Alejandra Calderon</x:v>
      </x:c>
      <x:c r="H4033" s="6">
        <x:v>46267.89104652778</x:v>
      </x:c>
      <x:c r="I4033" t="str" s="2">
        <x:v>Alejandra Calderon</x:v>
      </x:c>
      <x:c r="J4033" s="0"/>
      <x:c r="K4033" s="6">
        <x:v>46269</x:v>
      </x:c>
      <x:c r="L4033" t="str" s="2">
        <x:v>Message Sent</x:v>
      </x:c>
    </x:row>
    <x:row r="4034">
      <x:c r="A4034" t="str" s="2">
        <x:f>="Wendell Ormiston"</x:f>
      </x:c>
      <x:c r="B4034" t="str" s="2">
        <x:v>Heritage Housing of Jennings</x:v>
      </x:c>
      <x:c r="C4034" t="str" s="2">
        <x:v/>
      </x:c>
      <x:c r="D4034" t="str" s="2">
        <x:v>weormiston@yahoo.com</x:v>
      </x:c>
      <x:c r="E4034" t="str" s="2">
        <x:v>weormiston@yahoo.com</x:v>
      </x:c>
      <x:c r="F4034" t="str" s="2">
        <x:v>Website</x:v>
      </x:c>
      <x:c r="G4034" t="str" s="2">
        <x:v>Mervin Leslie Smith</x:v>
      </x:c>
      <x:c r="H4034" s="6">
        <x:v>46267.89118738426</x:v>
      </x:c>
      <x:c r="I4034" s="0"/>
      <x:c r="J4034" s="0"/>
      <x:c r="K4034" s="6">
        <x:v>46302.704398726855</x:v>
      </x:c>
      <x:c r="L4034" t="str" s="2">
        <x:v>Message Sent</x:v>
      </x:c>
    </x:row>
    <x:row r="4035">
      <x:c r="A4035" t="str" s="2">
        <x:f>="William Esker Esker"</x:f>
      </x:c>
      <x:c r="B4035" t="str" s="2">
        <x:v>Heritage Housing of Greenville</x:v>
      </x:c>
      <x:c r="C4035" t="str" s="2">
        <x:v/>
      </x:c>
      <x:c r="D4035" t="str" s="2">
        <x:v>4052271339</x:v>
      </x:c>
      <x:c r="E4035" t="str" s="2">
        <x:v>eskerwilliam@att.net</x:v>
      </x:c>
      <x:c r="F4035" t="str" s="2">
        <x:v>Landing_BPM</x:v>
      </x:c>
      <x:c r="G4035" t="str" s="2">
        <x:v>Brooklynn Allen</x:v>
      </x:c>
      <x:c r="H4035" s="6">
        <x:v>46267.894129085646</x:v>
      </x:c>
      <x:c r="I4035" s="0"/>
      <x:c r="J4035" s="0"/>
      <x:c r="K4035" s="6">
        <x:v>46269</x:v>
      </x:c>
      <x:c r="L4035" t="str" s="2">
        <x:v>Message Sent</x:v>
      </x:c>
    </x:row>
    <x:row r="4036">
      <x:c r="A4036" t="str" s="2">
        <x:f>="Kimberly M Moore"</x:f>
      </x:c>
      <x:c r="B4036" t="str" s="2">
        <x:v>Heritage Housing of Asheboro</x:v>
      </x:c>
      <x:c r="C4036" t="str" s="2">
        <x:v/>
      </x:c>
      <x:c r="D4036" t="str" s="2">
        <x:v>9103222614</x:v>
      </x:c>
      <x:c r="E4036" t="str" s="2">
        <x:v>unicornspitfairy@gmail.com</x:v>
      </x:c>
      <x:c r="F4036" t="str" s="2">
        <x:v>Landing_BPM</x:v>
      </x:c>
      <x:c r="G4036" t="str" s="2">
        <x:v>Maria Lopez</x:v>
      </x:c>
      <x:c r="H4036" s="6">
        <x:v>46267.8956772338</x:v>
      </x:c>
      <x:c r="I4036" s="0"/>
      <x:c r="J4036" s="0"/>
      <x:c r="K4036" s="6">
        <x:v>46267</x:v>
      </x:c>
      <x:c r="L4036" t="str" s="2">
        <x:v>Message Sent</x:v>
      </x:c>
    </x:row>
    <x:row r="4037">
      <x:c r="A4037" t="str" s="2">
        <x:f>="Katesha Samuel"</x:f>
      </x:c>
      <x:c r="B4037" t="str" s="2">
        <x:v>Heritage Housing of Canton</x:v>
      </x:c>
      <x:c r="C4037" t="str" s="2">
        <x:v/>
      </x:c>
      <x:c r="D4037" t="str" s="2">
        <x:v>4693092031</x:v>
      </x:c>
      <x:c r="E4037" t="str" s="2">
        <x:v>iluvpink3282@gmail.com</x:v>
      </x:c>
      <x:c r="F4037" t="str" s="2">
        <x:v>Landing_BPM</x:v>
      </x:c>
      <x:c r="G4037" t="str" s="2">
        <x:v>Maira Garcia</x:v>
      </x:c>
      <x:c r="H4037" s="6">
        <x:v>46267.896040590276</x:v>
      </x:c>
      <x:c r="I4037" s="0"/>
      <x:c r="J4037" s="0"/>
      <x:c r="K4037" s="6">
        <x:v>46267</x:v>
      </x:c>
      <x:c r="L4037" t="str" s="2">
        <x:v>Message Sent</x:v>
      </x:c>
    </x:row>
    <x:row r="4038">
      <x:c r="A4038" t="str" s="2">
        <x:f>="Raki Sebroso"</x:f>
      </x:c>
      <x:c r="B4038" t="str" s="2">
        <x:v>Legacy Housing Corp. DBA Americasa</x:v>
      </x:c>
      <x:c r="C4038" t="str" s="2">
        <x:v/>
      </x:c>
      <x:c r="D4038" t="str" s="2">
        <x:v>3215215530</x:v>
      </x:c>
      <x:c r="E4038" t="str" s="2">
        <x:v>raki@colivingsemesters.com</x:v>
      </x:c>
      <x:c r="F4038" t="str" s="2">
        <x:v>Workforce - Meta</x:v>
      </x:c>
      <x:c r="G4038" t="str" s="2">
        <x:v>Jose Parada</x:v>
      </x:c>
      <x:c r="H4038" s="6">
        <x:v>46267.909809375</x:v>
      </x:c>
      <x:c r="I4038" s="0"/>
      <x:c r="J4038" s="0"/>
      <x:c r="K4038" s="6">
        <x:v>46281</x:v>
      </x:c>
      <x:c r="L4038" t="str" s="2">
        <x:v>Message Sent</x:v>
      </x:c>
    </x:row>
    <x:row r="4039">
      <x:c r="A4039" t="str" s="2">
        <x:f>="Carly Cummings"</x:f>
      </x:c>
      <x:c r="B4039" t="str" s="2">
        <x:v>Heritage Housing of Tulsa</x:v>
      </x:c>
      <x:c r="C4039" t="str" s="2">
        <x:v/>
      </x:c>
      <x:c r="D4039" t="str" s="2">
        <x:v>9184131059</x:v>
      </x:c>
      <x:c r="E4039" t="str" s="2">
        <x:v>carlywatkins43@gmail.com</x:v>
      </x:c>
      <x:c r="F4039" t="str" s="2">
        <x:v>Landing_BPM</x:v>
      </x:c>
      <x:c r="G4039" t="str" s="2">
        <x:v>Jenna Fransisco</x:v>
      </x:c>
      <x:c r="H4039" s="6">
        <x:v>46267.912997997686</x:v>
      </x:c>
      <x:c r="I4039" s="0"/>
      <x:c r="J4039" s="0"/>
      <x:c r="K4039" s="6">
        <x:v>46279</x:v>
      </x:c>
      <x:c r="L4039" t="str" s="2">
        <x:v>Message Sent</x:v>
      </x:c>
    </x:row>
    <x:row r="4040">
      <x:c r="A4040" t="str" s="2">
        <x:f>="Kathy Carney"</x:f>
      </x:c>
      <x:c r="B4040" t="str" s="2">
        <x:v>Heritage Housing of Albany</x:v>
      </x:c>
      <x:c r="C4040" t="str" s="2">
        <x:v/>
      </x:c>
      <x:c r="D4040" t="str" s="2">
        <x:v>7063622898</x:v>
      </x:c>
      <x:c r="E4040" t="str" s="2">
        <x:v>Kitkit_77@msn.com</x:v>
      </x:c>
      <x:c r="F4040" t="str" s="2">
        <x:v>Landing_BPM</x:v>
      </x:c>
      <x:c r="G4040" t="str" s="2">
        <x:v>Yanet Alvarez</x:v>
      </x:c>
      <x:c r="H4040" s="6">
        <x:v>46267.95895752315</x:v>
      </x:c>
      <x:c r="I4040" s="0"/>
      <x:c r="J4040" s="0"/>
      <x:c r="K4040" s="6">
        <x:v>46303</x:v>
      </x:c>
      <x:c r="L4040" t="str" s="2">
        <x:v>Message Sent</x:v>
      </x:c>
    </x:row>
    <x:row r="4041">
      <x:c r="A4041" t="str" s="2">
        <x:f>="Loretta Covington"</x:f>
      </x:c>
      <x:c r="B4041" t="str" s="2">
        <x:v>Heritage Housing of Asheboro</x:v>
      </x:c>
      <x:c r="C4041" t="str" s="2">
        <x:v/>
      </x:c>
      <x:c r="D4041" t="str" s="2">
        <x:v>9105571619</x:v>
      </x:c>
      <x:c r="E4041" t="str" s="2">
        <x:v>lorettacovington28@gmail.com</x:v>
      </x:c>
      <x:c r="F4041" t="str" s="2">
        <x:v>Youtube</x:v>
      </x:c>
      <x:c r="G4041" t="str" s="2">
        <x:v>Kate Gutierrez</x:v>
      </x:c>
      <x:c r="H4041" s="6">
        <x:v>46267.96103510417</x:v>
      </x:c>
      <x:c r="I4041" s="0"/>
      <x:c r="J4041" s="0"/>
      <x:c r="K4041" s="6">
        <x:v>46286</x:v>
      </x:c>
      <x:c r="L4041" t="str" s="2">
        <x:v>Message Sent</x:v>
      </x:c>
    </x:row>
    <x:row r="4042">
      <x:c r="A4042" t="str" s="2">
        <x:f>="victoria jaimes"</x:f>
      </x:c>
      <x:c r="B4042" t="str" s="2">
        <x:v>Heritage Housing of Asheboro</x:v>
      </x:c>
      <x:c r="C4042" t="str" s="2">
        <x:v/>
      </x:c>
      <x:c r="D4042" t="str" s="2">
        <x:v>9102849096</x:v>
      </x:c>
      <x:c r="E4042" t="str" s="2">
        <x:v>victoriajaimes101@gmail.com</x:v>
      </x:c>
      <x:c r="F4042" t="str" s="2">
        <x:v>Financing Form</x:v>
      </x:c>
      <x:c r="G4042" t="str" s="2">
        <x:v>Maria Lopez</x:v>
      </x:c>
      <x:c r="H4042" s="6">
        <x:v>46267.97336258102</x:v>
      </x:c>
      <x:c r="I4042" s="0"/>
      <x:c r="J4042" s="0"/>
      <x:c r="K4042" s="6">
        <x:v>46268</x:v>
      </x:c>
      <x:c r="L4042" t="str" s="2">
        <x:v>Message Sent</x:v>
      </x:c>
    </x:row>
    <x:row r="4043">
      <x:c r="A4043" t="str" s="2">
        <x:f>="Michelle Benford"</x:f>
      </x:c>
      <x:c r="B4043" t="str" s="2">
        <x:v>Heritage Housing of Jennings</x:v>
      </x:c>
      <x:c r="C4043" t="str" s="2">
        <x:v/>
      </x:c>
      <x:c r="D4043" t="str" s="2">
        <x:v>4704452022</x:v>
      </x:c>
      <x:c r="E4043" t="str" s="2">
        <x:v>cuterico440@gmail.com</x:v>
      </x:c>
      <x:c r="F4043" t="str" s="2">
        <x:v>Financing Form</x:v>
      </x:c>
      <x:c r="G4043" t="str" s="2">
        <x:v>Clint O'Neal</x:v>
      </x:c>
      <x:c r="H4043" s="6">
        <x:v>46268.002435381946</x:v>
      </x:c>
      <x:c r="I4043" s="0"/>
      <x:c r="J4043" s="0"/>
      <x:c r="K4043" s="6">
        <x:v>46302.705142210645</x:v>
      </x:c>
      <x:c r="L4043" t="str" s="2">
        <x:v>Message Sent</x:v>
      </x:c>
    </x:row>
    <x:row r="4044">
      <x:c r="A4044" t="str" s="2">
        <x:f>="Keynan Smith"</x:f>
      </x:c>
      <x:c r="B4044" t="str" s="2">
        <x:v>Heritage Housing of Augusta</x:v>
      </x:c>
      <x:c r="C4044" t="str" s="2">
        <x:v/>
      </x:c>
      <x:c r="D4044" t="str" s="2">
        <x:v>4197058650</x:v>
      </x:c>
      <x:c r="E4044" t="str" s="2">
        <x:v>101connectinvestments@gmail.com</x:v>
      </x:c>
      <x:c r="F4044" t="str" s="2">
        <x:v>Landing_BPM</x:v>
      </x:c>
      <x:c r="G4044" t="str" s="2">
        <x:v>Faye Lively</x:v>
      </x:c>
      <x:c r="H4044" s="6">
        <x:v>46268.04863533565</x:v>
      </x:c>
      <x:c r="I4044" s="0"/>
      <x:c r="J4044" s="0"/>
      <x:c r="K4044" s="6">
        <x:v>46274</x:v>
      </x:c>
      <x:c r="L4044" t="str" s="2">
        <x:v>Message Sent</x:v>
      </x:c>
    </x:row>
    <x:row r="4045">
      <x:c r="A4045" t="str" s="2">
        <x:f>="Maria Almaraz"</x:f>
      </x:c>
      <x:c r="B4045" t="str" s="2">
        <x:v>Heritage Housing of Athens</x:v>
      </x:c>
      <x:c r="C4045" t="str" s="2">
        <x:v/>
      </x:c>
      <x:c r="D4045" t="str" s="2">
        <x:v>6782678226</x:v>
      </x:c>
      <x:c r="E4045" t="str" s="2">
        <x:v>s.veronica43@yahoo.com</x:v>
      </x:c>
      <x:c r="F4045" t="str" s="2">
        <x:v>Landing_BPM</x:v>
      </x:c>
      <x:c r="G4045" t="str" s="2">
        <x:v>Nathan Bishop</x:v>
      </x:c>
      <x:c r="H4045" s="6">
        <x:v>46268.06119606482</x:v>
      </x:c>
      <x:c r="I4045" s="0"/>
      <x:c r="J4045" s="0"/>
      <x:c r="K4045" s="6">
        <x:v>46288</x:v>
      </x:c>
      <x:c r="L4045" t="str" s="2">
        <x:v>Message Sent</x:v>
      </x:c>
    </x:row>
    <x:row r="4046">
      <x:c r="A4046" t="str" s="2">
        <x:f>="Chance Hall"</x:f>
      </x:c>
      <x:c r="B4046" t="str" s="2">
        <x:v>Heritage Housing of Canton</x:v>
      </x:c>
      <x:c r="C4046" t="str" s="2">
        <x:v/>
      </x:c>
      <x:c r="D4046" t="str" s="2">
        <x:v>6824006556</x:v>
      </x:c>
      <x:c r="E4046" t="str" s="2">
        <x:v>cdaking54@gmail.com</x:v>
      </x:c>
      <x:c r="F4046" t="str" s="2">
        <x:v>Landing_BPM</x:v>
      </x:c>
      <x:c r="G4046" t="str" s="2">
        <x:v>Jacob Hatten</x:v>
      </x:c>
      <x:c r="H4046" s="6">
        <x:v>46268.12804934028</x:v>
      </x:c>
      <x:c r="I4046" s="0"/>
      <x:c r="J4046" s="0"/>
      <x:c r="K4046" s="6">
        <x:v>46293</x:v>
      </x:c>
      <x:c r="L4046" t="str" s="2">
        <x:v>Message Sent</x:v>
      </x:c>
    </x:row>
    <x:row r="4047">
      <x:c r="A4047" t="str" s="2">
        <x:f>="Syndria Mitchell"</x:f>
      </x:c>
      <x:c r="B4047" t="str" s="2">
        <x:v>Heritage Housing of Asheboro</x:v>
      </x:c>
      <x:c r="C4047" t="str" s="2">
        <x:v/>
      </x:c>
      <x:c r="D4047" t="str" s="2">
        <x:v>9802280933</x:v>
      </x:c>
      <x:c r="E4047" t="str" s="2">
        <x:v>synmitchell6@gmail.com</x:v>
      </x:c>
      <x:c r="F4047" t="str" s="2">
        <x:v>Youtube</x:v>
      </x:c>
      <x:c r="G4047" t="str" s="2">
        <x:v>Maria Lopez</x:v>
      </x:c>
      <x:c r="H4047" s="6">
        <x:v>46268.13811721065</x:v>
      </x:c>
      <x:c r="I4047" s="0"/>
      <x:c r="J4047" s="0"/>
      <x:c r="K4047" s="6">
        <x:v>46268</x:v>
      </x:c>
      <x:c r="L4047" t="str" s="2">
        <x:v>Message Sent</x:v>
      </x:c>
    </x:row>
    <x:row r="4048">
      <x:c r="A4048" t="str" s="2">
        <x:f>="Laura Arrant"</x:f>
      </x:c>
      <x:c r="B4048" t="str" s="2">
        <x:v>Heritage Housing of Asheboro</x:v>
      </x:c>
      <x:c r="C4048" t="str" s="2">
        <x:v/>
      </x:c>
      <x:c r="D4048" t="str" s="2">
        <x:v>6266285474</x:v>
      </x:c>
      <x:c r="E4048" t="str" s="2">
        <x:v>poisoniv563@hotmail.com</x:v>
      </x:c>
      <x:c r="F4048" t="str" s="2">
        <x:v>Youtube</x:v>
      </x:c>
      <x:c r="G4048" t="str" s="2">
        <x:v>Kate Gutierrez</x:v>
      </x:c>
      <x:c r="H4048" s="6">
        <x:v>46268.19460335648</x:v>
      </x:c>
      <x:c r="I4048" s="0"/>
      <x:c r="J4048" s="0"/>
      <x:c r="K4048" s="6">
        <x:v>46283</x:v>
      </x:c>
      <x:c r="L4048" t="str" s="2">
        <x:v>Message Sent</x:v>
      </x:c>
    </x:row>
    <x:row r="4049">
      <x:c r="A4049" t="str" s="2">
        <x:f>="Miyah Shepherd"</x:f>
      </x:c>
      <x:c r="B4049" t="str" s="2">
        <x:v>Heritage Housing of Jennings</x:v>
      </x:c>
      <x:c r="C4049" t="str" s="2">
        <x:v/>
      </x:c>
      <x:c r="D4049" t="str" s="2">
        <x:v>3379365670</x:v>
      </x:c>
      <x:c r="E4049" t="str" s="2">
        <x:v>m.shepherd1997@icloud.com</x:v>
      </x:c>
      <x:c r="F4049" t="str" s="2">
        <x:v>Landing_BPM</x:v>
      </x:c>
      <x:c r="G4049" t="str" s="2">
        <x:v>Clint O'Neal</x:v>
      </x:c>
      <x:c r="H4049" s="6">
        <x:v>46268.39136299769</x:v>
      </x:c>
      <x:c r="I4049" s="0"/>
      <x:c r="J4049" s="0"/>
      <x:c r="K4049" s="6">
        <x:v>46302.705494560185</x:v>
      </x:c>
      <x:c r="L4049" t="str" s="2">
        <x:v>Message Sent</x:v>
      </x:c>
    </x:row>
    <x:row r="4050">
      <x:c r="A4050" t="str" s="2">
        <x:f>="Willie Richie"</x:f>
      </x:c>
      <x:c r="B4050" t="str" s="2">
        <x:v>Heritage Housing of Athens</x:v>
      </x:c>
      <x:c r="C4050" t="str" s="2">
        <x:v>0/2</x:v>
      </x:c>
      <x:c r="D4050" t="str" s="2">
        <x:v>7624388163</x:v>
      </x:c>
      <x:c r="E4050" t="str" s="2">
        <x:v>willierichie0830@gmail.com</x:v>
      </x:c>
      <x:c r="F4050" t="str" s="2">
        <x:v>Landing_BPM</x:v>
      </x:c>
      <x:c r="G4050" t="str" s="2">
        <x:v>Ethan Fossett</x:v>
      </x:c>
      <x:c r="H4050" s="6">
        <x:v>46268.43947997685</x:v>
      </x:c>
      <x:c r="I4050" s="0"/>
      <x:c r="J4050" s="6">
        <x:v>46276.916666666664</x:v>
      </x:c>
      <x:c r="K4050" s="6">
        <x:v>46288</x:v>
      </x:c>
      <x:c r="L4050" t="str" s="2">
        <x:v>Message Sent</x:v>
      </x:c>
    </x:row>
    <x:row r="4051">
      <x:c r="A4051" t="str" s="2">
        <x:f>="sadie lampart"</x:f>
      </x:c>
      <x:c r="B4051" t="str" s="2">
        <x:v>Heritage Housing of Asheboro</x:v>
      </x:c>
      <x:c r="C4051" t="str" s="2">
        <x:v/>
      </x:c>
      <x:c r="D4051" t="str" s="2">
        <x:v>3366537685</x:v>
      </x:c>
      <x:c r="E4051" t="str" s="2">
        <x:v>sadie.lefever@icloud.com</x:v>
      </x:c>
      <x:c r="F4051" t="str" s="2">
        <x:v>Website</x:v>
      </x:c>
      <x:c r="G4051" t="str" s="2">
        <x:v>Maria Lopez</x:v>
      </x:c>
      <x:c r="H4051" s="6">
        <x:v>46268.51839745371</x:v>
      </x:c>
      <x:c r="I4051" s="0"/>
      <x:c r="J4051" s="0"/>
      <x:c r="K4051" s="6">
        <x:v>46268</x:v>
      </x:c>
      <x:c r="L4051" t="str" s="2">
        <x:v>Message Sent</x:v>
      </x:c>
    </x:row>
    <x:row r="4052">
      <x:c r="A4052" t="str" s="2">
        <x:f>="Glenn Henderson"</x:f>
      </x:c>
      <x:c r="B4052" t="str" s="2">
        <x:v>Legacy Housing Corp. DBA Americasa</x:v>
      </x:c>
      <x:c r="C4052" t="str" s="2">
        <x:v/>
      </x:c>
      <x:c r="D4052" t="str" s="2">
        <x:v>8328709909</x:v>
      </x:c>
      <x:c r="E4052" t="str" s="2">
        <x:v>hendersonglenn653@gmail.com</x:v>
      </x:c>
      <x:c r="F4052" t="str" s="2">
        <x:v>Landing_BPM</x:v>
      </x:c>
      <x:c r="G4052" t="str" s="2">
        <x:v>Jose Parada</x:v>
      </x:c>
      <x:c r="H4052" s="6">
        <x:v>46268.54783950232</x:v>
      </x:c>
      <x:c r="I4052" s="0"/>
      <x:c r="J4052" s="0"/>
      <x:c r="K4052" s="6">
        <x:v>46268</x:v>
      </x:c>
      <x:c r="L4052" t="str" s="2">
        <x:v>Message Sent</x:v>
      </x:c>
    </x:row>
    <x:row r="4053">
      <x:c r="A4053" t="str" s="2">
        <x:f>=HYPERLINK("https://rsms.futurehomex.com/lead/40080", "Jessica Marshall")</x:f>
      </x:c>
      <x:c r="B4053" t="str" s="2">
        <x:v>Legacy Housing Corp. DBA Americasa</x:v>
      </x:c>
      <x:c r="C4053" t="str" s="2">
        <x:v/>
      </x:c>
      <x:c r="D4053" t="str" s="2">
        <x:v>7262508761</x:v>
      </x:c>
      <x:c r="E4053" t="str" s="2">
        <x:v>jessicamarshall7281@yahoo.com</x:v>
      </x:c>
      <x:c r="F4053" t="str" s="2">
        <x:v>Financing Form</x:v>
      </x:c>
      <x:c r="G4053" t="str" s="2">
        <x:v>Rodrigo Ramirez</x:v>
      </x:c>
      <x:c r="H4053" s="6">
        <x:v>46268.58498799769</x:v>
      </x:c>
      <x:c r="I4053" t="str" s="2">
        <x:v>House</x:v>
      </x:c>
      <x:c r="J4053" s="0"/>
      <x:c r="K4053" s="6">
        <x:v>46281</x:v>
      </x:c>
      <x:c r="L4053" t="str" s="2">
        <x:v>Message Sent</x:v>
      </x:c>
    </x:row>
    <x:row r="4054">
      <x:c r="A4054" t="str" s="2">
        <x:f>="Brian Bennett Bennett"</x:f>
      </x:c>
      <x:c r="B4054" t="str" s="2">
        <x:v>Heritage Housing of Asheboro</x:v>
      </x:c>
      <x:c r="C4054" t="str" s="2">
        <x:v/>
      </x:c>
      <x:c r="D4054" t="str" s="2">
        <x:v>3364885374</x:v>
      </x:c>
      <x:c r="E4054" t="str" s="2">
        <x:v>skullsing682003@yahoo.com</x:v>
      </x:c>
      <x:c r="F4054" t="str" s="2">
        <x:v>Landing_BPM</x:v>
      </x:c>
      <x:c r="G4054" t="str" s="2">
        <x:v>Maria Lopez</x:v>
      </x:c>
      <x:c r="H4054" s="6">
        <x:v>46268.58578981482</x:v>
      </x:c>
      <x:c r="I4054" s="0"/>
      <x:c r="J4054" s="0"/>
      <x:c r="K4054" s="6">
        <x:v>46268</x:v>
      </x:c>
      <x:c r="L4054" t="str" s="2">
        <x:v>Message Sent</x:v>
      </x:c>
    </x:row>
    <x:row r="4055">
      <x:c r="A4055" t="str" s="2">
        <x:f>="Equilla Davis"</x:f>
      </x:c>
      <x:c r="B4055" t="str" s="2">
        <x:v>Heritage Housing of Albany</x:v>
      </x:c>
      <x:c r="C4055" t="str" s="2">
        <x:v/>
      </x:c>
      <x:c r="D4055" t="str" s="2">
        <x:v>7707091133</x:v>
      </x:c>
      <x:c r="E4055" t="str" s="2">
        <x:v>equillad@yahoo.com</x:v>
      </x:c>
      <x:c r="F4055" t="str" s="2">
        <x:v>Landing_BPM</x:v>
      </x:c>
      <x:c r="G4055" t="str" s="2">
        <x:v>Justin Johnson</x:v>
      </x:c>
      <x:c r="H4055" s="6">
        <x:v>46268.637705787034</x:v>
      </x:c>
      <x:c r="I4055" s="0"/>
      <x:c r="J4055" s="0"/>
      <x:c r="K4055" s="6">
        <x:v>46280</x:v>
      </x:c>
      <x:c r="L4055" t="str" s="2">
        <x:v>Message Sent</x:v>
      </x:c>
    </x:row>
    <x:row r="4056">
      <x:c r="A4056" t="str" s="2">
        <x:f>="raydeen edwrds"</x:f>
      </x:c>
      <x:c r="B4056" t="str" s="2">
        <x:v>Heritage Housing of Tulsa</x:v>
      </x:c>
      <x:c r="C4056" t="str" s="2">
        <x:v/>
      </x:c>
      <x:c r="D4056" t="str" s="2">
        <x:v>9035783486</x:v>
      </x:c>
      <x:c r="E4056" t="str" s="2">
        <x:v>darkcowboy@myyahoo.com</x:v>
      </x:c>
      <x:c r="F4056" t="str" s="2">
        <x:v>Bing - Search</x:v>
      </x:c>
      <x:c r="G4056" t="str" s="2">
        <x:v>Jenna Fransisco</x:v>
      </x:c>
      <x:c r="H4056" s="6">
        <x:v>46268.659846759256</x:v>
      </x:c>
      <x:c r="I4056" s="0"/>
      <x:c r="J4056" s="0"/>
      <x:c r="K4056" s="6">
        <x:v>46270</x:v>
      </x:c>
      <x:c r="L4056" t="str" s="2">
        <x:v>Message Sent</x:v>
      </x:c>
    </x:row>
    <x:row r="4057">
      <x:c r="A4057" t="str" s="2">
        <x:f>="Marcelino Landino"</x:f>
      </x:c>
      <x:c r="B4057" t="str" s="2">
        <x:v>Heritage Housing Gainesville</x:v>
      </x:c>
      <x:c r="C4057" t="str" s="2">
        <x:v/>
      </x:c>
      <x:c r="D4057" t="str" s="2">
        <x:v>4045574651</x:v>
      </x:c>
      <x:c r="E4057" t="str" s="2">
        <x:v>marcelinolandino1225@yahoo.com</x:v>
      </x:c>
      <x:c r="F4057" t="str" s="2">
        <x:v>Landing_BPM</x:v>
      </x:c>
      <x:c r="G4057" t="str" s="2">
        <x:v>Kelly Ford</x:v>
      </x:c>
      <x:c r="H4057" s="6">
        <x:v>46268.66587025463</x:v>
      </x:c>
      <x:c r="I4057" s="0"/>
      <x:c r="J4057" s="0"/>
      <x:c r="K4057" s="6">
        <x:v>46297</x:v>
      </x:c>
      <x:c r="L4057" t="str" s="2">
        <x:v>Message Sent</x:v>
      </x:c>
    </x:row>
    <x:row r="4058">
      <x:c r="A4058" t="str" s="2">
        <x:f>="Timothy Bennett"</x:f>
      </x:c>
      <x:c r="B4058" t="str" s="2">
        <x:v>Heritage Housing of Greenville</x:v>
      </x:c>
      <x:c r="C4058" t="str" s="2">
        <x:v/>
      </x:c>
      <x:c r="D4058" t="str" s="2">
        <x:v>8178235832</x:v>
      </x:c>
      <x:c r="E4058" t="str" s="2">
        <x:v>twbennettsr7@outlook.com</x:v>
      </x:c>
      <x:c r="F4058" t="str" s="2">
        <x:v>Bing - Search</x:v>
      </x:c>
      <x:c r="G4058" t="str" s="2">
        <x:v>Brooklynn Allen</x:v>
      </x:c>
      <x:c r="H4058" s="6">
        <x:v>46268.676848958334</x:v>
      </x:c>
      <x:c r="I4058" s="0"/>
      <x:c r="J4058" s="0"/>
      <x:c r="K4058" s="6">
        <x:v>46269</x:v>
      </x:c>
      <x:c r="L4058" t="str" s="2">
        <x:v>Message Sent</x:v>
      </x:c>
    </x:row>
    <x:row r="4059">
      <x:c r="A4059" t="str" s="2">
        <x:f>="Yvette Moreno"</x:f>
      </x:c>
      <x:c r="B4059" t="str" s="2">
        <x:v>Heritage Housing Mt Pleasant</x:v>
      </x:c>
      <x:c r="C4059" t="str" s="2">
        <x:v/>
      </x:c>
      <x:c r="D4059" t="str" s="2">
        <x:v>2105706503</x:v>
      </x:c>
      <x:c r="E4059" t="str" s="2">
        <x:v>yvettemaxinemoreno@gmail.com</x:v>
      </x:c>
      <x:c r="F4059" t="str" s="2">
        <x:v>Youtube</x:v>
      </x:c>
      <x:c r="G4059" t="str" s="2">
        <x:v>Sandra Saldana</x:v>
      </x:c>
      <x:c r="H4059" s="6">
        <x:v>46268.69022457176</x:v>
      </x:c>
      <x:c r="I4059" s="0"/>
      <x:c r="J4059" s="0"/>
      <x:c r="K4059" s="6">
        <x:v>46268</x:v>
      </x:c>
      <x:c r="L4059" t="str" s="2">
        <x:v>Message Sent</x:v>
      </x:c>
    </x:row>
    <x:row r="4060">
      <x:c r="A4060" t="str" s="2">
        <x:f>="Trish Gregory"</x:f>
      </x:c>
      <x:c r="B4060" t="str" s="2">
        <x:v>Heritage Housing of Tulsa</x:v>
      </x:c>
      <x:c r="C4060" t="str" s="2">
        <x:v/>
      </x:c>
      <x:c r="D4060" t="str" s="2">
        <x:v>9182103390</x:v>
      </x:c>
      <x:c r="E4060" t="str" s="2">
        <x:v>rrhgyrl71@gmail.com</x:v>
      </x:c>
      <x:c r="F4060" t="str" s="2">
        <x:v>Youtube</x:v>
      </x:c>
      <x:c r="G4060" t="str" s="2">
        <x:v>Jenna Fransisco</x:v>
      </x:c>
      <x:c r="H4060" s="6">
        <x:v>46268.70638144676</x:v>
      </x:c>
      <x:c r="I4060" s="0"/>
      <x:c r="J4060" s="0"/>
      <x:c r="K4060" s="6">
        <x:v>46270</x:v>
      </x:c>
      <x:c r="L4060" t="str" s="2">
        <x:v>Message Sent</x:v>
      </x:c>
    </x:row>
    <x:row r="4061">
      <x:c r="A4061" t="str" s="2">
        <x:f>="Tabitha Brady"</x:f>
      </x:c>
      <x:c r="B4061" t="str" s="2">
        <x:v>Heritage Housing of Athens</x:v>
      </x:c>
      <x:c r="C4061" t="str" s="2">
        <x:v/>
      </x:c>
      <x:c r="D4061" t="str" s="2">
        <x:v>7069493859</x:v>
      </x:c>
      <x:c r="E4061" t="str" s="2">
        <x:v>tabithbrady@gmail.com</x:v>
      </x:c>
      <x:c r="F4061" t="str" s="2">
        <x:v>Financing Form</x:v>
      </x:c>
      <x:c r="G4061" t="str" s="2">
        <x:v>Nathan Bishop</x:v>
      </x:c>
      <x:c r="H4061" s="6">
        <x:v>46268.71174146991</x:v>
      </x:c>
      <x:c r="I4061" s="0"/>
      <x:c r="J4061" s="0"/>
      <x:c r="K4061" s="6">
        <x:v>46288</x:v>
      </x:c>
      <x:c r="L4061" t="str" s="2">
        <x:v>Message Sent</x:v>
      </x:c>
    </x:row>
    <x:row r="4062">
      <x:c r="A4062" t="str" s="2">
        <x:f>="Shekima Singleton"</x:f>
      </x:c>
      <x:c r="B4062" t="str" s="2">
        <x:v>Heritage Housing of Asheboro</x:v>
      </x:c>
      <x:c r="C4062" t="str" s="2">
        <x:v/>
      </x:c>
      <x:c r="D4062" t="str" s="2">
        <x:v>9103999197</x:v>
      </x:c>
      <x:c r="E4062" t="str" s="2">
        <x:v>shekima0528@gmail.com</x:v>
      </x:c>
      <x:c r="F4062" t="str" s="2">
        <x:v>Landing_BPM</x:v>
      </x:c>
      <x:c r="G4062" t="str" s="2">
        <x:v>Maria Lopez</x:v>
      </x:c>
      <x:c r="H4062" s="6">
        <x:v>46268.76067577546</x:v>
      </x:c>
      <x:c r="I4062" s="0"/>
      <x:c r="J4062" s="0"/>
      <x:c r="K4062" s="6">
        <x:v>46307</x:v>
      </x:c>
      <x:c r="L4062" t="str" s="2">
        <x:v>Message Sent</x:v>
      </x:c>
    </x:row>
    <x:row r="4063">
      <x:c r="A4063" t="str" s="2">
        <x:f>="Bobby McArthur"</x:f>
      </x:c>
      <x:c r="B4063" t="str" s="2">
        <x:v>Heritage Housing of Jennings</x:v>
      </x:c>
      <x:c r="C4063" t="str" s="2">
        <x:v/>
      </x:c>
      <x:c r="D4063" t="str" s="2">
        <x:v>3184700108</x:v>
      </x:c>
      <x:c r="E4063" t="str" s="2">
        <x:v>gassvobby29@gmail.com</x:v>
      </x:c>
      <x:c r="F4063" t="str" s="2">
        <x:v>Youtube</x:v>
      </x:c>
      <x:c r="G4063" t="str" s="2">
        <x:v>Clint O'Neal</x:v>
      </x:c>
      <x:c r="H4063" s="6">
        <x:v>46268.77875644676</x:v>
      </x:c>
      <x:c r="I4063" s="0"/>
      <x:c r="J4063" s="0"/>
      <x:c r="K4063" s="6">
        <x:v>46302.70476064815</x:v>
      </x:c>
      <x:c r="L4063" t="str" s="2">
        <x:v>Message Sent</x:v>
      </x:c>
    </x:row>
    <x:row r="4064">
      <x:c r="A4064" t="str" s="2">
        <x:f>="jerry thompson"</x:f>
      </x:c>
      <x:c r="B4064" t="str" s="2">
        <x:v>Heritage Housing of Tulsa</x:v>
      </x:c>
      <x:c r="C4064" t="str" s="2">
        <x:v/>
      </x:c>
      <x:c r="D4064" t="str" s="2">
        <x:v>539-832-5598</x:v>
      </x:c>
      <x:c r="E4064" t="str" s="2">
        <x:v>jerrythompson5995@gmail.com</x:v>
      </x:c>
      <x:c r="F4064" t="str" s="2">
        <x:v>Financing Form</x:v>
      </x:c>
      <x:c r="G4064" t="str" s="2">
        <x:v>Jenna Fransisco</x:v>
      </x:c>
      <x:c r="H4064" s="6">
        <x:v>46268.79405092593</x:v>
      </x:c>
      <x:c r="I4064" s="0"/>
      <x:c r="J4064" s="0"/>
      <x:c r="K4064" s="6">
        <x:v>46270</x:v>
      </x:c>
      <x:c r="L4064" t="str" s="2">
        <x:v>Message Sent</x:v>
      </x:c>
    </x:row>
    <x:row r="4065">
      <x:c r="A4065" t="str" s="2">
        <x:f>="Danny Higgins"</x:f>
      </x:c>
      <x:c r="B4065" t="str" s="2">
        <x:v>Heritage Housing of Athens</x:v>
      </x:c>
      <x:c r="C4065" t="str" s="2">
        <x:v/>
      </x:c>
      <x:c r="D4065" t="str" s="2">
        <x:v>7069885039</x:v>
      </x:c>
      <x:c r="E4065" t="str" s="2">
        <x:v>7069885039</x:v>
      </x:c>
      <x:c r="F4065" t="str" s="2">
        <x:v>Office Hot Calls</x:v>
      </x:c>
      <x:c r="G4065" t="str" s="2">
        <x:v>Nathan Bishop</x:v>
      </x:c>
      <x:c r="H4065" s="6">
        <x:v>46268.81049560185</x:v>
      </x:c>
      <x:c r="I4065" s="0"/>
      <x:c r="J4065" s="6">
        <x:v>46276.75</x:v>
      </x:c>
      <x:c r="K4065" s="6">
        <x:v>46284</x:v>
      </x:c>
      <x:c r="L4065" t="str" s="2">
        <x:v>Message Sent</x:v>
      </x:c>
    </x:row>
    <x:row r="4066">
      <x:c r="A4066" t="str" s="2">
        <x:f>="Diane Gamble"</x:f>
      </x:c>
      <x:c r="B4066" t="str" s="2">
        <x:v>Heritage Housing of Augusta</x:v>
      </x:c>
      <x:c r="C4066" t="str" s="2">
        <x:v/>
      </x:c>
      <x:c r="D4066" t="str" s="2">
        <x:v>4707010060</x:v>
      </x:c>
      <x:c r="E4066" t="str" s="2">
        <x:v>dianegamble2772@gmail.com</x:v>
      </x:c>
      <x:c r="F4066" t="str" s="2">
        <x:v>Landing_BPM</x:v>
      </x:c>
      <x:c r="G4066" t="str" s="2">
        <x:v>Faye Lively</x:v>
      </x:c>
      <x:c r="H4066" s="6">
        <x:v>46268.821216585646</x:v>
      </x:c>
      <x:c r="I4066" s="0"/>
      <x:c r="J4066" s="0"/>
      <x:c r="K4066" s="6">
        <x:v>46274</x:v>
      </x:c>
      <x:c r="L4066" t="str" s="2">
        <x:v>Message Sent</x:v>
      </x:c>
    </x:row>
    <x:row r="4067">
      <x:c r="A4067" t="str" s="2">
        <x:f>="Gabriella Pacheco"</x:f>
      </x:c>
      <x:c r="B4067" t="str" s="2">
        <x:v>Heritage Housing of Canton</x:v>
      </x:c>
      <x:c r="C4067" t="str" s="2">
        <x:v/>
      </x:c>
      <x:c r="D4067" t="str" s="2">
        <x:v>9455429751</x:v>
      </x:c>
      <x:c r="E4067" t="str" s="2">
        <x:v>Haisley2022@icloud.com</x:v>
      </x:c>
      <x:c r="F4067" t="str" s="2">
        <x:v>Landing_BPM</x:v>
      </x:c>
      <x:c r="G4067" t="str" s="2">
        <x:v>Maira Garcia</x:v>
      </x:c>
      <x:c r="H4067" s="6">
        <x:v>46268.82375744213</x:v>
      </x:c>
      <x:c r="I4067" s="0"/>
      <x:c r="J4067" s="0"/>
      <x:c r="K4067" s="6">
        <x:v>46270</x:v>
      </x:c>
      <x:c r="L4067" t="str" s="2">
        <x:v>Message Sent</x:v>
      </x:c>
    </x:row>
    <x:row r="4068">
      <x:c r="A4068" t="str" s="2">
        <x:f>="Jessica Rowland"</x:f>
      </x:c>
      <x:c r="B4068" t="str" s="2">
        <x:v>Legacy Housing Corp. DBA Americasa</x:v>
      </x:c>
      <x:c r="C4068" t="str" s="2">
        <x:v/>
      </x:c>
      <x:c r="D4068" t="str" s="2">
        <x:v>2814756261</x:v>
      </x:c>
      <x:c r="E4068" t="str" s="2">
        <x:v>jessrow133@gmail.com</x:v>
      </x:c>
      <x:c r="F4068" t="str" s="2">
        <x:v>Bing - Search</x:v>
      </x:c>
      <x:c r="G4068" t="str" s="2">
        <x:v>Rodrigo Ramirez</x:v>
      </x:c>
      <x:c r="H4068" s="6">
        <x:v>46268.85895555556</x:v>
      </x:c>
      <x:c r="I4068" s="0"/>
      <x:c r="J4068" s="0"/>
      <x:c r="K4068" s="6">
        <x:v>46268</x:v>
      </x:c>
      <x:c r="L4068" t="str" s="2">
        <x:v>Message Sent</x:v>
      </x:c>
    </x:row>
    <x:row r="4069">
      <x:c r="A4069" t="str" s="2">
        <x:f>="Alicia Blake"</x:f>
      </x:c>
      <x:c r="B4069" t="str" s="2">
        <x:v>Heritage Housing of Asheboro</x:v>
      </x:c>
      <x:c r="C4069" t="str" s="2">
        <x:v/>
      </x:c>
      <x:c r="D4069" t="str" s="2">
        <x:v>7044534600</x:v>
      </x:c>
      <x:c r="E4069" t="str" s="2">
        <x:v>aliciadblake73@gmail.com</x:v>
      </x:c>
      <x:c r="F4069" t="str" s="2">
        <x:v>LandingPage</x:v>
      </x:c>
      <x:c r="G4069" t="str" s="2">
        <x:v>Maria Lopez</x:v>
      </x:c>
      <x:c r="H4069" s="6">
        <x:v>46268.871459953705</x:v>
      </x:c>
      <x:c r="I4069" s="0"/>
      <x:c r="J4069" s="0"/>
      <x:c r="K4069" s="6">
        <x:v>46273</x:v>
      </x:c>
      <x:c r="L4069" t="str" s="2">
        <x:v>Message Sent</x:v>
      </x:c>
    </x:row>
    <x:row r="4070">
      <x:c r="A4070" t="str" s="2">
        <x:f>="Odis Williams"</x:f>
      </x:c>
      <x:c r="B4070" t="str" s="2">
        <x:v>Heritage Housing of Canton</x:v>
      </x:c>
      <x:c r="C4070" t="str" s="2">
        <x:v/>
      </x:c>
      <x:c r="D4070" t="str" s="2">
        <x:v>3185661312</x:v>
      </x:c>
      <x:c r="E4070" t="str" s="2">
        <x:v>odisgriffin3b@gmail.com</x:v>
      </x:c>
      <x:c r="F4070" t="str" s="2">
        <x:v>Landing_BPM</x:v>
      </x:c>
      <x:c r="G4070" t="str" s="2">
        <x:v>Jacob Hatten</x:v>
      </x:c>
      <x:c r="H4070" s="6">
        <x:v>46268.877698993056</x:v>
      </x:c>
      <x:c r="I4070" s="0"/>
      <x:c r="J4070" s="0"/>
      <x:c r="K4070" s="6">
        <x:v>46293</x:v>
      </x:c>
      <x:c r="L4070" t="str" s="2">
        <x:v>Message Sent</x:v>
      </x:c>
    </x:row>
    <x:row r="4071">
      <x:c r="A4071" t="str" s="2">
        <x:f>="Angela gipson"</x:f>
      </x:c>
      <x:c r="B4071" t="str" s="2">
        <x:v>Heritage Housing of Albany</x:v>
      </x:c>
      <x:c r="C4071" t="str" s="2">
        <x:v/>
      </x:c>
      <x:c r="D4071" t="str" s="2">
        <x:v>4047077299</x:v>
      </x:c>
      <x:c r="E4071" t="str" s="2">
        <x:v>gipsonangela31@yahoo.com</x:v>
      </x:c>
      <x:c r="F4071" t="str" s="2">
        <x:v>Financing Form</x:v>
      </x:c>
      <x:c r="G4071" t="str" s="2">
        <x:v>Yanet Alvarez</x:v>
      </x:c>
      <x:c r="H4071" s="6">
        <x:v>46268.91306420139</x:v>
      </x:c>
      <x:c r="I4071" s="0"/>
      <x:c r="J4071" s="0"/>
      <x:c r="K4071" s="6">
        <x:v>46303</x:v>
      </x:c>
      <x:c r="L4071" t="str" s="2">
        <x:v>Message Sent</x:v>
      </x:c>
    </x:row>
    <x:row r="4072">
      <x:c r="A4072" t="str" s="2">
        <x:f>="Alicia Crumpton-Bagley"</x:f>
      </x:c>
      <x:c r="B4072" t="str" s="2">
        <x:v>Heritage Housing of Canton</x:v>
      </x:c>
      <x:c r="C4072" t="str" s="2">
        <x:v/>
      </x:c>
      <x:c r="D4072" t="str" s="2">
        <x:v>9037807063</x:v>
      </x:c>
      <x:c r="E4072" t="str" s="2">
        <x:v>babykakes6@hotmail.com</x:v>
      </x:c>
      <x:c r="F4072" t="str" s="2">
        <x:v>Landing_BPM</x:v>
      </x:c>
      <x:c r="G4072" t="str" s="2">
        <x:v>Maira Garcia</x:v>
      </x:c>
      <x:c r="H4072" s="6">
        <x:v>46268.93439166667</x:v>
      </x:c>
      <x:c r="I4072" s="0"/>
      <x:c r="J4072" s="0"/>
      <x:c r="K4072" s="6">
        <x:v>46269</x:v>
      </x:c>
      <x:c r="L4072" t="str" s="2">
        <x:v>Message Sent</x:v>
      </x:c>
    </x:row>
    <x:row r="4073">
      <x:c r="A4073" t="str" s="2">
        <x:f>="Mustaffa Jenkins"</x:f>
      </x:c>
      <x:c r="B4073" t="str" s="2">
        <x:v>Heritage Housing of Asheboro</x:v>
      </x:c>
      <x:c r="C4073" t="str" s="2">
        <x:v/>
      </x:c>
      <x:c r="D4073" t="str" s="2">
        <x:v>9803331716</x:v>
      </x:c>
      <x:c r="E4073" t="str" s="2">
        <x:v>mustaffajenkins1999@yahoo.com</x:v>
      </x:c>
      <x:c r="F4073" t="str" s="2">
        <x:v>Financing Form</x:v>
      </x:c>
      <x:c r="G4073" t="str" s="2">
        <x:v>Maria Lopez</x:v>
      </x:c>
      <x:c r="H4073" s="6">
        <x:v>46268.95383197917</x:v>
      </x:c>
      <x:c r="I4073" s="0"/>
      <x:c r="J4073" s="0"/>
      <x:c r="K4073" s="6">
        <x:v>46268</x:v>
      </x:c>
      <x:c r="L4073" t="str" s="2">
        <x:v>Message Sent</x:v>
      </x:c>
    </x:row>
    <x:row r="4074">
      <x:c r="A4074" t="str" s="2">
        <x:f>="Avery Payne"</x:f>
      </x:c>
      <x:c r="B4074" t="str" s="2">
        <x:v>Heritage Housing of Albany</x:v>
      </x:c>
      <x:c r="C4074" t="str" s="2">
        <x:v/>
      </x:c>
      <x:c r="D4074" t="str" s="2">
        <x:v>337-331-5977</x:v>
      </x:c>
      <x:c r="E4074" t="str" s="2">
        <x:v>averypayne1966@gmail.com</x:v>
      </x:c>
      <x:c r="F4074" t="str" s="2">
        <x:v>Financing Form</x:v>
      </x:c>
      <x:c r="G4074" t="str" s="2">
        <x:v>Justin Johnson</x:v>
      </x:c>
      <x:c r="H4074" s="6">
        <x:v>46268.965272685185</x:v>
      </x:c>
      <x:c r="I4074" s="0"/>
      <x:c r="J4074" s="0"/>
      <x:c r="K4074" s="6">
        <x:v>46280</x:v>
      </x:c>
      <x:c r="L4074" t="str" s="2">
        <x:v>Message Sent</x:v>
      </x:c>
    </x:row>
    <x:row r="4075">
      <x:c r="A4075" t="str" s="2">
        <x:f>="Ava Martin Martin"</x:f>
      </x:c>
      <x:c r="B4075" t="str" s="2">
        <x:v>Heritage Housing of Albany</x:v>
      </x:c>
      <x:c r="C4075" t="str" s="2">
        <x:v/>
      </x:c>
      <x:c r="D4075" t="str" s="2">
        <x:v>2025550139</x:v>
      </x:c>
      <x:c r="E4075" t="str" s="2">
        <x:v>alanxu0718@gmail.com</x:v>
      </x:c>
      <x:c r="F4075" t="str" s="2">
        <x:v>Website</x:v>
      </x:c>
      <x:c r="G4075" t="str" s="2">
        <x:v>Yanet Alvarez</x:v>
      </x:c>
      <x:c r="H4075" s="6">
        <x:v>46268.982496296296</x:v>
      </x:c>
      <x:c r="I4075" s="0"/>
      <x:c r="J4075" s="0"/>
      <x:c r="K4075" s="6">
        <x:v>46303.8491496875</x:v>
      </x:c>
      <x:c r="L4075" t="str" s="2">
        <x:v>Message Sent</x:v>
      </x:c>
    </x:row>
    <x:row r="4076">
      <x:c r="A4076" t="str" s="2">
        <x:f>="James Smith"</x:f>
      </x:c>
      <x:c r="B4076" t="str" s="2">
        <x:v>Heritage Housing of Athens</x:v>
      </x:c>
      <x:c r="C4076" t="str" s="2">
        <x:v/>
      </x:c>
      <x:c r="D4076" t="str" s="2">
        <x:v>7707719175</x:v>
      </x:c>
      <x:c r="E4076" t="str" s="2">
        <x:v>patricksm1964@gmail.com</x:v>
      </x:c>
      <x:c r="F4076" t="str" s="2">
        <x:v>Youtube</x:v>
      </x:c>
      <x:c r="G4076" t="str" s="2">
        <x:v>Nathan Bishop</x:v>
      </x:c>
      <x:c r="H4076" s="6">
        <x:v>46268.98782630787</x:v>
      </x:c>
      <x:c r="I4076" s="0"/>
      <x:c r="J4076" s="0"/>
      <x:c r="K4076" s="6">
        <x:v>46288</x:v>
      </x:c>
      <x:c r="L4076" t="str" s="2">
        <x:v>Message Sent</x:v>
      </x:c>
    </x:row>
    <x:row r="4077">
      <x:c r="A4077" t="str" s="2">
        <x:f>="Michael Wheeland"</x:f>
      </x:c>
      <x:c r="B4077" t="str" s="2">
        <x:v>Heritage Housing of Tulsa</x:v>
      </x:c>
      <x:c r="C4077" t="str" s="2">
        <x:v/>
      </x:c>
      <x:c r="D4077" t="str" s="2">
        <x:v>9189067392</x:v>
      </x:c>
      <x:c r="E4077" t="str" s="2">
        <x:v>mjwheeland79@gmail.com</x:v>
      </x:c>
      <x:c r="F4077" t="str" s="2">
        <x:v>Landing_BPM</x:v>
      </x:c>
      <x:c r="G4077" t="str" s="2">
        <x:v>Jenna Fransisco</x:v>
      </x:c>
      <x:c r="H4077" s="6">
        <x:v>46269.00469826389</x:v>
      </x:c>
      <x:c r="I4077" s="0"/>
      <x:c r="J4077" s="0"/>
      <x:c r="K4077" s="6">
        <x:v>46287</x:v>
      </x:c>
      <x:c r="L4077" t="str" s="2">
        <x:v>Message Sent</x:v>
      </x:c>
    </x:row>
    <x:row r="4078">
      <x:c r="A4078" t="str" s="2">
        <x:f>="Timothy Ruehlen"</x:f>
      </x:c>
      <x:c r="B4078" t="str" s="2">
        <x:v>Heritage Housing of Jennings</x:v>
      </x:c>
      <x:c r="C4078" t="str" s="2">
        <x:v/>
      </x:c>
      <x:c r="D4078" t="str" s="2">
        <x:v>3374381759</x:v>
      </x:c>
      <x:c r="E4078" t="str" s="2">
        <x:v>bikertim6768@gmail.com</x:v>
      </x:c>
      <x:c r="F4078" t="str" s="2">
        <x:v>Youtube</x:v>
      </x:c>
      <x:c r="G4078" t="str" s="2">
        <x:v>Mervin Leslie Smith</x:v>
      </x:c>
      <x:c r="H4078" s="6">
        <x:v>46269.012127002316</x:v>
      </x:c>
      <x:c r="I4078" s="0"/>
      <x:c r="J4078" s="0"/>
      <x:c r="K4078" s="6">
        <x:v>46302.70613912037</x:v>
      </x:c>
      <x:c r="L4078" t="str" s="2">
        <x:v>Message Sent</x:v>
      </x:c>
    </x:row>
    <x:row r="4079">
      <x:c r="A4079" t="str" s="2">
        <x:f>="Linda Burley"</x:f>
      </x:c>
      <x:c r="B4079" t="str" s="2">
        <x:v>Heritage Housing of Canton</x:v>
      </x:c>
      <x:c r="C4079" t="str" s="2">
        <x:v/>
      </x:c>
      <x:c r="D4079" t="str" s="2">
        <x:v>4698201686</x:v>
      </x:c>
      <x:c r="E4079" t="str" s="2">
        <x:v>burleylinda556@gmail.com</x:v>
      </x:c>
      <x:c r="F4079" t="str" s="2">
        <x:v>Financing Form</x:v>
      </x:c>
      <x:c r="G4079" t="str" s="2">
        <x:v>Jacob Hatten</x:v>
      </x:c>
      <x:c r="H4079" s="6">
        <x:v>46269.027425844906</x:v>
      </x:c>
      <x:c r="I4079" s="0"/>
      <x:c r="J4079" s="0"/>
      <x:c r="K4079" s="6">
        <x:v>46293</x:v>
      </x:c>
      <x:c r="L4079" t="str" s="2">
        <x:v>Message Sent</x:v>
      </x:c>
    </x:row>
    <x:row r="4080">
      <x:c r="A4080" t="str" s="2">
        <x:f>="Rania Treadwell"</x:f>
      </x:c>
      <x:c r="B4080" t="str" s="2">
        <x:v>Heritage Housing of Tulsa</x:v>
      </x:c>
      <x:c r="C4080" t="str" s="2">
        <x:v/>
      </x:c>
      <x:c r="D4080" t="str" s="2">
        <x:v>9185704781</x:v>
      </x:c>
      <x:c r="E4080" t="str" s="2">
        <x:v>raniatreadwell2012@gmail.com</x:v>
      </x:c>
      <x:c r="F4080" t="str" s="2">
        <x:v>Landing_BPM</x:v>
      </x:c>
      <x:c r="G4080" t="str" s="2">
        <x:v>Jenna Fransisco</x:v>
      </x:c>
      <x:c r="H4080" s="6">
        <x:v>46269.08366365741</x:v>
      </x:c>
      <x:c r="I4080" s="0"/>
      <x:c r="J4080" s="0"/>
      <x:c r="K4080" s="6">
        <x:v>46279</x:v>
      </x:c>
      <x:c r="L4080" t="str" s="2">
        <x:v>Message Sent</x:v>
      </x:c>
    </x:row>
    <x:row r="4081">
      <x:c r="A4081" t="str" s="2">
        <x:f>="Raymond Lynch"</x:f>
      </x:c>
      <x:c r="B4081" t="str" s="2">
        <x:v>Heritage Housing of Tulsa</x:v>
      </x:c>
      <x:c r="C4081" t="str" s="2">
        <x:v/>
      </x:c>
      <x:c r="D4081" t="str" s="2">
        <x:v>5393502382</x:v>
      </x:c>
      <x:c r="E4081" t="str" s="2">
        <x:v>Cardinals18556@yahoo.com</x:v>
      </x:c>
      <x:c r="F4081" t="str" s="2">
        <x:v>Youtube</x:v>
      </x:c>
      <x:c r="G4081" t="str" s="2">
        <x:v>Jenna Fransisco</x:v>
      </x:c>
      <x:c r="H4081" s="6">
        <x:v>46269.084513043985</x:v>
      </x:c>
      <x:c r="I4081" s="0"/>
      <x:c r="J4081" s="0"/>
      <x:c r="K4081" s="6">
        <x:v>46270</x:v>
      </x:c>
      <x:c r="L4081" t="str" s="2">
        <x:v>Message Sent</x:v>
      </x:c>
    </x:row>
    <x:row r="4082">
      <x:c r="A4082" t="str" s="2">
        <x:f>="Bianca Finnigan"</x:f>
      </x:c>
      <x:c r="B4082" t="str" s="2">
        <x:v>Heritage Housing of Tulsa</x:v>
      </x:c>
      <x:c r="C4082" t="str" s="2">
        <x:v/>
      </x:c>
      <x:c r="D4082" t="str" s="2">
        <x:v>7738163726</x:v>
      </x:c>
      <x:c r="E4082" t="str" s="2">
        <x:v>bfinn8189@icloud.com</x:v>
      </x:c>
      <x:c r="F4082" t="str" s="2">
        <x:v>Landing_BPM</x:v>
      </x:c>
      <x:c r="G4082" t="str" s="2">
        <x:v>Jenna Fransisco</x:v>
      </x:c>
      <x:c r="H4082" s="6">
        <x:v>46269.12675188657</x:v>
      </x:c>
      <x:c r="I4082" s="0"/>
      <x:c r="J4082" s="0"/>
      <x:c r="K4082" s="6">
        <x:v>46279.85289938658</x:v>
      </x:c>
      <x:c r="L4082" t="str" s="2">
        <x:v>Message Sent</x:v>
      </x:c>
    </x:row>
    <x:row r="4083">
      <x:c r="A4083" t="str" s="2">
        <x:f>=HYPERLINK("https://rsms.futurehomex.com/lead/39666", "John Welty")</x:f>
      </x:c>
      <x:c r="B4083" t="str" s="2">
        <x:v>Heritage Housing of Oklahoma City</x:v>
      </x:c>
      <x:c r="C4083" t="str" s="2">
        <x:v/>
      </x:c>
      <x:c r="D4083" t="str" s="2">
        <x:v>5802847097</x:v>
      </x:c>
      <x:c r="E4083" t="str" s="2">
        <x:v>johnwelty85@gmail.com</x:v>
      </x:c>
      <x:c r="F4083" t="str" s="2">
        <x:v>Youtube</x:v>
      </x:c>
      <x:c r="G4083" t="str" s="2">
        <x:v>Trey Rixleben</x:v>
      </x:c>
      <x:c r="H4083" s="6">
        <x:v>46269.1318880787</x:v>
      </x:c>
      <x:c r="I4083" t="str" s="2">
        <x:v>Steve Castell</x:v>
      </x:c>
      <x:c r="J4083" s="0"/>
      <x:c r="K4083" s="6">
        <x:v>46274</x:v>
      </x:c>
      <x:c r="L4083" t="str" s="2">
        <x:v>Message Sent</x:v>
      </x:c>
    </x:row>
    <x:row r="4084">
      <x:c r="A4084" t="str" s="2">
        <x:f>="Kitt Jordan"</x:f>
      </x:c>
      <x:c r="B4084" t="str" s="2">
        <x:v>Heritage Housing of Asheboro</x:v>
      </x:c>
      <x:c r="C4084" t="str" s="2">
        <x:v/>
      </x:c>
      <x:c r="D4084" t="str" s="2">
        <x:v>5713836995</x:v>
      </x:c>
      <x:c r="E4084" t="str" s="2">
        <x:v>katessaj@gmail.com</x:v>
      </x:c>
      <x:c r="F4084" t="str" s="2">
        <x:v>Landing_BPM</x:v>
      </x:c>
      <x:c r="G4084" t="str" s="2">
        <x:v>Maria Lopez</x:v>
      </x:c>
      <x:c r="H4084" s="6">
        <x:v>46269.152726851855</x:v>
      </x:c>
      <x:c r="I4084" s="0"/>
      <x:c r="J4084" s="0"/>
      <x:c r="K4084" s="6">
        <x:v>46273</x:v>
      </x:c>
      <x:c r="L4084" t="str" s="2">
        <x:v>Message Sent</x:v>
      </x:c>
    </x:row>
    <x:row r="4085">
      <x:c r="A4085" t="str" s="2">
        <x:f>="Raymond Kirklin"</x:f>
      </x:c>
      <x:c r="B4085" t="str" s="2">
        <x:v>Heritage Housing of Jennings</x:v>
      </x:c>
      <x:c r="C4085" t="str" s="2">
        <x:v/>
      </x:c>
      <x:c r="D4085" t="str" s="2">
        <x:v>2256238762</x:v>
      </x:c>
      <x:c r="E4085" t="str" s="2">
        <x:v>raymondkirklin21@gmail.com</x:v>
      </x:c>
      <x:c r="F4085" t="str" s="2">
        <x:v>Youtube</x:v>
      </x:c>
      <x:c r="G4085" t="str" s="2">
        <x:v>Clint O'Neal</x:v>
      </x:c>
      <x:c r="H4085" s="6">
        <x:v>46269.1725502662</x:v>
      </x:c>
      <x:c r="I4085" s="0"/>
      <x:c r="J4085" s="0"/>
      <x:c r="K4085" s="6">
        <x:v>46302.65475771991</x:v>
      </x:c>
      <x:c r="L4085" t="str" s="2">
        <x:v>Message Sent</x:v>
      </x:c>
    </x:row>
    <x:row r="4086">
      <x:c r="A4086" t="str" s="2">
        <x:f>=HYPERLINK("https://rsms.futurehomex.com/lead/39668", "Myranda Heath")</x:f>
      </x:c>
      <x:c r="B4086" t="str" s="2">
        <x:v>Heritage Housing of Oklahoma City</x:v>
      </x:c>
      <x:c r="C4086" t="str" s="2">
        <x:v/>
      </x:c>
      <x:c r="D4086" t="str" s="2">
        <x:v>5803706814</x:v>
      </x:c>
      <x:c r="E4086" t="str" s="2">
        <x:v>randiheath1989@gmail.com</x:v>
      </x:c>
      <x:c r="F4086" t="str" s="2">
        <x:v>Landing_BPM</x:v>
      </x:c>
      <x:c r="G4086" t="str" s="2">
        <x:v>Steve Castell</x:v>
      </x:c>
      <x:c r="H4086" s="6">
        <x:v>46269.22948877315</x:v>
      </x:c>
      <x:c r="I4086" t="str" s="2">
        <x:v>Steve Castell</x:v>
      </x:c>
      <x:c r="J4086" s="0"/>
      <x:c r="K4086" s="6">
        <x:v>46274</x:v>
      </x:c>
      <x:c r="L4086" t="str" s="2">
        <x:v>Message Sent</x:v>
      </x:c>
    </x:row>
    <x:row r="4087">
      <x:c r="A4087" t="str" s="2">
        <x:f>="Ren Harris"</x:f>
      </x:c>
      <x:c r="B4087" t="str" s="2">
        <x:v>Heritage Housing of Canton</x:v>
      </x:c>
      <x:c r="C4087" t="str" s="2">
        <x:v/>
      </x:c>
      <x:c r="D4087" t="str" s="2">
        <x:v>9039984145</x:v>
      </x:c>
      <x:c r="E4087" t="str" s="2">
        <x:v>harrisser0408@icloud.com</x:v>
      </x:c>
      <x:c r="F4087" t="str" s="2">
        <x:v>Landing_BPM</x:v>
      </x:c>
      <x:c r="G4087" t="str" s="2">
        <x:v>Maira Garcia</x:v>
      </x:c>
      <x:c r="H4087" s="6">
        <x:v>46269.27746400463</x:v>
      </x:c>
      <x:c r="I4087" s="0"/>
      <x:c r="J4087" s="0"/>
      <x:c r="K4087" s="6">
        <x:v>46269</x:v>
      </x:c>
      <x:c r="L4087" t="str" s="2">
        <x:v>Message Sent</x:v>
      </x:c>
    </x:row>
    <x:row r="4088">
      <x:c r="A4088" t="str" s="2">
        <x:f>="Sherrie Boudreaux"</x:f>
      </x:c>
      <x:c r="B4088" t="str" s="2">
        <x:v>Heritage Housing of Jennings</x:v>
      </x:c>
      <x:c r="C4088" t="str" s="2">
        <x:v/>
      </x:c>
      <x:c r="D4088" t="str" s="2">
        <x:v>3374653210</x:v>
      </x:c>
      <x:c r="E4088" t="str" s="2">
        <x:v>boodrosha@gmail.com</x:v>
      </x:c>
      <x:c r="F4088" t="str" s="2">
        <x:v>Landing_BPM</x:v>
      </x:c>
      <x:c r="G4088" t="str" s="2">
        <x:v>Mervin Leslie Smith</x:v>
      </x:c>
      <x:c r="H4088" s="6">
        <x:v>46269.3375252662</x:v>
      </x:c>
      <x:c r="I4088" s="0"/>
      <x:c r="J4088" s="0"/>
      <x:c r="K4088" s="6">
        <x:v>46302.70650211805</x:v>
      </x:c>
      <x:c r="L4088" t="str" s="2">
        <x:v>Message Sent</x:v>
      </x:c>
    </x:row>
    <x:row r="4089">
      <x:c r="A4089" t="str" s="2">
        <x:f>="DOMINIQUE Graham"</x:f>
      </x:c>
      <x:c r="B4089" t="str" s="2">
        <x:v>Legacy Housing Corp. DBA Americasa</x:v>
      </x:c>
      <x:c r="C4089" t="str" s="2">
        <x:v/>
      </x:c>
      <x:c r="D4089" t="str" s="2">
        <x:v>915,2913819</x:v>
      </x:c>
      <x:c r="E4089" t="str" s="2">
        <x:v>hungrytrucker44@outlook.com</x:v>
      </x:c>
      <x:c r="F4089" t="str" s="2">
        <x:v>Landing_BPM</x:v>
      </x:c>
      <x:c r="G4089" t="str" s="2">
        <x:v>Jose Parada</x:v>
      </x:c>
      <x:c r="H4089" s="6">
        <x:v>46269.3708630787</x:v>
      </x:c>
      <x:c r="I4089" s="0"/>
      <x:c r="J4089" s="0"/>
      <x:c r="K4089" s="6">
        <x:v>46269</x:v>
      </x:c>
      <x:c r="L4089" t="str" s="2">
        <x:v>Message Sent</x:v>
      </x:c>
    </x:row>
    <x:row r="4090">
      <x:c r="A4090" t="str" s="2">
        <x:f>="Layredt layredt Flores-uribe"</x:f>
      </x:c>
      <x:c r="B4090" t="str" s="2">
        <x:v>Heritage Housing of Albany</x:v>
      </x:c>
      <x:c r="C4090" t="str" s="2">
        <x:v/>
      </x:c>
      <x:c r="D4090" t="str" s="2">
        <x:v>4053128068</x:v>
      </x:c>
      <x:c r="E4090" t="str" s="2">
        <x:v>layredtf@gmail.com</x:v>
      </x:c>
      <x:c r="F4090" t="str" s="2">
        <x:v>Financing Form</x:v>
      </x:c>
      <x:c r="G4090" t="str" s="2">
        <x:v>Justin Johnson</x:v>
      </x:c>
      <x:c r="H4090" s="6">
        <x:v>46269.377413229166</x:v>
      </x:c>
      <x:c r="I4090" s="0"/>
      <x:c r="J4090" s="0"/>
      <x:c r="K4090" s="6">
        <x:v>46280</x:v>
      </x:c>
      <x:c r="L4090" t="str" s="2">
        <x:v>Message Sent</x:v>
      </x:c>
    </x:row>
    <x:row r="4091">
      <x:c r="A4091" t="str" s="2">
        <x:f>="Ashley Jacobs"</x:f>
      </x:c>
      <x:c r="B4091" t="str" s="2">
        <x:v>Legacy Housing Corp. DBA Americasa</x:v>
      </x:c>
      <x:c r="C4091" t="str" s="2">
        <x:v/>
      </x:c>
      <x:c r="D4091" t="str" s="2">
        <x:v>3465001314</x:v>
      </x:c>
      <x:c r="E4091" t="str" s="2">
        <x:v>ajacobs6279@gmail.com</x:v>
      </x:c>
      <x:c r="F4091" t="str" s="2">
        <x:v>Financing Form</x:v>
      </x:c>
      <x:c r="G4091" t="str" s="2">
        <x:v>Rodrigo Ramirez</x:v>
      </x:c>
      <x:c r="H4091" s="6">
        <x:v>46269.421850844905</x:v>
      </x:c>
      <x:c r="I4091" s="0"/>
      <x:c r="J4091" s="0"/>
      <x:c r="K4091" s="6">
        <x:v>46272</x:v>
      </x:c>
      <x:c r="L4091" t="str" s="2">
        <x:v>Message Sent</x:v>
      </x:c>
    </x:row>
    <x:row r="4092">
      <x:c r="A4092" t="str" s="2">
        <x:f>="Brandon Owens"</x:f>
      </x:c>
      <x:c r="B4092" t="str" s="2">
        <x:v>Heritage Housing of Augusta</x:v>
      </x:c>
      <x:c r="C4092" t="str" s="2">
        <x:v/>
      </x:c>
      <x:c r="D4092" t="str" s="2">
        <x:v>8033177620</x:v>
      </x:c>
      <x:c r="E4092" t="str" s="2">
        <x:v>brandonowensa@gmail.com</x:v>
      </x:c>
      <x:c r="F4092" t="str" s="2">
        <x:v>Landing_BPM</x:v>
      </x:c>
      <x:c r="G4092" t="str" s="2">
        <x:v>Faye Lively</x:v>
      </x:c>
      <x:c r="H4092" s="6">
        <x:v>46269.47542372685</x:v>
      </x:c>
      <x:c r="I4092" s="0"/>
      <x:c r="J4092" s="0"/>
      <x:c r="K4092" s="6">
        <x:v>46273.82095127315</x:v>
      </x:c>
      <x:c r="L4092" t="str" s="2">
        <x:v>Message Sent</x:v>
      </x:c>
    </x:row>
    <x:row r="4093">
      <x:c r="A4093" t="str" s="2">
        <x:f>="Carlos Centeno"</x:f>
      </x:c>
      <x:c r="B4093" t="str" s="2">
        <x:v>Heritage Housing of Tulsa</x:v>
      </x:c>
      <x:c r="C4093" t="str" s="2">
        <x:v/>
      </x:c>
      <x:c r="D4093" t="str" s="2">
        <x:v>9189543393</x:v>
      </x:c>
      <x:c r="E4093" t="str" s="2">
        <x:v>ccarlosa437@gmail.com</x:v>
      </x:c>
      <x:c r="F4093" t="str" s="2">
        <x:v>Landing_BPM</x:v>
      </x:c>
      <x:c r="G4093" t="str" s="2">
        <x:v>Jenna Fransisco</x:v>
      </x:c>
      <x:c r="H4093" s="6">
        <x:v>46269.48129556713</x:v>
      </x:c>
      <x:c r="I4093" s="0"/>
      <x:c r="J4093" s="0"/>
      <x:c r="K4093" s="6">
        <x:v>46279.85116982639</x:v>
      </x:c>
      <x:c r="L4093" t="str" s="2">
        <x:v>Message Sent</x:v>
      </x:c>
    </x:row>
    <x:row r="4094">
      <x:c r="A4094" t="str" s="2">
        <x:f>="Augustus Sumner"</x:f>
      </x:c>
      <x:c r="B4094" t="str" s="2">
        <x:v>Heritage Housing of Tulsa</x:v>
      </x:c>
      <x:c r="C4094" t="str" s="2">
        <x:v/>
      </x:c>
      <x:c r="D4094" t="str" s="2">
        <x:v>4055620796</x:v>
      </x:c>
      <x:c r="E4094" t="str" s="2">
        <x:v>gussumnerlions70@icloud.com</x:v>
      </x:c>
      <x:c r="F4094" t="str" s="2">
        <x:v>LandingPage</x:v>
      </x:c>
      <x:c r="G4094" t="str" s="2">
        <x:v>Jenna Fransisco</x:v>
      </x:c>
      <x:c r="H4094" s="6">
        <x:v>46269.55266959491</x:v>
      </x:c>
      <x:c r="I4094" s="0"/>
      <x:c r="J4094" s="0"/>
      <x:c r="K4094" s="6">
        <x:v>46270</x:v>
      </x:c>
      <x:c r="L4094" t="str" s="2">
        <x:v>Message Sent</x:v>
      </x:c>
    </x:row>
    <x:row r="4095">
      <x:c r="A4095" t="str" s="2">
        <x:f>="Kimberly Cox"</x:f>
      </x:c>
      <x:c r="B4095" t="str" s="2">
        <x:v>Heritage Housing of Asheboro</x:v>
      </x:c>
      <x:c r="C4095" t="str" s="2">
        <x:v/>
      </x:c>
      <x:c r="D4095" t="str" s="2">
        <x:v>3173068350</x:v>
      </x:c>
      <x:c r="E4095" t="str" s="2">
        <x:v>kimberlykotas@yahoo.com</x:v>
      </x:c>
      <x:c r="F4095" t="str" s="2">
        <x:v>Landing_BPM</x:v>
      </x:c>
      <x:c r="G4095" t="str" s="2">
        <x:v>Maria Lopez</x:v>
      </x:c>
      <x:c r="H4095" s="6">
        <x:v>46269.55743784722</x:v>
      </x:c>
      <x:c r="I4095" s="0"/>
      <x:c r="J4095" s="0"/>
      <x:c r="K4095" s="6">
        <x:v>46307</x:v>
      </x:c>
      <x:c r="L4095" t="str" s="2">
        <x:v>Message Sent</x:v>
      </x:c>
    </x:row>
    <x:row r="4096">
      <x:c r="A4096" t="str" s="2">
        <x:f>="Keyonda Webb"</x:f>
      </x:c>
      <x:c r="B4096" t="str" s="2">
        <x:v>Heritage Housing Gainesville</x:v>
      </x:c>
      <x:c r="C4096" t="str" s="2">
        <x:v/>
      </x:c>
      <x:c r="D4096" t="str" s="2">
        <x:v>3184652496</x:v>
      </x:c>
      <x:c r="E4096" t="str" s="2">
        <x:v>keyondawebb@gmail.com</x:v>
      </x:c>
      <x:c r="F4096" t="str" s="2">
        <x:v>Landing_BPM</x:v>
      </x:c>
      <x:c r="G4096" t="str" s="2">
        <x:v>Kelly Ford</x:v>
      </x:c>
      <x:c r="H4096" s="6">
        <x:v>46269.58612457176</x:v>
      </x:c>
      <x:c r="I4096" s="0"/>
      <x:c r="J4096" s="0"/>
      <x:c r="K4096" s="6">
        <x:v>46297</x:v>
      </x:c>
      <x:c r="L4096" t="str" s="2">
        <x:v>Message Sent</x:v>
      </x:c>
    </x:row>
    <x:row r="4097">
      <x:c r="A4097" t="str" s="2">
        <x:f>="Candy Long"</x:f>
      </x:c>
      <x:c r="B4097" t="str" s="2">
        <x:v>Heritage Housing of Tulsa</x:v>
      </x:c>
      <x:c r="C4097" t="str" s="2">
        <x:v/>
      </x:c>
      <x:c r="D4097" t="str" s="2">
        <x:v>7276146226</x:v>
      </x:c>
      <x:c r="E4097" t="str" s="2">
        <x:v>candy4long@gmail.com</x:v>
      </x:c>
      <x:c r="F4097" t="str" s="2">
        <x:v>Bing - Search</x:v>
      </x:c>
      <x:c r="G4097" t="str" s="2">
        <x:v>Jenna Fransisco</x:v>
      </x:c>
      <x:c r="H4097" s="6">
        <x:v>46269.59422121528</x:v>
      </x:c>
      <x:c r="I4097" s="0"/>
      <x:c r="J4097" s="0"/>
      <x:c r="K4097" s="6">
        <x:v>46270</x:v>
      </x:c>
      <x:c r="L4097" t="str" s="2">
        <x:v>Message Sent</x:v>
      </x:c>
    </x:row>
    <x:row r="4098">
      <x:c r="A4098" t="str" s="2">
        <x:f>="Brandon Brewer"</x:f>
      </x:c>
      <x:c r="B4098" t="str" s="2">
        <x:v>Heritage Housing of Tulsa</x:v>
      </x:c>
      <x:c r="C4098" t="str" s="2">
        <x:v/>
      </x:c>
      <x:c r="D4098" t="str" s="2">
        <x:v>9188616267</x:v>
      </x:c>
      <x:c r="E4098" t="str" s="2">
        <x:v>brandonbrewerks@gmail.com</x:v>
      </x:c>
      <x:c r="F4098" t="str" s="2">
        <x:v>Youtube</x:v>
      </x:c>
      <x:c r="G4098" t="str" s="2">
        <x:v>Jenna Fransisco</x:v>
      </x:c>
      <x:c r="H4098" s="6">
        <x:v>46269.63003730324</x:v>
      </x:c>
      <x:c r="I4098" s="0"/>
      <x:c r="J4098" s="0"/>
      <x:c r="K4098" s="6">
        <x:v>46270</x:v>
      </x:c>
      <x:c r="L4098" t="str" s="2">
        <x:v>Message Sent</x:v>
      </x:c>
    </x:row>
    <x:row r="4099">
      <x:c r="A4099" t="str" s="2">
        <x:f>="Theresa Brunt"</x:f>
      </x:c>
      <x:c r="B4099" t="str" s="2">
        <x:v>Heritage Housing of Asheboro</x:v>
      </x:c>
      <x:c r="C4099" t="str" s="2">
        <x:v/>
      </x:c>
      <x:c r="D4099" t="str" s="2">
        <x:v>8283101009</x:v>
      </x:c>
      <x:c r="E4099" t="str" s="2">
        <x:v>terribrunt10@gmail.com</x:v>
      </x:c>
      <x:c r="F4099" t="str" s="2">
        <x:v>Financing Form</x:v>
      </x:c>
      <x:c r="G4099" t="str" s="2">
        <x:v>Kate Gutierrez</x:v>
      </x:c>
      <x:c r="H4099" s="6">
        <x:v>46269.63045355324</x:v>
      </x:c>
      <x:c r="I4099" s="0"/>
      <x:c r="J4099" s="0"/>
      <x:c r="K4099" s="6">
        <x:v>46274</x:v>
      </x:c>
      <x:c r="L4099" t="str" s="2">
        <x:v>Message Sent</x:v>
      </x:c>
    </x:row>
    <x:row r="4100">
      <x:c r="A4100" t="str" s="2">
        <x:f>="LEANNA HARPER"</x:f>
      </x:c>
      <x:c r="B4100" t="str" s="2">
        <x:v>Heritage Housing of Athens</x:v>
      </x:c>
      <x:c r="C4100" t="str" s="2">
        <x:v/>
      </x:c>
      <x:c r="D4100" t="str" s="2">
        <x:v>864-533-5850</x:v>
      </x:c>
      <x:c r="E4100" t="str" s="2">
        <x:v>goingingrace@gmail.com</x:v>
      </x:c>
      <x:c r="F4100" t="str" s="2">
        <x:v>Bing - Search</x:v>
      </x:c>
      <x:c r="G4100" t="str" s="2">
        <x:v>Nathan Bishop</x:v>
      </x:c>
      <x:c r="H4100" s="6">
        <x:v>46269.64868232639</x:v>
      </x:c>
      <x:c r="I4100" s="0"/>
      <x:c r="J4100" s="0"/>
      <x:c r="K4100" s="6">
        <x:v>46288.865176354164</x:v>
      </x:c>
      <x:c r="L4100" t="str" s="2">
        <x:v>Message Sent</x:v>
      </x:c>
    </x:row>
    <x:row r="4101">
      <x:c r="A4101" t="str" s="2">
        <x:f>="BRANDY GAUTREAUX"</x:f>
      </x:c>
      <x:c r="B4101" t="str" s="2">
        <x:v>Heritage Housing of Jennings</x:v>
      </x:c>
      <x:c r="C4101" t="str" s="2">
        <x:v/>
      </x:c>
      <x:c r="D4101" t="str" s="2">
        <x:v>3374596262</x:v>
      </x:c>
      <x:c r="E4101" t="str" s="2">
        <x:v>NICKYG70586@YAHOO.COM</x:v>
      </x:c>
      <x:c r="F4101" t="str" s="2">
        <x:v>LandingPage</x:v>
      </x:c>
      <x:c r="G4101" t="str" s="2">
        <x:v>Clint O'Neal</x:v>
      </x:c>
      <x:c r="H4101" s="6">
        <x:v>46269.67359791667</x:v>
      </x:c>
      <x:c r="I4101" s="0"/>
      <x:c r="J4101" s="0"/>
      <x:c r="K4101" s="6">
        <x:v>46302.70681805556</x:v>
      </x:c>
      <x:c r="L4101" t="str" s="2">
        <x:v>Message Sent</x:v>
      </x:c>
    </x:row>
    <x:row r="4102">
      <x:c r="A4102" t="str" s="2">
        <x:f>="Francois Pollard"</x:f>
      </x:c>
      <x:c r="B4102" t="str" s="2">
        <x:v>Heritage Housing of Athens</x:v>
      </x:c>
      <x:c r="C4102" t="str" s="2">
        <x:v/>
      </x:c>
      <x:c r="D4102" t="str" s="2">
        <x:v>6016146036</x:v>
      </x:c>
      <x:c r="E4102" t="str" s="2">
        <x:v>semajpollard23@gmail.com</x:v>
      </x:c>
      <x:c r="F4102" t="str" s="2">
        <x:v>Landing_BPM</x:v>
      </x:c>
      <x:c r="G4102" t="str" s="2">
        <x:v>Nathan Bishop</x:v>
      </x:c>
      <x:c r="H4102" s="6">
        <x:v>46269.70117337963</x:v>
      </x:c>
      <x:c r="I4102" s="0"/>
      <x:c r="J4102" s="0"/>
      <x:c r="K4102" s="6">
        <x:v>46288</x:v>
      </x:c>
      <x:c r="L4102" t="str" s="2">
        <x:v>Message Sent</x:v>
      </x:c>
    </x:row>
    <x:row r="4103">
      <x:c r="A4103" t="str" s="2">
        <x:f>="Taylor Helmer"</x:f>
      </x:c>
      <x:c r="B4103" t="str" s="2">
        <x:v>Heritage Housing of Canton</x:v>
      </x:c>
      <x:c r="C4103" t="str" s="2">
        <x:v/>
      </x:c>
      <x:c r="D4103" t="str" s="2">
        <x:v>2145359700</x:v>
      </x:c>
      <x:c r="E4103" t="str" s="2">
        <x:v>helmertaylor666@gmail.com</x:v>
      </x:c>
      <x:c r="F4103" t="str" s="2">
        <x:v>Youtube</x:v>
      </x:c>
      <x:c r="G4103" t="str" s="2">
        <x:v>Maira Garcia</x:v>
      </x:c>
      <x:c r="H4103" s="6">
        <x:v>46269.71577862268</x:v>
      </x:c>
      <x:c r="I4103" s="0"/>
      <x:c r="J4103" s="0"/>
      <x:c r="K4103" s="6">
        <x:v>46269</x:v>
      </x:c>
      <x:c r="L4103" t="str" s="2">
        <x:v>Message Sent</x:v>
      </x:c>
    </x:row>
    <x:row r="4104">
      <x:c r="A4104" t="str" s="2">
        <x:f>="Darnell Mills"</x:f>
      </x:c>
      <x:c r="B4104" t="str" s="2">
        <x:v>Heritage Housing of Asheboro</x:v>
      </x:c>
      <x:c r="C4104" t="str" s="2">
        <x:v/>
      </x:c>
      <x:c r="D4104" t="str" s="2">
        <x:v>7043090121</x:v>
      </x:c>
      <x:c r="E4104" t="str" s="2">
        <x:v>darnellmills445@gmail.com</x:v>
      </x:c>
      <x:c r="F4104" t="str" s="2">
        <x:v>Youtube</x:v>
      </x:c>
      <x:c r="G4104" t="str" s="2">
        <x:v>Maria Lopez</x:v>
      </x:c>
      <x:c r="H4104" s="6">
        <x:v>46269.720611805555</x:v>
      </x:c>
      <x:c r="I4104" s="0"/>
      <x:c r="J4104" s="0"/>
      <x:c r="K4104" s="6">
        <x:v>46269</x:v>
      </x:c>
      <x:c r="L4104" t="str" s="2">
        <x:v>Message Sent</x:v>
      </x:c>
    </x:row>
    <x:row r="4105">
      <x:c r="A4105" t="str" s="2">
        <x:f>="Michael Price"</x:f>
      </x:c>
      <x:c r="B4105" t="str" s="2">
        <x:v>Legacy Housing Corp. DBA Americasa</x:v>
      </x:c>
      <x:c r="C4105" t="str" s="2">
        <x:v/>
      </x:c>
      <x:c r="D4105" t="str" s="2">
        <x:v>8326581745</x:v>
      </x:c>
      <x:c r="E4105" t="str" s="2">
        <x:v>mprice3772@gmail.com</x:v>
      </x:c>
      <x:c r="F4105" t="str" s="2">
        <x:v>Landing_BPM</x:v>
      </x:c>
      <x:c r="G4105" t="str" s="2">
        <x:v>Jose Parada</x:v>
      </x:c>
      <x:c r="H4105" s="6">
        <x:v>46269.73150559028</x:v>
      </x:c>
      <x:c r="I4105" s="0"/>
      <x:c r="J4105" s="0"/>
      <x:c r="K4105" s="6">
        <x:v>46273</x:v>
      </x:c>
      <x:c r="L4105" t="str" s="2">
        <x:v>Message Sent</x:v>
      </x:c>
    </x:row>
    <x:row r="4106">
      <x:c r="A4106" t="str" s="2">
        <x:f>="Natasha Latalladi"</x:f>
      </x:c>
      <x:c r="B4106" t="str" s="2">
        <x:v>Heritage Housing of Athens</x:v>
      </x:c>
      <x:c r="C4106" t="str" s="2">
        <x:v/>
      </x:c>
      <x:c r="D4106" t="str" s="2">
        <x:v>4045902266</x:v>
      </x:c>
      <x:c r="E4106" t="str" s="2">
        <x:v>viciousbunnies@gmail.com</x:v>
      </x:c>
      <x:c r="F4106" t="str" s="2">
        <x:v>Landing_BPM</x:v>
      </x:c>
      <x:c r="G4106" t="str" s="2">
        <x:v>Nathan Bishop</x:v>
      </x:c>
      <x:c r="H4106" s="6">
        <x:v>46269.743034756946</x:v>
      </x:c>
      <x:c r="I4106" s="0"/>
      <x:c r="J4106" s="0"/>
      <x:c r="K4106" s="6">
        <x:v>46288</x:v>
      </x:c>
      <x:c r="L4106" t="str" s="2">
        <x:v>Message Sent</x:v>
      </x:c>
    </x:row>
    <x:row r="4107">
      <x:c r="A4107" t="str" s="2">
        <x:f>="Nancy Jones"</x:f>
      </x:c>
      <x:c r="B4107" t="str" s="2">
        <x:v>Heritage Housing of Jennings</x:v>
      </x:c>
      <x:c r="C4107" t="str" s="2">
        <x:v/>
      </x:c>
      <x:c r="D4107" t="str" s="2">
        <x:v>6016604437</x:v>
      </x:c>
      <x:c r="E4107" t="str" s="2">
        <x:v>nancy39120@gmail.com</x:v>
      </x:c>
      <x:c r="F4107" t="str" s="2">
        <x:v>Youtube</x:v>
      </x:c>
      <x:c r="G4107" t="str" s="2">
        <x:v>Mervin Leslie Smith</x:v>
      </x:c>
      <x:c r="H4107" s="6">
        <x:v>46269.74734756944</x:v>
      </x:c>
      <x:c r="I4107" s="0"/>
      <x:c r="J4107" s="0"/>
      <x:c r="K4107" s="6">
        <x:v>46302.70717407407</x:v>
      </x:c>
      <x:c r="L4107" t="str" s="2">
        <x:v>Message Sent</x:v>
      </x:c>
    </x:row>
    <x:row r="4108">
      <x:c r="A4108" t="str" s="2">
        <x:f>="William Jones Jones"</x:f>
      </x:c>
      <x:c r="B4108" t="str" s="2">
        <x:v>Heritage Housing of Albany</x:v>
      </x:c>
      <x:c r="C4108" t="str" s="2">
        <x:v/>
      </x:c>
      <x:c r="D4108" t="str" s="2">
        <x:v>2025555965</x:v>
      </x:c>
      <x:c r="E4108" t="str" s="2">
        <x:v>ian.heikkila@gmail.com</x:v>
      </x:c>
      <x:c r="F4108" t="str" s="2">
        <x:v>Website</x:v>
      </x:c>
      <x:c r="G4108" t="str" s="2">
        <x:v>Justin Johnson</x:v>
      </x:c>
      <x:c r="H4108" s="6">
        <x:v>46269.74918229166</x:v>
      </x:c>
      <x:c r="I4108" s="0"/>
      <x:c r="J4108" s="0"/>
      <x:c r="K4108" s="6">
        <x:v>46280</x:v>
      </x:c>
      <x:c r="L4108" t="str" s="2">
        <x:v>Message Sent</x:v>
      </x:c>
    </x:row>
    <x:row r="4109">
      <x:c r="A4109" t="str" s="2">
        <x:f>="Katrina VanWinkle"</x:f>
      </x:c>
      <x:c r="B4109" t="str" s="2">
        <x:v>Heritage Housing of Augusta</x:v>
      </x:c>
      <x:c r="C4109" t="str" s="2">
        <x:v/>
      </x:c>
      <x:c r="D4109" t="str" s="2">
        <x:v>7066919855</x:v>
      </x:c>
      <x:c r="E4109" t="str" s="2">
        <x:v>kvanwinkle9171@gmail.com</x:v>
      </x:c>
      <x:c r="F4109" t="str" s="2">
        <x:v>Landing_BPM</x:v>
      </x:c>
      <x:c r="G4109" t="str" s="2">
        <x:v>Jennifer Johnson</x:v>
      </x:c>
      <x:c r="H4109" s="6">
        <x:v>46269.77089652778</x:v>
      </x:c>
      <x:c r="I4109" s="0"/>
      <x:c r="J4109" s="0"/>
      <x:c r="K4109" s="6">
        <x:v>46300</x:v>
      </x:c>
      <x:c r="L4109" t="str" s="2">
        <x:v>Message Sent</x:v>
      </x:c>
    </x:row>
    <x:row r="4110">
      <x:c r="A4110" t="str" s="2">
        <x:f>="Pearline French"</x:f>
      </x:c>
      <x:c r="B4110" t="str" s="2">
        <x:v>Heritage Housing of Canton</x:v>
      </x:c>
      <x:c r="C4110" t="str" s="2">
        <x:v/>
      </x:c>
      <x:c r="D4110" t="str" s="2">
        <x:v>6829780310</x:v>
      </x:c>
      <x:c r="E4110" t="str" s="2">
        <x:v>frenchpearline@gmail.com</x:v>
      </x:c>
      <x:c r="F4110" t="str" s="2">
        <x:v>Youtube</x:v>
      </x:c>
      <x:c r="G4110" t="str" s="2">
        <x:v>Jacob Hatten</x:v>
      </x:c>
      <x:c r="H4110" s="6">
        <x:v>46269.78539737269</x:v>
      </x:c>
      <x:c r="I4110" s="0"/>
      <x:c r="J4110" s="0"/>
      <x:c r="K4110" s="6">
        <x:v>46302</x:v>
      </x:c>
      <x:c r="L4110" t="str" s="2">
        <x:v>Message Sent</x:v>
      </x:c>
    </x:row>
    <x:row r="4111">
      <x:c r="A4111" t="str" s="2">
        <x:f>="Brenda Potier"</x:f>
      </x:c>
      <x:c r="B4111" t="str" s="2">
        <x:v>Heritage Housing of Jennings</x:v>
      </x:c>
      <x:c r="C4111" t="str" s="2">
        <x:v/>
      </x:c>
      <x:c r="D4111" t="str" s="2">
        <x:v>3373413347</x:v>
      </x:c>
      <x:c r="E4111" t="str" s="2">
        <x:v>leeannababineaux526@gmail.com</x:v>
      </x:c>
      <x:c r="F4111" t="str" s="2">
        <x:v>Youtube</x:v>
      </x:c>
      <x:c r="G4111" t="str" s="2">
        <x:v>Clint O'Neal</x:v>
      </x:c>
      <x:c r="H4111" s="6">
        <x:v>46269.855504513886</x:v>
      </x:c>
      <x:c r="I4111" s="0"/>
      <x:c r="J4111" s="0"/>
      <x:c r="K4111" s="6">
        <x:v>46302.707543715274</x:v>
      </x:c>
      <x:c r="L4111" t="str" s="2">
        <x:v>Message Sent</x:v>
      </x:c>
    </x:row>
    <x:row r="4112">
      <x:c r="A4112" t="str" s="2">
        <x:f>="Brittany Carpenter"</x:f>
      </x:c>
      <x:c r="B4112" t="str" s="2">
        <x:v>Heritage Housing of Canton</x:v>
      </x:c>
      <x:c r="C4112" t="str" s="2">
        <x:v/>
      </x:c>
      <x:c r="D4112" t="str" s="2">
        <x:v>6824852797</x:v>
      </x:c>
      <x:c r="E4112" t="str" s="2">
        <x:v>Acandbc4life@gmail.com</x:v>
      </x:c>
      <x:c r="F4112" t="str" s="2">
        <x:v>Youtube</x:v>
      </x:c>
      <x:c r="G4112" t="str" s="2">
        <x:v>Maira Garcia</x:v>
      </x:c>
      <x:c r="H4112" s="6">
        <x:v>46269.86800775463</x:v>
      </x:c>
      <x:c r="I4112" s="0"/>
      <x:c r="J4112" s="0"/>
      <x:c r="K4112" s="6">
        <x:v>46270</x:v>
      </x:c>
      <x:c r="L4112" t="str" s="2">
        <x:v>Message Sent</x:v>
      </x:c>
    </x:row>
    <x:row r="4113">
      <x:c r="A4113" t="str" s="2">
        <x:f>=HYPERLINK("https://rsms.futurehomex.com/lead/40079", "Francisco Gutierrez")</x:f>
      </x:c>
      <x:c r="B4113" t="str" s="2">
        <x:v>Heritage Housing of Albany</x:v>
      </x:c>
      <x:c r="C4113" t="str" s="2">
        <x:v/>
      </x:c>
      <x:c r="D4113" t="str" s="2">
        <x:v>3372757227</x:v>
      </x:c>
      <x:c r="E4113" t="str" s="2">
        <x:v>Franciscoguti4216@gmail.com</x:v>
      </x:c>
      <x:c r="F4113" t="str" s="2">
        <x:v>Financing Form</x:v>
      </x:c>
      <x:c r="G4113" t="str" s="2">
        <x:v>Yanet Alvarez</x:v>
      </x:c>
      <x:c r="H4113" s="6">
        <x:v>46269.89204024305</x:v>
      </x:c>
      <x:c r="I4113" t="str" s="2">
        <x:v>Patrick Schuchart</x:v>
      </x:c>
      <x:c r="J4113" s="0"/>
      <x:c r="K4113" s="6">
        <x:v>46280</x:v>
      </x:c>
      <x:c r="L4113" t="str" s="2">
        <x:v>Message Sent</x:v>
      </x:c>
    </x:row>
    <x:row r="4114">
      <x:c r="A4114" t="str" s="2">
        <x:f>="Colleen Frazier"</x:f>
      </x:c>
      <x:c r="B4114" t="str" s="2">
        <x:v>Heritage Housing of Jennings</x:v>
      </x:c>
      <x:c r="C4114" t="str" s="2">
        <x:v/>
      </x:c>
      <x:c r="D4114" t="str" s="2">
        <x:v>2253987870</x:v>
      </x:c>
      <x:c r="E4114" t="str" s="2">
        <x:v>colleenfrazier63@gmail.com</x:v>
      </x:c>
      <x:c r="F4114" t="str" s="2">
        <x:v>Landing_BPM</x:v>
      </x:c>
      <x:c r="G4114" t="str" s="2">
        <x:v>Clint O'Neal</x:v>
      </x:c>
      <x:c r="H4114" s="6">
        <x:v>46269.89446087963</x:v>
      </x:c>
      <x:c r="I4114" s="0"/>
      <x:c r="J4114" s="0"/>
      <x:c r="K4114" s="6">
        <x:v>46302.70856334491</x:v>
      </x:c>
      <x:c r="L4114" t="str" s="2">
        <x:v>Message Sent</x:v>
      </x:c>
    </x:row>
    <x:row r="4115">
      <x:c r="A4115" t="str" s="2">
        <x:f>="Keith Kirkbride"</x:f>
      </x:c>
      <x:c r="B4115" t="str" s="2">
        <x:v>Heritage Housing of Tulsa</x:v>
      </x:c>
      <x:c r="C4115" t="str" s="2">
        <x:v/>
      </x:c>
      <x:c r="D4115" t="str" s="2">
        <x:v>9183708747</x:v>
      </x:c>
      <x:c r="E4115" t="str" s="2">
        <x:v>keithkirkbride1962@gmail.com</x:v>
      </x:c>
      <x:c r="F4115" t="str" s="2">
        <x:v>Youtube</x:v>
      </x:c>
      <x:c r="G4115" t="str" s="2">
        <x:v>Jenna Fransisco</x:v>
      </x:c>
      <x:c r="H4115" s="6">
        <x:v>46269.89631041667</x:v>
      </x:c>
      <x:c r="I4115" s="0"/>
      <x:c r="J4115" s="0"/>
      <x:c r="K4115" s="6">
        <x:v>46270</x:v>
      </x:c>
      <x:c r="L4115" t="str" s="2">
        <x:v>Message Sent</x:v>
      </x:c>
    </x:row>
    <x:row r="4116">
      <x:c r="A4116" t="str" s="2">
        <x:f>="Sheila Wallace"</x:f>
      </x:c>
      <x:c r="B4116" t="str" s="2">
        <x:v>Heritage Housing of Asheboro</x:v>
      </x:c>
      <x:c r="C4116" t="str" s="2">
        <x:v/>
      </x:c>
      <x:c r="D4116" t="str" s="2">
        <x:v>3477779871</x:v>
      </x:c>
      <x:c r="E4116" t="str" s="2">
        <x:v>sheilawa2345@gmail.com</x:v>
      </x:c>
      <x:c r="F4116" t="str" s="2">
        <x:v>Youtube</x:v>
      </x:c>
      <x:c r="G4116" t="str" s="2">
        <x:v>Maria Lopez</x:v>
      </x:c>
      <x:c r="H4116" s="6">
        <x:v>46269.89788005787</x:v>
      </x:c>
      <x:c r="I4116" s="0"/>
      <x:c r="J4116" s="0"/>
      <x:c r="K4116" s="6">
        <x:v>46307</x:v>
      </x:c>
      <x:c r="L4116" t="str" s="2">
        <x:v>Message Sent</x:v>
      </x:c>
    </x:row>
    <x:row r="4117">
      <x:c r="A4117" t="str" s="2">
        <x:f>="Atris Fair"</x:f>
      </x:c>
      <x:c r="B4117" t="str" s="2">
        <x:v>Heritage Housing of Canton</x:v>
      </x:c>
      <x:c r="C4117" t="str" s="2">
        <x:v/>
      </x:c>
      <x:c r="D4117" t="str" s="2">
        <x:v>9728762361</x:v>
      </x:c>
      <x:c r="E4117" t="str" s="2">
        <x:v>macd653@gmail.com</x:v>
      </x:c>
      <x:c r="F4117" t="str" s="2">
        <x:v>Youtube</x:v>
      </x:c>
      <x:c r="G4117" t="str" s="2">
        <x:v>Jacob Hatten</x:v>
      </x:c>
      <x:c r="H4117" s="6">
        <x:v>46269.89832901621</x:v>
      </x:c>
      <x:c r="I4117" s="0"/>
      <x:c r="J4117" s="0"/>
      <x:c r="K4117" s="6">
        <x:v>46293</x:v>
      </x:c>
      <x:c r="L4117" t="str" s="2">
        <x:v>Message Sent</x:v>
      </x:c>
    </x:row>
    <x:row r="4118">
      <x:c r="A4118" t="str" s="2">
        <x:f>="Taryn Roeben"</x:f>
      </x:c>
      <x:c r="B4118" t="str" s="2">
        <x:v>Heritage Housing of Greenville</x:v>
      </x:c>
      <x:c r="C4118" t="str" s="2">
        <x:v/>
      </x:c>
      <x:c r="D4118" t="str" s="2">
        <x:v>9729996949</x:v>
      </x:c>
      <x:c r="E4118" t="str" s="2">
        <x:v>tarynnroebenn@icloud.com</x:v>
      </x:c>
      <x:c r="F4118" t="str" s="2">
        <x:v>Landing_BPM</x:v>
      </x:c>
      <x:c r="G4118" t="str" s="2">
        <x:v>Brooklynn Allen</x:v>
      </x:c>
      <x:c r="H4118" s="6">
        <x:v>46269.90271747685</x:v>
      </x:c>
      <x:c r="I4118" s="0"/>
      <x:c r="J4118" s="0"/>
      <x:c r="K4118" s="6">
        <x:v>46273</x:v>
      </x:c>
      <x:c r="L4118" t="str" s="2">
        <x:v>Message Sent</x:v>
      </x:c>
    </x:row>
    <x:row r="4119">
      <x:c r="A4119" t="str" s="2">
        <x:f>="Craig Hanes Hanes"</x:f>
      </x:c>
      <x:c r="B4119" t="str" s="2">
        <x:v>Heritage Housing of Tulsa</x:v>
      </x:c>
      <x:c r="C4119" t="str" s="2">
        <x:v/>
      </x:c>
      <x:c r="D4119" t="str" s="2">
        <x:v>6823516236</x:v>
      </x:c>
      <x:c r="E4119" t="str" s="2">
        <x:v>clhj1966@icloud.com</x:v>
      </x:c>
      <x:c r="F4119" t="str" s="2">
        <x:v>Landing_BPM</x:v>
      </x:c>
      <x:c r="G4119" t="str" s="2">
        <x:v>Jenna Fransisco</x:v>
      </x:c>
      <x:c r="H4119" s="6">
        <x:v>46269.934470486114</x:v>
      </x:c>
      <x:c r="I4119" s="0"/>
      <x:c r="J4119" s="0"/>
      <x:c r="K4119" s="6">
        <x:v>46282</x:v>
      </x:c>
      <x:c r="L4119" t="str" s="2">
        <x:v>Message Sent</x:v>
      </x:c>
    </x:row>
    <x:row r="4120">
      <x:c r="A4120" t="str" s="2">
        <x:f>="Tina Taylor"</x:f>
      </x:c>
      <x:c r="B4120" t="str" s="2">
        <x:v>Legacy Housing Corp. DBA Americasa</x:v>
      </x:c>
      <x:c r="C4120" t="str" s="2">
        <x:v/>
      </x:c>
      <x:c r="D4120" t="str" s="2">
        <x:v>9362990086</x:v>
      </x:c>
      <x:c r="E4120" t="str" s="2">
        <x:v>Flirtandsmile@live.com</x:v>
      </x:c>
      <x:c r="F4120" t="str" s="2">
        <x:v>Landing_BPM</x:v>
      </x:c>
      <x:c r="G4120" t="str" s="2">
        <x:v>Rodrigo Ramirez</x:v>
      </x:c>
      <x:c r="H4120" s="6">
        <x:v>46269.948967094904</x:v>
      </x:c>
      <x:c r="I4120" s="0"/>
      <x:c r="J4120" s="0"/>
      <x:c r="K4120" s="6">
        <x:v>46272</x:v>
      </x:c>
      <x:c r="L4120" t="str" s="2">
        <x:v>Message Sent</x:v>
      </x:c>
    </x:row>
    <x:row r="4121">
      <x:c r="A4121" t="str" s="2">
        <x:f>="Faith Stufflebean"</x:f>
      </x:c>
      <x:c r="B4121" t="str" s="2">
        <x:v>Heritage Housing of Athens</x:v>
      </x:c>
      <x:c r="C4121" t="str" s="2">
        <x:v>0/1</x:v>
      </x:c>
      <x:c r="D4121" t="str" s="2">
        <x:v>8709383102</x:v>
      </x:c>
      <x:c r="E4121" t="str" s="2">
        <x:v>faithstufflebean1618@gmail.com</x:v>
      </x:c>
      <x:c r="F4121" t="str" s="2">
        <x:v>Landing_BPM</x:v>
      </x:c>
      <x:c r="G4121" t="str" s="2">
        <x:v>Nathan Bishop</x:v>
      </x:c>
      <x:c r="H4121" s="6">
        <x:v>46269.96588179398</x:v>
      </x:c>
      <x:c r="I4121" s="0"/>
      <x:c r="J4121" s="0"/>
      <x:c r="K4121" s="6">
        <x:v>46282</x:v>
      </x:c>
      <x:c r="L4121" t="str" s="2">
        <x:v>Message Sent</x:v>
      </x:c>
    </x:row>
    <x:row r="4122">
      <x:c r="A4122" t="str" s="2">
        <x:f>="Tammy Vedros"</x:f>
      </x:c>
      <x:c r="B4122" t="str" s="2">
        <x:v>Heritage Housing of Jennings</x:v>
      </x:c>
      <x:c r="C4122" t="str" s="2">
        <x:v/>
      </x:c>
      <x:c r="D4122" t="str" s="2">
        <x:v>5044586138</x:v>
      </x:c>
      <x:c r="E4122" t="str" s="2">
        <x:v>whodatgirl1220@yahoo.com</x:v>
      </x:c>
      <x:c r="F4122" t="str" s="2">
        <x:v>Financing Form</x:v>
      </x:c>
      <x:c r="G4122" t="str" s="2">
        <x:v>Mervin Leslie Smith</x:v>
      </x:c>
      <x:c r="H4122" s="6">
        <x:v>46270.01126319444</x:v>
      </x:c>
      <x:c r="I4122" s="0"/>
      <x:c r="J4122" s="0"/>
      <x:c r="K4122" s="6">
        <x:v>46302.70888880787</x:v>
      </x:c>
      <x:c r="L4122" t="str" s="2">
        <x:v>Message Sent</x:v>
      </x:c>
    </x:row>
    <x:row r="4123">
      <x:c r="A4123" t="str" s="2">
        <x:f>="Michelle Wells"</x:f>
      </x:c>
      <x:c r="B4123" t="str" s="2">
        <x:v>Heritage Housing of Asheboro</x:v>
      </x:c>
      <x:c r="C4123" t="str" s="2">
        <x:v/>
      </x:c>
      <x:c r="D4123" t="str" s="2">
        <x:v>6054185607</x:v>
      </x:c>
      <x:c r="E4123" t="str" s="2">
        <x:v>bitlittle75@gmail.com</x:v>
      </x:c>
      <x:c r="F4123" t="str" s="2">
        <x:v>Landing_BPM</x:v>
      </x:c>
      <x:c r="G4123" t="str" s="2">
        <x:v>Kate Gutierrez</x:v>
      </x:c>
      <x:c r="H4123" s="6">
        <x:v>46270.01179390046</x:v>
      </x:c>
      <x:c r="I4123" s="0"/>
      <x:c r="J4123" s="0"/>
      <x:c r="K4123" s="6">
        <x:v>46270</x:v>
      </x:c>
      <x:c r="L4123" t="str" s="2">
        <x:v>Message Sent</x:v>
      </x:c>
    </x:row>
    <x:row r="4124">
      <x:c r="A4124" t="str" s="2">
        <x:f>=HYPERLINK("https://rsms.futurehomex.com/lead/39716", "Dwight Eastman")</x:f>
      </x:c>
      <x:c r="B4124" t="str" s="2">
        <x:v>Heritage Housing of Oklahoma City</x:v>
      </x:c>
      <x:c r="C4124" t="str" s="2">
        <x:v/>
      </x:c>
      <x:c r="D4124" t="str" s="2">
        <x:v>4052190453</x:v>
      </x:c>
      <x:c r="E4124" t="str" s="2">
        <x:v>dwighteastman55@gmail.com</x:v>
      </x:c>
      <x:c r="F4124" t="str" s="2">
        <x:v>Youtube</x:v>
      </x:c>
      <x:c r="G4124" t="str" s="2">
        <x:v>Steve Castell</x:v>
      </x:c>
      <x:c r="H4124" s="6">
        <x:v>46270.024126041666</x:v>
      </x:c>
      <x:c r="I4124" t="str" s="2">
        <x:v>Steve Castell</x:v>
      </x:c>
      <x:c r="J4124" s="0"/>
      <x:c r="K4124" s="6">
        <x:v>46270</x:v>
      </x:c>
      <x:c r="L4124" t="str" s="2">
        <x:v>Message Sent</x:v>
      </x:c>
    </x:row>
    <x:row r="4125">
      <x:c r="A4125" t="str" s="2">
        <x:f>=HYPERLINK("https://rsms.futurehomex.com/lead/39699", "Dominic Johnson")</x:f>
      </x:c>
      <x:c r="B4125" t="str" s="2">
        <x:v>Heritage Housing of Oklahoma City</x:v>
      </x:c>
      <x:c r="C4125" t="str" s="2">
        <x:v/>
      </x:c>
      <x:c r="D4125" t="str" s="2">
        <x:v>4055260352</x:v>
      </x:c>
      <x:c r="E4125" t="str" s="2">
        <x:v>dominicjohnson450@gmail.com</x:v>
      </x:c>
      <x:c r="F4125" t="str" s="2">
        <x:v>Landing_BPM</x:v>
      </x:c>
      <x:c r="G4125" t="str" s="2">
        <x:v>Steve Castell</x:v>
      </x:c>
      <x:c r="H4125" s="6">
        <x:v>46270.04476686342</x:v>
      </x:c>
      <x:c r="I4125" t="str" s="2">
        <x:v>Steve Castell</x:v>
      </x:c>
      <x:c r="J4125" s="0"/>
      <x:c r="K4125" s="6">
        <x:v>46270</x:v>
      </x:c>
      <x:c r="L4125" t="str" s="2">
        <x:v>Message Sent</x:v>
      </x:c>
    </x:row>
    <x:row r="4126">
      <x:c r="A4126" t="str" s="2">
        <x:f>="Angelica Felipe"</x:f>
      </x:c>
      <x:c r="B4126" t="str" s="2">
        <x:v>Heritage Housing of Canton</x:v>
      </x:c>
      <x:c r="C4126" t="str" s="2">
        <x:v/>
      </x:c>
      <x:c r="D4126" t="str" s="2">
        <x:v>4693347441</x:v>
      </x:c>
      <x:c r="E4126" t="str" s="2">
        <x:v>692143kika1982@gmail.com</x:v>
      </x:c>
      <x:c r="F4126" t="str" s="2">
        <x:v>Landing_BPM</x:v>
      </x:c>
      <x:c r="G4126" t="str" s="2">
        <x:v>Maira Garcia</x:v>
      </x:c>
      <x:c r="H4126" s="6">
        <x:v>46270.06751408565</x:v>
      </x:c>
      <x:c r="I4126" s="0"/>
      <x:c r="J4126" s="0"/>
      <x:c r="K4126" s="6">
        <x:v>46273</x:v>
      </x:c>
      <x:c r="L4126" t="str" s="2">
        <x:v>Message Sent</x:v>
      </x:c>
    </x:row>
    <x:row r="4127">
      <x:c r="A4127" t="str" s="2">
        <x:f>="Willie jenkins jenkins"</x:f>
      </x:c>
      <x:c r="B4127" t="str" s="2">
        <x:v>Heritage Housing of Augusta</x:v>
      </x:c>
      <x:c r="C4127" t="str" s="2">
        <x:v/>
      </x:c>
      <x:c r="D4127" t="str" s="2">
        <x:v>8034396191</x:v>
      </x:c>
      <x:c r="E4127" t="str" s="2">
        <x:v>missdukes79@gmail.com</x:v>
      </x:c>
      <x:c r="F4127" t="str" s="2">
        <x:v>Landing_BPM</x:v>
      </x:c>
      <x:c r="G4127" t="str" s="2">
        <x:v>Faye Lively</x:v>
      </x:c>
      <x:c r="H4127" s="6">
        <x:v>46270.072835300925</x:v>
      </x:c>
      <x:c r="I4127" s="0"/>
      <x:c r="J4127" s="0"/>
      <x:c r="K4127" s="6">
        <x:v>46279</x:v>
      </x:c>
      <x:c r="L4127" t="str" s="2">
        <x:v>Message Sent</x:v>
      </x:c>
    </x:row>
    <x:row r="4128">
      <x:c r="A4128" t="str" s="2">
        <x:f>="Erika Jones"</x:f>
      </x:c>
      <x:c r="B4128" t="str" s="2">
        <x:v>Heritage Housing of Athens</x:v>
      </x:c>
      <x:c r="C4128" t="str" s="2">
        <x:v/>
      </x:c>
      <x:c r="D4128" t="str" s="2">
        <x:v>7065670638</x:v>
      </x:c>
      <x:c r="E4128" t="str" s="2">
        <x:v>erika_prather@yahoo.com</x:v>
      </x:c>
      <x:c r="F4128" t="str" s="2">
        <x:v>Landing_BPM</x:v>
      </x:c>
      <x:c r="G4128" t="str" s="2">
        <x:v>Nathan Bishop</x:v>
      </x:c>
      <x:c r="H4128" s="6">
        <x:v>46270.08494224537</x:v>
      </x:c>
      <x:c r="I4128" s="0"/>
      <x:c r="J4128" s="0"/>
      <x:c r="K4128" s="6">
        <x:v>46270</x:v>
      </x:c>
      <x:c r="L4128" t="str" s="2">
        <x:v>Message Sent</x:v>
      </x:c>
    </x:row>
    <x:row r="4129">
      <x:c r="A4129" t="str" s="2">
        <x:f>="Latroy Wells"</x:f>
      </x:c>
      <x:c r="B4129" t="str" s="2">
        <x:v>Heritage Housing of Augusta</x:v>
      </x:c>
      <x:c r="C4129" t="str" s="2">
        <x:v>0/1</x:v>
      </x:c>
      <x:c r="D4129" t="str" s="2">
        <x:v>7069621561</x:v>
      </x:c>
      <x:c r="E4129" t="str" s="2">
        <x:v>wellstroy19k@gmail.com</x:v>
      </x:c>
      <x:c r="F4129" t="str" s="2">
        <x:v>Financing Form</x:v>
      </x:c>
      <x:c r="G4129" t="str" s="2">
        <x:v>Jennifer Johnson</x:v>
      </x:c>
      <x:c r="H4129" s="6">
        <x:v>46270.087314502314</x:v>
      </x:c>
      <x:c r="I4129" s="0"/>
      <x:c r="J4129" s="0"/>
      <x:c r="K4129" s="6">
        <x:v>46297</x:v>
      </x:c>
      <x:c r="L4129" t="str" s="2">
        <x:v>Message Sent</x:v>
      </x:c>
    </x:row>
    <x:row r="4130">
      <x:c r="A4130" t="str" s="2">
        <x:f>="Angel Wiggin"</x:f>
      </x:c>
      <x:c r="B4130" t="str" s="2">
        <x:v>Heritage Housing Marble Falls</x:v>
      </x:c>
      <x:c r="C4130" t="str" s="2">
        <x:v/>
      </x:c>
      <x:c r="D4130" t="str" s="2">
        <x:v>6822225618</x:v>
      </x:c>
      <x:c r="E4130" t="str" s="2">
        <x:v>wigginangel@yahoo.com</x:v>
      </x:c>
      <x:c r="F4130" t="str" s="2">
        <x:v>Landing_BPM</x:v>
      </x:c>
      <x:c r="G4130" t="str" s="2">
        <x:v>Stephen Sanders</x:v>
      </x:c>
      <x:c r="H4130" s="6">
        <x:v>46270.11805694445</x:v>
      </x:c>
      <x:c r="I4130" s="0"/>
      <x:c r="J4130" s="0"/>
      <x:c r="K4130" s="6">
        <x:v>46274</x:v>
      </x:c>
      <x:c r="L4130" t="str" s="2">
        <x:v>Message Sent</x:v>
      </x:c>
    </x:row>
    <x:row r="4131">
      <x:c r="A4131" t="str" s="2">
        <x:f>="Bessie Willis"</x:f>
      </x:c>
      <x:c r="B4131" t="str" s="2">
        <x:v>Heritage Housing of Athens</x:v>
      </x:c>
      <x:c r="C4131" t="str" s="2">
        <x:v/>
      </x:c>
      <x:c r="D4131" t="str" s="2">
        <x:v>7063189649</x:v>
      </x:c>
      <x:c r="E4131" t="str" s="2">
        <x:v>bessiewillis09@gmail.com</x:v>
      </x:c>
      <x:c r="F4131" t="str" s="2">
        <x:v>Landing_BPM</x:v>
      </x:c>
      <x:c r="G4131" t="str" s="2">
        <x:v>Nathan Bishop</x:v>
      </x:c>
      <x:c r="H4131" s="6">
        <x:v>46270.1214128125</x:v>
      </x:c>
      <x:c r="I4131" s="0"/>
      <x:c r="J4131" s="0"/>
      <x:c r="K4131" s="6">
        <x:v>46270</x:v>
      </x:c>
      <x:c r="L4131" t="str" s="2">
        <x:v>Message Sent</x:v>
      </x:c>
    </x:row>
    <x:row r="4132">
      <x:c r="A4132" t="str" s="2">
        <x:f>="Shelby Houston"</x:f>
      </x:c>
      <x:c r="B4132" t="str" s="2">
        <x:v>Heritage Housing Gainesville</x:v>
      </x:c>
      <x:c r="C4132" t="str" s="2">
        <x:v/>
      </x:c>
      <x:c r="D4132" t="str" s="2">
        <x:v>8179802746</x:v>
      </x:c>
      <x:c r="E4132" t="str" s="2">
        <x:v>shelby_houston@yahoo.com</x:v>
      </x:c>
      <x:c r="F4132" t="str" s="2">
        <x:v>Landing_BPM</x:v>
      </x:c>
      <x:c r="G4132" t="str" s="2">
        <x:v>Kelly Ford</x:v>
      </x:c>
      <x:c r="H4132" s="6">
        <x:v>46270.18501716435</x:v>
      </x:c>
      <x:c r="I4132" s="0"/>
      <x:c r="J4132" s="0"/>
      <x:c r="K4132" s="6">
        <x:v>46297</x:v>
      </x:c>
      <x:c r="L4132" t="str" s="2">
        <x:v>Message Sent</x:v>
      </x:c>
    </x:row>
    <x:row r="4133">
      <x:c r="A4133" t="str" s="2">
        <x:f>="Azhane Moore"</x:f>
      </x:c>
      <x:c r="B4133" t="str" s="2">
        <x:v>Heritage Housing of Greenville</x:v>
      </x:c>
      <x:c r="C4133" t="str" s="2">
        <x:v/>
      </x:c>
      <x:c r="D4133" t="str" s="2">
        <x:v>3342003946</x:v>
      </x:c>
      <x:c r="E4133" t="str" s="2">
        <x:v>mooreazhane5@gmail.com</x:v>
      </x:c>
      <x:c r="F4133" t="str" s="2">
        <x:v>Landing_BPM</x:v>
      </x:c>
      <x:c r="G4133" t="str" s="2">
        <x:v>Brooklynn Allen</x:v>
      </x:c>
      <x:c r="H4133" s="6">
        <x:v>46270.1986553588</x:v>
      </x:c>
      <x:c r="I4133" s="0"/>
      <x:c r="J4133" s="0"/>
      <x:c r="K4133" s="6">
        <x:v>46270</x:v>
      </x:c>
      <x:c r="L4133" t="str" s="2">
        <x:v>Message Sent</x:v>
      </x:c>
    </x:row>
    <x:row r="4134">
      <x:c r="A4134" t="str" s="2">
        <x:f>=HYPERLINK("https://rsms.futurehomex.com/lead/39910", "Miesha Villagomez")</x:f>
      </x:c>
      <x:c r="B4134" t="str" s="2">
        <x:v>Heritage Housing of Athens</x:v>
      </x:c>
      <x:c r="C4134" t="str" s="2">
        <x:v/>
      </x:c>
      <x:c r="D4134" t="str" s="2">
        <x:v>9106338233</x:v>
      </x:c>
      <x:c r="E4134" t="str" s="2">
        <x:v>mieshavillagomez2017@gmail.com</x:v>
      </x:c>
      <x:c r="F4134" t="str" s="2">
        <x:v>Bing - Search</x:v>
      </x:c>
      <x:c r="G4134" t="str" s="2">
        <x:v>Nathan Bishop</x:v>
      </x:c>
      <x:c r="H4134" s="6">
        <x:v>46270.22567457176</x:v>
      </x:c>
      <x:c r="I4134" t="str" s="2">
        <x:v>Nathan Bishop</x:v>
      </x:c>
      <x:c r="J4134" s="6">
        <x:v>46276.833333333336</x:v>
      </x:c>
      <x:c r="K4134" s="6">
        <x:v>46288</x:v>
      </x:c>
      <x:c r="L4134" t="str" s="2">
        <x:v>Message Sent</x:v>
      </x:c>
    </x:row>
    <x:row r="4135">
      <x:c r="A4135" t="str" s="2">
        <x:f>="Melany Moore"</x:f>
      </x:c>
      <x:c r="B4135" t="str" s="2">
        <x:v>Heritage Housing of Augusta</x:v>
      </x:c>
      <x:c r="C4135" t="str" s="2">
        <x:v>0/1</x:v>
      </x:c>
      <x:c r="D4135" t="str" s="2">
        <x:v>7622188727</x:v>
      </x:c>
      <x:c r="E4135" t="str" s="2">
        <x:v>mooremissmelany@gmail.com</x:v>
      </x:c>
      <x:c r="F4135" t="str" s="2">
        <x:v>Landing_BPM</x:v>
      </x:c>
      <x:c r="G4135" t="str" s="2">
        <x:v>Jennifer Johnson</x:v>
      </x:c>
      <x:c r="H4135" s="6">
        <x:v>46270.49521577546</x:v>
      </x:c>
      <x:c r="I4135" s="0"/>
      <x:c r="J4135" s="0"/>
      <x:c r="K4135" s="6">
        <x:v>46298</x:v>
      </x:c>
      <x:c r="L4135" t="str" s="2">
        <x:v>Message Sent</x:v>
      </x:c>
    </x:row>
    <x:row r="4136">
      <x:c r="A4136" t="str" s="2">
        <x:f>="Joanne Bondos"</x:f>
      </x:c>
      <x:c r="B4136" t="str" s="2">
        <x:v>Heritage Housing of Jennings</x:v>
      </x:c>
      <x:c r="C4136" t="str" s="2">
        <x:v/>
      </x:c>
      <x:c r="D4136" t="str" s="2">
        <x:v>9853470809</x:v>
      </x:c>
      <x:c r="E4136" t="str" s="2">
        <x:v>joanneback6910@gmail.com</x:v>
      </x:c>
      <x:c r="F4136" t="str" s="2">
        <x:v>Landing_BPM</x:v>
      </x:c>
      <x:c r="G4136" t="str" s="2">
        <x:v>Clint O'Neal</x:v>
      </x:c>
      <x:c r="H4136" s="6">
        <x:v>46270.54168283565</x:v>
      </x:c>
      <x:c r="I4136" s="0"/>
      <x:c r="J4136" s="0"/>
      <x:c r="K4136" s="6">
        <x:v>46302.709247569444</x:v>
      </x:c>
      <x:c r="L4136" t="str" s="2">
        <x:v>Message Sent</x:v>
      </x:c>
    </x:row>
    <x:row r="4137">
      <x:c r="A4137" t="str" s="2">
        <x:f>="C-Mecca A Riddick"</x:f>
      </x:c>
      <x:c r="B4137" t="str" s="2">
        <x:v>Heritage Housing of Asheboro</x:v>
      </x:c>
      <x:c r="C4137" t="str" s="2">
        <x:v/>
      </x:c>
      <x:c r="D4137" t="str" s="2">
        <x:v>7434449947</x:v>
      </x:c>
      <x:c r="E4137" t="str" s="2">
        <x:v>Cmecca15@gmail.com</x:v>
      </x:c>
      <x:c r="F4137" t="str" s="2">
        <x:v>Landing_BPM</x:v>
      </x:c>
      <x:c r="G4137" t="str" s="2">
        <x:v>Maria Lopez</x:v>
      </x:c>
      <x:c r="H4137" s="6">
        <x:v>46270.543847650464</x:v>
      </x:c>
      <x:c r="I4137" s="0"/>
      <x:c r="J4137" s="0"/>
      <x:c r="K4137" s="6">
        <x:v>46287</x:v>
      </x:c>
      <x:c r="L4137" t="str" s="2">
        <x:v>Message Sent</x:v>
      </x:c>
    </x:row>
    <x:row r="4138">
      <x:c r="A4138" t="str" s="2">
        <x:f>="Andrea PHELPS"</x:f>
      </x:c>
      <x:c r="B4138" t="str" s="2">
        <x:v>Heritage Housing of Asheboro</x:v>
      </x:c>
      <x:c r="C4138" t="str" s="2">
        <x:v/>
      </x:c>
      <x:c r="D4138" t="str" s="2">
        <x:v>7275653563</x:v>
      </x:c>
      <x:c r="E4138" t="str" s="2">
        <x:v>aphelps130@gmail.com</x:v>
      </x:c>
      <x:c r="F4138" t="str" s="2">
        <x:v>Youtube</x:v>
      </x:c>
      <x:c r="G4138" t="str" s="2">
        <x:v>Maria Lopez</x:v>
      </x:c>
      <x:c r="H4138" s="6">
        <x:v>46270.56362638889</x:v>
      </x:c>
      <x:c r="I4138" s="0"/>
      <x:c r="J4138" s="0"/>
      <x:c r="K4138" s="6">
        <x:v>46287</x:v>
      </x:c>
      <x:c r="L4138" t="str" s="2">
        <x:v>Message Sent</x:v>
      </x:c>
    </x:row>
    <x:row r="4139">
      <x:c r="A4139" t="str" s="2">
        <x:f>="Tad Helfrich"</x:f>
      </x:c>
      <x:c r="B4139" t="str" s="2">
        <x:v>Heritage Housing of Tulsa</x:v>
      </x:c>
      <x:c r="C4139" t="str" s="2">
        <x:v/>
      </x:c>
      <x:c r="D4139" t="str" s="2">
        <x:v>9187216723</x:v>
      </x:c>
      <x:c r="E4139" t="str" s="2">
        <x:v>Helfrichtad45@gmail.com</x:v>
      </x:c>
      <x:c r="F4139" t="str" s="2">
        <x:v>Youtube</x:v>
      </x:c>
      <x:c r="G4139" t="str" s="2">
        <x:v>Jenna Fransisco</x:v>
      </x:c>
      <x:c r="H4139" s="6">
        <x:v>46270.56645181713</x:v>
      </x:c>
      <x:c r="I4139" s="0"/>
      <x:c r="J4139" s="0"/>
      <x:c r="K4139" s="6">
        <x:v>46270.589253969905</x:v>
      </x:c>
      <x:c r="L4139" t="str" s="2">
        <x:v>Message Sent</x:v>
      </x:c>
    </x:row>
    <x:row r="4140">
      <x:c r="A4140" t="str" s="2">
        <x:f>="Laci Saulmon"</x:f>
      </x:c>
      <x:c r="B4140" t="str" s="2">
        <x:v>Heritage Housing of Tulsa</x:v>
      </x:c>
      <x:c r="C4140" t="str" s="2">
        <x:v/>
      </x:c>
      <x:c r="D4140" t="str" s="2">
        <x:v>9189062684</x:v>
      </x:c>
      <x:c r="E4140" t="str" s="2">
        <x:v>lacideannsaulmon01@gmail.com</x:v>
      </x:c>
      <x:c r="F4140" t="str" s="2">
        <x:v>Website</x:v>
      </x:c>
      <x:c r="G4140" t="str" s="2">
        <x:v>Jenna Fransisco</x:v>
      </x:c>
      <x:c r="H4140" s="6">
        <x:v>46270.57379945602</x:v>
      </x:c>
      <x:c r="I4140" s="0"/>
      <x:c r="J4140" s="0"/>
      <x:c r="K4140" s="6">
        <x:v>46270.58904733796</x:v>
      </x:c>
      <x:c r="L4140" t="str" s="2">
        <x:v>Message Sent</x:v>
      </x:c>
    </x:row>
    <x:row r="4141">
      <x:c r="A4141" t="str" s="2">
        <x:f>="Todd Gindratt"</x:f>
      </x:c>
      <x:c r="B4141" t="str" s="2">
        <x:v>Heritage Housing Mt Pleasant</x:v>
      </x:c>
      <x:c r="C4141" t="str" s="2">
        <x:v/>
      </x:c>
      <x:c r="D4141" t="str" s="2">
        <x:v>9033059965</x:v>
      </x:c>
      <x:c r="E4141" t="str" s="2">
        <x:v>elliottdeon617@gmail.com</x:v>
      </x:c>
      <x:c r="F4141" t="str" s="2">
        <x:v>Bing - Search</x:v>
      </x:c>
      <x:c r="G4141" t="str" s="2">
        <x:v>Sandra Saldana</x:v>
      </x:c>
      <x:c r="H4141" s="6">
        <x:v>46270.57411728009</x:v>
      </x:c>
      <x:c r="I4141" s="0"/>
      <x:c r="J4141" s="0"/>
      <x:c r="K4141" s="6">
        <x:v>46270</x:v>
      </x:c>
      <x:c r="L4141" t="str" s="2">
        <x:v>Message Sent</x:v>
      </x:c>
    </x:row>
    <x:row r="4142">
      <x:c r="A4142" t="str" s="2">
        <x:f>=HYPERLINK("https://rsms.futurehomex.com/lead/39700", "Alex Stoker")</x:f>
      </x:c>
      <x:c r="B4142" t="str" s="2">
        <x:v>Heritage Housing of Oklahoma City</x:v>
      </x:c>
      <x:c r="C4142" t="str" s="2">
        <x:v/>
      </x:c>
      <x:c r="D4142" t="str" s="2">
        <x:v>4055068587</x:v>
      </x:c>
      <x:c r="E4142" t="str" s="2">
        <x:v>alexstoker631@gmail.com</x:v>
      </x:c>
      <x:c r="F4142" t="str" s="2">
        <x:v>Landing_BPM</x:v>
      </x:c>
      <x:c r="G4142" t="str" s="2">
        <x:v>Steve Castell</x:v>
      </x:c>
      <x:c r="H4142" s="6">
        <x:v>46270.577352858796</x:v>
      </x:c>
      <x:c r="I4142" t="str" s="2">
        <x:v>Steve Castell</x:v>
      </x:c>
      <x:c r="J4142" s="0"/>
      <x:c r="K4142" s="6">
        <x:v>46270</x:v>
      </x:c>
      <x:c r="L4142" t="str" s="2">
        <x:v>Message Sent</x:v>
      </x:c>
    </x:row>
    <x:row r="4143">
      <x:c r="A4143" t="str" s="2">
        <x:f>="Joann Ross"</x:f>
      </x:c>
      <x:c r="B4143" t="str" s="2">
        <x:v>Heritage Housing of Asheboro</x:v>
      </x:c>
      <x:c r="C4143" t="str" s="2">
        <x:v/>
      </x:c>
      <x:c r="D4143" t="str" s="2">
        <x:v>7043527521</x:v>
      </x:c>
      <x:c r="E4143" t="str" s="2">
        <x:v>ross.joann@yahoo.com</x:v>
      </x:c>
      <x:c r="F4143" t="str" s="2">
        <x:v>Youtube</x:v>
      </x:c>
      <x:c r="G4143" t="str" s="2">
        <x:v>Kate Gutierrez</x:v>
      </x:c>
      <x:c r="H4143" s="6">
        <x:v>46270.58598422453</x:v>
      </x:c>
      <x:c r="I4143" s="0"/>
      <x:c r="J4143" s="0"/>
      <x:c r="K4143" s="6">
        <x:v>46295</x:v>
      </x:c>
      <x:c r="L4143" t="str" s="2">
        <x:v>Message Sent</x:v>
      </x:c>
    </x:row>
    <x:row r="4144">
      <x:c r="A4144" t="str" s="2">
        <x:f>="Sironda Sanders"</x:f>
      </x:c>
      <x:c r="B4144" t="str" s="2">
        <x:v>Heritage Housing Gainesville</x:v>
      </x:c>
      <x:c r="C4144" t="str" s="2">
        <x:v/>
      </x:c>
      <x:c r="D4144" t="str" s="2">
        <x:v>9105992584</x:v>
      </x:c>
      <x:c r="E4144" t="str" s="2">
        <x:v>sirondasanders4@gmail.com</x:v>
      </x:c>
      <x:c r="F4144" t="str" s="2">
        <x:v>Landing_BPM</x:v>
      </x:c>
      <x:c r="G4144" t="str" s="2">
        <x:v>Kelly Ford</x:v>
      </x:c>
      <x:c r="H4144" s="6">
        <x:v>46270.614004710646</x:v>
      </x:c>
      <x:c r="I4144" s="0"/>
      <x:c r="J4144" s="0"/>
      <x:c r="K4144" s="6">
        <x:v>46297</x:v>
      </x:c>
      <x:c r="L4144" t="str" s="2">
        <x:v>Message Sent</x:v>
      </x:c>
    </x:row>
    <x:row r="4145">
      <x:c r="A4145" t="str" s="2">
        <x:f>="Melissa Morris"</x:f>
      </x:c>
      <x:c r="B4145" t="str" s="2">
        <x:v>Heritage Housing Marble Falls</x:v>
      </x:c>
      <x:c r="C4145" t="str" s="2">
        <x:v/>
      </x:c>
      <x:c r="D4145" t="str" s="2">
        <x:v>5125846310</x:v>
      </x:c>
      <x:c r="E4145" t="str" s="2">
        <x:v>mmorris6589@gmail.com</x:v>
      </x:c>
      <x:c r="F4145" t="str" s="2">
        <x:v>Website</x:v>
      </x:c>
      <x:c r="G4145" t="str" s="2">
        <x:v>Stephen Sanders</x:v>
      </x:c>
      <x:c r="H4145" s="6">
        <x:v>46270.61422013889</x:v>
      </x:c>
      <x:c r="I4145" s="0"/>
      <x:c r="J4145" s="0"/>
      <x:c r="K4145" s="6">
        <x:v>46274</x:v>
      </x:c>
      <x:c r="L4145" t="str" s="2">
        <x:v>Message Sent</x:v>
      </x:c>
    </x:row>
    <x:row r="4146">
      <x:c r="A4146" t="str" s="2">
        <x:f>="Jazmin Smith"</x:f>
      </x:c>
      <x:c r="B4146" t="str" s="2">
        <x:v>Heritage Housing of Asheboro</x:v>
      </x:c>
      <x:c r="C4146" t="str" s="2">
        <x:v/>
      </x:c>
      <x:c r="D4146" t="str" s="2">
        <x:v>7046522433</x:v>
      </x:c>
      <x:c r="E4146" t="str" s="2">
        <x:v>jazminmariah30@gmail.com</x:v>
      </x:c>
      <x:c r="F4146" t="str" s="2">
        <x:v>Landing_BPM</x:v>
      </x:c>
      <x:c r="G4146" t="str" s="2">
        <x:v>Maria Lopez</x:v>
      </x:c>
      <x:c r="H4146" s="6">
        <x:v>46270.67320567129</x:v>
      </x:c>
      <x:c r="I4146" s="0"/>
      <x:c r="J4146" s="0"/>
      <x:c r="K4146" s="6">
        <x:v>46287</x:v>
      </x:c>
      <x:c r="L4146" t="str" s="2">
        <x:v>Message Sent</x:v>
      </x:c>
    </x:row>
    <x:row r="4147">
      <x:c r="A4147" t="str" s="2">
        <x:f>="Hannah Tempel"</x:f>
      </x:c>
      <x:c r="B4147" t="str" s="2">
        <x:v>Heritage Housing of Tulsa</x:v>
      </x:c>
      <x:c r="C4147" t="str" s="2">
        <x:v/>
      </x:c>
      <x:c r="D4147" t="str" s="2">
        <x:v>9183707672</x:v>
      </x:c>
      <x:c r="E4147" t="str" s="2">
        <x:v>hannah.tempel@yahoo.com</x:v>
      </x:c>
      <x:c r="F4147" t="str" s="2">
        <x:v>Landing_BPM</x:v>
      </x:c>
      <x:c r="G4147" t="str" s="2">
        <x:v>Jenna Fransisco</x:v>
      </x:c>
      <x:c r="H4147" s="6">
        <x:v>46270.682141701385</x:v>
      </x:c>
      <x:c r="I4147" s="0"/>
      <x:c r="J4147" s="0"/>
      <x:c r="K4147" s="6">
        <x:v>46279</x:v>
      </x:c>
      <x:c r="L4147" t="str" s="2">
        <x:v>Message Sent</x:v>
      </x:c>
    </x:row>
    <x:row r="4148">
      <x:c r="A4148" t="str" s="2">
        <x:f>="Jessica Buttress"</x:f>
      </x:c>
      <x:c r="B4148" t="str" s="2">
        <x:v>Heritage Housing of Tulsa</x:v>
      </x:c>
      <x:c r="C4148" t="str" s="2">
        <x:v/>
      </x:c>
      <x:c r="D4148" t="str" s="2">
        <x:v>9189348005</x:v>
      </x:c>
      <x:c r="E4148" t="str" s="2">
        <x:v>jessousoonerfan16@yahoo.com</x:v>
      </x:c>
      <x:c r="F4148" t="str" s="2">
        <x:v>Landing_BPM</x:v>
      </x:c>
      <x:c r="G4148" t="str" s="2">
        <x:v>Jenna Fransisco</x:v>
      </x:c>
      <x:c r="H4148" s="6">
        <x:v>46270.70536420139</x:v>
      </x:c>
      <x:c r="I4148" s="0"/>
      <x:c r="J4148" s="0"/>
      <x:c r="K4148" s="6">
        <x:v>46279</x:v>
      </x:c>
      <x:c r="L4148" t="str" s="2">
        <x:v>Message Sent</x:v>
      </x:c>
    </x:row>
    <x:row r="4149">
      <x:c r="A4149" t="str" s="2">
        <x:f>="Wanda Bradley"</x:f>
      </x:c>
      <x:c r="B4149" t="str" s="2">
        <x:v>Heritage Housing of Augusta</x:v>
      </x:c>
      <x:c r="C4149" t="str" s="2">
        <x:v/>
      </x:c>
      <x:c r="D4149" t="str" s="2">
        <x:v>2294886460</x:v>
      </x:c>
      <x:c r="E4149" t="str" s="2">
        <x:v>wandabradley05@gmail.com</x:v>
      </x:c>
      <x:c r="F4149" t="str" s="2">
        <x:v>Landing_BPM</x:v>
      </x:c>
      <x:c r="G4149" t="str" s="2">
        <x:v>Faye Lively</x:v>
      </x:c>
      <x:c r="H4149" s="6">
        <x:v>46270.729614895834</x:v>
      </x:c>
      <x:c r="I4149" s="0"/>
      <x:c r="J4149" s="0"/>
      <x:c r="K4149" s="6">
        <x:v>46279</x:v>
      </x:c>
      <x:c r="L4149" t="str" s="2">
        <x:v>Message Sent</x:v>
      </x:c>
    </x:row>
    <x:row r="4150">
      <x:c r="A4150" t="str" s="2">
        <x:f>="Theresa Schraft"</x:f>
      </x:c>
      <x:c r="B4150" t="str" s="2">
        <x:v>Heritage Housing of Tulsa</x:v>
      </x:c>
      <x:c r="C4150" t="str" s="2">
        <x:v/>
      </x:c>
      <x:c r="D4150" t="str" s="2">
        <x:v>5732010424</x:v>
      </x:c>
      <x:c r="E4150" t="str" s="2">
        <x:v>tschraft92@gmail.com</x:v>
      </x:c>
      <x:c r="F4150" t="str" s="2">
        <x:v>Landing_BPM</x:v>
      </x:c>
      <x:c r="G4150" t="str" s="2">
        <x:v>Jenna Fransisco</x:v>
      </x:c>
      <x:c r="H4150" s="6">
        <x:v>46270.73055690972</x:v>
      </x:c>
      <x:c r="I4150" s="0"/>
      <x:c r="J4150" s="0"/>
      <x:c r="K4150" s="6">
        <x:v>46279</x:v>
      </x:c>
      <x:c r="L4150" t="str" s="2">
        <x:v>Message Sent</x:v>
      </x:c>
    </x:row>
    <x:row r="4151">
      <x:c r="A4151" t="str" s="2">
        <x:f>="Jim Swafford"</x:f>
      </x:c>
      <x:c r="B4151" t="str" s="2">
        <x:v>Heritage Housing of Tulsa</x:v>
      </x:c>
      <x:c r="C4151" t="str" s="2">
        <x:v/>
      </x:c>
      <x:c r="D4151" t="str" s="2">
        <x:v>4056024333</x:v>
      </x:c>
      <x:c r="E4151" t="str" s="2">
        <x:v>tinhorns2@gmail.com</x:v>
      </x:c>
      <x:c r="F4151" t="str" s="2">
        <x:v>Bing - Search</x:v>
      </x:c>
      <x:c r="G4151" t="str" s="2">
        <x:v>Jenna Fransisco</x:v>
      </x:c>
      <x:c r="H4151" s="6">
        <x:v>46270.74383043982</x:v>
      </x:c>
      <x:c r="I4151" s="0"/>
      <x:c r="J4151" s="0"/>
      <x:c r="K4151" s="6">
        <x:v>46279</x:v>
      </x:c>
      <x:c r="L4151" t="str" s="2">
        <x:v>Message Sent</x:v>
      </x:c>
    </x:row>
    <x:row r="4152">
      <x:c r="A4152" t="str" s="2">
        <x:f>="Tamara BennickDiaz"</x:f>
      </x:c>
      <x:c r="B4152" t="str" s="2">
        <x:v>Heritage Housing of Asheboro</x:v>
      </x:c>
      <x:c r="C4152" t="str" s="2">
        <x:v/>
      </x:c>
      <x:c r="D4152" t="str" s="2">
        <x:v>7048046624</x:v>
      </x:c>
      <x:c r="E4152" t="str" s="2">
        <x:v>tamaradiaz5150@gmail.com</x:v>
      </x:c>
      <x:c r="F4152" t="str" s="2">
        <x:v>Landing_BPM</x:v>
      </x:c>
      <x:c r="G4152" t="str" s="2">
        <x:v>Kate Gutierrez</x:v>
      </x:c>
      <x:c r="H4152" s="6">
        <x:v>46270.757867858796</x:v>
      </x:c>
      <x:c r="I4152" s="0"/>
      <x:c r="J4152" s="0"/>
      <x:c r="K4152" s="6">
        <x:v>46295</x:v>
      </x:c>
      <x:c r="L4152" t="str" s="2">
        <x:v>Message Sent</x:v>
      </x:c>
    </x:row>
    <x:row r="4153">
      <x:c r="A4153" t="str" s="2">
        <x:f>=HYPERLINK("https://rsms.futurehomex.com/lead/39746", "Craig Amiott")</x:f>
      </x:c>
      <x:c r="B4153" t="str" s="2">
        <x:v>Heritage Housing of Oklahoma City</x:v>
      </x:c>
      <x:c r="C4153" t="str" s="2">
        <x:v/>
      </x:c>
      <x:c r="D4153" t="str" s="2">
        <x:v>4054480627</x:v>
      </x:c>
      <x:c r="E4153" t="str" s="2">
        <x:v>amiottcraig@gmail.com</x:v>
      </x:c>
      <x:c r="F4153" t="str" s="2">
        <x:v>Landing_BPM</x:v>
      </x:c>
      <x:c r="G4153" t="str" s="2">
        <x:v>Steve Castell</x:v>
      </x:c>
      <x:c r="H4153" s="6">
        <x:v>46270.789916898146</x:v>
      </x:c>
      <x:c r="I4153" t="str" s="2">
        <x:v>Steve Castell</x:v>
      </x:c>
      <x:c r="J4153" s="0"/>
      <x:c r="K4153" s="6">
        <x:v>46271</x:v>
      </x:c>
      <x:c r="L4153" t="str" s="2">
        <x:v>Message Sent</x:v>
      </x:c>
    </x:row>
    <x:row r="4154">
      <x:c r="A4154" t="str" s="2">
        <x:f>="Wanda Adams"</x:f>
      </x:c>
      <x:c r="B4154" t="str" s="2">
        <x:v>Heritage Housing of Asheboro</x:v>
      </x:c>
      <x:c r="C4154" t="str" s="2">
        <x:v/>
      </x:c>
      <x:c r="D4154" t="str" s="2">
        <x:v>7044417230</x:v>
      </x:c>
      <x:c r="E4154" t="str" s="2">
        <x:v>wandataylor1@hotmail.com</x:v>
      </x:c>
      <x:c r="F4154" t="str" s="2">
        <x:v>Youtube</x:v>
      </x:c>
      <x:c r="G4154" t="str" s="2">
        <x:v>Maria Lopez</x:v>
      </x:c>
      <x:c r="H4154" s="6">
        <x:v>46270.853016203706</x:v>
      </x:c>
      <x:c r="I4154" s="0"/>
      <x:c r="J4154" s="0"/>
      <x:c r="K4154" s="6">
        <x:v>46273</x:v>
      </x:c>
      <x:c r="L4154" t="str" s="2">
        <x:v>Message Sent</x:v>
      </x:c>
    </x:row>
    <x:row r="4155">
      <x:c r="A4155" t="str" s="2">
        <x:f>="Victor Castro"</x:f>
      </x:c>
      <x:c r="B4155" t="str" s="2">
        <x:v>Heritage Housing of Tulsa</x:v>
      </x:c>
      <x:c r="C4155" t="str" s="2">
        <x:v/>
      </x:c>
      <x:c r="D4155" t="str" s="2">
        <x:v>9184080654</x:v>
      </x:c>
      <x:c r="E4155" t="str" s="2">
        <x:v>victordankert@icloud.com</x:v>
      </x:c>
      <x:c r="F4155" t="str" s="2">
        <x:v>Landing_BPM</x:v>
      </x:c>
      <x:c r="G4155" t="str" s="2">
        <x:v>Jenna Fransisco</x:v>
      </x:c>
      <x:c r="H4155" s="6">
        <x:v>46270.85542890046</x:v>
      </x:c>
      <x:c r="I4155" s="0"/>
      <x:c r="J4155" s="0"/>
      <x:c r="K4155" s="6">
        <x:v>46279</x:v>
      </x:c>
      <x:c r="L4155" t="str" s="2">
        <x:v>Message Sent</x:v>
      </x:c>
    </x:row>
    <x:row r="4156">
      <x:c r="A4156" t="str" s="2">
        <x:f>="Frankie Lyons"</x:f>
      </x:c>
      <x:c r="B4156" t="str" s="2">
        <x:v>Heritage Housing of Jennings</x:v>
      </x:c>
      <x:c r="C4156" t="str" s="2">
        <x:v/>
      </x:c>
      <x:c r="D4156" t="str" s="2">
        <x:v>5046666384</x:v>
      </x:c>
      <x:c r="E4156" t="str" s="2">
        <x:v>lyonsfrankie969@gmail.com</x:v>
      </x:c>
      <x:c r="F4156" t="str" s="2">
        <x:v>Youtube</x:v>
      </x:c>
      <x:c r="G4156" t="str" s="2">
        <x:v>Mervin Leslie Smith</x:v>
      </x:c>
      <x:c r="H4156" s="6">
        <x:v>46270.860047766204</x:v>
      </x:c>
      <x:c r="I4156" s="0"/>
      <x:c r="J4156" s="0"/>
      <x:c r="K4156" s="6">
        <x:v>46302.70960320602</x:v>
      </x:c>
      <x:c r="L4156" t="str" s="2">
        <x:v>Message Sent</x:v>
      </x:c>
    </x:row>
    <x:row r="4157">
      <x:c r="A4157" t="str" s="2">
        <x:f>=HYPERLINK("https://rsms.futurehomex.com/lead/39780", "Jeffrey Swanson")</x:f>
      </x:c>
      <x:c r="B4157" t="str" s="2">
        <x:v>Heritage Housing of Oklahoma City</x:v>
      </x:c>
      <x:c r="C4157" t="str" s="2">
        <x:v/>
      </x:c>
      <x:c r="D4157" t="str" s="2">
        <x:v>8037181215</x:v>
      </x:c>
      <x:c r="E4157" t="str" s="2">
        <x:v>swansonjeffrey201@gmail.com</x:v>
      </x:c>
      <x:c r="F4157" t="str" s="2">
        <x:v>Youtube</x:v>
      </x:c>
      <x:c r="G4157" t="str" s="2">
        <x:v>Steve Castell</x:v>
      </x:c>
      <x:c r="H4157" s="6">
        <x:v>46270.87330436343</x:v>
      </x:c>
      <x:c r="I4157" t="str" s="2">
        <x:v>Steve Castell</x:v>
      </x:c>
      <x:c r="J4157" s="0"/>
      <x:c r="K4157" s="6">
        <x:v>46273</x:v>
      </x:c>
      <x:c r="L4157" t="str" s="2">
        <x:v>Message Sent</x:v>
      </x:c>
    </x:row>
    <x:row r="4158">
      <x:c r="A4158" t="str" s="2">
        <x:f>="Belinda Brown"</x:f>
      </x:c>
      <x:c r="B4158" t="str" s="2">
        <x:v>Heritage Housing of Canton</x:v>
      </x:c>
      <x:c r="C4158" t="str" s="2">
        <x:v/>
      </x:c>
      <x:c r="D4158" t="str" s="2">
        <x:v>4694921559</x:v>
      </x:c>
      <x:c r="E4158" t="str" s="2">
        <x:v>mstrese007@ymail.com</x:v>
      </x:c>
      <x:c r="F4158" t="str" s="2">
        <x:v>Youtube</x:v>
      </x:c>
      <x:c r="G4158" t="str" s="2">
        <x:v>Jacob Hatten</x:v>
      </x:c>
      <x:c r="H4158" s="6">
        <x:v>46270.883570405094</x:v>
      </x:c>
      <x:c r="I4158" s="0"/>
      <x:c r="J4158" s="0"/>
      <x:c r="K4158" s="6">
        <x:v>46293</x:v>
      </x:c>
      <x:c r="L4158" t="str" s="2">
        <x:v>Message Sent</x:v>
      </x:c>
    </x:row>
    <x:row r="4159">
      <x:c r="A4159" t="str" s="2">
        <x:f>="Rayven Sloan"</x:f>
      </x:c>
      <x:c r="B4159" t="str" s="2">
        <x:v>Heritage Housing of Athens</x:v>
      </x:c>
      <x:c r="C4159" t="str" s="2">
        <x:v/>
      </x:c>
      <x:c r="D4159" t="str" s="2">
        <x:v>2058827927</x:v>
      </x:c>
      <x:c r="E4159" t="str" s="2">
        <x:v>rayvensloan0130@gmail.com</x:v>
      </x:c>
      <x:c r="F4159" t="str" s="2">
        <x:v>Landing_BPM</x:v>
      </x:c>
      <x:c r="G4159" t="str" s="2">
        <x:v>Nathan Bishop</x:v>
      </x:c>
      <x:c r="H4159" s="6">
        <x:v>46270.892631979164</x:v>
      </x:c>
      <x:c r="I4159" s="0"/>
      <x:c r="J4159" s="0"/>
      <x:c r="K4159" s="6">
        <x:v>46273</x:v>
      </x:c>
      <x:c r="L4159" t="str" s="2">
        <x:v>Message Sent</x:v>
      </x:c>
    </x:row>
    <x:row r="4160">
      <x:c r="A4160" t="str" s="2">
        <x:f>="Olivia Jackson Jackson"</x:f>
      </x:c>
      <x:c r="B4160" t="str" s="2">
        <x:v>Heritage Housing of Albany</x:v>
      </x:c>
      <x:c r="C4160" t="str" s="2">
        <x:v/>
      </x:c>
      <x:c r="D4160" t="str" s="2">
        <x:v>2025558937</x:v>
      </x:c>
      <x:c r="E4160" t="str" s="2">
        <x:v>madamtaisia@mail.ru</x:v>
      </x:c>
      <x:c r="F4160" t="str" s="2">
        <x:v>Website</x:v>
      </x:c>
      <x:c r="G4160" t="str" s="2">
        <x:v>Justin Johnson</x:v>
      </x:c>
      <x:c r="H4160" s="6">
        <x:v>46270.93104621528</x:v>
      </x:c>
      <x:c r="I4160" s="0"/>
      <x:c r="J4160" s="0"/>
      <x:c r="K4160" s="6">
        <x:v>46280</x:v>
      </x:c>
      <x:c r="L4160" t="str" s="2">
        <x:v>Message Sent</x:v>
      </x:c>
    </x:row>
    <x:row r="4161">
      <x:c r="A4161" t="str" s="2">
        <x:f>="Carla Hendrix"</x:f>
      </x:c>
      <x:c r="B4161" t="str" s="2">
        <x:v>Heritage Housing of Tulsa</x:v>
      </x:c>
      <x:c r="C4161" t="str" s="2">
        <x:v/>
      </x:c>
      <x:c r="D4161" t="str" s="2">
        <x:v>5809564903</x:v>
      </x:c>
      <x:c r="E4161" t="str" s="2">
        <x:v>cbhallhendrix@gmail.com</x:v>
      </x:c>
      <x:c r="F4161" t="str" s="2">
        <x:v>Landing_BPM</x:v>
      </x:c>
      <x:c r="G4161" t="str" s="2">
        <x:v>Jenna Fransisco</x:v>
      </x:c>
      <x:c r="H4161" s="6">
        <x:v>46270.95781346065</x:v>
      </x:c>
      <x:c r="I4161" s="0"/>
      <x:c r="J4161" s="0"/>
      <x:c r="K4161" s="6">
        <x:v>46279</x:v>
      </x:c>
      <x:c r="L4161" t="str" s="2">
        <x:v>Message Sent</x:v>
      </x:c>
    </x:row>
    <x:row r="4162">
      <x:c r="A4162" t="str" s="2">
        <x:f>="Mary Smith"</x:f>
      </x:c>
      <x:c r="B4162" t="str" s="2">
        <x:v>Heritage Housing of Athens</x:v>
      </x:c>
      <x:c r="C4162" t="str" s="2">
        <x:v/>
      </x:c>
      <x:c r="D4162" t="str" s="2">
        <x:v>4707435551</x:v>
      </x:c>
      <x:c r="E4162" t="str" s="2">
        <x:v>mss5729479@gmail.com</x:v>
      </x:c>
      <x:c r="F4162" t="str" s="2">
        <x:v>Landing_BPM</x:v>
      </x:c>
      <x:c r="G4162" t="str" s="2">
        <x:v>Nathan Bishop</x:v>
      </x:c>
      <x:c r="H4162" s="6">
        <x:v>46270.99452800926</x:v>
      </x:c>
      <x:c r="I4162" s="0"/>
      <x:c r="J4162" s="0"/>
      <x:c r="K4162" s="6">
        <x:v>46281</x:v>
      </x:c>
      <x:c r="L4162" t="str" s="2">
        <x:v>Message Sent</x:v>
      </x:c>
    </x:row>
    <x:row r="4163">
      <x:c r="A4163" t="str" s="2">
        <x:f>="Indeka Carroll"</x:f>
      </x:c>
      <x:c r="B4163" t="str" s="2">
        <x:v>Heritage Housing of Canton</x:v>
      </x:c>
      <x:c r="C4163" t="str" s="2">
        <x:v/>
      </x:c>
      <x:c r="D4163" t="str" s="2">
        <x:v>7193560258</x:v>
      </x:c>
      <x:c r="E4163" t="str" s="2">
        <x:v>c.indeka@yahoo.com</x:v>
      </x:c>
      <x:c r="F4163" t="str" s="2">
        <x:v>Landing_BPM</x:v>
      </x:c>
      <x:c r="G4163" t="str" s="2">
        <x:v>Jacob Hatten</x:v>
      </x:c>
      <x:c r="H4163" s="6">
        <x:v>46271.00696327546</x:v>
      </x:c>
      <x:c r="I4163" s="0"/>
      <x:c r="J4163" s="0"/>
      <x:c r="K4163" s="6">
        <x:v>46293</x:v>
      </x:c>
      <x:c r="L4163" t="str" s="2">
        <x:v>Message Sent</x:v>
      </x:c>
    </x:row>
    <x:row r="4164">
      <x:c r="A4164" t="str" s="2">
        <x:f>="Earlie Wilkins"</x:f>
      </x:c>
      <x:c r="B4164" t="str" s="2">
        <x:v>Heritage Housing of Tulsa</x:v>
      </x:c>
      <x:c r="C4164" t="str" s="2">
        <x:v/>
      </x:c>
      <x:c r="D4164" t="str" s="2">
        <x:v>9108490828</x:v>
      </x:c>
      <x:c r="E4164" t="str" s="2">
        <x:v>lewiswilkins35@gmail.com</x:v>
      </x:c>
      <x:c r="F4164" t="str" s="2">
        <x:v>Youtube</x:v>
      </x:c>
      <x:c r="G4164" t="str" s="2">
        <x:v>Jenna Fransisco</x:v>
      </x:c>
      <x:c r="H4164" s="6">
        <x:v>46271.019605671296</x:v>
      </x:c>
      <x:c r="I4164" s="0"/>
      <x:c r="J4164" s="0"/>
      <x:c r="K4164" s="6">
        <x:v>46287</x:v>
      </x:c>
      <x:c r="L4164" t="str" s="2">
        <x:v>Message Sent</x:v>
      </x:c>
    </x:row>
    <x:row r="4165">
      <x:c r="A4165" t="str" s="2">
        <x:f>="Candace Walton"</x:f>
      </x:c>
      <x:c r="B4165" t="str" s="2">
        <x:v>Legacy Housing Corp. DBA Americasa</x:v>
      </x:c>
      <x:c r="C4165" t="str" s="2">
        <x:v/>
      </x:c>
      <x:c r="D4165" t="str" s="2">
        <x:v>9362529418</x:v>
      </x:c>
      <x:c r="E4165" t="str" s="2">
        <x:v>candienickel001@gmail.com</x:v>
      </x:c>
      <x:c r="F4165" t="str" s="2">
        <x:v>Landing_BPM</x:v>
      </x:c>
      <x:c r="G4165" t="str" s="2">
        <x:v>Jose Parada</x:v>
      </x:c>
      <x:c r="H4165" s="6">
        <x:v>46271.021935729164</x:v>
      </x:c>
      <x:c r="I4165" s="0"/>
      <x:c r="J4165" s="0"/>
      <x:c r="K4165" s="6">
        <x:v>46273</x:v>
      </x:c>
      <x:c r="L4165" t="str" s="2">
        <x:v>Message Sent</x:v>
      </x:c>
    </x:row>
    <x:row r="4166">
      <x:c r="A4166" t="str" s="2">
        <x:f>="Mark Williams"</x:f>
      </x:c>
      <x:c r="B4166" t="str" s="2">
        <x:v>Heritage Housing Gainesville</x:v>
      </x:c>
      <x:c r="C4166" t="str" s="2">
        <x:v/>
      </x:c>
      <x:c r="D4166" t="str" s="2">
        <x:v>9405950497</x:v>
      </x:c>
      <x:c r="E4166" t="str" s="2">
        <x:v>dywane6893@gmail.com</x:v>
      </x:c>
      <x:c r="F4166" t="str" s="2">
        <x:v>Financing Form</x:v>
      </x:c>
      <x:c r="G4166" t="str" s="2">
        <x:v>Kelly Ford</x:v>
      </x:c>
      <x:c r="H4166" s="6">
        <x:v>46271.03988611111</x:v>
      </x:c>
      <x:c r="I4166" s="0"/>
      <x:c r="J4166" s="0"/>
      <x:c r="K4166" s="6">
        <x:v>46297</x:v>
      </x:c>
      <x:c r="L4166" t="str" s="2">
        <x:v>Message Sent</x:v>
      </x:c>
    </x:row>
    <x:row r="4167">
      <x:c r="A4167" t="str" s="2">
        <x:f>="Matthew Smith"</x:f>
      </x:c>
      <x:c r="B4167" t="str" s="2">
        <x:v>Heritage Housing of Asheboro</x:v>
      </x:c>
      <x:c r="C4167" t="str" s="2">
        <x:v/>
      </x:c>
      <x:c r="D4167" t="str" s="2">
        <x:v>3364708554</x:v>
      </x:c>
      <x:c r="E4167" t="str" s="2">
        <x:v>mattsmith122@hotmail.com</x:v>
      </x:c>
      <x:c r="F4167" t="str" s="2">
        <x:v>Financing Form</x:v>
      </x:c>
      <x:c r="G4167" t="str" s="2">
        <x:v>Maria Lopez</x:v>
      </x:c>
      <x:c r="H4167" s="6">
        <x:v>46271.071375810185</x:v>
      </x:c>
      <x:c r="I4167" s="0"/>
      <x:c r="J4167" s="0"/>
      <x:c r="K4167" s="6">
        <x:v>46301</x:v>
      </x:c>
      <x:c r="L4167" t="str" s="2">
        <x:v>Message Sent</x:v>
      </x:c>
    </x:row>
    <x:row r="4168">
      <x:c r="A4168" t="str" s="2">
        <x:f>="Eugene Mizell lll"</x:f>
      </x:c>
      <x:c r="B4168" t="str" s="2">
        <x:v>Heritage Housing of Asheboro</x:v>
      </x:c>
      <x:c r="C4168" t="str" s="2">
        <x:v/>
      </x:c>
      <x:c r="D4168" t="str" s="2">
        <x:v>9106913996</x:v>
      </x:c>
      <x:c r="E4168" t="str" s="2">
        <x:v>mizelle136@gmail.com</x:v>
      </x:c>
      <x:c r="F4168" t="str" s="2">
        <x:v>Landing_BPM</x:v>
      </x:c>
      <x:c r="G4168" t="str" s="2">
        <x:v>Kate Gutierrez</x:v>
      </x:c>
      <x:c r="H4168" s="6">
        <x:v>46271.08850162037</x:v>
      </x:c>
      <x:c r="I4168" s="0"/>
      <x:c r="J4168" s="0"/>
      <x:c r="K4168" s="6">
        <x:v>46295</x:v>
      </x:c>
      <x:c r="L4168" t="str" s="2">
        <x:v>Message Sent</x:v>
      </x:c>
    </x:row>
    <x:row r="4169">
      <x:c r="A4169" t="str" s="2">
        <x:f>="Lisa T"</x:f>
      </x:c>
      <x:c r="B4169" t="str" s="2">
        <x:v>Heritage Housing of Greenville</x:v>
      </x:c>
      <x:c r="C4169" t="str" s="2">
        <x:v/>
      </x:c>
      <x:c r="D4169" t="str" s="2">
        <x:v>4696503693</x:v>
      </x:c>
      <x:c r="E4169" t="str" s="2">
        <x:v>Tranlizac5@gmail.com</x:v>
      </x:c>
      <x:c r="F4169" t="str" s="2">
        <x:v>Youtube</x:v>
      </x:c>
      <x:c r="G4169" t="str" s="2">
        <x:v>Brooklynn Allen</x:v>
      </x:c>
      <x:c r="H4169" s="6">
        <x:v>46271.11516296296</x:v>
      </x:c>
      <x:c r="I4169" s="0"/>
      <x:c r="J4169" s="0"/>
      <x:c r="K4169" s="6">
        <x:v>46273</x:v>
      </x:c>
      <x:c r="L4169" t="str" s="2">
        <x:v>Message Sent</x:v>
      </x:c>
    </x:row>
    <x:row r="4170">
      <x:c r="A4170" t="str" s="2">
        <x:f>="Brytni Bell"</x:f>
      </x:c>
      <x:c r="B4170" t="str" s="2">
        <x:v>Heritage Housing of Tulsa</x:v>
      </x:c>
      <x:c r="C4170" t="str" s="2">
        <x:v/>
      </x:c>
      <x:c r="D4170" t="str" s="2">
        <x:v>5392505242</x:v>
      </x:c>
      <x:c r="E4170" t="str" s="2">
        <x:v>brytnk0@gmail.com</x:v>
      </x:c>
      <x:c r="F4170" t="str" s="2">
        <x:v>Landing_BPM</x:v>
      </x:c>
      <x:c r="G4170" t="str" s="2">
        <x:v>Jenna Fransisco</x:v>
      </x:c>
      <x:c r="H4170" s="6">
        <x:v>46271.11975300926</x:v>
      </x:c>
      <x:c r="I4170" s="0"/>
      <x:c r="J4170" s="0"/>
      <x:c r="K4170" s="6">
        <x:v>46279</x:v>
      </x:c>
      <x:c r="L4170" t="str" s="2">
        <x:v>Message Sent</x:v>
      </x:c>
    </x:row>
    <x:row r="4171">
      <x:c r="A4171" t="str" s="2">
        <x:f>="James Lennon"</x:f>
      </x:c>
      <x:c r="B4171" t="str" s="2">
        <x:v>Heritage Housing of Tulsa</x:v>
      </x:c>
      <x:c r="C4171" t="str" s="2">
        <x:v/>
      </x:c>
      <x:c r="D4171" t="str" s="2">
        <x:v>5802296134</x:v>
      </x:c>
      <x:c r="E4171" t="str" s="2">
        <x:v>77pablodiablo77@gmail.com</x:v>
      </x:c>
      <x:c r="F4171" t="str" s="2">
        <x:v>Landing_BPM</x:v>
      </x:c>
      <x:c r="G4171" t="str" s="2">
        <x:v>Jenna Fransisco</x:v>
      </x:c>
      <x:c r="H4171" s="6">
        <x:v>46271.219638229166</x:v>
      </x:c>
      <x:c r="I4171" s="0"/>
      <x:c r="J4171" s="0"/>
      <x:c r="K4171" s="6">
        <x:v>46279</x:v>
      </x:c>
      <x:c r="L4171" t="str" s="2">
        <x:v>Message Sent</x:v>
      </x:c>
    </x:row>
    <x:row r="4172">
      <x:c r="A4172" t="str" s="2">
        <x:f>=HYPERLINK("https://rsms.futurehomex.com/lead/39771", "Deron Todf")</x:f>
      </x:c>
      <x:c r="B4172" t="str" s="2">
        <x:v>Heritage Housing of Oklahoma City</x:v>
      </x:c>
      <x:c r="C4172" t="str" s="2">
        <x:v/>
      </x:c>
      <x:c r="D4172" t="str" s="2">
        <x:v>3039057829</x:v>
      </x:c>
      <x:c r="E4172" t="str" s="2">
        <x:v>mcduffymeisha071@icloud.com</x:v>
      </x:c>
      <x:c r="F4172" t="str" s="2">
        <x:v>Landing_BPM</x:v>
      </x:c>
      <x:c r="G4172" t="str" s="2">
        <x:v>Trey Rixleben</x:v>
      </x:c>
      <x:c r="H4172" s="6">
        <x:v>46271.24951396991</x:v>
      </x:c>
      <x:c r="I4172" t="str" s="2">
        <x:v>Trey Rixleben</x:v>
      </x:c>
      <x:c r="J4172" s="0"/>
      <x:c r="K4172" s="6">
        <x:v>46277</x:v>
      </x:c>
      <x:c r="L4172" t="str" s="2">
        <x:v>Message Sent</x:v>
      </x:c>
    </x:row>
    <x:row r="4173">
      <x:c r="A4173" t="str" s="2">
        <x:f>="Julie Atkins Atkins"</x:f>
      </x:c>
      <x:c r="B4173" t="str" s="2">
        <x:v>Heritage Housing of Asheboro</x:v>
      </x:c>
      <x:c r="C4173" t="str" s="2">
        <x:v/>
      </x:c>
      <x:c r="D4173" t="str" s="2">
        <x:v>3363179624</x:v>
      </x:c>
      <x:c r="E4173" t="str" s="2">
        <x:v>martinjp723@gmail.com</x:v>
      </x:c>
      <x:c r="F4173" t="str" s="2">
        <x:v>Landing_BPM</x:v>
      </x:c>
      <x:c r="G4173" t="str" s="2">
        <x:v>Maria Lopez</x:v>
      </x:c>
      <x:c r="H4173" s="6">
        <x:v>46271.27624475695</x:v>
      </x:c>
      <x:c r="I4173" s="0"/>
      <x:c r="J4173" s="0"/>
      <x:c r="K4173" s="6">
        <x:v>46273</x:v>
      </x:c>
      <x:c r="L4173" t="str" s="2">
        <x:v>Message Sent</x:v>
      </x:c>
    </x:row>
    <x:row r="4174">
      <x:c r="A4174" t="str" s="2">
        <x:f>="Anthony Rodriguez"</x:f>
      </x:c>
      <x:c r="B4174" t="str" s="2">
        <x:v>Legacy Housing Corp. DBA Americasa</x:v>
      </x:c>
      <x:c r="C4174" t="str" s="2">
        <x:v/>
      </x:c>
      <x:c r="D4174" t="str" s="2">
        <x:v>9032029240</x:v>
      </x:c>
      <x:c r="E4174" t="str" s="2">
        <x:v>anthonyrodriguez74th@gmail.com</x:v>
      </x:c>
      <x:c r="F4174" t="str" s="2">
        <x:v>Landing_BPM</x:v>
      </x:c>
      <x:c r="G4174" t="str" s="2">
        <x:v>Rodrigo Ramirez</x:v>
      </x:c>
      <x:c r="H4174" s="6">
        <x:v>46271.286074537034</x:v>
      </x:c>
      <x:c r="I4174" s="0"/>
      <x:c r="J4174" s="0"/>
      <x:c r="K4174" s="6">
        <x:v>46272</x:v>
      </x:c>
      <x:c r="L4174" t="str" s="2">
        <x:v>Message Sent</x:v>
      </x:c>
    </x:row>
    <x:row r="4175">
      <x:c r="A4175" t="str" s="2">
        <x:f>="Hannah Jenkins"</x:f>
      </x:c>
      <x:c r="B4175" t="str" s="2">
        <x:v>Heritage Housing Mt Pleasant</x:v>
      </x:c>
      <x:c r="C4175" t="str" s="2">
        <x:v/>
      </x:c>
      <x:c r="D4175" t="str" s="2">
        <x:v>9034884478</x:v>
      </x:c>
      <x:c r="E4175" t="str" s="2">
        <x:v>x0xhannahx0x@icloud.com</x:v>
      </x:c>
      <x:c r="F4175" t="str" s="2">
        <x:v>Landing_BPM</x:v>
      </x:c>
      <x:c r="G4175" t="str" s="2">
        <x:v>Sandra Saldana</x:v>
      </x:c>
      <x:c r="H4175" s="6">
        <x:v>46271.307447604166</x:v>
      </x:c>
      <x:c r="I4175" s="0"/>
      <x:c r="J4175" s="0"/>
      <x:c r="K4175" s="6">
        <x:v>46273</x:v>
      </x:c>
      <x:c r="L4175" t="str" s="2">
        <x:v>Message Sent</x:v>
      </x:c>
    </x:row>
    <x:row r="4176">
      <x:c r="A4176" t="str" s="2">
        <x:f>="Laurie Ramsey"</x:f>
      </x:c>
      <x:c r="B4176" t="str" s="2">
        <x:v>Heritage Housing Mt Pleasant</x:v>
      </x:c>
      <x:c r="C4176" t="str" s="2">
        <x:v/>
      </x:c>
      <x:c r="D4176" t="str" s="2">
        <x:v>3372807363</x:v>
      </x:c>
      <x:c r="E4176" t="str" s="2">
        <x:v>ramseylaurie10@gmail.com</x:v>
      </x:c>
      <x:c r="F4176" t="str" s="2">
        <x:v>Bing - Search</x:v>
      </x:c>
      <x:c r="G4176" t="str" s="2">
        <x:v>Sandra Saldana</x:v>
      </x:c>
      <x:c r="H4176" s="6">
        <x:v>46271.314180671296</x:v>
      </x:c>
      <x:c r="I4176" s="0"/>
      <x:c r="J4176" s="0"/>
      <x:c r="K4176" s="6">
        <x:v>46273</x:v>
      </x:c>
      <x:c r="L4176" t="str" s="2">
        <x:v>Message Sent</x:v>
      </x:c>
    </x:row>
    <x:row r="4177">
      <x:c r="A4177" t="str" s="2">
        <x:f>="Cornelius Sonnier"</x:f>
      </x:c>
      <x:c r="B4177" t="str" s="2">
        <x:v>Heritage Housing of Jennings</x:v>
      </x:c>
      <x:c r="C4177" t="str" s="2">
        <x:v/>
      </x:c>
      <x:c r="D4177" t="str" s="2">
        <x:v>3372461882</x:v>
      </x:c>
      <x:c r="E4177" t="str" s="2">
        <x:v>cdogpeace@gmail.com</x:v>
      </x:c>
      <x:c r="F4177" t="str" s="2">
        <x:v>Landing_BPM</x:v>
      </x:c>
      <x:c r="G4177" t="str" s="2">
        <x:v>Clint O'Neal</x:v>
      </x:c>
      <x:c r="H4177" s="6">
        <x:v>46271.38618001158</x:v>
      </x:c>
      <x:c r="I4177" s="0"/>
      <x:c r="J4177" s="0"/>
      <x:c r="K4177" s="6">
        <x:v>46302.71016956019</x:v>
      </x:c>
      <x:c r="L4177" t="str" s="2">
        <x:v>Message Sent</x:v>
      </x:c>
    </x:row>
    <x:row r="4178">
      <x:c r="A4178" t="str" s="2">
        <x:f>="Lynette Robertson"</x:f>
      </x:c>
      <x:c r="B4178" t="str" s="2">
        <x:v>Heritage Housing of Augusta</x:v>
      </x:c>
      <x:c r="C4178" t="str" s="2">
        <x:v>0/1</x:v>
      </x:c>
      <x:c r="D4178" t="str" s="2">
        <x:v>3374254800</x:v>
      </x:c>
      <x:c r="E4178" t="str" s="2">
        <x:v>lynettedischner@yahoo.com</x:v>
      </x:c>
      <x:c r="F4178" t="str" s="2">
        <x:v>Landing_BPM</x:v>
      </x:c>
      <x:c r="G4178" t="str" s="2">
        <x:v>Jennifer Johnson</x:v>
      </x:c>
      <x:c r="H4178" s="6">
        <x:v>46271.397181597225</x:v>
      </x:c>
      <x:c r="I4178" s="0"/>
      <x:c r="J4178" s="0"/>
      <x:c r="K4178" s="6">
        <x:v>46298</x:v>
      </x:c>
      <x:c r="L4178" t="str" s="2">
        <x:v>Message Sent</x:v>
      </x:c>
    </x:row>
    <x:row r="4179">
      <x:c r="A4179" t="str" s="2">
        <x:f>="donald mcarthur"</x:f>
      </x:c>
      <x:c r="B4179" t="str" s="2">
        <x:v>Heritage Housing of Augusta</x:v>
      </x:c>
      <x:c r="C4179" t="str" s="2">
        <x:v/>
      </x:c>
      <x:c r="D4179" t="str" s="2">
        <x:v>8645562423</x:v>
      </x:c>
      <x:c r="E4179" t="str" s="2">
        <x:v>mdmac1950@icloud.com</x:v>
      </x:c>
      <x:c r="F4179" t="str" s="2">
        <x:v>Bing - Search</x:v>
      </x:c>
      <x:c r="G4179" t="str" s="2">
        <x:v>Faye Lively</x:v>
      </x:c>
      <x:c r="H4179" s="6">
        <x:v>46271.40674070602</x:v>
      </x:c>
      <x:c r="I4179" s="0"/>
      <x:c r="J4179" s="0"/>
      <x:c r="K4179" s="6">
        <x:v>46273.81041496528</x:v>
      </x:c>
      <x:c r="L4179" t="str" s="2">
        <x:v>Message Sent</x:v>
      </x:c>
    </x:row>
    <x:row r="4180">
      <x:c r="A4180" t="str" s="2">
        <x:f>="Brittney Garcia"</x:f>
      </x:c>
      <x:c r="B4180" t="str" s="2">
        <x:v>Heritage Housing Marble Falls</x:v>
      </x:c>
      <x:c r="C4180" t="str" s="2">
        <x:v/>
      </x:c>
      <x:c r="D4180" t="str" s="2">
        <x:v>3612172370</x:v>
      </x:c>
      <x:c r="E4180" t="str" s="2">
        <x:v>kaliyahfaye06@gmail.com</x:v>
      </x:c>
      <x:c r="F4180" t="str" s="2">
        <x:v>Landing_BPM</x:v>
      </x:c>
      <x:c r="G4180" t="str" s="2">
        <x:v>Stephen Sanders</x:v>
      </x:c>
      <x:c r="H4180" s="6">
        <x:v>46271.47869251158</x:v>
      </x:c>
      <x:c r="I4180" s="0"/>
      <x:c r="J4180" s="0"/>
      <x:c r="K4180" s="6">
        <x:v>46274</x:v>
      </x:c>
      <x:c r="L4180" t="str" s="2">
        <x:v>Message Sent</x:v>
      </x:c>
    </x:row>
    <x:row r="4181">
      <x:c r="A4181" t="str" s="2">
        <x:f>=HYPERLINK("https://rsms.futurehomex.com/lead/39761", "A Thomas")</x:f>
      </x:c>
      <x:c r="B4181" t="str" s="2">
        <x:v>Heritage Housing of Oklahoma City</x:v>
      </x:c>
      <x:c r="C4181" t="str" s="2">
        <x:v/>
      </x:c>
      <x:c r="D4181" t="str" s="2">
        <x:v>5806951781</x:v>
      </x:c>
      <x:c r="E4181" t="str" s="2">
        <x:v>shaylapurvey18@gmail.com</x:v>
      </x:c>
      <x:c r="F4181" t="str" s="2">
        <x:v>Landing_BPM</x:v>
      </x:c>
      <x:c r="G4181" t="str" s="2">
        <x:v>Steve Castell</x:v>
      </x:c>
      <x:c r="H4181" s="6">
        <x:v>46271.504984375</x:v>
      </x:c>
      <x:c r="I4181" t="str" s="2">
        <x:v>Steve Castell</x:v>
      </x:c>
      <x:c r="J4181" s="0"/>
      <x:c r="K4181" s="6">
        <x:v>46273</x:v>
      </x:c>
      <x:c r="L4181" t="str" s="2">
        <x:v>Message Sent</x:v>
      </x:c>
    </x:row>
    <x:row r="4182">
      <x:c r="A4182" t="str" s="2">
        <x:f>="James Beaulieu"</x:f>
      </x:c>
      <x:c r="B4182" t="str" s="2">
        <x:v>Heritage Housing of Jennings</x:v>
      </x:c>
      <x:c r="C4182" t="str" s="2">
        <x:v/>
      </x:c>
      <x:c r="D4182" t="str" s="2">
        <x:v>3372242521</x:v>
      </x:c>
      <x:c r="E4182" t="str" s="2">
        <x:v>jbeau1957@gmail.com</x:v>
      </x:c>
      <x:c r="F4182" t="str" s="2">
        <x:v>Youtube</x:v>
      </x:c>
      <x:c r="G4182" t="str" s="2">
        <x:v>Clint O'Neal</x:v>
      </x:c>
      <x:c r="H4182" s="6">
        <x:v>46271.521869675926</x:v>
      </x:c>
      <x:c r="I4182" s="0"/>
      <x:c r="J4182" s="0"/>
      <x:c r="K4182" s="6">
        <x:v>46302.671898726854</x:v>
      </x:c>
      <x:c r="L4182" t="str" s="2">
        <x:v>Message Sent</x:v>
      </x:c>
    </x:row>
    <x:row r="4183">
      <x:c r="A4183" t="str" s="2">
        <x:f>="maya laster"</x:f>
      </x:c>
      <x:c r="B4183" t="str" s="2">
        <x:v>Heritage Housing of Asheboro</x:v>
      </x:c>
      <x:c r="C4183" t="str" s="2">
        <x:v/>
      </x:c>
      <x:c r="D4183" t="str" s="2">
        <x:v>9043149561</x:v>
      </x:c>
      <x:c r="E4183" t="str" s="2">
        <x:v>maya_laster@yahoo.com</x:v>
      </x:c>
      <x:c r="F4183" t="str" s="2">
        <x:v>Landing_BPM</x:v>
      </x:c>
      <x:c r="G4183" t="str" s="2">
        <x:v>Maria Lopez</x:v>
      </x:c>
      <x:c r="H4183" s="6">
        <x:v>46271.52378310185</x:v>
      </x:c>
      <x:c r="I4183" s="0"/>
      <x:c r="J4183" s="0"/>
      <x:c r="K4183" s="6">
        <x:v>46273</x:v>
      </x:c>
      <x:c r="L4183" t="str" s="2">
        <x:v>Message Sent</x:v>
      </x:c>
    </x:row>
    <x:row r="4184">
      <x:c r="A4184" t="str" s="2">
        <x:f>="Markus McDonald"</x:f>
      </x:c>
      <x:c r="B4184" t="str" s="2">
        <x:v>Heritage Housing of Asheboro</x:v>
      </x:c>
      <x:c r="C4184" t="str" s="2">
        <x:v/>
      </x:c>
      <x:c r="D4184" t="str" s="2">
        <x:v>7042243395</x:v>
      </x:c>
      <x:c r="E4184" t="str" s="2">
        <x:v>mkmsr216@gmail.com</x:v>
      </x:c>
      <x:c r="F4184" t="str" s="2">
        <x:v>Youtube</x:v>
      </x:c>
      <x:c r="G4184" t="str" s="2">
        <x:v>Maria Lopez</x:v>
      </x:c>
      <x:c r="H4184" s="6">
        <x:v>46271.569970254626</x:v>
      </x:c>
      <x:c r="I4184" s="0"/>
      <x:c r="J4184" s="0"/>
      <x:c r="K4184" s="6">
        <x:v>46287</x:v>
      </x:c>
      <x:c r="L4184" t="str" s="2">
        <x:v>Message Sent</x:v>
      </x:c>
    </x:row>
    <x:row r="4185">
      <x:c r="A4185" t="str" s="2">
        <x:f>="Ashley Clark"</x:f>
      </x:c>
      <x:c r="B4185" t="str" s="2">
        <x:v>Heritage Housing of Greenville</x:v>
      </x:c>
      <x:c r="C4185" t="str" s="2">
        <x:v/>
      </x:c>
      <x:c r="D4185" t="str" s="2">
        <x:v>9362014150</x:v>
      </x:c>
      <x:c r="E4185" t="str" s="2">
        <x:v>ashashclark01@gmail.com</x:v>
      </x:c>
      <x:c r="F4185" t="str" s="2">
        <x:v>Landing_BPM</x:v>
      </x:c>
      <x:c r="G4185" t="str" s="2">
        <x:v>Brooklynn Allen</x:v>
      </x:c>
      <x:c r="H4185" s="6">
        <x:v>46271.58197653935</x:v>
      </x:c>
      <x:c r="I4185" s="0"/>
      <x:c r="J4185" s="0"/>
      <x:c r="K4185" s="6">
        <x:v>46273</x:v>
      </x:c>
      <x:c r="L4185" t="str" s="2">
        <x:v>Message Sent</x:v>
      </x:c>
    </x:row>
    <x:row r="4186">
      <x:c r="A4186" t="str" s="2">
        <x:f>="Kristy Rice"</x:f>
      </x:c>
      <x:c r="B4186" t="str" s="2">
        <x:v>Heritage Housing of Tulsa</x:v>
      </x:c>
      <x:c r="C4186" t="str" s="2">
        <x:v/>
      </x:c>
      <x:c r="D4186" t="str" s="2">
        <x:v>9188923073</x:v>
      </x:c>
      <x:c r="E4186" t="str" s="2">
        <x:v>gravityk11@yahoo.com</x:v>
      </x:c>
      <x:c r="F4186" t="str" s="2">
        <x:v>Landing_BPM</x:v>
      </x:c>
      <x:c r="G4186" t="str" s="2">
        <x:v>Jenna Fransisco</x:v>
      </x:c>
      <x:c r="H4186" s="6">
        <x:v>46271.60201863426</x:v>
      </x:c>
      <x:c r="I4186" s="0"/>
      <x:c r="J4186" s="0"/>
      <x:c r="K4186" s="6">
        <x:v>46279</x:v>
      </x:c>
      <x:c r="L4186" t="str" s="2">
        <x:v>Message Sent</x:v>
      </x:c>
    </x:row>
    <x:row r="4187">
      <x:c r="A4187" t="str" s="2">
        <x:f>="Sandra Rayford"</x:f>
      </x:c>
      <x:c r="B4187" t="str" s="2">
        <x:v>Heritage Housing of Canton</x:v>
      </x:c>
      <x:c r="C4187" t="str" s="2">
        <x:v/>
      </x:c>
      <x:c r="D4187" t="str" s="2">
        <x:v>2543936548</x:v>
      </x:c>
      <x:c r="E4187" t="str" s="2">
        <x:v>rrsandra_rayford@yahoo.com</x:v>
      </x:c>
      <x:c r="F4187" t="str" s="2">
        <x:v>Youtube</x:v>
      </x:c>
      <x:c r="G4187" t="str" s="2">
        <x:v>Jacob Hatten</x:v>
      </x:c>
      <x:c r="H4187" s="6">
        <x:v>46271.61951400463</x:v>
      </x:c>
      <x:c r="I4187" s="0"/>
      <x:c r="J4187" s="0"/>
      <x:c r="K4187" s="6">
        <x:v>46293</x:v>
      </x:c>
      <x:c r="L4187" t="str" s="2">
        <x:v>Message Sent</x:v>
      </x:c>
    </x:row>
    <x:row r="4188">
      <x:c r="A4188" t="str" s="2">
        <x:f>="Crystal Heriot"</x:f>
      </x:c>
      <x:c r="B4188" t="str" s="2">
        <x:v>Heritage Housing of Asheboro</x:v>
      </x:c>
      <x:c r="C4188" t="str" s="2">
        <x:v/>
      </x:c>
      <x:c r="D4188" t="str" s="2">
        <x:v>7048985940</x:v>
      </x:c>
      <x:c r="E4188" t="str" s="2">
        <x:v>majoritydixon@gmail.com</x:v>
      </x:c>
      <x:c r="F4188" t="str" s="2">
        <x:v>Youtube</x:v>
      </x:c>
      <x:c r="G4188" t="str" s="2">
        <x:v>Kate Gutierrez</x:v>
      </x:c>
      <x:c r="H4188" s="6">
        <x:v>46271.624574421294</x:v>
      </x:c>
      <x:c r="I4188" s="0"/>
      <x:c r="J4188" s="0"/>
      <x:c r="K4188" s="6">
        <x:v>46286</x:v>
      </x:c>
      <x:c r="L4188" t="str" s="2">
        <x:v>Message Sent</x:v>
      </x:c>
    </x:row>
    <x:row r="4189">
      <x:c r="A4189" t="str" s="2">
        <x:f>="Arthur Roberson"</x:f>
      </x:c>
      <x:c r="B4189" t="str" s="2">
        <x:v>Heritage Housing of Canton</x:v>
      </x:c>
      <x:c r="C4189" t="str" s="2">
        <x:v/>
      </x:c>
      <x:c r="D4189" t="str" s="2">
        <x:v>2148852025</x:v>
      </x:c>
      <x:c r="E4189" t="str" s="2">
        <x:v>arthurroberson6@gmail.com</x:v>
      </x:c>
      <x:c r="F4189" t="str" s="2">
        <x:v>Youtube</x:v>
      </x:c>
      <x:c r="G4189" t="str" s="2">
        <x:v>Maira Garcia</x:v>
      </x:c>
      <x:c r="H4189" s="6">
        <x:v>46271.62667971065</x:v>
      </x:c>
      <x:c r="I4189" s="0"/>
      <x:c r="J4189" s="0"/>
      <x:c r="K4189" s="6">
        <x:v>46273</x:v>
      </x:c>
      <x:c r="L4189" t="str" s="2">
        <x:v>Message Sent</x:v>
      </x:c>
    </x:row>
    <x:row r="4190">
      <x:c r="A4190" t="str" s="2">
        <x:f>="Shannon Strang"</x:f>
      </x:c>
      <x:c r="B4190" t="str" s="2">
        <x:v>Legacy Housing Corp. DBA Americasa</x:v>
      </x:c>
      <x:c r="C4190" t="str" s="2">
        <x:v/>
      </x:c>
      <x:c r="D4190" t="str" s="2">
        <x:v>7138788170</x:v>
      </x:c>
      <x:c r="E4190" t="str" s="2">
        <x:v>mickeyshannon082@gmail.com</x:v>
      </x:c>
      <x:c r="F4190" t="str" s="2">
        <x:v>Website</x:v>
      </x:c>
      <x:c r="G4190" t="str" s="2">
        <x:v>Jose Parada</x:v>
      </x:c>
      <x:c r="H4190" s="6">
        <x:v>46271.672502546295</x:v>
      </x:c>
      <x:c r="I4190" s="0"/>
      <x:c r="J4190" s="0"/>
      <x:c r="K4190" s="6">
        <x:v>46273</x:v>
      </x:c>
      <x:c r="L4190" t="str" s="2">
        <x:v>Message Sent</x:v>
      </x:c>
    </x:row>
    <x:row r="4191">
      <x:c r="A4191" t="str" s="2">
        <x:f>="Lisa Cooper"</x:f>
      </x:c>
      <x:c r="B4191" t="str" s="2">
        <x:v>Heritage Housing of Albany</x:v>
      </x:c>
      <x:c r="C4191" t="str" s="2">
        <x:v/>
      </x:c>
      <x:c r="D4191" t="str" s="2">
        <x:v>6789000674</x:v>
      </x:c>
      <x:c r="E4191" t="str" s="2">
        <x:v>cooperlisa69@gmail.com</x:v>
      </x:c>
      <x:c r="F4191" t="str" s="2">
        <x:v>Landing_BPM</x:v>
      </x:c>
      <x:c r="G4191" t="str" s="2">
        <x:v>Justin Johnson</x:v>
      </x:c>
      <x:c r="H4191" s="6">
        <x:v>46271.71404806713</x:v>
      </x:c>
      <x:c r="I4191" s="0"/>
      <x:c r="J4191" s="0"/>
      <x:c r="K4191" s="6">
        <x:v>46280</x:v>
      </x:c>
      <x:c r="L4191" t="str" s="2">
        <x:v>Message Sent</x:v>
      </x:c>
    </x:row>
    <x:row r="4192">
      <x:c r="A4192" t="str" s="2">
        <x:f>="Tonya Morehead"</x:f>
      </x:c>
      <x:c r="B4192" t="str" s="2">
        <x:v>Heritage Housing of Asheboro</x:v>
      </x:c>
      <x:c r="C4192" t="str" s="2">
        <x:v/>
      </x:c>
      <x:c r="D4192" t="str" s="2">
        <x:v>5014533684</x:v>
      </x:c>
      <x:c r="E4192" t="str" s="2">
        <x:v>tonyamorehead01@gmail.com</x:v>
      </x:c>
      <x:c r="F4192" t="str" s="2">
        <x:v>Landing_BPM</x:v>
      </x:c>
      <x:c r="G4192" t="str" s="2">
        <x:v>Maria Lopez</x:v>
      </x:c>
      <x:c r="H4192" s="6">
        <x:v>46271.720692511575</x:v>
      </x:c>
      <x:c r="I4192" s="0"/>
      <x:c r="J4192" s="0"/>
      <x:c r="K4192" s="6">
        <x:v>46273</x:v>
      </x:c>
      <x:c r="L4192" t="str" s="2">
        <x:v>Message Sent</x:v>
      </x:c>
    </x:row>
    <x:row r="4193">
      <x:c r="A4193" t="str" s="2">
        <x:f>="Phyllis Boggs"</x:f>
      </x:c>
      <x:c r="B4193" t="str" s="2">
        <x:v>Heritage Housing of Asheboro</x:v>
      </x:c>
      <x:c r="C4193" t="str" s="2">
        <x:v/>
      </x:c>
      <x:c r="D4193" t="str" s="2">
        <x:v>9106274682</x:v>
      </x:c>
      <x:c r="E4193" t="str" s="2">
        <x:v>pjkendrick1013@icloud.com</x:v>
      </x:c>
      <x:c r="F4193" t="str" s="2">
        <x:v>Landing_BPM</x:v>
      </x:c>
      <x:c r="G4193" t="str" s="2">
        <x:v>Maria Lopez</x:v>
      </x:c>
      <x:c r="H4193" s="6">
        <x:v>46271.732014733796</x:v>
      </x:c>
      <x:c r="I4193" s="0"/>
      <x:c r="J4193" s="0"/>
      <x:c r="K4193" s="6">
        <x:v>46307</x:v>
      </x:c>
      <x:c r="L4193" t="str" s="2">
        <x:v>Message Sent</x:v>
      </x:c>
    </x:row>
    <x:row r="4194">
      <x:c r="A4194" t="str" s="2">
        <x:f>=HYPERLINK("https://rsms.futurehomex.com/lead/39760", "Vickie Cleveland")</x:f>
      </x:c>
      <x:c r="B4194" t="str" s="2">
        <x:v>Heritage Housing of Oklahoma City</x:v>
      </x:c>
      <x:c r="C4194" t="str" s="2">
        <x:v/>
      </x:c>
      <x:c r="D4194" t="str" s="2">
        <x:v>405-404-1932</x:v>
      </x:c>
      <x:c r="E4194" t="str" s="2">
        <x:v>friendtoheart@gmail.com</x:v>
      </x:c>
      <x:c r="F4194" t="str" s="2">
        <x:v>Landing_BPM</x:v>
      </x:c>
      <x:c r="G4194" t="str" s="2">
        <x:v>Steve Castell</x:v>
      </x:c>
      <x:c r="H4194" s="6">
        <x:v>46271.75752295139</x:v>
      </x:c>
      <x:c r="I4194" t="str" s="2">
        <x:v>Steve Castell</x:v>
      </x:c>
      <x:c r="J4194" s="0"/>
      <x:c r="K4194" s="6">
        <x:v>46273</x:v>
      </x:c>
      <x:c r="L4194" t="str" s="2">
        <x:v>Message Sent</x:v>
      </x:c>
    </x:row>
    <x:row r="4195">
      <x:c r="A4195" t="str" s="2">
        <x:f>="Stacey Henry Henry"</x:f>
      </x:c>
      <x:c r="B4195" t="str" s="2">
        <x:v>Heritage Housing of Jennings</x:v>
      </x:c>
      <x:c r="C4195" t="str" s="2">
        <x:v/>
      </x:c>
      <x:c r="D4195" t="str" s="2">
        <x:v>3375642193</x:v>
      </x:c>
      <x:c r="E4195" t="str" s="2">
        <x:v>jkiariv@proton.me</x:v>
      </x:c>
      <x:c r="F4195" t="str" s="2">
        <x:v>Landing_BPM</x:v>
      </x:c>
      <x:c r="G4195" t="str" s="2">
        <x:v>Clint O'Neal</x:v>
      </x:c>
      <x:c r="H4195" s="6">
        <x:v>46271.77273399306</x:v>
      </x:c>
      <x:c r="I4195" s="0"/>
      <x:c r="J4195" s="0"/>
      <x:c r="K4195" s="6">
        <x:v>46302.710632291666</x:v>
      </x:c>
      <x:c r="L4195" t="str" s="2">
        <x:v>Message Sent</x:v>
      </x:c>
    </x:row>
    <x:row r="4196">
      <x:c r="A4196" t="str" s="2">
        <x:f>="Sonya Lambert"</x:f>
      </x:c>
      <x:c r="B4196" t="str" s="2">
        <x:v>Heritage Housing of Jennings</x:v>
      </x:c>
      <x:c r="C4196" t="str" s="2">
        <x:v/>
      </x:c>
      <x:c r="D4196" t="str" s="2">
        <x:v>3373968584</x:v>
      </x:c>
      <x:c r="E4196" t="str" s="2">
        <x:v>sonyalam750@gmail.com</x:v>
      </x:c>
      <x:c r="F4196" t="str" s="2">
        <x:v>Landing_BPM</x:v>
      </x:c>
      <x:c r="G4196" t="str" s="2">
        <x:v>Mervin Leslie Smith</x:v>
      </x:c>
      <x:c r="H4196" s="6">
        <x:v>46271.7767400463</x:v>
      </x:c>
      <x:c r="I4196" s="0"/>
      <x:c r="J4196" s="0"/>
      <x:c r="K4196" s="6">
        <x:v>46302.65522777778</x:v>
      </x:c>
      <x:c r="L4196" t="str" s="2">
        <x:v>Message Sent</x:v>
      </x:c>
    </x:row>
    <x:row r="4197">
      <x:c r="A4197" t="str" s="2">
        <x:f>="Eugene Randle"</x:f>
      </x:c>
      <x:c r="B4197" t="str" s="2">
        <x:v>Heritage Housing of Jennings</x:v>
      </x:c>
      <x:c r="C4197" t="str" s="2">
        <x:v/>
      </x:c>
      <x:c r="D4197" t="str" s="2">
        <x:v>3375659762</x:v>
      </x:c>
      <x:c r="E4197" t="str" s="2">
        <x:v>erandleej67@gmail.com</x:v>
      </x:c>
      <x:c r="F4197" t="str" s="2">
        <x:v>Youtube</x:v>
      </x:c>
      <x:c r="G4197" t="str" s="2">
        <x:v>Clint O'Neal</x:v>
      </x:c>
      <x:c r="H4197" s="6">
        <x:v>46271.83123792824</x:v>
      </x:c>
      <x:c r="I4197" s="0"/>
      <x:c r="J4197" s="0"/>
      <x:c r="K4197" s="6">
        <x:v>46302.67279841435</x:v>
      </x:c>
      <x:c r="L4197" t="str" s="2">
        <x:v>Message Sent</x:v>
      </x:c>
    </x:row>
    <x:row r="4198">
      <x:c r="A4198" t="str" s="2">
        <x:f>=HYPERLINK("https://rsms.futurehomex.com/lead/39779", "Dennis Jones")</x:f>
      </x:c>
      <x:c r="B4198" t="str" s="2">
        <x:v>Heritage Housing of Oklahoma City</x:v>
      </x:c>
      <x:c r="C4198" t="str" s="2">
        <x:v/>
      </x:c>
      <x:c r="D4198" t="str" s="2">
        <x:v>4055102419</x:v>
      </x:c>
      <x:c r="E4198" t="str" s="2">
        <x:v>bobmatt86.dj@gmail.com</x:v>
      </x:c>
      <x:c r="F4198" t="str" s="2">
        <x:v>Landing_BPM</x:v>
      </x:c>
      <x:c r="G4198" t="str" s="2">
        <x:v>Steve Castell</x:v>
      </x:c>
      <x:c r="H4198" s="6">
        <x:v>46271.83561527778</x:v>
      </x:c>
      <x:c r="I4198" t="str" s="2">
        <x:v>Steve Castell</x:v>
      </x:c>
      <x:c r="J4198" s="0"/>
      <x:c r="K4198" s="6">
        <x:v>46273</x:v>
      </x:c>
      <x:c r="L4198" t="str" s="2">
        <x:v>Message Sent</x:v>
      </x:c>
    </x:row>
    <x:row r="4199">
      <x:c r="A4199" t="str" s="2">
        <x:f>=HYPERLINK("https://rsms.futurehomex.com/lead/39765", "Cornelius Mclaurin")</x:f>
      </x:c>
      <x:c r="B4199" t="str" s="2">
        <x:v>Heritage Housing of Oklahoma City</x:v>
      </x:c>
      <x:c r="C4199" t="str" s="2">
        <x:v/>
      </x:c>
      <x:c r="D4199" t="str" s="2">
        <x:v>4057470274</x:v>
      </x:c>
      <x:c r="E4199" t="str" s="2">
        <x:v>cmcornelius6@gmail.com</x:v>
      </x:c>
      <x:c r="F4199" t="str" s="2">
        <x:v>Landing_BPM</x:v>
      </x:c>
      <x:c r="G4199" t="str" s="2">
        <x:v>Steve Castell</x:v>
      </x:c>
      <x:c r="H4199" s="6">
        <x:v>46271.85030640046</x:v>
      </x:c>
      <x:c r="I4199" t="str" s="2">
        <x:v>Steve Castell</x:v>
      </x:c>
      <x:c r="J4199" s="0"/>
      <x:c r="K4199" s="6">
        <x:v>46273</x:v>
      </x:c>
      <x:c r="L4199" t="str" s="2">
        <x:v>Message Sent</x:v>
      </x:c>
    </x:row>
    <x:row r="4200">
      <x:c r="A4200" t="str" s="2">
        <x:f>="Brian Testa"</x:f>
      </x:c>
      <x:c r="B4200" t="str" s="2">
        <x:v>Heritage Housing of Tulsa</x:v>
      </x:c>
      <x:c r="C4200" t="str" s="2">
        <x:v/>
      </x:c>
      <x:c r="D4200" t="str" s="2">
        <x:v>9182712289</x:v>
      </x:c>
      <x:c r="E4200" t="str" s="2">
        <x:v>superbee61@msn.com</x:v>
      </x:c>
      <x:c r="F4200" t="str" s="2">
        <x:v>Landing_BPM</x:v>
      </x:c>
      <x:c r="G4200" t="str" s="2">
        <x:v>Jenna Fransisco</x:v>
      </x:c>
      <x:c r="H4200" s="6">
        <x:v>46271.85858799768</x:v>
      </x:c>
      <x:c r="I4200" s="0"/>
      <x:c r="J4200" s="0"/>
      <x:c r="K4200" s="6">
        <x:v>46279</x:v>
      </x:c>
      <x:c r="L4200" t="str" s="2">
        <x:v>Message Sent</x:v>
      </x:c>
    </x:row>
    <x:row r="4201">
      <x:c r="A4201" t="str" s="2">
        <x:f>="Sahida asif Haydar Haydar"</x:f>
      </x:c>
      <x:c r="B4201" t="str" s="2">
        <x:v>Legacy Housing Corp. DBA Americasa</x:v>
      </x:c>
      <x:c r="C4201" t="str" s="2">
        <x:v/>
      </x:c>
      <x:c r="D4201" t="str" s="2">
        <x:v>7135922988</x:v>
      </x:c>
      <x:c r="E4201" t="str" s="2">
        <x:v>sahida653@gmail.com</x:v>
      </x:c>
      <x:c r="F4201" t="str" s="2">
        <x:v>Landing_BPM</x:v>
      </x:c>
      <x:c r="G4201" t="str" s="2">
        <x:v>Rodrigo Ramirez</x:v>
      </x:c>
      <x:c r="H4201" s="6">
        <x:v>46271.8597875</x:v>
      </x:c>
      <x:c r="I4201" s="0"/>
      <x:c r="J4201" s="0"/>
      <x:c r="K4201" s="6">
        <x:v>46272</x:v>
      </x:c>
      <x:c r="L4201" t="str" s="2">
        <x:v>Message Sent</x:v>
      </x:c>
    </x:row>
    <x:row r="4202">
      <x:c r="A4202" t="str" s="2">
        <x:f>="Oscar Hernandez Hernandez"</x:f>
      </x:c>
      <x:c r="B4202" t="str" s="2">
        <x:v>Heritage Housing of Athens</x:v>
      </x:c>
      <x:c r="C4202" t="str" s="2">
        <x:v/>
      </x:c>
      <x:c r="D4202" t="str" s="2">
        <x:v>6789251801</x:v>
      </x:c>
      <x:c r="E4202" t="str" s="2">
        <x:v>mhhandyman5@gmail.com</x:v>
      </x:c>
      <x:c r="F4202" t="str" s="2">
        <x:v>Landing_BPM</x:v>
      </x:c>
      <x:c r="G4202" t="str" s="2">
        <x:v>Nathan Bishop</x:v>
      </x:c>
      <x:c r="H4202" s="6">
        <x:v>46271.867191516205</x:v>
      </x:c>
      <x:c r="I4202" s="0"/>
      <x:c r="J4202" s="0"/>
      <x:c r="K4202" s="6">
        <x:v>46281</x:v>
      </x:c>
      <x:c r="L4202" t="str" s="2">
        <x:v>Message Sent</x:v>
      </x:c>
    </x:row>
    <x:row r="4203">
      <x:c r="A4203" t="str" s="2">
        <x:f>="Kimberly Turley"</x:f>
      </x:c>
      <x:c r="B4203" t="str" s="2">
        <x:v>Heritage Housing Marble Falls</x:v>
      </x:c>
      <x:c r="C4203" t="str" s="2">
        <x:v/>
      </x:c>
      <x:c r="D4203" t="str" s="2">
        <x:v>5013261562</x:v>
      </x:c>
      <x:c r="E4203" t="str" s="2">
        <x:v>kturley0224@gmail.com</x:v>
      </x:c>
      <x:c r="F4203" t="str" s="2">
        <x:v>Landing_BPM</x:v>
      </x:c>
      <x:c r="G4203" t="str" s="2">
        <x:v>Stephen Sanders</x:v>
      </x:c>
      <x:c r="H4203" s="6">
        <x:v>46271.873019363426</x:v>
      </x:c>
      <x:c r="I4203" s="0"/>
      <x:c r="J4203" s="0"/>
      <x:c r="K4203" s="6">
        <x:v>46274</x:v>
      </x:c>
      <x:c r="L4203" t="str" s="2">
        <x:v>Message Sent</x:v>
      </x:c>
    </x:row>
    <x:row r="4204">
      <x:c r="A4204" t="str" s="2">
        <x:f>="Richard Russell"</x:f>
      </x:c>
      <x:c r="B4204" t="str" s="2">
        <x:v>Heritage Housing of Canton</x:v>
      </x:c>
      <x:c r="C4204" t="str" s="2">
        <x:v/>
      </x:c>
      <x:c r="D4204" t="str" s="2">
        <x:v>2105290803</x:v>
      </x:c>
      <x:c r="E4204" t="str" s="2">
        <x:v>russellrichard1950@gmail.com</x:v>
      </x:c>
      <x:c r="F4204" t="str" s="2">
        <x:v>Youtube</x:v>
      </x:c>
      <x:c r="G4204" t="str" s="2">
        <x:v>Jacob Hatten</x:v>
      </x:c>
      <x:c r="H4204" s="6">
        <x:v>46271.877007372685</x:v>
      </x:c>
      <x:c r="I4204" s="0"/>
      <x:c r="J4204" s="0"/>
      <x:c r="K4204" s="6">
        <x:v>46293</x:v>
      </x:c>
      <x:c r="L4204" t="str" s="2">
        <x:v>Message Sent</x:v>
      </x:c>
    </x:row>
    <x:row r="4205">
      <x:c r="A4205" t="str" s="2">
        <x:f>="Leroy Garrison III"</x:f>
      </x:c>
      <x:c r="B4205" t="str" s="2">
        <x:v>Heritage Housing of Jennings</x:v>
      </x:c>
      <x:c r="C4205" t="str" s="2">
        <x:v/>
      </x:c>
      <x:c r="D4205" t="str" s="2">
        <x:v>5043656614</x:v>
      </x:c>
      <x:c r="E4205" t="str" s="2">
        <x:v>garrisondebtsolutions@gmail.com</x:v>
      </x:c>
      <x:c r="F4205" t="str" s="2">
        <x:v>Youtube</x:v>
      </x:c>
      <x:c r="G4205" t="str" s="2">
        <x:v>Mervin Leslie Smith</x:v>
      </x:c>
      <x:c r="H4205" s="6">
        <x:v>46271.88171527778</x:v>
      </x:c>
      <x:c r="I4205" s="0"/>
      <x:c r="J4205" s="0"/>
      <x:c r="K4205" s="6">
        <x:v>46302.71106790509</x:v>
      </x:c>
      <x:c r="L4205" t="str" s="2">
        <x:v>Message Sent</x:v>
      </x:c>
    </x:row>
    <x:row r="4206">
      <x:c r="A4206" t="str" s="2">
        <x:f>="Jesse Ybabes"</x:f>
      </x:c>
      <x:c r="B4206" t="str" s="2">
        <x:v>Heritage Housing of Augusta</x:v>
      </x:c>
      <x:c r="C4206" t="str" s="2">
        <x:v>2/2</x:v>
      </x:c>
      <x:c r="D4206" t="str" s="2">
        <x:v>8035699204</x:v>
      </x:c>
      <x:c r="E4206" t="str" s="2">
        <x:v>jesseybabes@gmail.com</x:v>
      </x:c>
      <x:c r="F4206" t="str" s="2">
        <x:v>Landing_BPM</x:v>
      </x:c>
      <x:c r="G4206" t="str" s="2">
        <x:v>Faye Lively</x:v>
      </x:c>
      <x:c r="H4206" s="6">
        <x:v>46271.88779255787</x:v>
      </x:c>
      <x:c r="I4206" s="0"/>
      <x:c r="J4206" s="0"/>
      <x:c r="K4206" s="6">
        <x:v>46282.831274108794</x:v>
      </x:c>
      <x:c r="L4206" t="str" s="2">
        <x:v>Message Sent</x:v>
      </x:c>
    </x:row>
    <x:row r="4207">
      <x:c r="A4207" t="str" s="2">
        <x:f>="Nicole Margarejo"</x:f>
      </x:c>
      <x:c r="B4207" t="str" s="2">
        <x:v>Heritage Housing of Jennings</x:v>
      </x:c>
      <x:c r="C4207" t="str" s="2">
        <x:v/>
      </x:c>
      <x:c r="D4207" t="str" s="2">
        <x:v>5045146109</x:v>
      </x:c>
      <x:c r="E4207" t="str" s="2">
        <x:v>it.gurl.nikki.4ever@gmail.com</x:v>
      </x:c>
      <x:c r="F4207" t="str" s="2">
        <x:v>Youtube</x:v>
      </x:c>
      <x:c r="G4207" t="str" s="2">
        <x:v>Clint O'Neal</x:v>
      </x:c>
      <x:c r="H4207" s="6">
        <x:v>46271.90192271991</x:v>
      </x:c>
      <x:c r="I4207" s="0"/>
      <x:c r="J4207" s="0"/>
      <x:c r="K4207" s="6">
        <x:v>46302.711546875</x:v>
      </x:c>
      <x:c r="L4207" t="str" s="2">
        <x:v>Message Sent</x:v>
      </x:c>
    </x:row>
    <x:row r="4208">
      <x:c r="A4208" t="str" s="2">
        <x:f>="Michael Loveless"</x:f>
      </x:c>
      <x:c r="B4208" t="str" s="2">
        <x:v>Heritage Housing of Asheboro</x:v>
      </x:c>
      <x:c r="C4208" t="str" s="2">
        <x:v/>
      </x:c>
      <x:c r="D4208" t="str" s="2">
        <x:v>9805013998</x:v>
      </x:c>
      <x:c r="E4208" t="str" s="2">
        <x:v>lovbentley2@yahoo.com</x:v>
      </x:c>
      <x:c r="F4208" t="str" s="2">
        <x:v>Youtube</x:v>
      </x:c>
      <x:c r="G4208" t="str" s="2">
        <x:v>Kate Gutierrez</x:v>
      </x:c>
      <x:c r="H4208" s="6">
        <x:v>46271.91488364583</x:v>
      </x:c>
      <x:c r="I4208" s="0"/>
      <x:c r="J4208" s="0"/>
      <x:c r="K4208" s="6">
        <x:v>46273</x:v>
      </x:c>
      <x:c r="L4208" t="str" s="2">
        <x:v>Message Sent</x:v>
      </x:c>
    </x:row>
    <x:row r="4209">
      <x:c r="A4209" t="str" s="2">
        <x:f>=HYPERLINK("https://rsms.futurehomex.com/lead/39759", "Amanda Mendenhall")</x:f>
      </x:c>
      <x:c r="B4209" t="str" s="2">
        <x:v>Heritage Housing of Oklahoma City</x:v>
      </x:c>
      <x:c r="C4209" t="str" s="2">
        <x:v/>
      </x:c>
      <x:c r="D4209" t="str" s="2">
        <x:v>9188435049</x:v>
      </x:c>
      <x:c r="E4209" t="str" s="2">
        <x:v>23amanda23@gmail.com</x:v>
      </x:c>
      <x:c r="F4209" t="str" s="2">
        <x:v>Youtube</x:v>
      </x:c>
      <x:c r="G4209" t="str" s="2">
        <x:v>Steve Castell</x:v>
      </x:c>
      <x:c r="H4209" s="6">
        <x:v>46271.91629606482</x:v>
      </x:c>
      <x:c r="I4209" t="str" s="2">
        <x:v>Steve Castell</x:v>
      </x:c>
      <x:c r="J4209" s="0"/>
      <x:c r="K4209" s="6">
        <x:v>46273</x:v>
      </x:c>
      <x:c r="L4209" t="str" s="2">
        <x:v>Message Sent</x:v>
      </x:c>
    </x:row>
    <x:row r="4210">
      <x:c r="A4210" t="str" s="2">
        <x:f>="Katie Gibson"</x:f>
      </x:c>
      <x:c r="B4210" t="str" s="2">
        <x:v>Heritage Housing of Canton</x:v>
      </x:c>
      <x:c r="C4210" t="str" s="2">
        <x:v/>
      </x:c>
      <x:c r="D4210" t="str" s="2">
        <x:v>4692549898</x:v>
      </x:c>
      <x:c r="E4210" t="str" s="2">
        <x:v>katie.gibson0706@gmail.com</x:v>
      </x:c>
      <x:c r="F4210" t="str" s="2">
        <x:v>Landing_BPM</x:v>
      </x:c>
      <x:c r="G4210" t="str" s="2">
        <x:v>Maira Garcia</x:v>
      </x:c>
      <x:c r="H4210" s="6">
        <x:v>46271.98869517361</x:v>
      </x:c>
      <x:c r="I4210" s="0"/>
      <x:c r="J4210" s="0"/>
      <x:c r="K4210" s="6">
        <x:v>46273</x:v>
      </x:c>
      <x:c r="L4210" t="str" s="2">
        <x:v>Message Sent</x:v>
      </x:c>
    </x:row>
    <x:row r="4211">
      <x:c r="A4211" t="str" s="2">
        <x:f>="Daniel Landry"</x:f>
      </x:c>
      <x:c r="B4211" t="str" s="2">
        <x:v>Legacy Housing Corp. DBA Americasa</x:v>
      </x:c>
      <x:c r="C4211" t="str" s="2">
        <x:v/>
      </x:c>
      <x:c r="D4211" t="str" s="2">
        <x:v>3468690857</x:v>
      </x:c>
      <x:c r="E4211" t="str" s="2">
        <x:v>daniellandry881@gmail.com</x:v>
      </x:c>
      <x:c r="F4211" t="str" s="2">
        <x:v>Youtube</x:v>
      </x:c>
      <x:c r="G4211" t="str" s="2">
        <x:v>Rodrigo Ramirez</x:v>
      </x:c>
      <x:c r="H4211" s="6">
        <x:v>46272.019209375</x:v>
      </x:c>
      <x:c r="I4211" s="0"/>
      <x:c r="J4211" s="0"/>
      <x:c r="K4211" s="6">
        <x:v>46284</x:v>
      </x:c>
      <x:c r="L4211" t="str" s="2">
        <x:v>Message Sent</x:v>
      </x:c>
    </x:row>
    <x:row r="4212">
      <x:c r="A4212" t="str" s="2">
        <x:f>="Kenneth Cooper"</x:f>
      </x:c>
      <x:c r="B4212" t="str" s="2">
        <x:v>Heritage Housing of Athens</x:v>
      </x:c>
      <x:c r="C4212" t="str" s="2">
        <x:v/>
      </x:c>
      <x:c r="D4212" t="str" s="2">
        <x:v>4042297991</x:v>
      </x:c>
      <x:c r="E4212" t="str" s="2">
        <x:v>kennethcooper68@gmail.com</x:v>
      </x:c>
      <x:c r="F4212" t="str" s="2">
        <x:v>Landing_BPM</x:v>
      </x:c>
      <x:c r="G4212" t="str" s="2">
        <x:v>Nathan Bishop</x:v>
      </x:c>
      <x:c r="H4212" s="6">
        <x:v>46272.03841030093</x:v>
      </x:c>
      <x:c r="I4212" s="0"/>
      <x:c r="J4212" s="0"/>
      <x:c r="K4212" s="6">
        <x:v>46281</x:v>
      </x:c>
      <x:c r="L4212" t="str" s="2">
        <x:v>Message Sent</x:v>
      </x:c>
    </x:row>
    <x:row r="4213">
      <x:c r="A4213" t="str" s="2">
        <x:f>="Brenda Gayneaux"</x:f>
      </x:c>
      <x:c r="B4213" t="str" s="2">
        <x:v>Heritage Housing of Jennings</x:v>
      </x:c>
      <x:c r="C4213" t="str" s="2">
        <x:v/>
      </x:c>
      <x:c r="D4213" t="str" s="2">
        <x:v>3373291047</x:v>
      </x:c>
      <x:c r="E4213" t="str" s="2">
        <x:v>popsicles1358@gmail.com</x:v>
      </x:c>
      <x:c r="F4213" t="str" s="2">
        <x:v>Landing_BPM</x:v>
      </x:c>
      <x:c r="G4213" t="str" s="2">
        <x:v>Clint O'Neal</x:v>
      </x:c>
      <x:c r="H4213" s="6">
        <x:v>46272.03932658565</x:v>
      </x:c>
      <x:c r="I4213" s="0"/>
      <x:c r="J4213" s="0"/>
      <x:c r="K4213" s="6">
        <x:v>46302.67473167824</x:v>
      </x:c>
      <x:c r="L4213" t="str" s="2">
        <x:v>Message Sent</x:v>
      </x:c>
    </x:row>
    <x:row r="4214">
      <x:c r="A4214" t="str" s="2">
        <x:f>="Maria Moreno"</x:f>
      </x:c>
      <x:c r="B4214" t="str" s="2">
        <x:v>Heritage Housing of Asheboro</x:v>
      </x:c>
      <x:c r="C4214" t="str" s="2">
        <x:v/>
      </x:c>
      <x:c r="D4214" t="str" s="2">
        <x:v>3364653845</x:v>
      </x:c>
      <x:c r="E4214" t="str" s="2">
        <x:v>conchitamoreno106@gmail.com</x:v>
      </x:c>
      <x:c r="F4214" t="str" s="2">
        <x:v>Financing Form</x:v>
      </x:c>
      <x:c r="G4214" t="str" s="2">
        <x:v>Maria Lopez</x:v>
      </x:c>
      <x:c r="H4214" s="6">
        <x:v>46272.076333020836</x:v>
      </x:c>
      <x:c r="I4214" s="0"/>
      <x:c r="J4214" s="0"/>
      <x:c r="K4214" s="6">
        <x:v>46307</x:v>
      </x:c>
      <x:c r="L4214" t="str" s="2">
        <x:v>Message Sent</x:v>
      </x:c>
    </x:row>
    <x:row r="4215">
      <x:c r="A4215" t="str" s="2">
        <x:f>="Janice Clement"</x:f>
      </x:c>
      <x:c r="B4215" t="str" s="2">
        <x:v>Heritage Housing of Asheboro</x:v>
      </x:c>
      <x:c r="C4215" t="str" s="2">
        <x:v/>
      </x:c>
      <x:c r="D4215" t="str" s="2">
        <x:v>3367364641</x:v>
      </x:c>
      <x:c r="E4215" t="str" s="2">
        <x:v>jc19547074@gmail.com</x:v>
      </x:c>
      <x:c r="F4215" t="str" s="2">
        <x:v>Website</x:v>
      </x:c>
      <x:c r="G4215" t="str" s="2">
        <x:v>Kate Gutierrez</x:v>
      </x:c>
      <x:c r="H4215" s="6">
        <x:v>46272.079255474535</x:v>
      </x:c>
      <x:c r="I4215" s="0"/>
      <x:c r="J4215" s="6">
        <x:v>46284.666666666664</x:v>
      </x:c>
      <x:c r="K4215" s="6">
        <x:v>46293</x:v>
      </x:c>
      <x:c r="L4215" t="str" s="2">
        <x:v>Message Sent</x:v>
      </x:c>
    </x:row>
    <x:row r="4216">
      <x:c r="A4216" t="str" s="2">
        <x:f>="Janie Wimmer"</x:f>
      </x:c>
      <x:c r="B4216" t="str" s="2">
        <x:v>Heritage Housing of Asheboro</x:v>
      </x:c>
      <x:c r="C4216" t="str" s="2">
        <x:v/>
      </x:c>
      <x:c r="D4216" t="str" s="2">
        <x:v>9107591365</x:v>
      </x:c>
      <x:c r="E4216" t="str" s="2">
        <x:v>queenofthestorms381@gmail.com</x:v>
      </x:c>
      <x:c r="F4216" t="str" s="2">
        <x:v>Landing_BPM</x:v>
      </x:c>
      <x:c r="G4216" t="str" s="2">
        <x:v>Kate Gutierrez</x:v>
      </x:c>
      <x:c r="H4216" s="6">
        <x:v>46272.08004545139</x:v>
      </x:c>
      <x:c r="I4216" s="0"/>
      <x:c r="J4216" s="0"/>
      <x:c r="K4216" s="6">
        <x:v>46273</x:v>
      </x:c>
      <x:c r="L4216" t="str" s="2">
        <x:v>Message Sent</x:v>
      </x:c>
    </x:row>
    <x:row r="4217">
      <x:c r="A4217" t="str" s="2">
        <x:f>="Judy James"</x:f>
      </x:c>
      <x:c r="B4217" t="str" s="2">
        <x:v>Heritage Housing of Tulsa</x:v>
      </x:c>
      <x:c r="C4217" t="str" s="2">
        <x:v/>
      </x:c>
      <x:c r="D4217" t="str" s="2">
        <x:v>9189176513</x:v>
      </x:c>
      <x:c r="E4217" t="str" s="2">
        <x:v>jjudy1304@gmail.com</x:v>
      </x:c>
      <x:c r="F4217" t="str" s="2">
        <x:v>Landing_BPM</x:v>
      </x:c>
      <x:c r="G4217" t="str" s="2">
        <x:v>Jenna Fransisco</x:v>
      </x:c>
      <x:c r="H4217" s="6">
        <x:v>46272.1005871875</x:v>
      </x:c>
      <x:c r="I4217" s="0"/>
      <x:c r="J4217" s="0"/>
      <x:c r="K4217" s="6">
        <x:v>46279</x:v>
      </x:c>
      <x:c r="L4217" t="str" s="2">
        <x:v>Message Sent</x:v>
      </x:c>
    </x:row>
    <x:row r="4218">
      <x:c r="A4218" t="str" s="2">
        <x:f>="Lainey Hollinger"</x:f>
      </x:c>
      <x:c r="B4218" t="str" s="2">
        <x:v>Heritage Housing of Canton</x:v>
      </x:c>
      <x:c r="C4218" t="str" s="2">
        <x:v/>
      </x:c>
      <x:c r="D4218" t="str" s="2">
        <x:v>8302925662</x:v>
      </x:c>
      <x:c r="E4218" t="str" s="2">
        <x:v>laineylh123@gmail.com</x:v>
      </x:c>
      <x:c r="F4218" t="str" s="2">
        <x:v>Financing Form</x:v>
      </x:c>
      <x:c r="G4218" t="str" s="2">
        <x:v>Jacob Hatten</x:v>
      </x:c>
      <x:c r="H4218" s="6">
        <x:v>46272.12406577546</x:v>
      </x:c>
      <x:c r="I4218" s="0"/>
      <x:c r="J4218" s="0"/>
      <x:c r="K4218" s="6">
        <x:v>46293</x:v>
      </x:c>
      <x:c r="L4218" t="str" s="2">
        <x:v>Message Sent</x:v>
      </x:c>
    </x:row>
    <x:row r="4219">
      <x:c r="A4219" t="str" s="2">
        <x:f>="David Shinault"</x:f>
      </x:c>
      <x:c r="B4219" t="str" s="2">
        <x:v>Heritage Housing of Asheboro</x:v>
      </x:c>
      <x:c r="C4219" t="str" s="2">
        <x:v/>
      </x:c>
      <x:c r="D4219" t="str" s="2">
        <x:v>3363017602</x:v>
      </x:c>
      <x:c r="E4219" t="str" s="2">
        <x:v>glennshinault6@gmail.com</x:v>
      </x:c>
      <x:c r="F4219" t="str" s="2">
        <x:v>Financing Form</x:v>
      </x:c>
      <x:c r="G4219" t="str" s="2">
        <x:v>Maria Lopez</x:v>
      </x:c>
      <x:c r="H4219" s="6">
        <x:v>46272.138360185185</x:v>
      </x:c>
      <x:c r="I4219" s="0"/>
      <x:c r="J4219" s="0"/>
      <x:c r="K4219" s="6">
        <x:v>46273</x:v>
      </x:c>
      <x:c r="L4219" t="str" s="2">
        <x:v>Message Sent</x:v>
      </x:c>
    </x:row>
    <x:row r="4220">
      <x:c r="A4220" t="str" s="2">
        <x:f>="Stephanie Shinault"</x:f>
      </x:c>
      <x:c r="B4220" t="str" s="2">
        <x:v>Heritage Housing of Asheboro</x:v>
      </x:c>
      <x:c r="C4220" t="str" s="2">
        <x:v/>
      </x:c>
      <x:c r="D4220" t="str" s="2">
        <x:v>3364657932</x:v>
      </x:c>
      <x:c r="E4220" t="str" s="2">
        <x:v>stephshinault6@gmail.com</x:v>
      </x:c>
      <x:c r="F4220" t="str" s="2">
        <x:v>Financing Form</x:v>
      </x:c>
      <x:c r="G4220" t="str" s="2">
        <x:v>Kate Gutierrez</x:v>
      </x:c>
      <x:c r="H4220" s="6">
        <x:v>46272.1390502662</x:v>
      </x:c>
      <x:c r="I4220" s="0"/>
      <x:c r="J4220" s="0"/>
      <x:c r="K4220" s="6">
        <x:v>46276</x:v>
      </x:c>
      <x:c r="L4220" t="str" s="2">
        <x:v>Message Sent</x:v>
      </x:c>
    </x:row>
    <x:row r="4221">
      <x:c r="A4221" t="str" s="2">
        <x:f>="brandy Flynn"</x:f>
      </x:c>
      <x:c r="B4221" t="str" s="2">
        <x:v>Heritage Housing of Tulsa</x:v>
      </x:c>
      <x:c r="C4221" t="str" s="2">
        <x:v/>
      </x:c>
      <x:c r="D4221" t="str" s="2">
        <x:v>5393708482</x:v>
      </x:c>
      <x:c r="E4221" t="str" s="2">
        <x:v>brandydflynn7@gmail.com</x:v>
      </x:c>
      <x:c r="F4221" t="str" s="2">
        <x:v>Youtube</x:v>
      </x:c>
      <x:c r="G4221" t="str" s="2">
        <x:v>Jenna Fransisco</x:v>
      </x:c>
      <x:c r="H4221" s="6">
        <x:v>46272.14820621528</x:v>
      </x:c>
      <x:c r="I4221" s="0"/>
      <x:c r="J4221" s="0"/>
      <x:c r="K4221" s="6">
        <x:v>46282</x:v>
      </x:c>
      <x:c r="L4221" t="str" s="2">
        <x:v>Message Sent</x:v>
      </x:c>
    </x:row>
    <x:row r="4222">
      <x:c r="A4222" t="str" s="2">
        <x:f>="Yolanda Burney"</x:f>
      </x:c>
      <x:c r="B4222" t="str" s="2">
        <x:v>Heritage Housing of Jennings</x:v>
      </x:c>
      <x:c r="C4222" t="str" s="2">
        <x:v/>
      </x:c>
      <x:c r="D4222" t="str" s="2">
        <x:v>2402735602</x:v>
      </x:c>
      <x:c r="E4222" t="str" s="2">
        <x:v>yrhines7@yahoo.com</x:v>
      </x:c>
      <x:c r="F4222" t="str" s="2">
        <x:v>Youtube</x:v>
      </x:c>
      <x:c r="G4222" t="str" s="2">
        <x:v>Clint O'Neal</x:v>
      </x:c>
      <x:c r="H4222" s="6">
        <x:v>46272.189866469904</x:v>
      </x:c>
      <x:c r="I4222" s="0"/>
      <x:c r="J4222" s="0"/>
      <x:c r="K4222" s="6">
        <x:v>46302</x:v>
      </x:c>
      <x:c r="L4222" t="str" s="2">
        <x:v>Message Sent</x:v>
      </x:c>
    </x:row>
    <x:row r="4223">
      <x:c r="A4223" t="str" s="2">
        <x:f>="Ana Munizguzman"</x:f>
      </x:c>
      <x:c r="B4223" t="str" s="2">
        <x:v>Heritage Housing of Athens</x:v>
      </x:c>
      <x:c r="C4223" t="str" s="2">
        <x:v/>
      </x:c>
      <x:c r="D4223" t="str" s="2">
        <x:v>2294374217</x:v>
      </x:c>
      <x:c r="E4223" t="str" s="2">
        <x:v>anaimunizguzman9@gmail.com</x:v>
      </x:c>
      <x:c r="F4223" t="str" s="2">
        <x:v>Landing_BPM</x:v>
      </x:c>
      <x:c r="G4223" t="str" s="2">
        <x:v>Nathan Bishop</x:v>
      </x:c>
      <x:c r="H4223" s="6">
        <x:v>46272.21725335648</x:v>
      </x:c>
      <x:c r="I4223" s="0"/>
      <x:c r="J4223" s="0"/>
      <x:c r="K4223" s="6">
        <x:v>46281</x:v>
      </x:c>
      <x:c r="L4223" t="str" s="2">
        <x:v>Message Sent</x:v>
      </x:c>
    </x:row>
    <x:row r="4224">
      <x:c r="A4224" t="str" s="2">
        <x:f>="Lynn Vinson"</x:f>
      </x:c>
      <x:c r="B4224" t="str" s="2">
        <x:v>Heritage Housing of Tulsa</x:v>
      </x:c>
      <x:c r="C4224" t="str" s="2">
        <x:v/>
      </x:c>
      <x:c r="D4224" t="str" s="2">
        <x:v>5396292408</x:v>
      </x:c>
      <x:c r="E4224" t="str" s="2">
        <x:v>vinsonll82@gmail.com</x:v>
      </x:c>
      <x:c r="F4224" t="str" s="2">
        <x:v>Landing_BPM</x:v>
      </x:c>
      <x:c r="G4224" t="str" s="2">
        <x:v>Jenna Fransisco</x:v>
      </x:c>
      <x:c r="H4224" s="6">
        <x:v>46272.230827928244</x:v>
      </x:c>
      <x:c r="I4224" s="0"/>
      <x:c r="J4224" s="0"/>
      <x:c r="K4224" s="6">
        <x:v>46279.859032754626</x:v>
      </x:c>
      <x:c r="L4224" t="str" s="2">
        <x:v>Message Sent</x:v>
      </x:c>
    </x:row>
    <x:row r="4225">
      <x:c r="A4225" t="str" s="2">
        <x:f>="Rochelle Boutte"</x:f>
      </x:c>
      <x:c r="B4225" t="str" s="2">
        <x:v>Legacy Housing Corp. DBA Americasa</x:v>
      </x:c>
      <x:c r="C4225" t="str" s="2">
        <x:v/>
      </x:c>
      <x:c r="D4225" t="str" s="2">
        <x:v>2816223336</x:v>
      </x:c>
      <x:c r="E4225" t="str" s="2">
        <x:v>rochelleboutte919@gmail.com</x:v>
      </x:c>
      <x:c r="F4225" t="str" s="2">
        <x:v>Landing_BPM</x:v>
      </x:c>
      <x:c r="G4225" t="str" s="2">
        <x:v>Rodrigo Ramirez</x:v>
      </x:c>
      <x:c r="H4225" s="6">
        <x:v>46272.26296554398</x:v>
      </x:c>
      <x:c r="I4225" s="0"/>
      <x:c r="J4225" s="0"/>
      <x:c r="K4225" s="6">
        <x:v>46272</x:v>
      </x:c>
      <x:c r="L4225" t="str" s="2">
        <x:v>Message Sent</x:v>
      </x:c>
    </x:row>
    <x:row r="4226">
      <x:c r="A4226" t="str" s="2">
        <x:f>="Sherry Holt"</x:f>
      </x:c>
      <x:c r="B4226" t="str" s="2">
        <x:v>Heritage Housing of Albany</x:v>
      </x:c>
      <x:c r="C4226" t="str" s="2">
        <x:v/>
      </x:c>
      <x:c r="D4226" t="str" s="2">
        <x:v>2294578760</x:v>
      </x:c>
      <x:c r="E4226" t="str" s="2">
        <x:v>sherryannholt433@gmail.com</x:v>
      </x:c>
      <x:c r="F4226" t="str" s="2">
        <x:v>Landing_BPM</x:v>
      </x:c>
      <x:c r="G4226" t="str" s="2">
        <x:v>Yanet Alvarez</x:v>
      </x:c>
      <x:c r="H4226" s="6">
        <x:v>46272.30700320602</x:v>
      </x:c>
      <x:c r="I4226" s="0"/>
      <x:c r="J4226" s="0"/>
      <x:c r="K4226" s="6">
        <x:v>46303</x:v>
      </x:c>
      <x:c r="L4226" t="str" s="2">
        <x:v>Message Sent</x:v>
      </x:c>
    </x:row>
    <x:row r="4227">
      <x:c r="A4227" t="str" s="2">
        <x:f>="Rachel Richardson"</x:f>
      </x:c>
      <x:c r="B4227" t="str" s="2">
        <x:v>Heritage Housing of Greenville</x:v>
      </x:c>
      <x:c r="C4227" t="str" s="2">
        <x:v/>
      </x:c>
      <x:c r="D4227" t="str" s="2">
        <x:v>+4697536478</x:v>
      </x:c>
      <x:c r="E4227" t="str" s="2">
        <x:v>rrichardson461834@gmail.com</x:v>
      </x:c>
      <x:c r="F4227" t="str" s="2">
        <x:v>Landing_BPM</x:v>
      </x:c>
      <x:c r="G4227" t="str" s="2">
        <x:v>Brooklynn Allen</x:v>
      </x:c>
      <x:c r="H4227" s="6">
        <x:v>46272.31344733796</x:v>
      </x:c>
      <x:c r="I4227" s="0"/>
      <x:c r="J4227" s="0"/>
      <x:c r="K4227" s="6">
        <x:v>46288</x:v>
      </x:c>
      <x:c r="L4227" t="str" s="2">
        <x:v>Message Sent</x:v>
      </x:c>
    </x:row>
    <x:row r="4228">
      <x:c r="A4228" t="str" s="2">
        <x:f>="steve treadway"</x:f>
      </x:c>
      <x:c r="B4228" t="str" s="2">
        <x:v>Heritage Housing of Athens</x:v>
      </x:c>
      <x:c r="C4228" t="str" s="2">
        <x:v>0/1</x:v>
      </x:c>
      <x:c r="D4228" t="str" s="2">
        <x:v>7068099021</x:v>
      </x:c>
      <x:c r="E4228" t="str" s="2">
        <x:v>steve_treaday2005@yahoo.com</x:v>
      </x:c>
      <x:c r="F4228" t="str" s="2">
        <x:v>Bing - Search</x:v>
      </x:c>
      <x:c r="G4228" t="str" s="2">
        <x:v>Nathan Bishop</x:v>
      </x:c>
      <x:c r="H4228" s="6">
        <x:v>46272.39915787037</x:v>
      </x:c>
      <x:c r="I4228" s="0"/>
      <x:c r="J4228" s="0"/>
      <x:c r="K4228" s="6">
        <x:v>46303</x:v>
      </x:c>
      <x:c r="L4228" t="str" s="2">
        <x:v>Message Sent</x:v>
      </x:c>
    </x:row>
    <x:row r="4229">
      <x:c r="A4229" t="str" s="2">
        <x:f>="Vanessa Crazy Thunder"</x:f>
      </x:c>
      <x:c r="B4229" t="str" s="2">
        <x:v>Heritage Housing of Asheboro</x:v>
      </x:c>
      <x:c r="C4229" t="str" s="2">
        <x:v/>
      </x:c>
      <x:c r="D4229" t="str" s="2">
        <x:v>2527239954</x:v>
      </x:c>
      <x:c r="E4229" t="str" s="2">
        <x:v>crazythunder1177@gmail.com</x:v>
      </x:c>
      <x:c r="F4229" t="str" s="2">
        <x:v>Youtube</x:v>
      </x:c>
      <x:c r="G4229" t="str" s="2">
        <x:v>Maria Lopez</x:v>
      </x:c>
      <x:c r="H4229" s="6">
        <x:v>46272.52026921296</x:v>
      </x:c>
      <x:c r="I4229" s="0"/>
      <x:c r="J4229" s="0"/>
      <x:c r="K4229" s="6">
        <x:v>46273</x:v>
      </x:c>
      <x:c r="L4229" t="str" s="2">
        <x:v>Message Sent</x:v>
      </x:c>
    </x:row>
    <x:row r="4230">
      <x:c r="A4230" t="str" s="2">
        <x:f>=HYPERLINK("https://rsms.futurehomex.com/lead/39758", "Adam Kilgore")</x:f>
      </x:c>
      <x:c r="B4230" t="str" s="2">
        <x:v>Heritage Housing of Oklahoma City</x:v>
      </x:c>
      <x:c r="C4230" t="str" s="2">
        <x:v/>
      </x:c>
      <x:c r="D4230" t="str" s="2">
        <x:v>4058372384</x:v>
      </x:c>
      <x:c r="E4230" t="str" s="2">
        <x:v>startrektechie@gmail.com</x:v>
      </x:c>
      <x:c r="F4230" t="str" s="2">
        <x:v>Youtube</x:v>
      </x:c>
      <x:c r="G4230" t="str" s="2">
        <x:v>Steve Castell</x:v>
      </x:c>
      <x:c r="H4230" s="6">
        <x:v>46272.54492114583</x:v>
      </x:c>
      <x:c r="I4230" t="str" s="2">
        <x:v>Steve Castell</x:v>
      </x:c>
      <x:c r="J4230" s="0"/>
      <x:c r="K4230" s="6">
        <x:v>46273</x:v>
      </x:c>
      <x:c r="L4230" t="str" s="2">
        <x:v>Message Sent</x:v>
      </x:c>
    </x:row>
    <x:row r="4231">
      <x:c r="A4231" t="str" s="2">
        <x:f>="Alisha Puryear"</x:f>
      </x:c>
      <x:c r="B4231" t="str" s="2">
        <x:v>Heritage Housing of Canton</x:v>
      </x:c>
      <x:c r="C4231" t="str" s="2">
        <x:v/>
      </x:c>
      <x:c r="D4231" t="str" s="2">
        <x:v>9034972901</x:v>
      </x:c>
      <x:c r="E4231" t="str" s="2">
        <x:v>atuley903@gmail.com</x:v>
      </x:c>
      <x:c r="F4231" t="str" s="2">
        <x:v>Landing_BPM</x:v>
      </x:c>
      <x:c r="G4231" t="str" s="2">
        <x:v>Maira Garcia</x:v>
      </x:c>
      <x:c r="H4231" s="6">
        <x:v>46272.54993252315</x:v>
      </x:c>
      <x:c r="I4231" s="0"/>
      <x:c r="J4231" s="0"/>
      <x:c r="K4231" s="6">
        <x:v>46273</x:v>
      </x:c>
      <x:c r="L4231" t="str" s="2">
        <x:v>Message Sent</x:v>
      </x:c>
    </x:row>
    <x:row r="4232">
      <x:c r="A4232" t="str" s="2">
        <x:f>="Arthur Walker"</x:f>
      </x:c>
      <x:c r="B4232" t="str" s="2">
        <x:v>Heritage Housing of Canton</x:v>
      </x:c>
      <x:c r="C4232" t="str" s="2">
        <x:v/>
      </x:c>
      <x:c r="D4232" t="str" s="2">
        <x:v>4093446677</x:v>
      </x:c>
      <x:c r="E4232" t="str" s="2">
        <x:v>walkerjosiah2010@gmail.com</x:v>
      </x:c>
      <x:c r="F4232" t="str" s="2">
        <x:v>Youtube</x:v>
      </x:c>
      <x:c r="G4232" t="str" s="2">
        <x:v>Jacob Hatten</x:v>
      </x:c>
      <x:c r="H4232" s="6">
        <x:v>46272.55846021991</x:v>
      </x:c>
      <x:c r="I4232" s="0"/>
      <x:c r="J4232" s="0"/>
      <x:c r="K4232" s="6">
        <x:v>46293</x:v>
      </x:c>
      <x:c r="L4232" t="str" s="2">
        <x:v>Message Sent</x:v>
      </x:c>
    </x:row>
    <x:row r="4233">
      <x:c r="A4233" t="str" s="2">
        <x:f>="Stormy Phillips"</x:f>
      </x:c>
      <x:c r="B4233" t="str" s="2">
        <x:v>Heritage Housing of Athens</x:v>
      </x:c>
      <x:c r="C4233" t="str" s="2">
        <x:v/>
      </x:c>
      <x:c r="D4233" t="str" s="2">
        <x:v>4063725439</x:v>
      </x:c>
      <x:c r="E4233" t="str" s="2">
        <x:v>stormalong1991@icloud.com</x:v>
      </x:c>
      <x:c r="F4233" t="str" s="2">
        <x:v>Landing_BPM</x:v>
      </x:c>
      <x:c r="G4233" t="str" s="2">
        <x:v>Nathan Bishop</x:v>
      </x:c>
      <x:c r="H4233" s="6">
        <x:v>46272.569678391206</x:v>
      </x:c>
      <x:c r="I4233" s="0"/>
      <x:c r="J4233" s="0"/>
      <x:c r="K4233" s="6">
        <x:v>46281</x:v>
      </x:c>
      <x:c r="L4233" t="str" s="2">
        <x:v>Message Sent</x:v>
      </x:c>
    </x:row>
    <x:row r="4234">
      <x:c r="A4234" t="str" s="2">
        <x:f>="Kyana Johnson"</x:f>
      </x:c>
      <x:c r="B4234" t="str" s="2">
        <x:v>Heritage Housing of Asheboro</x:v>
      </x:c>
      <x:c r="C4234" t="str" s="2">
        <x:v/>
      </x:c>
      <x:c r="D4234" t="str" s="2">
        <x:v>9109770780</x:v>
      </x:c>
      <x:c r="E4234" t="str" s="2">
        <x:v>Kyana321@gmail.com</x:v>
      </x:c>
      <x:c r="F4234" t="str" s="2">
        <x:v>Youtube</x:v>
      </x:c>
      <x:c r="G4234" t="str" s="2">
        <x:v>Maria Lopez</x:v>
      </x:c>
      <x:c r="H4234" s="6">
        <x:v>46272.60238098379</x:v>
      </x:c>
      <x:c r="I4234" s="0"/>
      <x:c r="J4234" s="0"/>
      <x:c r="K4234" s="6">
        <x:v>46295</x:v>
      </x:c>
      <x:c r="L4234" t="str" s="2">
        <x:v>Message Sent</x:v>
      </x:c>
    </x:row>
    <x:row r="4235">
      <x:c r="A4235" t="str" s="2">
        <x:f>="Aaron Riley"</x:f>
      </x:c>
      <x:c r="B4235" t="str" s="2">
        <x:v>Heritage Housing of Jennings</x:v>
      </x:c>
      <x:c r="C4235" t="str" s="2">
        <x:v/>
      </x:c>
      <x:c r="D4235" t="str" s="2">
        <x:v>6028867306</x:v>
      </x:c>
      <x:c r="E4235" t="str" s="2">
        <x:v>mrrileymcd@gmail.com</x:v>
      </x:c>
      <x:c r="F4235" t="str" s="2">
        <x:v>Youtube</x:v>
      </x:c>
      <x:c r="G4235" t="str" s="2">
        <x:v>Mervin Leslie Smith</x:v>
      </x:c>
      <x:c r="H4235" s="6">
        <x:v>46272.60555216435</x:v>
      </x:c>
      <x:c r="I4235" s="0"/>
      <x:c r="J4235" s="0"/>
      <x:c r="K4235" s="6">
        <x:v>46302</x:v>
      </x:c>
      <x:c r="L4235" t="str" s="2">
        <x:v>Message Sent</x:v>
      </x:c>
    </x:row>
    <x:row r="4236">
      <x:c r="A4236" t="str" s="2">
        <x:f>="Jalina Gordon"</x:f>
      </x:c>
      <x:c r="B4236" t="str" s="2">
        <x:v>Legacy Housing Corp. DBA Americasa</x:v>
      </x:c>
      <x:c r="C4236" t="str" s="2">
        <x:v/>
      </x:c>
      <x:c r="D4236" t="str" s="2">
        <x:v>2814148829</x:v>
      </x:c>
      <x:c r="E4236" t="str" s="2">
        <x:v>gordonjalina@yahoo.com</x:v>
      </x:c>
      <x:c r="F4236" t="str" s="2">
        <x:v>Financing Form</x:v>
      </x:c>
      <x:c r="G4236" t="str" s="2">
        <x:v>Jose Parada</x:v>
      </x:c>
      <x:c r="H4236" s="6">
        <x:v>46272.644754664354</x:v>
      </x:c>
      <x:c r="I4236" s="0"/>
      <x:c r="J4236" s="0"/>
      <x:c r="K4236" s="6">
        <x:v>46273</x:v>
      </x:c>
      <x:c r="L4236" t="str" s="2">
        <x:v>Message Sent</x:v>
      </x:c>
    </x:row>
    <x:row r="4237">
      <x:c r="A4237" t="str" s="2">
        <x:f>="Linda Dodson"</x:f>
      </x:c>
      <x:c r="B4237" t="str" s="2">
        <x:v>Legacy Housing Corp. DBA Americasa</x:v>
      </x:c>
      <x:c r="C4237" t="str" s="2">
        <x:v/>
      </x:c>
      <x:c r="D4237" t="str" s="2">
        <x:v>8324522400</x:v>
      </x:c>
      <x:c r="E4237" t="str" s="2">
        <x:v>dodsonlinda380@gmail.com</x:v>
      </x:c>
      <x:c r="F4237" t="str" s="2">
        <x:v>Bing - Search</x:v>
      </x:c>
      <x:c r="G4237" t="str" s="2">
        <x:v>Rodrigo Ramirez</x:v>
      </x:c>
      <x:c r="H4237" s="6">
        <x:v>46272.65391663194</x:v>
      </x:c>
      <x:c r="I4237" s="0"/>
      <x:c r="J4237" s="0"/>
      <x:c r="K4237" s="6">
        <x:v>46272</x:v>
      </x:c>
      <x:c r="L4237" t="str" s="2">
        <x:v>Message Sent</x:v>
      </x:c>
    </x:row>
    <x:row r="4238">
      <x:c r="A4238" t="str" s="2">
        <x:f>="Marnie Evans"</x:f>
      </x:c>
      <x:c r="B4238" t="str" s="2">
        <x:v>Heritage Housing of Greenville</x:v>
      </x:c>
      <x:c r="C4238" t="str" s="2">
        <x:v/>
      </x:c>
      <x:c r="D4238" t="str" s="2">
        <x:v>9452252768</x:v>
      </x:c>
      <x:c r="E4238" t="str" s="2">
        <x:v>evansmarnie0621@gmail.com</x:v>
      </x:c>
      <x:c r="F4238" t="str" s="2">
        <x:v>Landing_BPM</x:v>
      </x:c>
      <x:c r="G4238" t="str" s="2">
        <x:v>Brooklynn Allen</x:v>
      </x:c>
      <x:c r="H4238" s="6">
        <x:v>46272.66215640046</x:v>
      </x:c>
      <x:c r="I4238" s="0"/>
      <x:c r="J4238" s="0"/>
      <x:c r="K4238" s="6">
        <x:v>46273</x:v>
      </x:c>
      <x:c r="L4238" t="str" s="2">
        <x:v>Message Sent</x:v>
      </x:c>
    </x:row>
    <x:row r="4239">
      <x:c r="A4239" t="str" s="2">
        <x:f>="Patricia Quaring"</x:f>
      </x:c>
      <x:c r="B4239" t="str" s="2">
        <x:v>Heritage Housing Gainesville</x:v>
      </x:c>
      <x:c r="C4239" t="str" s="2">
        <x:v/>
      </x:c>
      <x:c r="D4239" t="str" s="2">
        <x:v>4693328255</x:v>
      </x:c>
      <x:c r="E4239" t="str" s="2">
        <x:v>pquaring@yahoo.com</x:v>
      </x:c>
      <x:c r="F4239" t="str" s="2">
        <x:v>Landing_BPM</x:v>
      </x:c>
      <x:c r="G4239" t="str" s="2">
        <x:v>Kelly Ford</x:v>
      </x:c>
      <x:c r="H4239" s="6">
        <x:v>46272.68052033565</x:v>
      </x:c>
      <x:c r="I4239" s="0"/>
      <x:c r="J4239" s="0"/>
      <x:c r="K4239" s="6">
        <x:v>46297</x:v>
      </x:c>
      <x:c r="L4239" t="str" s="2">
        <x:v>Message Sent</x:v>
      </x:c>
    </x:row>
    <x:row r="4240">
      <x:c r="A4240" t="str" s="2">
        <x:f>="Dylon Ellison"</x:f>
      </x:c>
      <x:c r="B4240" t="str" s="2">
        <x:v>Heritage Housing of Athens</x:v>
      </x:c>
      <x:c r="C4240" t="str" s="2">
        <x:v/>
      </x:c>
      <x:c r="D4240" t="str" s="2">
        <x:v>2052993044</x:v>
      </x:c>
      <x:c r="E4240" t="str" s="2">
        <x:v>dylonellison45@gmail.com</x:v>
      </x:c>
      <x:c r="F4240" t="str" s="2">
        <x:v>Financing Form</x:v>
      </x:c>
      <x:c r="G4240" t="str" s="2">
        <x:v>Nathan Bishop</x:v>
      </x:c>
      <x:c r="H4240" s="6">
        <x:v>46272.69979309028</x:v>
      </x:c>
      <x:c r="I4240" s="0"/>
      <x:c r="J4240" s="0"/>
      <x:c r="K4240" s="6">
        <x:v>46273</x:v>
      </x:c>
      <x:c r="L4240" t="str" s="2">
        <x:v>Message Sent</x:v>
      </x:c>
    </x:row>
    <x:row r="4241">
      <x:c r="A4241" t="str" s="2">
        <x:f>="Zashawn Feltus"</x:f>
      </x:c>
      <x:c r="B4241" t="str" s="2">
        <x:v>Heritage Housing of Tulsa</x:v>
      </x:c>
      <x:c r="C4241" t="str" s="2">
        <x:v/>
      </x:c>
      <x:c r="D4241" t="str" s="2">
        <x:v>9035060077</x:v>
      </x:c>
      <x:c r="E4241" t="str" s="2">
        <x:v>feltuszashawn@gmail.com</x:v>
      </x:c>
      <x:c r="F4241" t="str" s="2">
        <x:v>Landing_BPM</x:v>
      </x:c>
      <x:c r="G4241" t="str" s="2">
        <x:v>Jenna Fransisco</x:v>
      </x:c>
      <x:c r="H4241" s="6">
        <x:v>46272.711420520835</x:v>
      </x:c>
      <x:c r="I4241" s="0"/>
      <x:c r="J4241" s="0"/>
      <x:c r="K4241" s="6">
        <x:v>46279</x:v>
      </x:c>
      <x:c r="L4241" t="str" s="2">
        <x:v>Message Sent</x:v>
      </x:c>
    </x:row>
    <x:row r="4242">
      <x:c r="A4242" t="str" s="2">
        <x:f>="Lisa Celestine Carl J. Cullivan"</x:f>
      </x:c>
      <x:c r="B4242" t="str" s="2">
        <x:v>Heritage Housing of Jennings</x:v>
      </x:c>
      <x:c r="C4242" t="str" s="2">
        <x:v/>
      </x:c>
      <x:c r="D4242" t="str" s="2">
        <x:v>3376035564</x:v>
      </x:c>
      <x:c r="E4242" t="str" s="2">
        <x:v>ljuliacelestine@gmail.com</x:v>
      </x:c>
      <x:c r="F4242" t="str" s="2">
        <x:v>Landing_BPM</x:v>
      </x:c>
      <x:c r="G4242" t="str" s="2">
        <x:v>Clint O'Neal</x:v>
      </x:c>
      <x:c r="H4242" s="6">
        <x:v>46272.72640072917</x:v>
      </x:c>
      <x:c r="I4242" s="0"/>
      <x:c r="J4242" s="0"/>
      <x:c r="K4242" s="6">
        <x:v>46302.71343125</x:v>
      </x:c>
      <x:c r="L4242" t="str" s="2">
        <x:v>Message Sent</x:v>
      </x:c>
    </x:row>
    <x:row r="4243">
      <x:c r="A4243" t="str" s="2">
        <x:f>=HYPERLINK("https://rsms.futurehomex.com/lead/39757", "Felisa Everly")</x:f>
      </x:c>
      <x:c r="B4243" t="str" s="2">
        <x:v>Heritage Housing of Oklahoma City</x:v>
      </x:c>
      <x:c r="C4243" t="str" s="2">
        <x:v/>
      </x:c>
      <x:c r="D4243" t="str" s="2">
        <x:v>9189318407</x:v>
      </x:c>
      <x:c r="E4243" t="str" s="2">
        <x:v>kingalan568@gmail.com</x:v>
      </x:c>
      <x:c r="F4243" t="str" s="2">
        <x:v>Youtube</x:v>
      </x:c>
      <x:c r="G4243" t="str" s="2">
        <x:v>Steve Castell</x:v>
      </x:c>
      <x:c r="H4243" s="6">
        <x:v>46272.741697997684</x:v>
      </x:c>
      <x:c r="I4243" t="str" s="2">
        <x:v>Steve Castell</x:v>
      </x:c>
      <x:c r="J4243" s="0"/>
      <x:c r="K4243" s="6">
        <x:v>46273</x:v>
      </x:c>
      <x:c r="L4243" t="str" s="2">
        <x:v>Message Sent</x:v>
      </x:c>
    </x:row>
    <x:row r="4244">
      <x:c r="A4244" t="str" s="2">
        <x:f>=HYPERLINK("https://rsms.futurehomex.com/lead/39751", "Michael Walles")</x:f>
      </x:c>
      <x:c r="B4244" t="str" s="2">
        <x:v>Heritage Housing of Augusta</x:v>
      </x:c>
      <x:c r="C4244" t="str" s="2">
        <x:v/>
      </x:c>
      <x:c r="D4244" t="str" s="2">
        <x:v>7065245361</x:v>
      </x:c>
      <x:c r="E4244" t="str" s="2">
        <x:v>michaelwalles1990@gmail.com</x:v>
      </x:c>
      <x:c r="F4244" t="str" s="2">
        <x:v>Other</x:v>
      </x:c>
      <x:c r="G4244" t="str" s="2">
        <x:v>Faye Lively</x:v>
      </x:c>
      <x:c r="H4244" s="6">
        <x:v>46272.76599432871</x:v>
      </x:c>
      <x:c r="I4244" t="str" s="2">
        <x:v>Faye Lively</x:v>
      </x:c>
      <x:c r="J4244" s="0"/>
      <x:c r="K4244" s="6">
        <x:v>46280</x:v>
      </x:c>
      <x:c r="L4244" t="str" s="2">
        <x:v>Message Sent</x:v>
      </x:c>
    </x:row>
    <x:row r="4245">
      <x:c r="A4245" t="str" s="2">
        <x:f>="April Manuel"</x:f>
      </x:c>
      <x:c r="B4245" t="str" s="2">
        <x:v>Heritage Housing of Albany</x:v>
      </x:c>
      <x:c r="C4245" t="str" s="2">
        <x:v/>
      </x:c>
      <x:c r="D4245" t="str" s="2">
        <x:v>9432131417</x:v>
      </x:c>
      <x:c r="E4245" t="str" s="2">
        <x:v>aprilmmanuel@gmail.com</x:v>
      </x:c>
      <x:c r="F4245" t="str" s="2">
        <x:v>Landing_BPM</x:v>
      </x:c>
      <x:c r="G4245" t="str" s="2">
        <x:v>Yanet Alvarez</x:v>
      </x:c>
      <x:c r="H4245" s="6">
        <x:v>46272.77241932871</x:v>
      </x:c>
      <x:c r="I4245" s="0"/>
      <x:c r="J4245" s="0"/>
      <x:c r="K4245" s="6">
        <x:v>46307</x:v>
      </x:c>
      <x:c r="L4245" t="str" s="2">
        <x:v>Message Sent</x:v>
      </x:c>
    </x:row>
    <x:row r="4246">
      <x:c r="A4246" t="str" s="2">
        <x:f>="ANDERIA HIGHSMITH"</x:f>
      </x:c>
      <x:c r="B4246" t="str" s="2">
        <x:v>Heritage Housing of Asheboro</x:v>
      </x:c>
      <x:c r="C4246" t="str" s="2">
        <x:v/>
      </x:c>
      <x:c r="D4246" t="str" s="2">
        <x:v>9198206655</x:v>
      </x:c>
      <x:c r="E4246" t="str" s="2">
        <x:v>highsmithanderia@gmail.com</x:v>
      </x:c>
      <x:c r="F4246" t="str" s="2">
        <x:v>Youtube</x:v>
      </x:c>
      <x:c r="G4246" t="str" s="2">
        <x:v>Kate Gutierrez</x:v>
      </x:c>
      <x:c r="H4246" s="6">
        <x:v>46272.80442728009</x:v>
      </x:c>
      <x:c r="I4246" s="0"/>
      <x:c r="J4246" s="0"/>
      <x:c r="K4246" s="6">
        <x:v>46286</x:v>
      </x:c>
      <x:c r="L4246" t="str" s="2">
        <x:v>Message Sent</x:v>
      </x:c>
    </x:row>
    <x:row r="4247">
      <x:c r="A4247" t="str" s="2">
        <x:f>="Richard Hulshouser"</x:f>
      </x:c>
      <x:c r="B4247" t="str" s="2">
        <x:v>Heritage Housing of Greenville</x:v>
      </x:c>
      <x:c r="C4247" t="str" s="2">
        <x:v/>
      </x:c>
      <x:c r="D4247" t="str" s="2">
        <x:v>9035199777</x:v>
      </x:c>
      <x:c r="E4247" t="str" s="2">
        <x:v>novaleigh13@yahoo.com</x:v>
      </x:c>
      <x:c r="F4247" t="str" s="2">
        <x:v>Website</x:v>
      </x:c>
      <x:c r="G4247" t="str" s="2">
        <x:v>Brooklynn Allen</x:v>
      </x:c>
      <x:c r="H4247" s="6">
        <x:v>46272.82847800926</x:v>
      </x:c>
      <x:c r="I4247" s="0"/>
      <x:c r="J4247" s="0"/>
      <x:c r="K4247" s="6">
        <x:v>46273</x:v>
      </x:c>
      <x:c r="L4247" t="str" s="2">
        <x:v>Message Sent</x:v>
      </x:c>
    </x:row>
    <x:row r="4248">
      <x:c r="A4248" t="str" s="2">
        <x:f>="Terry Nifong"</x:f>
      </x:c>
      <x:c r="B4248" t="str" s="2">
        <x:v>Heritage Housing of Asheboro</x:v>
      </x:c>
      <x:c r="C4248" t="str" s="2">
        <x:v/>
      </x:c>
      <x:c r="D4248" t="str" s="2">
        <x:v>3362255323</x:v>
      </x:c>
      <x:c r="E4248" t="str" s="2">
        <x:v>elan1pet@gmail.com</x:v>
      </x:c>
      <x:c r="F4248" t="str" s="2">
        <x:v>Landing_BPM</x:v>
      </x:c>
      <x:c r="G4248" t="str" s="2">
        <x:v>Maria Lopez</x:v>
      </x:c>
      <x:c r="H4248" s="6">
        <x:v>46272.83600945602</x:v>
      </x:c>
      <x:c r="I4248" s="0"/>
      <x:c r="J4248" s="0"/>
      <x:c r="K4248" s="6">
        <x:v>46273</x:v>
      </x:c>
      <x:c r="L4248" t="str" s="2">
        <x:v>Message Sent</x:v>
      </x:c>
    </x:row>
    <x:row r="4249">
      <x:c r="A4249" t="str" s="2">
        <x:f>="Misty Adomako"</x:f>
      </x:c>
      <x:c r="B4249" t="str" s="2">
        <x:v>Heritage Housing of Tulsa</x:v>
      </x:c>
      <x:c r="C4249" t="str" s="2">
        <x:v/>
      </x:c>
      <x:c r="D4249" t="str" s="2">
        <x:v>9189847528</x:v>
      </x:c>
      <x:c r="E4249" t="str" s="2">
        <x:v>mistyadomako5@gmail.com</x:v>
      </x:c>
      <x:c r="F4249" t="str" s="2">
        <x:v>Website</x:v>
      </x:c>
      <x:c r="G4249" t="str" s="2">
        <x:v>Jenna Fransisco</x:v>
      </x:c>
      <x:c r="H4249" s="6">
        <x:v>46272.882234641205</x:v>
      </x:c>
      <x:c r="I4249" s="0"/>
      <x:c r="J4249" s="0"/>
      <x:c r="K4249" s="6">
        <x:v>46279</x:v>
      </x:c>
      <x:c r="L4249" t="str" s="2">
        <x:v>Message Sent</x:v>
      </x:c>
    </x:row>
    <x:row r="4250">
      <x:c r="A4250" t="str" s="2">
        <x:f>="Vernon Lemon"</x:f>
      </x:c>
      <x:c r="B4250" t="str" s="2">
        <x:v>Legacy Housing Corp. DBA Americasa</x:v>
      </x:c>
      <x:c r="C4250" t="str" s="2">
        <x:v/>
      </x:c>
      <x:c r="D4250" t="str" s="2">
        <x:v>3466079268</x:v>
      </x:c>
      <x:c r="E4250" t="str" s="2">
        <x:v>rlel3856088@gmail.com</x:v>
      </x:c>
      <x:c r="F4250" t="str" s="2">
        <x:v>Youtube</x:v>
      </x:c>
      <x:c r="G4250" t="str" s="2">
        <x:v>Rodrigo Ramirez</x:v>
      </x:c>
      <x:c r="H4250" s="6">
        <x:v>46272.89112341435</x:v>
      </x:c>
      <x:c r="I4250" s="0"/>
      <x:c r="J4250" s="0"/>
      <x:c r="K4250" s="6">
        <x:v>46272</x:v>
      </x:c>
      <x:c r="L4250" t="str" s="2">
        <x:v>Message Sent</x:v>
      </x:c>
    </x:row>
    <x:row r="4251">
      <x:c r="A4251" t="str" s="2">
        <x:f>="Fernando Oviedo"</x:f>
      </x:c>
      <x:c r="B4251" t="str" s="2">
        <x:v>Heritage Housing of Canton</x:v>
      </x:c>
      <x:c r="C4251" t="str" s="2">
        <x:v/>
      </x:c>
      <x:c r="D4251" t="str" s="2">
        <x:v>8303096606</x:v>
      </x:c>
      <x:c r="E4251" t="str" s="2">
        <x:v>oviedofernando371@gmail.com</x:v>
      </x:c>
      <x:c r="F4251" t="str" s="2">
        <x:v>Youtube</x:v>
      </x:c>
      <x:c r="G4251" t="str" s="2">
        <x:v>Jacob Hatten</x:v>
      </x:c>
      <x:c r="H4251" s="6">
        <x:v>46272.905467743054</x:v>
      </x:c>
      <x:c r="I4251" s="0"/>
      <x:c r="J4251" s="0"/>
      <x:c r="K4251" s="6">
        <x:v>46293</x:v>
      </x:c>
      <x:c r="L4251" t="str" s="2">
        <x:v>Message Sent</x:v>
      </x:c>
    </x:row>
    <x:row r="4252">
      <x:c r="A4252" t="str" s="2">
        <x:f>="Larry Stafford"</x:f>
      </x:c>
      <x:c r="B4252" t="str" s="2">
        <x:v>Heritage Housing of Athens</x:v>
      </x:c>
      <x:c r="C4252" t="str" s="2">
        <x:v/>
      </x:c>
      <x:c r="D4252" t="str" s="2">
        <x:v>7622301927</x:v>
      </x:c>
      <x:c r="E4252" t="str" s="2">
        <x:v>larriestafford@gmail.com</x:v>
      </x:c>
      <x:c r="F4252" t="str" s="2">
        <x:v>Landing_BPM</x:v>
      </x:c>
      <x:c r="G4252" t="str" s="2">
        <x:v>Nathan Bishop</x:v>
      </x:c>
      <x:c r="H4252" s="6">
        <x:v>46272.94106809028</x:v>
      </x:c>
      <x:c r="I4252" s="0"/>
      <x:c r="J4252" s="0"/>
      <x:c r="K4252" s="6">
        <x:v>46281</x:v>
      </x:c>
      <x:c r="L4252" t="str" s="2">
        <x:v>Message Sent</x:v>
      </x:c>
    </x:row>
    <x:row r="4253">
      <x:c r="A4253" t="str" s="2">
        <x:f>="Duane Sierra"</x:f>
      </x:c>
      <x:c r="B4253" t="str" s="2">
        <x:v>Heritage Housing of Athens</x:v>
      </x:c>
      <x:c r="C4253" t="str" s="2">
        <x:v/>
      </x:c>
      <x:c r="D4253" t="str" s="2">
        <x:v>7063625382</x:v>
      </x:c>
      <x:c r="E4253" t="str" s="2">
        <x:v>sierraduane32@gmail.com</x:v>
      </x:c>
      <x:c r="F4253" t="str" s="2">
        <x:v>Landing_BPM</x:v>
      </x:c>
      <x:c r="G4253" t="str" s="2">
        <x:v>Nathan Bishop</x:v>
      </x:c>
      <x:c r="H4253" s="6">
        <x:v>46272.944249768516</x:v>
      </x:c>
      <x:c r="I4253" s="0"/>
      <x:c r="J4253" s="0"/>
      <x:c r="K4253" s="6">
        <x:v>46281</x:v>
      </x:c>
      <x:c r="L4253" t="str" s="2">
        <x:v>Message Sent</x:v>
      </x:c>
    </x:row>
    <x:row r="4254">
      <x:c r="A4254" t="str" s="2">
        <x:f>=HYPERLINK("https://rsms.futurehomex.com/lead/39756", "Amenda Stewart")</x:f>
      </x:c>
      <x:c r="B4254" t="str" s="2">
        <x:v>Heritage Housing of Oklahoma City</x:v>
      </x:c>
      <x:c r="C4254" t="str" s="2">
        <x:v/>
      </x:c>
      <x:c r="D4254" t="str" s="2">
        <x:v>2138864953</x:v>
      </x:c>
      <x:c r="E4254" t="str" s="2">
        <x:v>amendamstewart@gmail.com</x:v>
      </x:c>
      <x:c r="F4254" t="str" s="2">
        <x:v>Youtube</x:v>
      </x:c>
      <x:c r="G4254" t="str" s="2">
        <x:v>Steve Castell</x:v>
      </x:c>
      <x:c r="H4254" s="6">
        <x:v>46272.946287349536</x:v>
      </x:c>
      <x:c r="I4254" t="str" s="2">
        <x:v>Steve Castell</x:v>
      </x:c>
      <x:c r="J4254" s="0"/>
      <x:c r="K4254" s="6">
        <x:v>46273</x:v>
      </x:c>
      <x:c r="L4254" t="str" s="2">
        <x:v>Message Sent</x:v>
      </x:c>
    </x:row>
    <x:row r="4255">
      <x:c r="A4255" t="str" s="2">
        <x:f>="Donovan Sowards"</x:f>
      </x:c>
      <x:c r="B4255" t="str" s="2">
        <x:v>Heritage Housing Gainesville</x:v>
      </x:c>
      <x:c r="C4255" t="str" s="2">
        <x:v/>
      </x:c>
      <x:c r="D4255" t="str" s="2">
        <x:v>4695523776</x:v>
      </x:c>
      <x:c r="E4255" t="str" s="2">
        <x:v>donovan.316@icloud.com</x:v>
      </x:c>
      <x:c r="F4255" t="str" s="2">
        <x:v>Website</x:v>
      </x:c>
      <x:c r="G4255" t="str" s="2">
        <x:v>Maira Garcia</x:v>
      </x:c>
      <x:c r="H4255" s="6">
        <x:v>46272.94806091435</x:v>
      </x:c>
      <x:c r="I4255" s="0"/>
      <x:c r="J4255" s="0"/>
      <x:c r="K4255" s="6">
        <x:v>46297</x:v>
      </x:c>
      <x:c r="L4255" t="str" s="2">
        <x:v>Message Sent</x:v>
      </x:c>
    </x:row>
    <x:row r="4256">
      <x:c r="A4256" t="str" s="2">
        <x:f>="Kylie Wahlstrom"</x:f>
      </x:c>
      <x:c r="B4256" t="str" s="2">
        <x:v>Heritage Housing of Tulsa</x:v>
      </x:c>
      <x:c r="C4256" t="str" s="2">
        <x:v/>
      </x:c>
      <x:c r="D4256" t="str" s="2">
        <x:v>9186131546</x:v>
      </x:c>
      <x:c r="E4256" t="str" s="2">
        <x:v>kyliewahlstrom7@gmail.com</x:v>
      </x:c>
      <x:c r="F4256" t="str" s="2">
        <x:v>Landing_BPM</x:v>
      </x:c>
      <x:c r="G4256" t="str" s="2">
        <x:v>Jenna Fransisco</x:v>
      </x:c>
      <x:c r="H4256" s="6">
        <x:v>46272.958003391206</x:v>
      </x:c>
      <x:c r="I4256" s="0"/>
      <x:c r="J4256" s="0"/>
      <x:c r="K4256" s="6">
        <x:v>46279</x:v>
      </x:c>
      <x:c r="L4256" t="str" s="2">
        <x:v>Message Sent</x:v>
      </x:c>
    </x:row>
    <x:row r="4257">
      <x:c r="A4257" t="str" s="2">
        <x:f>="Christen Robinson"</x:f>
      </x:c>
      <x:c r="B4257" t="str" s="2">
        <x:v>Legacy Housing Corp. DBA Americasa</x:v>
      </x:c>
      <x:c r="C4257" t="str" s="2">
        <x:v/>
      </x:c>
      <x:c r="D4257" t="str" s="2">
        <x:v>3466360304</x:v>
      </x:c>
      <x:c r="E4257" t="str" s="2">
        <x:v>robchri44@gmail.com</x:v>
      </x:c>
      <x:c r="F4257" t="str" s="2">
        <x:v>Landing_BPM</x:v>
      </x:c>
      <x:c r="G4257" t="str" s="2">
        <x:v>Jose Parada</x:v>
      </x:c>
      <x:c r="H4257" s="6">
        <x:v>46272.96179783565</x:v>
      </x:c>
      <x:c r="I4257" s="0"/>
      <x:c r="J4257" s="0"/>
      <x:c r="K4257" s="6">
        <x:v>46273</x:v>
      </x:c>
      <x:c r="L4257" t="str" s="2">
        <x:v>Message Sent</x:v>
      </x:c>
    </x:row>
    <x:row r="4258">
      <x:c r="A4258" t="str" s="2">
        <x:f>=HYPERLINK("https://rsms.futurehomex.com/lead/39764", "Ronald Brewer")</x:f>
      </x:c>
      <x:c r="B4258" t="str" s="2">
        <x:v>Heritage Housing of Oklahoma City</x:v>
      </x:c>
      <x:c r="C4258" t="str" s="2">
        <x:v/>
      </x:c>
      <x:c r="D4258" t="str" s="2">
        <x:v>4054502482</x:v>
      </x:c>
      <x:c r="E4258" t="str" s="2">
        <x:v>rbrewer663@icloud.com</x:v>
      </x:c>
      <x:c r="F4258" t="str" s="2">
        <x:v>LandingPage</x:v>
      </x:c>
      <x:c r="G4258" t="str" s="2">
        <x:v>Steve Castell</x:v>
      </x:c>
      <x:c r="H4258" s="6">
        <x:v>46272.978553900466</x:v>
      </x:c>
      <x:c r="I4258" t="str" s="2">
        <x:v>Steve Castell</x:v>
      </x:c>
      <x:c r="J4258" s="0"/>
      <x:c r="K4258" s="6">
        <x:v>46273</x:v>
      </x:c>
      <x:c r="L4258" t="str" s="2">
        <x:v>Message Sent</x:v>
      </x:c>
    </x:row>
    <x:row r="4259">
      <x:c r="A4259" t="str" s="2">
        <x:f>="Laurie Chandler"</x:f>
      </x:c>
      <x:c r="B4259" t="str" s="2">
        <x:v>Heritage Housing Gainesville</x:v>
      </x:c>
      <x:c r="C4259" t="str" s="2">
        <x:v/>
      </x:c>
      <x:c r="D4259" t="str" s="2">
        <x:v>9287162284</x:v>
      </x:c>
      <x:c r="E4259" t="str" s="2">
        <x:v>lauriechandler15@gmail.com</x:v>
      </x:c>
      <x:c r="F4259" t="str" s="2">
        <x:v>Website</x:v>
      </x:c>
      <x:c r="G4259" t="str" s="2">
        <x:v>Maria Lopez</x:v>
      </x:c>
      <x:c r="H4259" s="6">
        <x:v>46273.00099320602</x:v>
      </x:c>
      <x:c r="I4259" s="0"/>
      <x:c r="J4259" s="0"/>
      <x:c r="K4259" s="6">
        <x:v>46297</x:v>
      </x:c>
      <x:c r="L4259" t="str" s="2">
        <x:v>Message Sent</x:v>
      </x:c>
    </x:row>
    <x:row r="4260">
      <x:c r="A4260" t="str" s="2">
        <x:f>="Holly Gilbert"</x:f>
      </x:c>
      <x:c r="B4260" t="str" s="2">
        <x:v>Heritage Housing of Athens</x:v>
      </x:c>
      <x:c r="C4260" t="str" s="2">
        <x:v/>
      </x:c>
      <x:c r="D4260" t="str" s="2">
        <x:v>7063042184</x:v>
      </x:c>
      <x:c r="E4260" t="str" s="2">
        <x:v>hollyjenkins514@gmail.com</x:v>
      </x:c>
      <x:c r="F4260" t="str" s="2">
        <x:v>Landing_BPM</x:v>
      </x:c>
      <x:c r="G4260" t="str" s="2">
        <x:v>Nathan Bishop</x:v>
      </x:c>
      <x:c r="H4260" s="6">
        <x:v>46273.022925613426</x:v>
      </x:c>
      <x:c r="I4260" s="0"/>
      <x:c r="J4260" s="0"/>
      <x:c r="K4260" s="6">
        <x:v>46281</x:v>
      </x:c>
      <x:c r="L4260" t="str" s="2">
        <x:v>Message Sent</x:v>
      </x:c>
    </x:row>
    <x:row r="4261">
      <x:c r="A4261" t="str" s="2">
        <x:f>="Brittany Wilson"</x:f>
      </x:c>
      <x:c r="B4261" t="str" s="2">
        <x:v>Heritage Housing of Jennings</x:v>
      </x:c>
      <x:c r="C4261" t="str" s="2">
        <x:v>1/1</x:v>
      </x:c>
      <x:c r="D4261" t="str" s="2">
        <x:v>3374527359</x:v>
      </x:c>
      <x:c r="E4261" t="str" s="2">
        <x:v>bwkeke18@gmail.com</x:v>
      </x:c>
      <x:c r="F4261" t="str" s="2">
        <x:v>Financing Form</x:v>
      </x:c>
      <x:c r="G4261" t="str" s="2">
        <x:v>Mervin Leslie Smith</x:v>
      </x:c>
      <x:c r="H4261" s="6">
        <x:v>46273.03332565972</x:v>
      </x:c>
      <x:c r="I4261" s="0"/>
      <x:c r="J4261" s="0"/>
      <x:c r="K4261" s="6">
        <x:v>46302.65027103009</x:v>
      </x:c>
      <x:c r="L4261" t="str" s="2">
        <x:v>Message Sent</x:v>
      </x:c>
    </x:row>
    <x:row r="4262">
      <x:c r="A4262" t="str" s="2">
        <x:f>="Sarah Saunders Saunders"</x:f>
      </x:c>
      <x:c r="B4262" t="str" s="2">
        <x:v>Heritage Housing of Asheboro</x:v>
      </x:c>
      <x:c r="C4262" t="str" s="2">
        <x:v>1/1</x:v>
      </x:c>
      <x:c r="D4262" t="str" s="2">
        <x:v>8432919355</x:v>
      </x:c>
      <x:c r="E4262" t="str" s="2">
        <x:v>snsaunders415@gmail.com</x:v>
      </x:c>
      <x:c r="F4262" t="str" s="2">
        <x:v>Landing_BPM</x:v>
      </x:c>
      <x:c r="G4262" t="str" s="2">
        <x:v>Kate Gutierrez</x:v>
      </x:c>
      <x:c r="H4262" s="6">
        <x:v>46273.0457568287</x:v>
      </x:c>
      <x:c r="I4262" s="0"/>
      <x:c r="J4262" s="0"/>
      <x:c r="K4262" s="6">
        <x:v>46283</x:v>
      </x:c>
      <x:c r="L4262" t="str" s="2">
        <x:v>Message Sent</x:v>
      </x:c>
    </x:row>
    <x:row r="4263">
      <x:c r="A4263" t="str" s="2">
        <x:f>="Brandilyn Hockersmith"</x:f>
      </x:c>
      <x:c r="B4263" t="str" s="2">
        <x:v>Heritage Housing of Jennings</x:v>
      </x:c>
      <x:c r="C4263" t="str" s="2">
        <x:v/>
      </x:c>
      <x:c r="D4263" t="str" s="2">
        <x:v>3184468761</x:v>
      </x:c>
      <x:c r="E4263" t="str" s="2">
        <x:v>brandilyn853@gmail.com</x:v>
      </x:c>
      <x:c r="F4263" t="str" s="2">
        <x:v>Youtube</x:v>
      </x:c>
      <x:c r="G4263" t="str" s="2">
        <x:v>Clint O'Neal</x:v>
      </x:c>
      <x:c r="H4263" s="6">
        <x:v>46273.19729679398</x:v>
      </x:c>
      <x:c r="I4263" s="0"/>
      <x:c r="J4263" s="0"/>
      <x:c r="K4263" s="6">
        <x:v>46302.71435795139</x:v>
      </x:c>
      <x:c r="L4263" t="str" s="2">
        <x:v>Message Sent</x:v>
      </x:c>
    </x:row>
    <x:row r="4264">
      <x:c r="A4264" t="str" s="2">
        <x:f>="ANDREA JONES"</x:f>
      </x:c>
      <x:c r="B4264" t="str" s="2">
        <x:v>Heritage Housing of Tulsa</x:v>
      </x:c>
      <x:c r="C4264" t="str" s="2">
        <x:v/>
      </x:c>
      <x:c r="D4264" t="str" s="2">
        <x:v>9182042121</x:v>
      </x:c>
      <x:c r="E4264" t="str" s="2">
        <x:v>MzScorpio_1971@ymail.com</x:v>
      </x:c>
      <x:c r="F4264" t="str" s="2">
        <x:v>Landing_BPM</x:v>
      </x:c>
      <x:c r="G4264" t="str" s="2">
        <x:v>Jenna Fransisco</x:v>
      </x:c>
      <x:c r="H4264" s="6">
        <x:v>46273.22594270833</x:v>
      </x:c>
      <x:c r="I4264" s="0"/>
      <x:c r="J4264" s="0"/>
      <x:c r="K4264" s="6">
        <x:v>46279</x:v>
      </x:c>
      <x:c r="L4264" t="str" s="2">
        <x:v>Message Sent</x:v>
      </x:c>
    </x:row>
    <x:row r="4265">
      <x:c r="A4265" t="str" s="2">
        <x:f>="Joy Vason"</x:f>
      </x:c>
      <x:c r="B4265" t="str" s="2">
        <x:v>Heritage Housing of Albany</x:v>
      </x:c>
      <x:c r="C4265" t="str" s="2">
        <x:v/>
      </x:c>
      <x:c r="D4265" t="str" s="2">
        <x:v>4048219616</x:v>
      </x:c>
      <x:c r="E4265" t="str" s="2">
        <x:v>joyvason1@gmail.com</x:v>
      </x:c>
      <x:c r="F4265" t="str" s="2">
        <x:v>Financing Form</x:v>
      </x:c>
      <x:c r="G4265" t="str" s="2">
        <x:v>Yanet Alvarez</x:v>
      </x:c>
      <x:c r="H4265" s="6">
        <x:v>46273.289828506946</x:v>
      </x:c>
      <x:c r="I4265" s="0"/>
      <x:c r="J4265" s="0"/>
      <x:c r="K4265" s="6">
        <x:v>46303</x:v>
      </x:c>
      <x:c r="L4265" t="str" s="2">
        <x:v>Message Sent</x:v>
      </x:c>
    </x:row>
    <x:row r="4266">
      <x:c r="A4266" t="str" s="2">
        <x:f>="Quintin Cooper"</x:f>
      </x:c>
      <x:c r="B4266" t="str" s="2">
        <x:v>Heritage Housing of Augusta</x:v>
      </x:c>
      <x:c r="C4266" t="str" s="2">
        <x:v>0/1</x:v>
      </x:c>
      <x:c r="D4266" t="str" s="2">
        <x:v>9126011487</x:v>
      </x:c>
      <x:c r="E4266" t="str" s="2">
        <x:v>quintincooper608@gmail.com</x:v>
      </x:c>
      <x:c r="F4266" t="str" s="2">
        <x:v>Landing_BPM</x:v>
      </x:c>
      <x:c r="G4266" t="str" s="2">
        <x:v>Jennifer Johnson</x:v>
      </x:c>
      <x:c r="H4266" s="6">
        <x:v>46273.43076380787</x:v>
      </x:c>
      <x:c r="I4266" s="0"/>
      <x:c r="J4266" s="0"/>
      <x:c r="K4266" s="6">
        <x:v>46298</x:v>
      </x:c>
      <x:c r="L4266" t="str" s="2">
        <x:v>Message Sent</x:v>
      </x:c>
    </x:row>
    <x:row r="4267">
      <x:c r="A4267" t="str" s="2">
        <x:f>="Aaron Williams Williams"</x:f>
      </x:c>
      <x:c r="B4267" t="str" s="2">
        <x:v>Heritage Housing of Asheboro</x:v>
      </x:c>
      <x:c r="C4267" t="str" s="2">
        <x:v/>
      </x:c>
      <x:c r="D4267" t="str" s="2">
        <x:v>9106398056</x:v>
      </x:c>
      <x:c r="E4267" t="str" s="2">
        <x:v>adubbs77@gmail.com</x:v>
      </x:c>
      <x:c r="F4267" t="str" s="2">
        <x:v>Landing_BPM</x:v>
      </x:c>
      <x:c r="G4267" t="str" s="2">
        <x:v>Maria Lopez</x:v>
      </x:c>
      <x:c r="H4267" s="6">
        <x:v>46273.49953321759</x:v>
      </x:c>
      <x:c r="I4267" s="0"/>
      <x:c r="J4267" s="0"/>
      <x:c r="K4267" s="6">
        <x:v>46273</x:v>
      </x:c>
      <x:c r="L4267" t="str" s="2">
        <x:v>Message Sent</x:v>
      </x:c>
    </x:row>
    <x:row r="4268">
      <x:c r="A4268" t="str" s="2">
        <x:f>="Mitchell Watkins"</x:f>
      </x:c>
      <x:c r="B4268" t="str" s="2">
        <x:v>Heritage Housing of Asheboro</x:v>
      </x:c>
      <x:c r="C4268" t="str" s="2">
        <x:v/>
      </x:c>
      <x:c r="D4268" t="str" s="2">
        <x:v>9803101485</x:v>
      </x:c>
      <x:c r="E4268" t="str" s="2">
        <x:v>truthking15@gmail.com</x:v>
      </x:c>
      <x:c r="F4268" t="str" s="2">
        <x:v>Landing_BPM</x:v>
      </x:c>
      <x:c r="G4268" t="str" s="2">
        <x:v>Kate Gutierrez</x:v>
      </x:c>
      <x:c r="H4268" s="6">
        <x:v>46273.50439540509</x:v>
      </x:c>
      <x:c r="I4268" s="0"/>
      <x:c r="J4268" s="0"/>
      <x:c r="K4268" s="6">
        <x:v>46273</x:v>
      </x:c>
      <x:c r="L4268" t="str" s="2">
        <x:v>Message Sent</x:v>
      </x:c>
    </x:row>
    <x:row r="4269">
      <x:c r="A4269" t="str" s="2">
        <x:f>="Lusunya Gay"</x:f>
      </x:c>
      <x:c r="B4269" t="str" s="2">
        <x:v>Heritage Housing of Athens</x:v>
      </x:c>
      <x:c r="C4269" t="str" s="2">
        <x:v/>
      </x:c>
      <x:c r="D4269" t="str" s="2">
        <x:v>4044681131</x:v>
      </x:c>
      <x:c r="E4269" t="str" s="2">
        <x:v>gaylusunya@yahoo.com</x:v>
      </x:c>
      <x:c r="F4269" t="str" s="2">
        <x:v>Landing_BPM</x:v>
      </x:c>
      <x:c r="G4269" t="str" s="2">
        <x:v>Nathan Bishop</x:v>
      </x:c>
      <x:c r="H4269" s="6">
        <x:v>46273.53764652778</x:v>
      </x:c>
      <x:c r="I4269" s="0"/>
      <x:c r="J4269" s="0"/>
      <x:c r="K4269" s="6">
        <x:v>46281</x:v>
      </x:c>
      <x:c r="L4269" t="str" s="2">
        <x:v>Message Sent</x:v>
      </x:c>
    </x:row>
    <x:row r="4270">
      <x:c r="A4270" t="str" s="2">
        <x:f>="Francisco Guanipa Guanipa"</x:f>
      </x:c>
      <x:c r="B4270" t="str" s="2">
        <x:v>Heritage Housing of Asheboro</x:v>
      </x:c>
      <x:c r="C4270" t="str" s="2">
        <x:v/>
      </x:c>
      <x:c r="D4270" t="str" s="2">
        <x:v>4079542096</x:v>
      </x:c>
      <x:c r="E4270" t="str" s="2">
        <x:v>franciscoguanipa25@gmail.com</x:v>
      </x:c>
      <x:c r="F4270" t="str" s="2">
        <x:v>Landing_BPM</x:v>
      </x:c>
      <x:c r="G4270" t="str" s="2">
        <x:v>Maria Lopez</x:v>
      </x:c>
      <x:c r="H4270" s="6">
        <x:v>46273.54401767361</x:v>
      </x:c>
      <x:c r="I4270" s="0"/>
      <x:c r="J4270" s="0"/>
      <x:c r="K4270" s="6">
        <x:v>46273</x:v>
      </x:c>
      <x:c r="L4270" t="str" s="2">
        <x:v>Message Sent</x:v>
      </x:c>
    </x:row>
    <x:row r="4271">
      <x:c r="A4271" t="str" s="2">
        <x:f>=HYPERLINK("https://rsms.futurehomex.com/lead/39776", "Danielle Hooker")</x:f>
      </x:c>
      <x:c r="B4271" t="str" s="2">
        <x:v>Heritage Housing of Oklahoma City</x:v>
      </x:c>
      <x:c r="C4271" t="str" s="2">
        <x:v/>
      </x:c>
      <x:c r="D4271" t="str" s="2">
        <x:v>4054504302</x:v>
      </x:c>
      <x:c r="E4271" t="str" s="2">
        <x:v>danireed19@gmail.com</x:v>
      </x:c>
      <x:c r="F4271" t="str" s="2">
        <x:v>Landing_BPM</x:v>
      </x:c>
      <x:c r="G4271" t="str" s="2">
        <x:v>Steve Castell</x:v>
      </x:c>
      <x:c r="H4271" s="6">
        <x:v>46273.55261184028</x:v>
      </x:c>
      <x:c r="I4271" t="str" s="2">
        <x:v>Steve Castell</x:v>
      </x:c>
      <x:c r="J4271" s="0"/>
      <x:c r="K4271" s="6">
        <x:v>46273</x:v>
      </x:c>
      <x:c r="L4271" t="str" s="2">
        <x:v>Message Sent</x:v>
      </x:c>
    </x:row>
    <x:row r="4272">
      <x:c r="A4272" t="str" s="2">
        <x:f>="Rhonda Vaughn"</x:f>
      </x:c>
      <x:c r="B4272" t="str" s="2">
        <x:v>Heritage Housing of Jennings</x:v>
      </x:c>
      <x:c r="C4272" t="str" s="2">
        <x:v/>
      </x:c>
      <x:c r="D4272" t="str" s="2">
        <x:v>5042703567</x:v>
      </x:c>
      <x:c r="E4272" t="str" s="2">
        <x:v>Msreddhott20@gmail.com</x:v>
      </x:c>
      <x:c r="F4272" t="str" s="2">
        <x:v>Youtube</x:v>
      </x:c>
      <x:c r="G4272" t="str" s="2">
        <x:v>Mervin Leslie Smith</x:v>
      </x:c>
      <x:c r="H4272" s="6">
        <x:v>46273.59369540509</x:v>
      </x:c>
      <x:c r="I4272" s="0"/>
      <x:c r="J4272" s="0"/>
      <x:c r="K4272" s="6">
        <x:v>46302.71475763889</x:v>
      </x:c>
      <x:c r="L4272" t="str" s="2">
        <x:v>Message Sent</x:v>
      </x:c>
    </x:row>
    <x:row r="4273">
      <x:c r="A4273" t="str" s="2">
        <x:f>="Michael FLEMING"</x:f>
      </x:c>
      <x:c r="B4273" t="str" s="2">
        <x:v>Heritage Housing of Tulsa</x:v>
      </x:c>
      <x:c r="C4273" t="str" s="2">
        <x:v/>
      </x:c>
      <x:c r="D4273" t="str" s="2">
        <x:v>6159607877</x:v>
      </x:c>
      <x:c r="E4273" t="str" s="2">
        <x:v>mfleming429@gmail.com</x:v>
      </x:c>
      <x:c r="F4273" t="str" s="2">
        <x:v>Landing_BPM</x:v>
      </x:c>
      <x:c r="G4273" t="str" s="2">
        <x:v>Jenna Fransisco</x:v>
      </x:c>
      <x:c r="H4273" s="6">
        <x:v>46273.60766790509</x:v>
      </x:c>
      <x:c r="I4273" s="0"/>
      <x:c r="J4273" s="0"/>
      <x:c r="K4273" s="6">
        <x:v>46279</x:v>
      </x:c>
      <x:c r="L4273" t="str" s="2">
        <x:v>Message Sent</x:v>
      </x:c>
    </x:row>
    <x:row r="4274">
      <x:c r="A4274" t="str" s="2">
        <x:f>="Abigail Richards"</x:f>
      </x:c>
      <x:c r="B4274" t="str" s="2">
        <x:v>Heritage Housing of Tulsa</x:v>
      </x:c>
      <x:c r="C4274" t="str" s="2">
        <x:v/>
      </x:c>
      <x:c r="D4274" t="str" s="2">
        <x:v>9188647994</x:v>
      </x:c>
      <x:c r="E4274" t="str" s="2">
        <x:v>princessabbieyoyo@gmail.com</x:v>
      </x:c>
      <x:c r="F4274" t="str" s="2">
        <x:v>Financing Form</x:v>
      </x:c>
      <x:c r="G4274" t="str" s="2">
        <x:v>Jenna Fransisco</x:v>
      </x:c>
      <x:c r="H4274" s="6">
        <x:v>46273.614290543985</x:v>
      </x:c>
      <x:c r="I4274" s="0"/>
      <x:c r="J4274" s="0"/>
      <x:c r="K4274" s="6">
        <x:v>46279</x:v>
      </x:c>
      <x:c r="L4274" t="str" s="2">
        <x:v>Message Sent</x:v>
      </x:c>
    </x:row>
    <x:row r="4275">
      <x:c r="A4275" t="str" s="2">
        <x:f>="miriam thompson"</x:f>
      </x:c>
      <x:c r="B4275" t="str" s="2">
        <x:v>Heritage Housing of Athens</x:v>
      </x:c>
      <x:c r="C4275" t="str" s="2">
        <x:v/>
      </x:c>
      <x:c r="D4275" t="str" s="2">
        <x:v>7708733185</x:v>
      </x:c>
      <x:c r="E4275" t="str" s="2">
        <x:v>mhisbon@gmail.com</x:v>
      </x:c>
      <x:c r="F4275" t="str" s="2">
        <x:v>Bing - Search</x:v>
      </x:c>
      <x:c r="G4275" t="str" s="2">
        <x:v>Nathan Bishop</x:v>
      </x:c>
      <x:c r="H4275" s="6">
        <x:v>46273.65112364583</x:v>
      </x:c>
      <x:c r="I4275" s="0"/>
      <x:c r="J4275" s="0"/>
      <x:c r="K4275" s="6">
        <x:v>46281</x:v>
      </x:c>
      <x:c r="L4275" t="str" s="2">
        <x:v>Message Sent</x:v>
      </x:c>
    </x:row>
    <x:row r="4276">
      <x:c r="A4276" t="str" s="2">
        <x:f>="America De La Rosa"</x:f>
      </x:c>
      <x:c r="B4276" t="str" s="2">
        <x:v>Heritage Housing of Canton</x:v>
      </x:c>
      <x:c r="C4276" t="str" s="2">
        <x:v/>
      </x:c>
      <x:c r="D4276" t="str" s="2">
        <x:v>4696844498</x:v>
      </x:c>
      <x:c r="E4276" t="str" s="2">
        <x:v>americadelarosa80@gmail.com</x:v>
      </x:c>
      <x:c r="F4276" t="str" s="2">
        <x:v>Landing_BPM</x:v>
      </x:c>
      <x:c r="G4276" t="str" s="2">
        <x:v>Jacob Hatten</x:v>
      </x:c>
      <x:c r="H4276" s="6">
        <x:v>46273.66634074074</x:v>
      </x:c>
      <x:c r="I4276" s="0"/>
      <x:c r="J4276" s="0"/>
      <x:c r="K4276" s="6">
        <x:v>46293</x:v>
      </x:c>
      <x:c r="L4276" t="str" s="2">
        <x:v>Message Sent</x:v>
      </x:c>
    </x:row>
    <x:row r="4277">
      <x:c r="A4277" t="str" s="2">
        <x:f>="Catrina CLARK"</x:f>
      </x:c>
      <x:c r="B4277" t="str" s="2">
        <x:v>Heritage Housing of Albany</x:v>
      </x:c>
      <x:c r="C4277" t="str" s="2">
        <x:v/>
      </x:c>
      <x:c r="D4277" t="str" s="2">
        <x:v>4783184851</x:v>
      </x:c>
      <x:c r="E4277" t="str" s="2">
        <x:v>csclark07271979@gmail.comin</x:v>
      </x:c>
      <x:c r="F4277" t="str" s="2">
        <x:v>Youtube</x:v>
      </x:c>
      <x:c r="G4277" t="str" s="2">
        <x:v>Yanet Alvarez</x:v>
      </x:c>
      <x:c r="H4277" s="6">
        <x:v>46273.69346203704</x:v>
      </x:c>
      <x:c r="I4277" s="0"/>
      <x:c r="J4277" s="0"/>
      <x:c r="K4277" s="6">
        <x:v>46307</x:v>
      </x:c>
      <x:c r="L4277" t="str" s="2">
        <x:v>Message Sent</x:v>
      </x:c>
    </x:row>
    <x:row r="4278">
      <x:c r="A4278" t="str" s="2">
        <x:f>="Crystal Wingate"</x:f>
      </x:c>
      <x:c r="B4278" t="str" s="2">
        <x:v>Heritage Housing of Augusta</x:v>
      </x:c>
      <x:c r="C4278" t="str" s="2">
        <x:v>0/1</x:v>
      </x:c>
      <x:c r="D4278" t="str" s="2">
        <x:v>7065261426</x:v>
      </x:c>
      <x:c r="E4278" t="str" s="2">
        <x:v>deezyllove@gmail.com</x:v>
      </x:c>
      <x:c r="F4278" t="str" s="2">
        <x:v>Financing Form</x:v>
      </x:c>
      <x:c r="G4278" t="str" s="2">
        <x:v>Jennifer Johnson</x:v>
      </x:c>
      <x:c r="H4278" s="6">
        <x:v>46273.697081018516</x:v>
      </x:c>
      <x:c r="I4278" s="0"/>
      <x:c r="J4278" s="0"/>
      <x:c r="K4278" s="6">
        <x:v>46294</x:v>
      </x:c>
      <x:c r="L4278" t="str" s="2">
        <x:v>Message Sent</x:v>
      </x:c>
    </x:row>
    <x:row r="4279">
      <x:c r="A4279" t="str" s="2">
        <x:f>="Victoria O'Connor"</x:f>
      </x:c>
      <x:c r="B4279" t="str" s="2">
        <x:v>Legacy Housing Corp. DBA Americasa</x:v>
      </x:c>
      <x:c r="C4279" t="str" s="2">
        <x:v/>
      </x:c>
      <x:c r="D4279" t="str" s="2">
        <x:v>2103090663</x:v>
      </x:c>
      <x:c r="E4279" t="str" s="2">
        <x:v>voconnor33@gmail.com</x:v>
      </x:c>
      <x:c r="F4279" t="str" s="2">
        <x:v>Website</x:v>
      </x:c>
      <x:c r="G4279" t="str" s="2">
        <x:v>Rodrigo Ramirez</x:v>
      </x:c>
      <x:c r="H4279" s="6">
        <x:v>46273.713834027774</x:v>
      </x:c>
      <x:c r="I4279" s="0"/>
      <x:c r="J4279" s="0"/>
      <x:c r="K4279" s="6">
        <x:v>46273</x:v>
      </x:c>
      <x:c r="L4279" t="str" s="2">
        <x:v>Message Sent</x:v>
      </x:c>
    </x:row>
    <x:row r="4280">
      <x:c r="A4280" t="str" s="2">
        <x:f>="Leeah Mitchell"</x:f>
      </x:c>
      <x:c r="B4280" t="str" s="2">
        <x:v>Heritage Housing of Tulsa</x:v>
      </x:c>
      <x:c r="C4280" t="str" s="2">
        <x:v/>
      </x:c>
      <x:c r="D4280" t="str" s="2">
        <x:v>9184869520</x:v>
      </x:c>
      <x:c r="E4280" t="str" s="2">
        <x:v>leeahmitchell03@gmail.com</x:v>
      </x:c>
      <x:c r="F4280" t="str" s="2">
        <x:v>Landing_BPM</x:v>
      </x:c>
      <x:c r="G4280" t="str" s="2">
        <x:v>Jenna Fransisco</x:v>
      </x:c>
      <x:c r="H4280" s="6">
        <x:v>46273.71664085648</x:v>
      </x:c>
      <x:c r="I4280" s="0"/>
      <x:c r="J4280" s="0"/>
      <x:c r="K4280" s="6">
        <x:v>46279.85596149306</x:v>
      </x:c>
      <x:c r="L4280" t="str" s="2">
        <x:v>Message Sent</x:v>
      </x:c>
    </x:row>
    <x:row r="4281">
      <x:c r="A4281" t="str" s="2">
        <x:f>="Raven Gonzales"</x:f>
      </x:c>
      <x:c r="B4281" t="str" s="2">
        <x:v>Heritage Housing of Canton</x:v>
      </x:c>
      <x:c r="C4281" t="str" s="2">
        <x:v/>
      </x:c>
      <x:c r="D4281" t="str" s="2">
        <x:v>7372887776</x:v>
      </x:c>
      <x:c r="E4281" t="str" s="2">
        <x:v>gonzalesraven924@gmail.com</x:v>
      </x:c>
      <x:c r="F4281" t="str" s="2">
        <x:v>Youtube</x:v>
      </x:c>
      <x:c r="G4281" t="str" s="2">
        <x:v>Maira Garcia</x:v>
      </x:c>
      <x:c r="H4281" s="6">
        <x:v>46273.71812306713</x:v>
      </x:c>
      <x:c r="I4281" s="0"/>
      <x:c r="J4281" s="0"/>
      <x:c r="K4281" s="6">
        <x:v>46273</x:v>
      </x:c>
      <x:c r="L4281" t="str" s="2">
        <x:v>Message Sent</x:v>
      </x:c>
    </x:row>
    <x:row r="4282">
      <x:c r="A4282" t="str" s="2">
        <x:f>="Andrea Hogg"</x:f>
      </x:c>
      <x:c r="B4282" t="str" s="2">
        <x:v>Heritage Housing of Albany</x:v>
      </x:c>
      <x:c r="C4282" t="str" s="2">
        <x:v/>
      </x:c>
      <x:c r="D4282" t="str" s="2">
        <x:v>7067738147</x:v>
      </x:c>
      <x:c r="E4282" t="str" s="2">
        <x:v>andreahogg50@gmail.com</x:v>
      </x:c>
      <x:c r="F4282" t="str" s="2">
        <x:v>Youtube</x:v>
      </x:c>
      <x:c r="G4282" t="str" s="2">
        <x:v>Yanet Alvarez</x:v>
      </x:c>
      <x:c r="H4282" s="6">
        <x:v>46273.71974606482</x:v>
      </x:c>
      <x:c r="I4282" s="0"/>
      <x:c r="J4282" s="0"/>
      <x:c r="K4282" s="6">
        <x:v>46303</x:v>
      </x:c>
      <x:c r="L4282" t="str" s="2">
        <x:v>Message Sent</x:v>
      </x:c>
    </x:row>
    <x:row r="4283">
      <x:c r="A4283" t="str" s="2">
        <x:f>="Terrilyn Foreman"</x:f>
      </x:c>
      <x:c r="B4283" t="str" s="2">
        <x:v>Heritage Housing of Jennings</x:v>
      </x:c>
      <x:c r="C4283" t="str" s="2">
        <x:v/>
      </x:c>
      <x:c r="D4283" t="str" s="2">
        <x:v>2255082762</x:v>
      </x:c>
      <x:c r="E4283" t="str" s="2">
        <x:v>foremanterrilyn1971@gmail.com</x:v>
      </x:c>
      <x:c r="F4283" t="str" s="2">
        <x:v>LandingPage</x:v>
      </x:c>
      <x:c r="G4283" t="str" s="2">
        <x:v>Clint O'Neal</x:v>
      </x:c>
      <x:c r="H4283" s="6">
        <x:v>46273.728427581016</x:v>
      </x:c>
      <x:c r="I4283" s="0"/>
      <x:c r="J4283" s="0"/>
      <x:c r="K4283" s="6">
        <x:v>46302</x:v>
      </x:c>
      <x:c r="L4283" t="str" s="2">
        <x:v>Message Sent</x:v>
      </x:c>
    </x:row>
    <x:row r="4284">
      <x:c r="A4284" t="str" s="2">
        <x:f>="Esther Bell"</x:f>
      </x:c>
      <x:c r="B4284" t="str" s="2">
        <x:v>Heritage Housing of Athens</x:v>
      </x:c>
      <x:c r="C4284" t="str" s="2">
        <x:v/>
      </x:c>
      <x:c r="D4284" t="str" s="2">
        <x:v>2242660351</x:v>
      </x:c>
      <x:c r="E4284" t="str" s="2">
        <x:v>esther44bell@gmail.com</x:v>
      </x:c>
      <x:c r="F4284" t="str" s="2">
        <x:v>Landing_BPM</x:v>
      </x:c>
      <x:c r="G4284" t="str" s="2">
        <x:v>Nathan Bishop</x:v>
      </x:c>
      <x:c r="H4284" s="6">
        <x:v>46273.73542511574</x:v>
      </x:c>
      <x:c r="I4284" s="0"/>
      <x:c r="J4284" s="0"/>
      <x:c r="K4284" s="6">
        <x:v>46287</x:v>
      </x:c>
      <x:c r="L4284" t="str" s="2">
        <x:v>Message Sent</x:v>
      </x:c>
    </x:row>
    <x:row r="4285">
      <x:c r="A4285" t="str" s="2">
        <x:f>="Christina Holmes"</x:f>
      </x:c>
      <x:c r="B4285" t="str" s="2">
        <x:v>Heritage Housing of Asheboro</x:v>
      </x:c>
      <x:c r="C4285" t="str" s="2">
        <x:v/>
      </x:c>
      <x:c r="D4285" t="str" s="2">
        <x:v>3363246445</x:v>
      </x:c>
      <x:c r="E4285" t="str" s="2">
        <x:v>christinagarnett88@gmail.com</x:v>
      </x:c>
      <x:c r="F4285" t="str" s="2">
        <x:v>Youtube</x:v>
      </x:c>
      <x:c r="G4285" t="str" s="2">
        <x:v>Maria Lopez</x:v>
      </x:c>
      <x:c r="H4285" s="6">
        <x:v>46273.73938032408</x:v>
      </x:c>
      <x:c r="I4285" s="0"/>
      <x:c r="J4285" s="0"/>
      <x:c r="K4285" s="6">
        <x:v>46273</x:v>
      </x:c>
      <x:c r="L4285" t="str" s="2">
        <x:v>Message Sent</x:v>
      </x:c>
    </x:row>
    <x:row r="4286">
      <x:c r="A4286" t="str" s="2">
        <x:f>="Cynthia Nalls"</x:f>
      </x:c>
      <x:c r="B4286" t="str" s="2">
        <x:v>Heritage Housing of Greenville</x:v>
      </x:c>
      <x:c r="C4286" t="str" s="2">
        <x:v/>
      </x:c>
      <x:c r="D4286" t="str" s="2">
        <x:v>4698349763</x:v>
      </x:c>
      <x:c r="E4286" t="str" s="2">
        <x:v>cynthiaelaine1970@gmail.com</x:v>
      </x:c>
      <x:c r="F4286" t="str" s="2">
        <x:v>LandingPage</x:v>
      </x:c>
      <x:c r="G4286" t="str" s="2">
        <x:v>Brooklynn Allen</x:v>
      </x:c>
      <x:c r="H4286" s="6">
        <x:v>46273.75802045139</x:v>
      </x:c>
      <x:c r="I4286" s="0"/>
      <x:c r="J4286" s="0"/>
      <x:c r="K4286" s="6">
        <x:v>46274</x:v>
      </x:c>
      <x:c r="L4286" t="str" s="2">
        <x:v>Message Sent</x:v>
      </x:c>
    </x:row>
    <x:row r="4287">
      <x:c r="A4287" t="str" s="2">
        <x:f>="Sherri Loyd"</x:f>
      </x:c>
      <x:c r="B4287" t="str" s="2">
        <x:v>Heritage Housing of Albany</x:v>
      </x:c>
      <x:c r="C4287" t="str" s="2">
        <x:v/>
      </x:c>
      <x:c r="D4287" t="str" s="2">
        <x:v>5806820271</x:v>
      </x:c>
      <x:c r="E4287" t="str" s="2">
        <x:v>biccaa@icloud.com</x:v>
      </x:c>
      <x:c r="F4287" t="str" s="2">
        <x:v>Financing Form</x:v>
      </x:c>
      <x:c r="G4287" t="str" s="2">
        <x:v>Yanet Alvarez</x:v>
      </x:c>
      <x:c r="H4287" s="6">
        <x:v>46273.76364568287</x:v>
      </x:c>
      <x:c r="I4287" s="0"/>
      <x:c r="J4287" s="0"/>
      <x:c r="K4287" s="6">
        <x:v>46307</x:v>
      </x:c>
      <x:c r="L4287" t="str" s="2">
        <x:v>Message Sent</x:v>
      </x:c>
    </x:row>
    <x:row r="4288">
      <x:c r="A4288" t="str" s="2">
        <x:f>=HYPERLINK("https://rsms.futurehomex.com/lead/39794", "Jairo Pineda")</x:f>
      </x:c>
      <x:c r="B4288" t="str" s="2">
        <x:v>Legacy Housing Corp. DBA Americasa</x:v>
      </x:c>
      <x:c r="C4288" t="str" s="2">
        <x:v/>
      </x:c>
      <x:c r="D4288" t="str" s="2">
        <x:v>8326546541</x:v>
      </x:c>
      <x:c r="E4288" t="str" s="2">
        <x:v>santosarita726@gmail.com</x:v>
      </x:c>
      <x:c r="F4288" t="str" s="2">
        <x:v>Referrals</x:v>
      </x:c>
      <x:c r="G4288" t="str" s="2">
        <x:v>Jose Parada</x:v>
      </x:c>
      <x:c r="H4288" s="6">
        <x:v>46273.763674421294</x:v>
      </x:c>
      <x:c r="I4288" t="str" s="2">
        <x:v>Jose Parada</x:v>
      </x:c>
      <x:c r="J4288" s="0"/>
      <x:c r="K4288" s="6">
        <x:v>46308</x:v>
      </x:c>
      <x:c r="L4288" t="str" s="2">
        <x:v>Message Sent</x:v>
      </x:c>
    </x:row>
    <x:row r="4289">
      <x:c r="A4289" t="str" s="2">
        <x:f>="Amber Hyles"</x:f>
      </x:c>
      <x:c r="B4289" t="str" s="2">
        <x:v>Heritage Housing of Greenville</x:v>
      </x:c>
      <x:c r="C4289" t="str" s="2">
        <x:v/>
      </x:c>
      <x:c r="D4289" t="str" s="2">
        <x:v>4692655027</x:v>
      </x:c>
      <x:c r="E4289" t="str" s="2">
        <x:v>ambernforlife@gmail.com</x:v>
      </x:c>
      <x:c r="F4289" t="str" s="2">
        <x:v>Landing_BPM</x:v>
      </x:c>
      <x:c r="G4289" t="str" s="2">
        <x:v>Brooklynn Allen</x:v>
      </x:c>
      <x:c r="H4289" s="6">
        <x:v>46273.78353020833</x:v>
      </x:c>
      <x:c r="I4289" s="0"/>
      <x:c r="J4289" s="0"/>
      <x:c r="K4289" s="6">
        <x:v>46274</x:v>
      </x:c>
      <x:c r="L4289" t="str" s="2">
        <x:v>Message Sent</x:v>
      </x:c>
    </x:row>
    <x:row r="4290">
      <x:c r="A4290" t="str" s="2">
        <x:f>=HYPERLINK("https://rsms.futurehomex.com/lead/39801", "Ayziah Abner")</x:f>
      </x:c>
      <x:c r="B4290" t="str" s="2">
        <x:v>Heritage Housing of Augusta</x:v>
      </x:c>
      <x:c r="C4290" t="str" s="2">
        <x:v/>
      </x:c>
      <x:c r="D4290" t="str" s="2">
        <x:v>2035080294</x:v>
      </x:c>
      <x:c r="E4290" t="str" s="2">
        <x:v>ayziahabe01@gmail.com</x:v>
      </x:c>
      <x:c r="F4290" t="str" s="2">
        <x:v>Walk-in</x:v>
      </x:c>
      <x:c r="G4290" t="str" s="2">
        <x:v>Faye Lively</x:v>
      </x:c>
      <x:c r="H4290" s="6">
        <x:v>46273.7872659375</x:v>
      </x:c>
      <x:c r="I4290" t="str" s="2">
        <x:v>Faye Lively</x:v>
      </x:c>
      <x:c r="J4290" s="0"/>
      <x:c r="K4290" s="6">
        <x:v>46280</x:v>
      </x:c>
      <x:c r="L4290" t="str" s="2">
        <x:v>Message Sent</x:v>
      </x:c>
    </x:row>
    <x:row r="4291">
      <x:c r="A4291" t="str" s="2">
        <x:f>=HYPERLINK("https://rsms.futurehomex.com/lead/39807", "Jim Baker")</x:f>
      </x:c>
      <x:c r="B4291" t="str" s="2">
        <x:v>Heritage Housing of Oklahoma City</x:v>
      </x:c>
      <x:c r="C4291" t="str" s="2">
        <x:v/>
      </x:c>
      <x:c r="D4291" t="str" s="2">
        <x:v>(405)612-1099</x:v>
      </x:c>
      <x:c r="E4291" t="str" s="2">
        <x:v>jimrbakerb@netscape.net</x:v>
      </x:c>
      <x:c r="F4291" t="str" s="2">
        <x:v>Bing - Search</x:v>
      </x:c>
      <x:c r="G4291" t="str" s="2">
        <x:v>Steve Castell</x:v>
      </x:c>
      <x:c r="H4291" s="6">
        <x:v>46273.79591284722</x:v>
      </x:c>
      <x:c r="I4291" t="str" s="2">
        <x:v>Steve Castell</x:v>
      </x:c>
      <x:c r="J4291" s="0"/>
      <x:c r="K4291" s="6">
        <x:v>46273</x:v>
      </x:c>
      <x:c r="L4291" t="str" s="2">
        <x:v>Message Sent</x:v>
      </x:c>
    </x:row>
    <x:row r="4292">
      <x:c r="A4292" t="str" s="2">
        <x:f>="Steve Canady"</x:f>
      </x:c>
      <x:c r="B4292" t="str" s="2">
        <x:v>Heritage Housing of Asheboro</x:v>
      </x:c>
      <x:c r="C4292" t="str" s="2">
        <x:v/>
      </x:c>
      <x:c r="D4292" t="str" s="2">
        <x:v>2525258122</x:v>
      </x:c>
      <x:c r="E4292" t="str" s="2">
        <x:v>stevecanady70@gmail.com</x:v>
      </x:c>
      <x:c r="F4292" t="str" s="2">
        <x:v>Youtube</x:v>
      </x:c>
      <x:c r="G4292" t="str" s="2">
        <x:v>Kate Gutierrez</x:v>
      </x:c>
      <x:c r="H4292" s="6">
        <x:v>46273.804222569444</x:v>
      </x:c>
      <x:c r="I4292" s="0"/>
      <x:c r="J4292" s="0"/>
      <x:c r="K4292" s="6">
        <x:v>46286</x:v>
      </x:c>
      <x:c r="L4292" t="str" s="2">
        <x:v>Message Sent</x:v>
      </x:c>
    </x:row>
    <x:row r="4293">
      <x:c r="A4293" t="str" s="2">
        <x:f>="Amy Walters"</x:f>
      </x:c>
      <x:c r="B4293" t="str" s="2">
        <x:v>Heritage Housing of Asheboro</x:v>
      </x:c>
      <x:c r="C4293" t="str" s="2">
        <x:v/>
      </x:c>
      <x:c r="D4293" t="str" s="2">
        <x:v>3362444781</x:v>
      </x:c>
      <x:c r="E4293" t="str" s="2">
        <x:v>amy.walters2020@gmail.com</x:v>
      </x:c>
      <x:c r="F4293" t="str" s="2">
        <x:v>Financing Form</x:v>
      </x:c>
      <x:c r="G4293" t="str" s="2">
        <x:v>Kate Gutierrez</x:v>
      </x:c>
      <x:c r="H4293" s="6">
        <x:v>46273.82317098379</x:v>
      </x:c>
      <x:c r="I4293" s="0"/>
      <x:c r="J4293" s="0"/>
      <x:c r="K4293" s="6">
        <x:v>46290</x:v>
      </x:c>
      <x:c r="L4293" t="str" s="2">
        <x:v>Message Sent</x:v>
      </x:c>
    </x:row>
    <x:row r="4294">
      <x:c r="A4294" t="str" s="2">
        <x:f>="Travis Fetter"</x:f>
      </x:c>
      <x:c r="B4294" t="str" s="2">
        <x:v>Legacy Housing Corp. DBA Americasa</x:v>
      </x:c>
      <x:c r="C4294" t="str" s="2">
        <x:v/>
      </x:c>
      <x:c r="D4294" t="str" s="2">
        <x:v>2148028733</x:v>
      </x:c>
      <x:c r="E4294" t="str" s="2">
        <x:v>blacklotusllc@icloud.com</x:v>
      </x:c>
      <x:c r="F4294" t="str" s="2">
        <x:v>Landing_BPM</x:v>
      </x:c>
      <x:c r="G4294" t="str" s="2">
        <x:v>Jose Parada</x:v>
      </x:c>
      <x:c r="H4294" s="6">
        <x:v>46273.84028001157</x:v>
      </x:c>
      <x:c r="I4294" s="0"/>
      <x:c r="J4294" s="0"/>
      <x:c r="K4294" s="6">
        <x:v>46273</x:v>
      </x:c>
      <x:c r="L4294" t="str" s="2">
        <x:v>Message Sent</x:v>
      </x:c>
    </x:row>
    <x:row r="4295">
      <x:c r="A4295" t="str" s="2">
        <x:f>="Stephan McNeil"</x:f>
      </x:c>
      <x:c r="B4295" t="str" s="2">
        <x:v>Heritage Housing of Asheboro</x:v>
      </x:c>
      <x:c r="C4295" t="str" s="2">
        <x:v/>
      </x:c>
      <x:c r="D4295" t="str" s="2">
        <x:v>9197564031</x:v>
      </x:c>
      <x:c r="E4295" t="str" s="2">
        <x:v>stephanmcneil13@gmail.com</x:v>
      </x:c>
      <x:c r="F4295" t="str" s="2">
        <x:v>Youtube</x:v>
      </x:c>
      <x:c r="G4295" t="str" s="2">
        <x:v>Maria Lopez</x:v>
      </x:c>
      <x:c r="H4295" s="6">
        <x:v>46273.8598</x:v>
      </x:c>
      <x:c r="I4295" s="0"/>
      <x:c r="J4295" s="0"/>
      <x:c r="K4295" s="6">
        <x:v>46307</x:v>
      </x:c>
      <x:c r="L4295" t="str" s="2">
        <x:v>Message Sent</x:v>
      </x:c>
    </x:row>
    <x:row r="4296">
      <x:c r="A4296" t="str" s="2">
        <x:f>="Reginald Prince"</x:f>
      </x:c>
      <x:c r="B4296" t="str" s="2">
        <x:v>Heritage Housing of Athens</x:v>
      </x:c>
      <x:c r="C4296" t="str" s="2">
        <x:v/>
      </x:c>
      <x:c r="D4296" t="str" s="2">
        <x:v>9193575167</x:v>
      </x:c>
      <x:c r="E4296" t="str" s="2">
        <x:v>rlprince1971@yahoo.com</x:v>
      </x:c>
      <x:c r="F4296" t="str" s="2">
        <x:v>Landing_BPM</x:v>
      </x:c>
      <x:c r="G4296" t="str" s="2">
        <x:v>Nathan Bishop</x:v>
      </x:c>
      <x:c r="H4296" s="6">
        <x:v>46273.86236064815</x:v>
      </x:c>
      <x:c r="I4296" s="0"/>
      <x:c r="J4296" s="0"/>
      <x:c r="K4296" s="6">
        <x:v>46303.836067048614</x:v>
      </x:c>
      <x:c r="L4296" t="str" s="2">
        <x:v>Message Sent</x:v>
      </x:c>
    </x:row>
    <x:row r="4297">
      <x:c r="A4297" t="str" s="2">
        <x:f>="Shekeyla Henry"</x:f>
      </x:c>
      <x:c r="B4297" t="str" s="2">
        <x:v>Heritage Housing of Albany</x:v>
      </x:c>
      <x:c r="C4297" t="str" s="2">
        <x:v/>
      </x:c>
      <x:c r="D4297" t="str" s="2">
        <x:v>2293080434</x:v>
      </x:c>
      <x:c r="E4297" t="str" s="2">
        <x:v>keyhenry399@gmail.com</x:v>
      </x:c>
      <x:c r="F4297" t="str" s="2">
        <x:v>Financing Form</x:v>
      </x:c>
      <x:c r="G4297" t="str" s="2">
        <x:v>Yanet Alvarez</x:v>
      </x:c>
      <x:c r="H4297" s="6">
        <x:v>46273.8769</x:v>
      </x:c>
      <x:c r="I4297" s="0"/>
      <x:c r="J4297" s="0"/>
      <x:c r="K4297" s="6">
        <x:v>46303</x:v>
      </x:c>
      <x:c r="L4297" t="str" s="2">
        <x:v>Message Sent</x:v>
      </x:c>
    </x:row>
    <x:row r="4298">
      <x:c r="A4298" t="str" s="2">
        <x:f>=HYPERLINK("https://rsms.futurehomex.com/lead/39903", "Tammy Chidester")</x:f>
      </x:c>
      <x:c r="B4298" t="str" s="2">
        <x:v>Heritage Housing of Tulsa</x:v>
      </x:c>
      <x:c r="C4298" t="str" s="2">
        <x:v/>
      </x:c>
      <x:c r="D4298" t="str" s="2">
        <x:v>9188947681</x:v>
      </x:c>
      <x:c r="E4298" t="str" s="2">
        <x:v>wilsontammy1989@gmail.com</x:v>
      </x:c>
      <x:c r="F4298" t="str" s="2">
        <x:v>Youtube</x:v>
      </x:c>
      <x:c r="G4298" t="str" s="2">
        <x:v>Jenna Fransisco</x:v>
      </x:c>
      <x:c r="H4298" s="6">
        <x:v>46273.882838425925</x:v>
      </x:c>
      <x:c r="I4298" t="str" s="2">
        <x:v>Derek Searcy</x:v>
      </x:c>
      <x:c r="J4298" s="0"/>
      <x:c r="K4298" s="6">
        <x:v>46276</x:v>
      </x:c>
      <x:c r="L4298" t="str" s="2">
        <x:v>Message Sent</x:v>
      </x:c>
    </x:row>
    <x:row r="4299">
      <x:c r="A4299" t="str" s="2">
        <x:f>="Stephanie Joy"</x:f>
      </x:c>
      <x:c r="B4299" t="str" s="2">
        <x:v>Heritage Housing of Asheboro</x:v>
      </x:c>
      <x:c r="C4299" t="str" s="2">
        <x:v/>
      </x:c>
      <x:c r="D4299" t="str" s="2">
        <x:v>7049129328</x:v>
      </x:c>
      <x:c r="E4299" t="str" s="2">
        <x:v>stephaniejoy023@gmail.com</x:v>
      </x:c>
      <x:c r="F4299" t="str" s="2">
        <x:v>Youtube</x:v>
      </x:c>
      <x:c r="G4299" t="str" s="2">
        <x:v>Kate Gutierrez</x:v>
      </x:c>
      <x:c r="H4299" s="6">
        <x:v>46273.90074927083</x:v>
      </x:c>
      <x:c r="I4299" s="0"/>
      <x:c r="J4299" s="0"/>
      <x:c r="K4299" s="6">
        <x:v>46274</x:v>
      </x:c>
      <x:c r="L4299" t="str" s="2">
        <x:v>Message Sent</x:v>
      </x:c>
    </x:row>
    <x:row r="4300">
      <x:c r="A4300" t="str" s="2">
        <x:f>="Ida Guidry"</x:f>
      </x:c>
      <x:c r="B4300" t="str" s="2">
        <x:v>Heritage Housing of Jennings</x:v>
      </x:c>
      <x:c r="C4300" t="str" s="2">
        <x:v/>
      </x:c>
      <x:c r="D4300" t="str" s="2">
        <x:v>9852968960</x:v>
      </x:c>
      <x:c r="E4300" t="str" s="2">
        <x:v>guidrybelle0@gmail.com</x:v>
      </x:c>
      <x:c r="F4300" t="str" s="2">
        <x:v>Youtube</x:v>
      </x:c>
      <x:c r="G4300" t="str" s="2">
        <x:v>Mervin Leslie Smith</x:v>
      </x:c>
      <x:c r="H4300" s="6">
        <x:v>46273.924990162035</x:v>
      </x:c>
      <x:c r="I4300" s="0"/>
      <x:c r="J4300" s="0"/>
      <x:c r="K4300" s="6">
        <x:v>46302.715820868056</x:v>
      </x:c>
      <x:c r="L4300" t="str" s="2">
        <x:v>Message Sent</x:v>
      </x:c>
    </x:row>
    <x:row r="4301">
      <x:c r="A4301" t="str" s="2">
        <x:f>="Russell Thompson"</x:f>
      </x:c>
      <x:c r="B4301" t="str" s="2">
        <x:v>Heritage Housing of Tulsa</x:v>
      </x:c>
      <x:c r="C4301" t="str" s="2">
        <x:v/>
      </x:c>
      <x:c r="D4301" t="str" s="2">
        <x:v>9187602661</x:v>
      </x:c>
      <x:c r="E4301" t="str" s="2">
        <x:v>russellthompson737@yahoo.com</x:v>
      </x:c>
      <x:c r="F4301" t="str" s="2">
        <x:v>Landing_BPM</x:v>
      </x:c>
      <x:c r="G4301" t="str" s="2">
        <x:v>Jenna Fransisco</x:v>
      </x:c>
      <x:c r="H4301" s="6">
        <x:v>46273.937815972226</x:v>
      </x:c>
      <x:c r="I4301" s="0"/>
      <x:c r="J4301" s="0"/>
      <x:c r="K4301" s="6">
        <x:v>46279</x:v>
      </x:c>
      <x:c r="L4301" t="str" s="2">
        <x:v>Message Sent</x:v>
      </x:c>
    </x:row>
    <x:row r="4302">
      <x:c r="A4302" t="str" s="2">
        <x:f>="William Hughes"</x:f>
      </x:c>
      <x:c r="B4302" t="str" s="2">
        <x:v>Heritage Housing of Asheboro</x:v>
      </x:c>
      <x:c r="C4302" t="str" s="2">
        <x:v/>
      </x:c>
      <x:c r="D4302" t="str" s="2">
        <x:v>6154732381</x:v>
      </x:c>
      <x:c r="E4302" t="str" s="2">
        <x:v>hugheswilliam130@gmail.com</x:v>
      </x:c>
      <x:c r="F4302" t="str" s="2">
        <x:v>Website</x:v>
      </x:c>
      <x:c r="G4302" t="str" s="2">
        <x:v>Maria Lopez</x:v>
      </x:c>
      <x:c r="H4302" s="6">
        <x:v>46273.94251890046</x:v>
      </x:c>
      <x:c r="I4302" s="0"/>
      <x:c r="J4302" s="0"/>
      <x:c r="K4302" s="6">
        <x:v>46288</x:v>
      </x:c>
      <x:c r="L4302" t="str" s="2">
        <x:v>Message Sent</x:v>
      </x:c>
    </x:row>
    <x:row r="4303">
      <x:c r="A4303" t="str" s="2">
        <x:f>="Valerie Deculus"</x:f>
      </x:c>
      <x:c r="B4303" t="str" s="2">
        <x:v>Heritage Housing of Jennings</x:v>
      </x:c>
      <x:c r="C4303" t="str" s="2">
        <x:v/>
      </x:c>
      <x:c r="D4303" t="str" s="2">
        <x:v>3373680670</x:v>
      </x:c>
      <x:c r="E4303" t="str" s="2">
        <x:v>vdeculus@icloud.com</x:v>
      </x:c>
      <x:c r="F4303" t="str" s="2">
        <x:v>Landing_BPM</x:v>
      </x:c>
      <x:c r="G4303" t="str" s="2">
        <x:v>Clint O'Neal</x:v>
      </x:c>
      <x:c r="H4303" s="6">
        <x:v>46273.96087769676</x:v>
      </x:c>
      <x:c r="I4303" s="0"/>
      <x:c r="J4303" s="0"/>
      <x:c r="K4303" s="6">
        <x:v>46302.716201585645</x:v>
      </x:c>
      <x:c r="L4303" t="str" s="2">
        <x:v>Message Sent</x:v>
      </x:c>
    </x:row>
    <x:row r="4304">
      <x:c r="A4304" t="str" s="2">
        <x:f>="Danielle Simmons"</x:f>
      </x:c>
      <x:c r="B4304" t="str" s="2">
        <x:v>Heritage Housing of Jennings</x:v>
      </x:c>
      <x:c r="C4304" t="str" s="2">
        <x:v/>
      </x:c>
      <x:c r="D4304" t="str" s="2">
        <x:v>3373847235</x:v>
      </x:c>
      <x:c r="E4304" t="str" s="2">
        <x:v>danielletrahan44@gmail.com</x:v>
      </x:c>
      <x:c r="F4304" t="str" s="2">
        <x:v>Website</x:v>
      </x:c>
      <x:c r="G4304" t="str" s="2">
        <x:v>Clint O'Neal</x:v>
      </x:c>
      <x:c r="H4304" s="6">
        <x:v>46273.96557357639</x:v>
      </x:c>
      <x:c r="I4304" s="0"/>
      <x:c r="J4304" s="0"/>
      <x:c r="K4304" s="6">
        <x:v>46302.716546296295</x:v>
      </x:c>
      <x:c r="L4304" t="str" s="2">
        <x:v>Message Sent</x:v>
      </x:c>
    </x:row>
    <x:row r="4305">
      <x:c r="A4305" t="str" s="2">
        <x:f>="Valerie Green"</x:f>
      </x:c>
      <x:c r="B4305" t="str" s="2">
        <x:v>Heritage Housing of Asheboro</x:v>
      </x:c>
      <x:c r="C4305" t="str" s="2">
        <x:v/>
      </x:c>
      <x:c r="D4305" t="str" s="2">
        <x:v>5135144602</x:v>
      </x:c>
      <x:c r="E4305" t="str" s="2">
        <x:v>valeriegreen59@yahoo.com</x:v>
      </x:c>
      <x:c r="F4305" t="str" s="2">
        <x:v>Landing_BPM</x:v>
      </x:c>
      <x:c r="G4305" t="str" s="2">
        <x:v>Kate Gutierrez</x:v>
      </x:c>
      <x:c r="H4305" s="6">
        <x:v>46274.01320292824</x:v>
      </x:c>
      <x:c r="I4305" s="0"/>
      <x:c r="J4305" s="0"/>
      <x:c r="K4305" s="6">
        <x:v>46274</x:v>
      </x:c>
      <x:c r="L4305" t="str" s="2">
        <x:v>Message Sent</x:v>
      </x:c>
    </x:row>
    <x:row r="4306">
      <x:c r="A4306" t="str" s="2">
        <x:f>="Abby Duplechan"</x:f>
      </x:c>
      <x:c r="B4306" t="str" s="2">
        <x:v>Heritage Housing of Greenville</x:v>
      </x:c>
      <x:c r="C4306" t="str" s="2">
        <x:v/>
      </x:c>
      <x:c r="D4306" t="str" s="2">
        <x:v>9032432233</x:v>
      </x:c>
      <x:c r="E4306" t="str" s="2">
        <x:v>abbyduplechan@icloud.com</x:v>
      </x:c>
      <x:c r="F4306" t="str" s="2">
        <x:v>Financing Form</x:v>
      </x:c>
      <x:c r="G4306" t="str" s="2">
        <x:v>Brooklynn Allen</x:v>
      </x:c>
      <x:c r="H4306" s="6">
        <x:v>46274.020522997685</x:v>
      </x:c>
      <x:c r="I4306" s="0"/>
      <x:c r="J4306" s="0"/>
      <x:c r="K4306" s="6">
        <x:v>46274</x:v>
      </x:c>
      <x:c r="L4306" t="str" s="2">
        <x:v>Message Sent</x:v>
      </x:c>
    </x:row>
    <x:row r="4307">
      <x:c r="A4307" t="str" s="2">
        <x:f>="Leeann McElyea"</x:f>
      </x:c>
      <x:c r="B4307" t="str" s="2">
        <x:v>Heritage Housing of Greenville</x:v>
      </x:c>
      <x:c r="C4307" t="str" s="2">
        <x:v/>
      </x:c>
      <x:c r="D4307" t="str" s="2">
        <x:v>9034229335</x:v>
      </x:c>
      <x:c r="E4307" t="str" s="2">
        <x:v>Leeannmcelyea1703@gmail.com</x:v>
      </x:c>
      <x:c r="F4307" t="str" s="2">
        <x:v>Landing_BPM</x:v>
      </x:c>
      <x:c r="G4307" t="str" s="2">
        <x:v>Brooklynn Allen</x:v>
      </x:c>
      <x:c r="H4307" s="6">
        <x:v>46274.03667627315</x:v>
      </x:c>
      <x:c r="I4307" s="0"/>
      <x:c r="J4307" s="0"/>
      <x:c r="K4307" s="6">
        <x:v>46274</x:v>
      </x:c>
      <x:c r="L4307" t="str" s="2">
        <x:v>Message Sent</x:v>
      </x:c>
    </x:row>
    <x:row r="4308">
      <x:c r="A4308" t="str" s="2">
        <x:f>="Missy Marcantel"</x:f>
      </x:c>
      <x:c r="B4308" t="str" s="2">
        <x:v>Heritage Housing of Jennings</x:v>
      </x:c>
      <x:c r="C4308" t="str" s="2">
        <x:v/>
      </x:c>
      <x:c r="D4308" t="str" s="2">
        <x:v>3374760075</x:v>
      </x:c>
      <x:c r="E4308" t="str" s="2">
        <x:v>beglismissy10@gmail.com</x:v>
      </x:c>
      <x:c r="F4308" t="str" s="2">
        <x:v>Landing_BPM</x:v>
      </x:c>
      <x:c r="G4308" t="str" s="2">
        <x:v>Clint O'Neal</x:v>
      </x:c>
      <x:c r="H4308" s="6">
        <x:v>46274.086259641204</x:v>
      </x:c>
      <x:c r="I4308" s="0"/>
      <x:c r="J4308" s="0"/>
      <x:c r="K4308" s="6">
        <x:v>46302.71693255787</x:v>
      </x:c>
      <x:c r="L4308" t="str" s="2">
        <x:v>Message Sent</x:v>
      </x:c>
    </x:row>
    <x:row r="4309">
      <x:c r="A4309" t="str" s="2">
        <x:f>=HYPERLINK("https://rsms.futurehomex.com/lead/39902", "norman silkey")</x:f>
      </x:c>
      <x:c r="B4309" t="str" s="2">
        <x:v>Heritage Housing of Tulsa</x:v>
      </x:c>
      <x:c r="C4309" t="str" s="2">
        <x:v/>
      </x:c>
      <x:c r="D4309" t="str" s="2">
        <x:v>9182138354</x:v>
      </x:c>
      <x:c r="E4309" t="str" s="2">
        <x:v>normansilkey165@gmail.com</x:v>
      </x:c>
      <x:c r="F4309" t="str" s="2">
        <x:v>Financing Form</x:v>
      </x:c>
      <x:c r="G4309" t="str" s="2">
        <x:v>Jenna Fransisco</x:v>
      </x:c>
      <x:c r="H4309" s="6">
        <x:v>46274.21729082176</x:v>
      </x:c>
      <x:c r="I4309" t="str" s="2">
        <x:v>Derek Searcy</x:v>
      </x:c>
      <x:c r="J4309" s="0"/>
      <x:c r="K4309" s="6">
        <x:v>46276</x:v>
      </x:c>
      <x:c r="L4309" t="str" s="2">
        <x:v>Message Sent</x:v>
      </x:c>
    </x:row>
    <x:row r="4310">
      <x:c r="A4310" t="str" s="2">
        <x:f>=HYPERLINK("https://rsms.futurehomex.com/lead/39822", "Richard Brasel")</x:f>
      </x:c>
      <x:c r="B4310" t="str" s="2">
        <x:v>Heritage Housing of Oklahoma City</x:v>
      </x:c>
      <x:c r="C4310" t="str" s="2">
        <x:v/>
      </x:c>
      <x:c r="D4310" t="str" s="2">
        <x:v>4059023190</x:v>
      </x:c>
      <x:c r="E4310" t="str" s="2">
        <x:v>rickbrasel315@gmail.com</x:v>
      </x:c>
      <x:c r="F4310" t="str" s="2">
        <x:v>Landing_BPM</x:v>
      </x:c>
      <x:c r="G4310" t="str" s="2">
        <x:v>Steve Castell</x:v>
      </x:c>
      <x:c r="H4310" s="6">
        <x:v>46274.24455077546</x:v>
      </x:c>
      <x:c r="I4310" t="str" s="2">
        <x:v>Steve Castell</x:v>
      </x:c>
      <x:c r="J4310" s="0"/>
      <x:c r="K4310" s="6">
        <x:v>46274</x:v>
      </x:c>
      <x:c r="L4310" t="str" s="2">
        <x:v>Message Sent</x:v>
      </x:c>
    </x:row>
    <x:row r="4311">
      <x:c r="A4311" t="str" s="2">
        <x:f>="Jennifer Jackson"</x:f>
      </x:c>
      <x:c r="B4311" t="str" s="2">
        <x:v>Heritage Housing of Athens</x:v>
      </x:c>
      <x:c r="C4311" t="str" s="2">
        <x:v/>
      </x:c>
      <x:c r="D4311" t="str" s="2">
        <x:v>7066056055</x:v>
      </x:c>
      <x:c r="E4311" t="str" s="2">
        <x:v>jenjack8650@gmail.com</x:v>
      </x:c>
      <x:c r="F4311" t="str" s="2">
        <x:v>Youtube</x:v>
      </x:c>
      <x:c r="G4311" t="str" s="2">
        <x:v>Nathan Bishop</x:v>
      </x:c>
      <x:c r="H4311" s="6">
        <x:v>46274.24570813657</x:v>
      </x:c>
      <x:c r="I4311" s="0"/>
      <x:c r="J4311" s="0"/>
      <x:c r="K4311" s="6">
        <x:v>46287</x:v>
      </x:c>
      <x:c r="L4311" t="str" s="2">
        <x:v>Message Sent</x:v>
      </x:c>
    </x:row>
    <x:row r="4312">
      <x:c r="A4312" t="str" s="2">
        <x:f>="Sonja Taylor"</x:f>
      </x:c>
      <x:c r="B4312" t="str" s="2">
        <x:v>Heritage Housing of Augusta</x:v>
      </x:c>
      <x:c r="C4312" t="str" s="2">
        <x:v/>
      </x:c>
      <x:c r="D4312" t="str" s="2">
        <x:v>8034260801</x:v>
      </x:c>
      <x:c r="E4312" t="str" s="2">
        <x:v>s.taylor4428@gmail.com</x:v>
      </x:c>
      <x:c r="F4312" t="str" s="2">
        <x:v>Landing_BPM</x:v>
      </x:c>
      <x:c r="G4312" t="str" s="2">
        <x:v>Jennifer Johnson</x:v>
      </x:c>
      <x:c r="H4312" s="6">
        <x:v>46274.260227430554</x:v>
      </x:c>
      <x:c r="I4312" s="0"/>
      <x:c r="J4312" s="0"/>
      <x:c r="K4312" s="6">
        <x:v>46300</x:v>
      </x:c>
      <x:c r="L4312" t="str" s="2">
        <x:v>Message Sent</x:v>
      </x:c>
    </x:row>
    <x:row r="4313">
      <x:c r="A4313" t="str" s="2">
        <x:f>="Jesus Almazan"</x:f>
      </x:c>
      <x:c r="B4313" t="str" s="2">
        <x:v>Legacy Housing Corp. DBA Americasa</x:v>
      </x:c>
      <x:c r="C4313" t="str" s="2">
        <x:v/>
      </x:c>
      <x:c r="D4313" t="str" s="2">
        <x:v>8324745238</x:v>
      </x:c>
      <x:c r="E4313" t="str" s="2">
        <x:v>jesus.almazan93@gmail.com</x:v>
      </x:c>
      <x:c r="F4313" t="str" s="2">
        <x:v>Landing_BPM</x:v>
      </x:c>
      <x:c r="G4313" t="str" s="2">
        <x:v>Rodrigo Ramirez</x:v>
      </x:c>
      <x:c r="H4313" s="6">
        <x:v>46274.394576238425</x:v>
      </x:c>
      <x:c r="I4313" s="0"/>
      <x:c r="J4313" s="0"/>
      <x:c r="K4313" s="6">
        <x:v>46274</x:v>
      </x:c>
      <x:c r="L4313" t="str" s="2">
        <x:v>Message Sent</x:v>
      </x:c>
    </x:row>
    <x:row r="4314">
      <x:c r="A4314" t="str" s="2">
        <x:f>="Peggy Thompson"</x:f>
      </x:c>
      <x:c r="B4314" t="str" s="2">
        <x:v>Heritage Housing of Asheboro</x:v>
      </x:c>
      <x:c r="C4314" t="str" s="2">
        <x:v/>
      </x:c>
      <x:c r="D4314" t="str" s="2">
        <x:v>7046744938</x:v>
      </x:c>
      <x:c r="E4314" t="str" s="2">
        <x:v>peggythompson975@yahoo.com</x:v>
      </x:c>
      <x:c r="F4314" t="str" s="2">
        <x:v>Youtube</x:v>
      </x:c>
      <x:c r="G4314" t="str" s="2">
        <x:v>Maria Lopez</x:v>
      </x:c>
      <x:c r="H4314" s="6">
        <x:v>46274.53235208333</x:v>
      </x:c>
      <x:c r="I4314" s="0"/>
      <x:c r="J4314" s="0"/>
      <x:c r="K4314" s="6">
        <x:v>46307</x:v>
      </x:c>
      <x:c r="L4314" t="str" s="2">
        <x:v>Message Sent</x:v>
      </x:c>
    </x:row>
    <x:row r="4315">
      <x:c r="A4315" t="str" s="2">
        <x:f>="Tanya Edwards"</x:f>
      </x:c>
      <x:c r="B4315" t="str" s="2">
        <x:v>Heritage Housing of Jennings</x:v>
      </x:c>
      <x:c r="C4315" t="str" s="2">
        <x:v/>
      </x:c>
      <x:c r="D4315" t="str" s="2">
        <x:v>3373561607</x:v>
      </x:c>
      <x:c r="E4315" t="str" s="2">
        <x:v>edwardstanya928@gmail.com</x:v>
      </x:c>
      <x:c r="F4315" t="str" s="2">
        <x:v>Youtube</x:v>
      </x:c>
      <x:c r="G4315" t="str" s="2">
        <x:v>Clint O'Neal</x:v>
      </x:c>
      <x:c r="H4315" s="6">
        <x:v>46274.542755208335</x:v>
      </x:c>
      <x:c r="I4315" s="0"/>
      <x:c r="J4315" s="0"/>
      <x:c r="K4315" s="6">
        <x:v>46302.717507326386</x:v>
      </x:c>
      <x:c r="L4315" t="str" s="2">
        <x:v>Message Sent</x:v>
      </x:c>
    </x:row>
    <x:row r="4316">
      <x:c r="A4316" t="str" s="2">
        <x:f>="Thomas Javins"</x:f>
      </x:c>
      <x:c r="B4316" t="str" s="2">
        <x:v>Heritage Housing of Augusta</x:v>
      </x:c>
      <x:c r="C4316" t="str" s="2">
        <x:v/>
      </x:c>
      <x:c r="D4316" t="str" s="2">
        <x:v>4042914913</x:v>
      </x:c>
      <x:c r="E4316" t="str" s="2">
        <x:v>bigt09245@gmail.com</x:v>
      </x:c>
      <x:c r="F4316" t="str" s="2">
        <x:v>Youtube</x:v>
      </x:c>
      <x:c r="G4316" t="str" s="2">
        <x:v>Faye Lively</x:v>
      </x:c>
      <x:c r="H4316" s="6">
        <x:v>46274.55208148148</x:v>
      </x:c>
      <x:c r="I4316" s="0"/>
      <x:c r="J4316" s="0"/>
      <x:c r="K4316" s="6">
        <x:v>46274</x:v>
      </x:c>
      <x:c r="L4316" t="str" s="2">
        <x:v>Message Sent</x:v>
      </x:c>
    </x:row>
    <x:row r="4317">
      <x:c r="A4317" t="str" s="2">
        <x:f>="Dawn Bracewell"</x:f>
      </x:c>
      <x:c r="B4317" t="str" s="2">
        <x:v>Heritage Housing of Augusta</x:v>
      </x:c>
      <x:c r="C4317" t="str" s="2">
        <x:v/>
      </x:c>
      <x:c r="D4317" t="str" s="2">
        <x:v>7063933078</x:v>
      </x:c>
      <x:c r="E4317" t="str" s="2">
        <x:v>dawnbracewell606@gmail.com</x:v>
      </x:c>
      <x:c r="F4317" t="str" s="2">
        <x:v>Bing - Search</x:v>
      </x:c>
      <x:c r="G4317" t="str" s="2">
        <x:v>Jennifer Johnson</x:v>
      </x:c>
      <x:c r="H4317" s="6">
        <x:v>46274.57720436343</x:v>
      </x:c>
      <x:c r="I4317" s="0"/>
      <x:c r="J4317" s="0"/>
      <x:c r="K4317" s="6">
        <x:v>46281</x:v>
      </x:c>
      <x:c r="L4317" t="str" s="2">
        <x:v>Message Sent</x:v>
      </x:c>
    </x:row>
    <x:row r="4318">
      <x:c r="A4318" t="str" s="2">
        <x:f>="Diane Quiñones"</x:f>
      </x:c>
      <x:c r="B4318" t="str" s="2">
        <x:v>Heritage Housing Gainesville</x:v>
      </x:c>
      <x:c r="C4318" t="str" s="2">
        <x:v/>
      </x:c>
      <x:c r="D4318" t="str" s="2">
        <x:v>5803716190</x:v>
      </x:c>
      <x:c r="E4318" t="str" s="2">
        <x:v>dianegibbonsperry@gmail.com</x:v>
      </x:c>
      <x:c r="F4318" t="str" s="2">
        <x:v>Landing_BPM</x:v>
      </x:c>
      <x:c r="G4318" t="str" s="2">
        <x:v>Kelly Ford</x:v>
      </x:c>
      <x:c r="H4318" s="6">
        <x:v>46274.58608032407</x:v>
      </x:c>
      <x:c r="I4318" s="0"/>
      <x:c r="J4318" s="0"/>
      <x:c r="K4318" s="6">
        <x:v>46297</x:v>
      </x:c>
      <x:c r="L4318" t="str" s="2">
        <x:v>Message Sent</x:v>
      </x:c>
    </x:row>
    <x:row r="4319">
      <x:c r="A4319" t="str" s="2">
        <x:f>="Robert Hammock"</x:f>
      </x:c>
      <x:c r="B4319" t="str" s="2">
        <x:v>Heritage Housing of Athens</x:v>
      </x:c>
      <x:c r="C4319" t="str" s="2">
        <x:v>1/1</x:v>
      </x:c>
      <x:c r="D4319" t="str" s="2">
        <x:v>6789003474</x:v>
      </x:c>
      <x:c r="E4319" t="str" s="2">
        <x:v>robhammock@gmail.com</x:v>
      </x:c>
      <x:c r="F4319" t="str" s="2">
        <x:v>Youtube</x:v>
      </x:c>
      <x:c r="G4319" t="str" s="2">
        <x:v>Ethan Fossett</x:v>
      </x:c>
      <x:c r="H4319" s="6">
        <x:v>46274.63495112269</x:v>
      </x:c>
      <x:c r="I4319" s="0"/>
      <x:c r="J4319" s="0"/>
      <x:c r="K4319" s="6">
        <x:v>46280</x:v>
      </x:c>
      <x:c r="L4319" t="str" s="2">
        <x:v>Message Sent</x:v>
      </x:c>
    </x:row>
    <x:row r="4320">
      <x:c r="A4320" t="str" s="2">
        <x:f>=HYPERLINK("https://rsms.futurehomex.com/lead/39827", "Glennis Easter")</x:f>
      </x:c>
      <x:c r="B4320" t="str" s="2">
        <x:v>Heritage Housing of Tulsa</x:v>
      </x:c>
      <x:c r="C4320" t="str" s="2">
        <x:v/>
      </x:c>
      <x:c r="D4320" t="str" s="2">
        <x:v>9187296591</x:v>
      </x:c>
      <x:c r="E4320" t="str" s="2">
        <x:v>gmaeaster11@gmail.com</x:v>
      </x:c>
      <x:c r="F4320" t="str" s="2">
        <x:v>Walk-in</x:v>
      </x:c>
      <x:c r="G4320" t="str" s="2">
        <x:v>Jenna Fransisco</x:v>
      </x:c>
      <x:c r="H4320" s="6">
        <x:v>46274.658172256946</x:v>
      </x:c>
      <x:c r="I4320" t="str" s="2">
        <x:v>Jenna Fransisco</x:v>
      </x:c>
      <x:c r="J4320" s="0"/>
      <x:c r="K4320" s="6">
        <x:v>46290</x:v>
      </x:c>
      <x:c r="L4320" t="str" s="2">
        <x:v>Message Sent</x:v>
      </x:c>
    </x:row>
    <x:row r="4321">
      <x:c r="A4321" t="str" s="2">
        <x:f>="Roxie Davis-Leonard"</x:f>
      </x:c>
      <x:c r="B4321" t="str" s="2">
        <x:v>Heritage Housing of Asheboro</x:v>
      </x:c>
      <x:c r="C4321" t="str" s="2">
        <x:v/>
      </x:c>
      <x:c r="D4321" t="str" s="2">
        <x:v>6627164789</x:v>
      </x:c>
      <x:c r="E4321" t="str" s="2">
        <x:v>roxieleonard56@gmail.com</x:v>
      </x:c>
      <x:c r="F4321" t="str" s="2">
        <x:v>Youtube</x:v>
      </x:c>
      <x:c r="G4321" t="str" s="2">
        <x:v>Maria Lopez</x:v>
      </x:c>
      <x:c r="H4321" s="6">
        <x:v>46274.66688491898</x:v>
      </x:c>
      <x:c r="I4321" s="0"/>
      <x:c r="J4321" s="0"/>
      <x:c r="K4321" s="6">
        <x:v>46274</x:v>
      </x:c>
      <x:c r="L4321" t="str" s="2">
        <x:v>Message Sent</x:v>
      </x:c>
    </x:row>
    <x:row r="4322">
      <x:c r="A4322" t="str" s="2">
        <x:f>="Deborah Mixon"</x:f>
      </x:c>
      <x:c r="B4322" t="str" s="2">
        <x:v>Heritage Housing of Augusta</x:v>
      </x:c>
      <x:c r="C4322" t="str" s="2">
        <x:v/>
      </x:c>
      <x:c r="D4322" t="str" s="2">
        <x:v>2399619427</x:v>
      </x:c>
      <x:c r="E4322" t="str" s="2">
        <x:v>djnurse89@gmail.com</x:v>
      </x:c>
      <x:c r="F4322" t="str" s="2">
        <x:v>Website</x:v>
      </x:c>
      <x:c r="G4322" t="str" s="2">
        <x:v>Faye Lively</x:v>
      </x:c>
      <x:c r="H4322" s="6">
        <x:v>46274.66984390046</x:v>
      </x:c>
      <x:c r="I4322" s="0"/>
      <x:c r="J4322" s="0"/>
      <x:c r="K4322" s="6">
        <x:v>46274</x:v>
      </x:c>
      <x:c r="L4322" t="str" s="2">
        <x:v>Message Sent</x:v>
      </x:c>
    </x:row>
    <x:row r="4323">
      <x:c r="A4323" t="str" s="2">
        <x:f>="Veronica Florence"</x:f>
      </x:c>
      <x:c r="B4323" t="str" s="2">
        <x:v>Heritage Housing of Tulsa</x:v>
      </x:c>
      <x:c r="C4323" t="str" s="2">
        <x:v/>
      </x:c>
      <x:c r="D4323" t="str" s="2">
        <x:v>9188407596</x:v>
      </x:c>
      <x:c r="E4323" t="str" s="2">
        <x:v>veronicaflorencetulsa@gmail.com</x:v>
      </x:c>
      <x:c r="F4323" t="str" s="2">
        <x:v>Financing Form</x:v>
      </x:c>
      <x:c r="G4323" t="str" s="2">
        <x:v>Jenna Fransisco</x:v>
      </x:c>
      <x:c r="H4323" s="6">
        <x:v>46274.67234355324</x:v>
      </x:c>
      <x:c r="I4323" s="0"/>
      <x:c r="J4323" s="0"/>
      <x:c r="K4323" s="6">
        <x:v>46276</x:v>
      </x:c>
      <x:c r="L4323" t="str" s="2">
        <x:v>Message Sent</x:v>
      </x:c>
    </x:row>
    <x:row r="4324">
      <x:c r="A4324" t="str" s="2">
        <x:f>="Shannon Gresham"</x:f>
      </x:c>
      <x:c r="B4324" t="str" s="2">
        <x:v>Legacy Housing Corp. DBA Americasa</x:v>
      </x:c>
      <x:c r="C4324" t="str" s="2">
        <x:v/>
      </x:c>
      <x:c r="D4324" t="str" s="2">
        <x:v>7044901936</x:v>
      </x:c>
      <x:c r="E4324" t="str" s="2">
        <x:v>greshamtheone@gmail.com</x:v>
      </x:c>
      <x:c r="F4324" t="str" s="2">
        <x:v>Financing Form</x:v>
      </x:c>
      <x:c r="G4324" t="str" s="2">
        <x:v>Jose Parada</x:v>
      </x:c>
      <x:c r="H4324" s="6">
        <x:v>46274.67241886574</x:v>
      </x:c>
      <x:c r="I4324" s="0"/>
      <x:c r="J4324" s="0"/>
      <x:c r="K4324" s="6">
        <x:v>46276</x:v>
      </x:c>
      <x:c r="L4324" t="str" s="2">
        <x:v>Message Sent</x:v>
      </x:c>
    </x:row>
    <x:row r="4325">
      <x:c r="A4325" t="str" s="2">
        <x:f>="Jerrica Huff"</x:f>
      </x:c>
      <x:c r="B4325" t="str" s="2">
        <x:v>Heritage Housing of Albany</x:v>
      </x:c>
      <x:c r="C4325" t="str" s="2">
        <x:v/>
      </x:c>
      <x:c r="D4325" t="str" s="2">
        <x:v>4233622502</x:v>
      </x:c>
      <x:c r="E4325" t="str" s="2">
        <x:v>jhuff5237@gmail.com</x:v>
      </x:c>
      <x:c r="F4325" t="str" s="2">
        <x:v>Financing Form</x:v>
      </x:c>
      <x:c r="G4325" t="str" s="2">
        <x:v>Yanet Alvarez</x:v>
      </x:c>
      <x:c r="H4325" s="6">
        <x:v>46274.683668171296</x:v>
      </x:c>
      <x:c r="I4325" s="0"/>
      <x:c r="J4325" s="0"/>
      <x:c r="K4325" s="6">
        <x:v>46303</x:v>
      </x:c>
      <x:c r="L4325" t="str" s="2">
        <x:v>Message Sent</x:v>
      </x:c>
    </x:row>
    <x:row r="4326">
      <x:c r="A4326" t="str" s="2">
        <x:f>="James Terry"</x:f>
      </x:c>
      <x:c r="B4326" t="str" s="2">
        <x:v>Heritage Housing of Tulsa</x:v>
      </x:c>
      <x:c r="C4326" t="str" s="2">
        <x:v/>
      </x:c>
      <x:c r="D4326" t="str" s="2">
        <x:v>5392301179</x:v>
      </x:c>
      <x:c r="E4326" t="str" s="2">
        <x:v>gibder56@yahoo.com</x:v>
      </x:c>
      <x:c r="F4326" t="str" s="2">
        <x:v>Youtube</x:v>
      </x:c>
      <x:c r="G4326" t="str" s="2">
        <x:v>Jenna Fransisco</x:v>
      </x:c>
      <x:c r="H4326" s="6">
        <x:v>46274.69035732639</x:v>
      </x:c>
      <x:c r="I4326" s="0"/>
      <x:c r="J4326" s="0"/>
      <x:c r="K4326" s="6">
        <x:v>46279</x:v>
      </x:c>
      <x:c r="L4326" t="str" s="2">
        <x:v>Message Sent</x:v>
      </x:c>
    </x:row>
    <x:row r="4327">
      <x:c r="A4327" t="str" s="2">
        <x:f>="Pamela Ray"</x:f>
      </x:c>
      <x:c r="B4327" t="str" s="2">
        <x:v>Heritage Housing of Athens</x:v>
      </x:c>
      <x:c r="C4327" t="str" s="2">
        <x:v/>
      </x:c>
      <x:c r="D4327" t="str" s="2">
        <x:v>4786965532</x:v>
      </x:c>
      <x:c r="E4327" t="str" s="2">
        <x:v>raypamela051@gmail.com</x:v>
      </x:c>
      <x:c r="F4327" t="str" s="2">
        <x:v>Landing_BPM</x:v>
      </x:c>
      <x:c r="G4327" t="str" s="2">
        <x:v>Nathan Bishop</x:v>
      </x:c>
      <x:c r="H4327" s="6">
        <x:v>46274.69098665509</x:v>
      </x:c>
      <x:c r="I4327" s="0"/>
      <x:c r="J4327" s="0"/>
      <x:c r="K4327" s="6">
        <x:v>46288</x:v>
      </x:c>
      <x:c r="L4327" t="str" s="2">
        <x:v>Message Sent</x:v>
      </x:c>
    </x:row>
    <x:row r="4328">
      <x:c r="A4328" t="str" s="2">
        <x:f>=HYPERLINK("https://rsms.futurehomex.com/lead/39857", "Tyesha Hayward")</x:f>
      </x:c>
      <x:c r="B4328" t="str" s="2">
        <x:v>Heritage Housing of Asheboro</x:v>
      </x:c>
      <x:c r="C4328" t="str" s="2">
        <x:v/>
      </x:c>
      <x:c r="D4328" t="str" s="2">
        <x:v>7069412071</x:v>
      </x:c>
      <x:c r="E4328" t="str" s="2">
        <x:v>tyeshahayward2@gmail.com</x:v>
      </x:c>
      <x:c r="F4328" t="str" s="2">
        <x:v>Financing Form</x:v>
      </x:c>
      <x:c r="G4328" t="str" s="2">
        <x:v>Justin Johnson</x:v>
      </x:c>
      <x:c r="H4328" s="6">
        <x:v>46274.70979201389</x:v>
      </x:c>
      <x:c r="I4328" t="str" s="2">
        <x:v>Maria Lopez</x:v>
      </x:c>
      <x:c r="J4328" s="0"/>
      <x:c r="K4328" s="6">
        <x:v>46295</x:v>
      </x:c>
      <x:c r="L4328" t="str" s="2">
        <x:v>Message Sent</x:v>
      </x:c>
    </x:row>
    <x:row r="4329">
      <x:c r="A4329" t="str" s="2">
        <x:f>="Tyeisha Anderson"</x:f>
      </x:c>
      <x:c r="B4329" t="str" s="2">
        <x:v>Heritage Housing of Albany</x:v>
      </x:c>
      <x:c r="C4329" t="str" s="2">
        <x:v>0/1</x:v>
      </x:c>
      <x:c r="D4329" t="str" s="2">
        <x:v>8634040798</x:v>
      </x:c>
      <x:c r="E4329" t="str" s="2">
        <x:v>mzeizha@gmail.com</x:v>
      </x:c>
      <x:c r="F4329" t="str" s="2">
        <x:v>Landing_BPM</x:v>
      </x:c>
      <x:c r="G4329" t="str" s="2">
        <x:v>Yanet Alvarez</x:v>
      </x:c>
      <x:c r="H4329" s="6">
        <x:v>46274.71186585648</x:v>
      </x:c>
      <x:c r="I4329" s="0"/>
      <x:c r="J4329" s="0"/>
      <x:c r="K4329" s="6">
        <x:v>46308</x:v>
      </x:c>
      <x:c r="L4329" t="str" s="2">
        <x:v>Message Sent</x:v>
      </x:c>
    </x:row>
    <x:row r="4330">
      <x:c r="A4330" t="str" s="2">
        <x:f>="Melyssa Webster"</x:f>
      </x:c>
      <x:c r="B4330" t="str" s="2">
        <x:v>Heritage Housing of Asheboro</x:v>
      </x:c>
      <x:c r="C4330" t="str" s="2">
        <x:v/>
      </x:c>
      <x:c r="D4330" t="str" s="2">
        <x:v>3369657899</x:v>
      </x:c>
      <x:c r="E4330" t="str" s="2">
        <x:v>melywebster7399@gmail.com</x:v>
      </x:c>
      <x:c r="F4330" t="str" s="2">
        <x:v>Youtube</x:v>
      </x:c>
      <x:c r="G4330" t="str" s="2">
        <x:v>Kate Gutierrez</x:v>
      </x:c>
      <x:c r="H4330" s="6">
        <x:v>46274.71841188658</x:v>
      </x:c>
      <x:c r="I4330" s="0"/>
      <x:c r="J4330" s="0"/>
      <x:c r="K4330" s="6">
        <x:v>46274</x:v>
      </x:c>
      <x:c r="L4330" t="str" s="2">
        <x:v>Message Sent</x:v>
      </x:c>
    </x:row>
    <x:row r="4331">
      <x:c r="A4331" t="str" s="2">
        <x:f>="Lindsay Boughton"</x:f>
      </x:c>
      <x:c r="B4331" t="str" s="2">
        <x:v>Legacy Housing Corp. DBA Americasa</x:v>
      </x:c>
      <x:c r="C4331" t="str" s="2">
        <x:v/>
      </x:c>
      <x:c r="D4331" t="str" s="2">
        <x:v>2813752208</x:v>
      </x:c>
      <x:c r="E4331" t="str" s="2">
        <x:v>facilities@brookwoodcommunity.org</x:v>
      </x:c>
      <x:c r="F4331" t="str" s="2">
        <x:v>Website</x:v>
      </x:c>
      <x:c r="G4331" t="str" s="2">
        <x:v>Rodrigo Ramirez</x:v>
      </x:c>
      <x:c r="H4331" s="6">
        <x:v>46274.71981875</x:v>
      </x:c>
      <x:c r="I4331" s="0"/>
      <x:c r="J4331" s="0"/>
      <x:c r="K4331" s="6">
        <x:v>46274</x:v>
      </x:c>
      <x:c r="L4331" t="str" s="2">
        <x:v>Message Sent</x:v>
      </x:c>
    </x:row>
    <x:row r="4332">
      <x:c r="A4332" t="str" s="2">
        <x:f>="Beverly Henson"</x:f>
      </x:c>
      <x:c r="B4332" t="str" s="2">
        <x:v>Heritage Housing Gainesville</x:v>
      </x:c>
      <x:c r="C4332" t="str" s="2">
        <x:v/>
      </x:c>
      <x:c r="D4332" t="str" s="2">
        <x:v>4962655479</x:v>
      </x:c>
      <x:c r="E4332" t="str" s="2">
        <x:v>Beverlyhenson82@gmail.com</x:v>
      </x:c>
      <x:c r="F4332" t="str" s="2">
        <x:v>Landing_BPM</x:v>
      </x:c>
      <x:c r="G4332" t="str" s="2">
        <x:v>Kelly Ford</x:v>
      </x:c>
      <x:c r="H4332" s="6">
        <x:v>46274.73390061343</x:v>
      </x:c>
      <x:c r="I4332" s="0"/>
      <x:c r="J4332" s="0"/>
      <x:c r="K4332" s="6">
        <x:v>46297</x:v>
      </x:c>
      <x:c r="L4332" t="str" s="2">
        <x:v>Message Sent</x:v>
      </x:c>
    </x:row>
    <x:row r="4333">
      <x:c r="A4333" t="str" s="2">
        <x:f>="Jake Johnson"</x:f>
      </x:c>
      <x:c r="B4333" t="str" s="2">
        <x:v>Heritage Housing of Jennings</x:v>
      </x:c>
      <x:c r="C4333" t="str" s="2">
        <x:v/>
      </x:c>
      <x:c r="D4333" t="str" s="2">
        <x:v>3374010674</x:v>
      </x:c>
      <x:c r="E4333" t="str" s="2">
        <x:v>jakesnappedaway@icloud.com</x:v>
      </x:c>
      <x:c r="F4333" t="str" s="2">
        <x:v>Financing Form</x:v>
      </x:c>
      <x:c r="G4333" t="str" s="2">
        <x:v>Clint O'Neal</x:v>
      </x:c>
      <x:c r="H4333" s="6">
        <x:v>46274.74394082176</x:v>
      </x:c>
      <x:c r="I4333" s="0"/>
      <x:c r="J4333" s="0"/>
      <x:c r="K4333" s="6">
        <x:v>46302.71784633102</x:v>
      </x:c>
      <x:c r="L4333" t="str" s="2">
        <x:v>Message Sent</x:v>
      </x:c>
    </x:row>
    <x:row r="4334">
      <x:c r="A4334" t="str" s="2">
        <x:f>=HYPERLINK("https://rsms.futurehomex.com/lead/39881", "Justice Giefer")</x:f>
      </x:c>
      <x:c r="B4334" t="str" s="2">
        <x:v>Heritage Housing of Tulsa</x:v>
      </x:c>
      <x:c r="C4334" t="str" s="2">
        <x:v/>
      </x:c>
      <x:c r="D4334" t="str" s="2">
        <x:v>9189982846</x:v>
      </x:c>
      <x:c r="E4334" t="str" s="2">
        <x:v>gieferj1@gmail.com</x:v>
      </x:c>
      <x:c r="F4334" t="str" s="2">
        <x:v>Financing Form</x:v>
      </x:c>
      <x:c r="G4334" t="str" s="2">
        <x:v>Jenna Fransisco</x:v>
      </x:c>
      <x:c r="H4334" s="6">
        <x:v>46274.7618693287</x:v>
      </x:c>
      <x:c r="I4334" t="str" s="2">
        <x:v>Jenna Fransisco</x:v>
      </x:c>
      <x:c r="J4334" s="0"/>
      <x:c r="K4334" s="6">
        <x:v>46294</x:v>
      </x:c>
      <x:c r="L4334" t="str" s="2">
        <x:v>Message Sent</x:v>
      </x:c>
    </x:row>
    <x:row r="4335">
      <x:c r="A4335" t="str" s="2">
        <x:f>="Yadira Nieves"</x:f>
      </x:c>
      <x:c r="B4335" t="str" s="2">
        <x:v>Heritage Housing of Tulsa</x:v>
      </x:c>
      <x:c r="C4335" t="str" s="2">
        <x:v/>
      </x:c>
      <x:c r="D4335" t="str" s="2">
        <x:v>3614132810</x:v>
      </x:c>
      <x:c r="E4335" t="str" s="2">
        <x:v>yarie1984@gmail.com</x:v>
      </x:c>
      <x:c r="F4335" t="str" s="2">
        <x:v>Landing_BPM</x:v>
      </x:c>
      <x:c r="G4335" t="str" s="2">
        <x:v>Jenna Fransisco</x:v>
      </x:c>
      <x:c r="H4335" s="6">
        <x:v>46274.78933248843</x:v>
      </x:c>
      <x:c r="I4335" s="0"/>
      <x:c r="J4335" s="0"/>
      <x:c r="K4335" s="6">
        <x:v>46279</x:v>
      </x:c>
      <x:c r="L4335" t="str" s="2">
        <x:v>Message Sent</x:v>
      </x:c>
    </x:row>
    <x:row r="4336">
      <x:c r="A4336" t="str" s="2">
        <x:f>="Pamela May"</x:f>
      </x:c>
      <x:c r="B4336" t="str" s="2">
        <x:v>Heritage Housing of Tulsa</x:v>
      </x:c>
      <x:c r="C4336" t="str" s="2">
        <x:v/>
      </x:c>
      <x:c r="D4336" t="str" s="2">
        <x:v>9182649485</x:v>
      </x:c>
      <x:c r="E4336" t="str" s="2">
        <x:v>maypamela695@gmail.com</x:v>
      </x:c>
      <x:c r="F4336" t="str" s="2">
        <x:v>Youtube</x:v>
      </x:c>
      <x:c r="G4336" t="str" s="2">
        <x:v>Jenna Fransisco</x:v>
      </x:c>
      <x:c r="H4336" s="6">
        <x:v>46274.794174421295</x:v>
      </x:c>
      <x:c r="I4336" s="0"/>
      <x:c r="J4336" s="0"/>
      <x:c r="K4336" s="6">
        <x:v>46279</x:v>
      </x:c>
      <x:c r="L4336" t="str" s="2">
        <x:v>Message Sent</x:v>
      </x:c>
    </x:row>
    <x:row r="4337">
      <x:c r="A4337" t="str" s="2">
        <x:f>="Anna Maly"</x:f>
      </x:c>
      <x:c r="B4337" t="str" s="2">
        <x:v>Heritage Housing of Greenville</x:v>
      </x:c>
      <x:c r="C4337" t="str" s="2">
        <x:v/>
      </x:c>
      <x:c r="D4337" t="str" s="2">
        <x:v>4692122546</x:v>
      </x:c>
      <x:c r="E4337" t="str" s="2">
        <x:v>ammaly@yahoo.com</x:v>
      </x:c>
      <x:c r="F4337" t="str" s="2">
        <x:v>Bing - Search</x:v>
      </x:c>
      <x:c r="G4337" t="str" s="2">
        <x:v>Brooklynn Allen</x:v>
      </x:c>
      <x:c r="H4337" s="6">
        <x:v>46274.802455983794</x:v>
      </x:c>
      <x:c r="I4337" s="0"/>
      <x:c r="J4337" s="0"/>
      <x:c r="K4337" s="6">
        <x:v>46275</x:v>
      </x:c>
      <x:c r="L4337" t="str" s="2">
        <x:v>Message Sent</x:v>
      </x:c>
    </x:row>
    <x:row r="4338">
      <x:c r="A4338" t="str" s="2">
        <x:f>=HYPERLINK("https://rsms.futurehomex.com/lead/39843", "Cheyenne Rose")</x:f>
      </x:c>
      <x:c r="B4338" t="str" s="2">
        <x:v>Heritage Housing of Athens</x:v>
      </x:c>
      <x:c r="C4338" t="str" s="2">
        <x:v/>
      </x:c>
      <x:c r="D4338" t="str" s="2">
        <x:v>4354144279</x:v>
      </x:c>
      <x:c r="E4338" t="str" s="2">
        <x:v>cheyennelrose07222220@gmail.com</x:v>
      </x:c>
      <x:c r="F4338" t="str" s="2">
        <x:v>Walk-in</x:v>
      </x:c>
      <x:c r="G4338" t="str" s="2">
        <x:v>Nathan Bishop</x:v>
      </x:c>
      <x:c r="H4338" s="6">
        <x:v>46274.80624633102</x:v>
      </x:c>
      <x:c r="I4338" t="str" s="2">
        <x:v>Nathan Bishop</x:v>
      </x:c>
      <x:c r="J4338" s="0"/>
      <x:c r="K4338" s="6">
        <x:v>46303</x:v>
      </x:c>
      <x:c r="L4338" t="str" s="2">
        <x:v>Message Sent</x:v>
      </x:c>
    </x:row>
    <x:row r="4339">
      <x:c r="A4339" t="str" s="2">
        <x:f>="Angel Connor"</x:f>
      </x:c>
      <x:c r="B4339" t="str" s="2">
        <x:v>Heritage Housing of Asheboro</x:v>
      </x:c>
      <x:c r="C4339" t="str" s="2">
        <x:v/>
      </x:c>
      <x:c r="D4339" t="str" s="2">
        <x:v>9809893611</x:v>
      </x:c>
      <x:c r="E4339" t="str" s="2">
        <x:v>angelconnor221@gmail.com</x:v>
      </x:c>
      <x:c r="F4339" t="str" s="2">
        <x:v>Landing_BPM</x:v>
      </x:c>
      <x:c r="G4339" t="str" s="2">
        <x:v>Maria Lopez</x:v>
      </x:c>
      <x:c r="H4339" s="6">
        <x:v>46274.811131828705</x:v>
      </x:c>
      <x:c r="I4339" s="0"/>
      <x:c r="J4339" s="0"/>
      <x:c r="K4339" s="6">
        <x:v>46274</x:v>
      </x:c>
      <x:c r="L4339" t="str" s="2">
        <x:v>Message Sent</x:v>
      </x:c>
    </x:row>
    <x:row r="4340">
      <x:c r="A4340" t="str" s="2">
        <x:f>="Stephanie Campisi Campisi"</x:f>
      </x:c>
      <x:c r="B4340" t="str" s="2">
        <x:v>Heritage Housing of Canton</x:v>
      </x:c>
      <x:c r="C4340" t="str" s="2">
        <x:v/>
      </x:c>
      <x:c r="D4340" t="str" s="2">
        <x:v>9453490009</x:v>
      </x:c>
      <x:c r="E4340" t="str" s="2">
        <x:v>ms.camp0485@gmail.com</x:v>
      </x:c>
      <x:c r="F4340" t="str" s="2">
        <x:v>Landing_BPM</x:v>
      </x:c>
      <x:c r="G4340" t="str" s="2">
        <x:v>Maira Garcia</x:v>
      </x:c>
      <x:c r="H4340" s="6">
        <x:v>46274.811888310185</x:v>
      </x:c>
      <x:c r="I4340" s="0"/>
      <x:c r="J4340" s="0"/>
      <x:c r="K4340" s="6">
        <x:v>46274</x:v>
      </x:c>
      <x:c r="L4340" t="str" s="2">
        <x:v>Message Sent</x:v>
      </x:c>
    </x:row>
    <x:row r="4341">
      <x:c r="A4341" t="str" s="2">
        <x:f>="TANNER MORGAN"</x:f>
      </x:c>
      <x:c r="B4341" t="str" s="2">
        <x:v>Heritage Housing of Greenville</x:v>
      </x:c>
      <x:c r="C4341" t="str" s="2">
        <x:v/>
      </x:c>
      <x:c r="D4341" t="str" s="2">
        <x:v>4303038564</x:v>
      </x:c>
      <x:c r="E4341" t="str" s="2">
        <x:v>TANNERMORGAN29@OUTLOOK.COM</x:v>
      </x:c>
      <x:c r="F4341" t="str" s="2">
        <x:v>LandingPage</x:v>
      </x:c>
      <x:c r="G4341" t="str" s="2">
        <x:v>Brooklynn Allen</x:v>
      </x:c>
      <x:c r="H4341" s="6">
        <x:v>46274.813927696756</x:v>
      </x:c>
      <x:c r="I4341" s="0"/>
      <x:c r="J4341" s="0"/>
      <x:c r="K4341" s="6">
        <x:v>46275</x:v>
      </x:c>
      <x:c r="L4341" t="str" s="2">
        <x:v>Message Sent</x:v>
      </x:c>
    </x:row>
    <x:row r="4342">
      <x:c r="A4342" t="str" s="2">
        <x:f>=HYPERLINK("https://rsms.futurehomex.com/lead/39854", "Lori McClain")</x:f>
      </x:c>
      <x:c r="B4342" t="str" s="2">
        <x:v>Heritage Housing of Oklahoma City</x:v>
      </x:c>
      <x:c r="C4342" t="str" s="2">
        <x:v/>
      </x:c>
      <x:c r="D4342" t="str" s="2">
        <x:v>4059348311</x:v>
      </x:c>
      <x:c r="E4342" t="str" s="2">
        <x:v>loriannmcclain1672@gmail.com</x:v>
      </x:c>
      <x:c r="F4342" t="str" s="2">
        <x:v>Youtube</x:v>
      </x:c>
      <x:c r="G4342" t="str" s="2">
        <x:v>Steve Castell</x:v>
      </x:c>
      <x:c r="H4342" s="6">
        <x:v>46274.82650358796</x:v>
      </x:c>
      <x:c r="I4342" t="str" s="2">
        <x:v>Steve Castell</x:v>
      </x:c>
      <x:c r="J4342" s="0"/>
      <x:c r="K4342" s="6">
        <x:v>46274</x:v>
      </x:c>
      <x:c r="L4342" t="str" s="2">
        <x:v>Message Sent</x:v>
      </x:c>
    </x:row>
    <x:row r="4343">
      <x:c r="A4343" t="str" s="2">
        <x:f>=HYPERLINK("https://rsms.futurehomex.com/lead/39844", "David Dav")</x:f>
      </x:c>
      <x:c r="B4343" t="str" s="2">
        <x:v>Heritage Housing of Athens</x:v>
      </x:c>
      <x:c r="C4343" t="str" s="2">
        <x:v/>
      </x:c>
      <x:c r="D4343" t="str" s="2">
        <x:v>4789790533</x:v>
      </x:c>
      <x:c r="E4343" t="str" s="2">
        <x:v>4789790533</x:v>
      </x:c>
      <x:c r="F4343" t="str" s="2">
        <x:v>Other</x:v>
      </x:c>
      <x:c r="G4343" t="str" s="2">
        <x:v>Nathan Bishop</x:v>
      </x:c>
      <x:c r="H4343" s="6">
        <x:v>46274.827232372685</x:v>
      </x:c>
      <x:c r="I4343" t="str" s="2">
        <x:v>Nathan Bishop</x:v>
      </x:c>
      <x:c r="J4343" s="0"/>
      <x:c r="K4343" s="6">
        <x:v>46275</x:v>
      </x:c>
      <x:c r="L4343" t="str" s="2">
        <x:v>Message Sent</x:v>
      </x:c>
    </x:row>
    <x:row r="4344">
      <x:c r="A4344" t="str" s="2">
        <x:f>="Steve Shepps"</x:f>
      </x:c>
      <x:c r="B4344" t="str" s="2">
        <x:v>Heritage Housing Gainesville</x:v>
      </x:c>
      <x:c r="C4344" t="str" s="2">
        <x:v/>
      </x:c>
      <x:c r="D4344" t="str" s="2">
        <x:v>9402985529</x:v>
      </x:c>
      <x:c r="E4344" t="str" s="2">
        <x:v>pudders33@gmail.com</x:v>
      </x:c>
      <x:c r="F4344" t="str" s="2">
        <x:v>Website</x:v>
      </x:c>
      <x:c r="G4344" t="str" s="2">
        <x:v>Kelly Ford</x:v>
      </x:c>
      <x:c r="H4344" s="6">
        <x:v>46274.83482519676</x:v>
      </x:c>
      <x:c r="I4344" s="0"/>
      <x:c r="J4344" s="0"/>
      <x:c r="K4344" s="6">
        <x:v>46297</x:v>
      </x:c>
      <x:c r="L4344" t="str" s="2">
        <x:v>Message Sent</x:v>
      </x:c>
    </x:row>
    <x:row r="4345">
      <x:c r="A4345" t="str" s="2">
        <x:f>="Susan Burnette"</x:f>
      </x:c>
      <x:c r="B4345" t="str" s="2">
        <x:v>Heritage Housing of Athens</x:v>
      </x:c>
      <x:c r="C4345" t="str" s="2">
        <x:v/>
      </x:c>
      <x:c r="D4345" t="str" s="2">
        <x:v>6783990098</x:v>
      </x:c>
      <x:c r="E4345" t="str" s="2">
        <x:v>burnettesusan11@gmail.com</x:v>
      </x:c>
      <x:c r="F4345" t="str" s="2">
        <x:v>Youtube</x:v>
      </x:c>
      <x:c r="G4345" t="str" s="2">
        <x:v>Nathan Bishop</x:v>
      </x:c>
      <x:c r="H4345" s="6">
        <x:v>46274.8683372338</x:v>
      </x:c>
      <x:c r="I4345" s="0"/>
      <x:c r="J4345" s="0"/>
      <x:c r="K4345" s="6">
        <x:v>46275</x:v>
      </x:c>
      <x:c r="L4345" t="str" s="2">
        <x:v>Message Sent</x:v>
      </x:c>
    </x:row>
    <x:row r="4346">
      <x:c r="A4346" t="str" s="2">
        <x:f>=HYPERLINK("https://rsms.futurehomex.com/lead/39905", "Alexandria Bowie")</x:f>
      </x:c>
      <x:c r="B4346" t="str" s="2">
        <x:v>Heritage Housing of Tulsa</x:v>
      </x:c>
      <x:c r="C4346" t="str" s="2">
        <x:v>2/2</x:v>
      </x:c>
      <x:c r="D4346" t="str" s="2">
        <x:v>9182869083</x:v>
      </x:c>
      <x:c r="E4346" t="str" s="2">
        <x:v>alexbowie1984@gmail.com</x:v>
      </x:c>
      <x:c r="F4346" t="str" s="2">
        <x:v>Youtube</x:v>
      </x:c>
      <x:c r="G4346" t="str" s="2">
        <x:v>Jenna Fransisco</x:v>
      </x:c>
      <x:c r="H4346" s="6">
        <x:v>46274.86958359954</x:v>
      </x:c>
      <x:c r="I4346" t="str" s="2">
        <x:v>Jenna Fransisco</x:v>
      </x:c>
      <x:c r="J4346" s="6">
        <x:v>46278.875</x:v>
      </x:c>
      <x:c r="K4346" s="6">
        <x:v>46276</x:v>
      </x:c>
      <x:c r="L4346" t="str" s="2">
        <x:v>Message Sent</x:v>
      </x:c>
    </x:row>
    <x:row r="4347">
      <x:c r="A4347" t="str" s="2">
        <x:f>="Shari Russell"</x:f>
      </x:c>
      <x:c r="B4347" t="str" s="2">
        <x:v>Heritage Housing of Canton</x:v>
      </x:c>
      <x:c r="C4347" t="str" s="2">
        <x:v/>
      </x:c>
      <x:c r="D4347" t="str" s="2">
        <x:v>5128459399</x:v>
      </x:c>
      <x:c r="E4347" t="str" s="2">
        <x:v>russellyeverr2654@gmail.com</x:v>
      </x:c>
      <x:c r="F4347" t="str" s="2">
        <x:v>Youtube</x:v>
      </x:c>
      <x:c r="G4347" t="str" s="2">
        <x:v>Jacob Hatten</x:v>
      </x:c>
      <x:c r="H4347" s="6">
        <x:v>46274.872228622684</x:v>
      </x:c>
      <x:c r="I4347" s="0"/>
      <x:c r="J4347" s="0"/>
      <x:c r="K4347" s="6">
        <x:v>46302</x:v>
      </x:c>
      <x:c r="L4347" t="str" s="2">
        <x:v>Message Sent</x:v>
      </x:c>
    </x:row>
    <x:row r="4348">
      <x:c r="A4348" t="str" s="2">
        <x:f>="Ava Freeman"</x:f>
      </x:c>
      <x:c r="B4348" t="str" s="2">
        <x:v>Heritage Housing of Asheboro</x:v>
      </x:c>
      <x:c r="C4348" t="str" s="2">
        <x:v/>
      </x:c>
      <x:c r="D4348" t="str" s="2">
        <x:v>8287354829</x:v>
      </x:c>
      <x:c r="E4348" t="str" s="2">
        <x:v>freemanava505@gmail.com</x:v>
      </x:c>
      <x:c r="F4348" t="str" s="2">
        <x:v>Landing_BPM</x:v>
      </x:c>
      <x:c r="G4348" t="str" s="2">
        <x:v>Kate Gutierrez</x:v>
      </x:c>
      <x:c r="H4348" s="6">
        <x:v>46274.877299074076</x:v>
      </x:c>
      <x:c r="I4348" s="0"/>
      <x:c r="J4348" s="0"/>
      <x:c r="K4348" s="6">
        <x:v>46300</x:v>
      </x:c>
      <x:c r="L4348" t="str" s="2">
        <x:v>Message Sent</x:v>
      </x:c>
    </x:row>
    <x:row r="4349">
      <x:c r="A4349" t="str" s="2">
        <x:f>="Keyshawn Reynolds"</x:f>
      </x:c>
      <x:c r="B4349" t="str" s="2">
        <x:v>Heritage Housing of Greenville</x:v>
      </x:c>
      <x:c r="C4349" t="str" s="2">
        <x:v/>
      </x:c>
      <x:c r="D4349" t="str" s="2">
        <x:v>3184014597</x:v>
      </x:c>
      <x:c r="E4349" t="str" s="2">
        <x:v>keyshawnreynolds21@outlook.com</x:v>
      </x:c>
      <x:c r="F4349" t="str" s="2">
        <x:v>Landing_BPM</x:v>
      </x:c>
      <x:c r="G4349" t="str" s="2">
        <x:v>Brooklynn Allen</x:v>
      </x:c>
      <x:c r="H4349" s="6">
        <x:v>46274.88107820602</x:v>
      </x:c>
      <x:c r="I4349" s="0"/>
      <x:c r="J4349" s="0"/>
      <x:c r="K4349" s="6">
        <x:v>46275</x:v>
      </x:c>
      <x:c r="L4349" t="str" s="2">
        <x:v>Message Sent</x:v>
      </x:c>
    </x:row>
    <x:row r="4350">
      <x:c r="A4350" t="str" s="2">
        <x:f>=HYPERLINK("https://rsms.futurehomex.com/lead/39855", "TIFFANI SMITH")</x:f>
      </x:c>
      <x:c r="B4350" t="str" s="2">
        <x:v>Heritage Housing of Oklahoma City</x:v>
      </x:c>
      <x:c r="C4350" t="str" s="2">
        <x:v/>
      </x:c>
      <x:c r="D4350" t="str" s="2">
        <x:v>4059736027</x:v>
      </x:c>
      <x:c r="E4350" t="str" s="2">
        <x:v>TIFFANI.VICTORIA.90@GMAIL.COM</x:v>
      </x:c>
      <x:c r="F4350" t="str" s="2">
        <x:v>Landing_BPM</x:v>
      </x:c>
      <x:c r="G4350" t="str" s="2">
        <x:v>Steve Castell</x:v>
      </x:c>
      <x:c r="H4350" s="6">
        <x:v>46274.91604456019</x:v>
      </x:c>
      <x:c r="I4350" t="str" s="2">
        <x:v>Steve Castell</x:v>
      </x:c>
      <x:c r="J4350" s="0"/>
      <x:c r="K4350" s="6">
        <x:v>46274</x:v>
      </x:c>
      <x:c r="L4350" t="str" s="2">
        <x:v>Message Sent</x:v>
      </x:c>
    </x:row>
    <x:row r="4351">
      <x:c r="A4351" t="str" s="2">
        <x:f>=HYPERLINK("https://rsms.futurehomex.com/lead/39901", "Michael Hope")</x:f>
      </x:c>
      <x:c r="B4351" t="str" s="2">
        <x:v>Heritage Housing of Albany</x:v>
      </x:c>
      <x:c r="C4351" t="str" s="2">
        <x:v/>
      </x:c>
      <x:c r="D4351" t="str" s="2">
        <x:v>2293760589</x:v>
      </x:c>
      <x:c r="E4351" t="str" s="2">
        <x:v>mikehope2954@gmail.com</x:v>
      </x:c>
      <x:c r="F4351" t="str" s="2">
        <x:v>Landing_BPM</x:v>
      </x:c>
      <x:c r="G4351" t="str" s="2">
        <x:v>Yanet Alvarez</x:v>
      </x:c>
      <x:c r="H4351" s="6">
        <x:v>46274.92547207176</x:v>
      </x:c>
      <x:c r="I4351" t="str" s="2">
        <x:v>Alexander Bryant</x:v>
      </x:c>
      <x:c r="J4351" s="0"/>
      <x:c r="K4351" s="6">
        <x:v>46275</x:v>
      </x:c>
      <x:c r="L4351" t="str" s="2">
        <x:v>Message Sent</x:v>
      </x:c>
    </x:row>
    <x:row r="4352">
      <x:c r="A4352" t="str" s="2">
        <x:f>="Cecil Parker"</x:f>
      </x:c>
      <x:c r="B4352" t="str" s="2">
        <x:v>Heritage Housing of Asheboro</x:v>
      </x:c>
      <x:c r="C4352" t="str" s="2">
        <x:v/>
      </x:c>
      <x:c r="D4352" t="str" s="2">
        <x:v>7042469283</x:v>
      </x:c>
      <x:c r="E4352" t="str" s="2">
        <x:v>cecilparker272@gmail.com</x:v>
      </x:c>
      <x:c r="F4352" t="str" s="2">
        <x:v>Youtube</x:v>
      </x:c>
      <x:c r="G4352" t="str" s="2">
        <x:v>Maria Lopez</x:v>
      </x:c>
      <x:c r="H4352" s="6">
        <x:v>46274.936757986114</x:v>
      </x:c>
      <x:c r="I4352" s="0"/>
      <x:c r="J4352" s="0"/>
      <x:c r="K4352" s="6">
        <x:v>46274</x:v>
      </x:c>
      <x:c r="L4352" t="str" s="2">
        <x:v>Message Sent</x:v>
      </x:c>
    </x:row>
    <x:row r="4353">
      <x:c r="A4353" t="str" s="2">
        <x:f>="Brandi Wilsin"</x:f>
      </x:c>
      <x:c r="B4353" t="str" s="2">
        <x:v>Heritage Housing of Asheboro</x:v>
      </x:c>
      <x:c r="C4353" t="str" s="2">
        <x:v/>
      </x:c>
      <x:c r="D4353" t="str" s="2">
        <x:v>4342350440</x:v>
      </x:c>
      <x:c r="E4353" t="str" s="2">
        <x:v>bwilson3079@icloud.com</x:v>
      </x:c>
      <x:c r="F4353" t="str" s="2">
        <x:v>Landing_BPM</x:v>
      </x:c>
      <x:c r="G4353" t="str" s="2">
        <x:v>Kate Gutierrez</x:v>
      </x:c>
      <x:c r="H4353" s="6">
        <x:v>46274.984239618054</x:v>
      </x:c>
      <x:c r="I4353" s="0"/>
      <x:c r="J4353" s="0"/>
      <x:c r="K4353" s="6">
        <x:v>46275</x:v>
      </x:c>
      <x:c r="L4353" t="str" s="2">
        <x:v>Message Sent</x:v>
      </x:c>
    </x:row>
    <x:row r="4354">
      <x:c r="A4354" t="str" s="2">
        <x:f>="Earlene Rucker"</x:f>
      </x:c>
      <x:c r="B4354" t="str" s="2">
        <x:v>Legacy Housing Corp. DBA Americasa</x:v>
      </x:c>
      <x:c r="C4354" t="str" s="2">
        <x:v/>
      </x:c>
      <x:c r="D4354" t="str" s="2">
        <x:v>3464482913</x:v>
      </x:c>
      <x:c r="E4354" t="str" s="2">
        <x:v>earlenerucker74@gmail.com</x:v>
      </x:c>
      <x:c r="F4354" t="str" s="2">
        <x:v>Youtube</x:v>
      </x:c>
      <x:c r="G4354" t="str" s="2">
        <x:v>Jose Parada</x:v>
      </x:c>
      <x:c r="H4354" s="6">
        <x:v>46275.0148466088</x:v>
      </x:c>
      <x:c r="I4354" s="0"/>
      <x:c r="J4354" s="0"/>
      <x:c r="K4354" s="6">
        <x:v>46275</x:v>
      </x:c>
      <x:c r="L4354" t="str" s="2">
        <x:v>Message Sent</x:v>
      </x:c>
    </x:row>
    <x:row r="4355">
      <x:c r="A4355" t="str" s="2">
        <x:f>="Donna M Angelle"</x:f>
      </x:c>
      <x:c r="B4355" t="str" s="2">
        <x:v>Heritage Housing of Jennings</x:v>
      </x:c>
      <x:c r="C4355" t="str" s="2">
        <x:v/>
      </x:c>
      <x:c r="D4355" t="str" s="2">
        <x:v>3375413035</x:v>
      </x:c>
      <x:c r="E4355" t="str" s="2">
        <x:v>dmfa2020@gmail.com</x:v>
      </x:c>
      <x:c r="F4355" t="str" s="2">
        <x:v>Landing_BPM</x:v>
      </x:c>
      <x:c r="G4355" t="str" s="2">
        <x:v>Clint O'Neal</x:v>
      </x:c>
      <x:c r="H4355" s="6">
        <x:v>46275.05845532408</x:v>
      </x:c>
      <x:c r="I4355" s="0"/>
      <x:c r="J4355" s="0"/>
      <x:c r="K4355" s="6">
        <x:v>46302.718750844906</x:v>
      </x:c>
      <x:c r="L4355" t="str" s="2">
        <x:v>Message Sent</x:v>
      </x:c>
    </x:row>
    <x:row r="4356">
      <x:c r="A4356" t="str" s="2">
        <x:f>="Patricia Neloms"</x:f>
      </x:c>
      <x:c r="B4356" t="str" s="2">
        <x:v>Heritage Housing of Greenville</x:v>
      </x:c>
      <x:c r="C4356" t="str" s="2">
        <x:v/>
      </x:c>
      <x:c r="D4356" t="str" s="2">
        <x:v>2145628623</x:v>
      </x:c>
      <x:c r="E4356" t="str" s="2">
        <x:v>Annneloms@gmail.com</x:v>
      </x:c>
      <x:c r="F4356" t="str" s="2">
        <x:v>Youtube</x:v>
      </x:c>
      <x:c r="G4356" t="str" s="2">
        <x:v>Brooklynn Allen</x:v>
      </x:c>
      <x:c r="H4356" s="6">
        <x:v>46275.06019521991</x:v>
      </x:c>
      <x:c r="I4356" s="0"/>
      <x:c r="J4356" s="0"/>
      <x:c r="K4356" s="6">
        <x:v>46288</x:v>
      </x:c>
      <x:c r="L4356" t="str" s="2">
        <x:v>Message Sent</x:v>
      </x:c>
    </x:row>
    <x:row r="4357">
      <x:c r="A4357" t="str" s="2">
        <x:f>="Lauren Wilson Wilson"</x:f>
      </x:c>
      <x:c r="B4357" t="str" s="2">
        <x:v>Heritage Housing of Albany</x:v>
      </x:c>
      <x:c r="C4357" t="str" s="2">
        <x:v/>
      </x:c>
      <x:c r="D4357" t="str" s="2">
        <x:v>2025559366</x:v>
      </x:c>
      <x:c r="E4357" t="str" s="2">
        <x:v>ermeadows1961@yahoo.com</x:v>
      </x:c>
      <x:c r="F4357" t="str" s="2">
        <x:v>Website</x:v>
      </x:c>
      <x:c r="G4357" t="str" s="2">
        <x:v>Yanet Alvarez</x:v>
      </x:c>
      <x:c r="H4357" s="6">
        <x:v>46275.100913773145</x:v>
      </x:c>
      <x:c r="I4357" s="0"/>
      <x:c r="J4357" s="0"/>
      <x:c r="K4357" s="6">
        <x:v>46303.935197719904</x:v>
      </x:c>
      <x:c r="L4357" t="str" s="2">
        <x:v>Message Sent</x:v>
      </x:c>
    </x:row>
    <x:row r="4358">
      <x:c r="A4358" t="str" s="2">
        <x:f>="Claudia Stolworthy"</x:f>
      </x:c>
      <x:c r="B4358" t="str" s="2">
        <x:v>Heritage Housing of Tulsa</x:v>
      </x:c>
      <x:c r="C4358" t="str" s="2">
        <x:v/>
      </x:c>
      <x:c r="D4358" t="str" s="2">
        <x:v>9183222016</x:v>
      </x:c>
      <x:c r="E4358" t="str" s="2">
        <x:v>penguinpnts401@gmail.com</x:v>
      </x:c>
      <x:c r="F4358" t="str" s="2">
        <x:v>Landing_BPM</x:v>
      </x:c>
      <x:c r="G4358" t="str" s="2">
        <x:v>Jenna Fransisco</x:v>
      </x:c>
      <x:c r="H4358" s="6">
        <x:v>46275.10827037037</x:v>
      </x:c>
      <x:c r="I4358" s="0"/>
      <x:c r="J4358" s="0"/>
      <x:c r="K4358" s="6">
        <x:v>46279</x:v>
      </x:c>
      <x:c r="L4358" t="str" s="2">
        <x:v>Message Sent</x:v>
      </x:c>
    </x:row>
    <x:row r="4359">
      <x:c r="A4359" t="str" s="2">
        <x:f>="Cloressa Jacobs"</x:f>
      </x:c>
      <x:c r="B4359" t="str" s="2">
        <x:v>Heritage Housing of Jennings</x:v>
      </x:c>
      <x:c r="C4359" t="str" s="2">
        <x:v/>
      </x:c>
      <x:c r="D4359" t="str" s="2">
        <x:v>3345415362</x:v>
      </x:c>
      <x:c r="E4359" t="str" s="2">
        <x:v>cloressaj04@gmail.com</x:v>
      </x:c>
      <x:c r="F4359" t="str" s="2">
        <x:v>Youtube</x:v>
      </x:c>
      <x:c r="G4359" t="str" s="2">
        <x:v>Mervin Leslie Smith</x:v>
      </x:c>
      <x:c r="H4359" s="6">
        <x:v>46275.109309375</x:v>
      </x:c>
      <x:c r="I4359" s="0"/>
      <x:c r="J4359" s="0"/>
      <x:c r="K4359" s="6">
        <x:v>46302.6789003125</x:v>
      </x:c>
      <x:c r="L4359" t="str" s="2">
        <x:v>Message Sent</x:v>
      </x:c>
    </x:row>
    <x:row r="4360">
      <x:c r="A4360" t="str" s="2">
        <x:f>=HYPERLINK("https://rsms.futurehomex.com/lead/39868", "Ivorie Lee")</x:f>
      </x:c>
      <x:c r="B4360" t="str" s="2">
        <x:v>Heritage Housing of Oklahoma City</x:v>
      </x:c>
      <x:c r="C4360" t="str" s="2">
        <x:v/>
      </x:c>
      <x:c r="D4360" t="str" s="2">
        <x:v>4056255683</x:v>
      </x:c>
      <x:c r="E4360" t="str" s="2">
        <x:v>ivoriel17@gmail.com</x:v>
      </x:c>
      <x:c r="F4360" t="str" s="2">
        <x:v>Landing_BPM</x:v>
      </x:c>
      <x:c r="G4360" t="str" s="2">
        <x:v>Steve Castell</x:v>
      </x:c>
      <x:c r="H4360" s="6">
        <x:v>46275.14159302083</x:v>
      </x:c>
      <x:c r="I4360" t="str" s="2">
        <x:v>Steve Castell</x:v>
      </x:c>
      <x:c r="J4360" s="0"/>
      <x:c r="K4360" s="6">
        <x:v>46275</x:v>
      </x:c>
      <x:c r="L4360" t="str" s="2">
        <x:v>Message Sent</x:v>
      </x:c>
    </x:row>
    <x:row r="4361">
      <x:c r="A4361" t="str" s="2">
        <x:f>="Shanika Turner"</x:f>
      </x:c>
      <x:c r="B4361" t="str" s="2">
        <x:v>Heritage Housing of Jennings</x:v>
      </x:c>
      <x:c r="C4361" t="str" s="2">
        <x:v/>
      </x:c>
      <x:c r="D4361" t="str" s="2">
        <x:v>3374198012</x:v>
      </x:c>
      <x:c r="E4361" t="str" s="2">
        <x:v>shanikaturner97@gmail.com</x:v>
      </x:c>
      <x:c r="F4361" t="str" s="2">
        <x:v>Landing_BPM</x:v>
      </x:c>
      <x:c r="G4361" t="str" s="2">
        <x:v>Clint O'Neal</x:v>
      </x:c>
      <x:c r="H4361" s="6">
        <x:v>46275.19120119213</x:v>
      </x:c>
      <x:c r="I4361" s="0"/>
      <x:c r="J4361" s="0"/>
      <x:c r="K4361" s="6">
        <x:v>46302.7192834838</x:v>
      </x:c>
      <x:c r="L4361" t="str" s="2">
        <x:v>Message Sent</x:v>
      </x:c>
    </x:row>
    <x:row r="4362">
      <x:c r="A4362" t="str" s="2">
        <x:f>="Amber Paddick"</x:f>
      </x:c>
      <x:c r="B4362" t="str" s="2">
        <x:v>Legacy Housing Corp. DBA Americasa</x:v>
      </x:c>
      <x:c r="C4362" t="str" s="2">
        <x:v/>
      </x:c>
      <x:c r="D4362" t="str" s="2">
        <x:v>2107620218</x:v>
      </x:c>
      <x:c r="E4362" t="str" s="2">
        <x:v>paddickamber@gmail.com</x:v>
      </x:c>
      <x:c r="F4362" t="str" s="2">
        <x:v>Landing_BPM</x:v>
      </x:c>
      <x:c r="G4362" t="str" s="2">
        <x:v>Rodrigo Ramirez</x:v>
      </x:c>
      <x:c r="H4362" s="6">
        <x:v>46275.25914394676</x:v>
      </x:c>
      <x:c r="I4362" s="0"/>
      <x:c r="J4362" s="0"/>
      <x:c r="K4362" s="6">
        <x:v>46275</x:v>
      </x:c>
      <x:c r="L4362" t="str" s="2">
        <x:v>Message Sent</x:v>
      </x:c>
    </x:row>
    <x:row r="4363">
      <x:c r="A4363" t="str" s="2">
        <x:f>="Mario Bizzle-Mccarthy"</x:f>
      </x:c>
      <x:c r="B4363" t="str" s="2">
        <x:v>Legacy Housing Corp. DBA Americasa</x:v>
      </x:c>
      <x:c r="C4363" t="str" s="2">
        <x:v>0/1</x:v>
      </x:c>
      <x:c r="D4363" t="str" s="2">
        <x:v>2792047832</x:v>
      </x:c>
      <x:c r="E4363" t="str" s="2">
        <x:v>Mbmccarthy98@gmail.com</x:v>
      </x:c>
      <x:c r="F4363" t="str" s="2">
        <x:v>Landing_BPM</x:v>
      </x:c>
      <x:c r="G4363" t="str" s="2">
        <x:v>Joey Marquez</x:v>
      </x:c>
      <x:c r="H4363" s="6">
        <x:v>46275.302188738424</x:v>
      </x:c>
      <x:c r="I4363" s="0"/>
      <x:c r="J4363" s="6">
        <x:v>46281.666666666664</x:v>
      </x:c>
      <x:c r="K4363" s="6">
        <x:v>46283</x:v>
      </x:c>
      <x:c r="L4363" t="str" s="2">
        <x:v>Message Sent</x:v>
      </x:c>
    </x:row>
    <x:row r="4364">
      <x:c r="A4364" t="str" s="2">
        <x:f>=HYPERLINK("https://rsms.futurehomex.com/lead/39867", "Pamela HUTCHISON")</x:f>
      </x:c>
      <x:c r="B4364" t="str" s="2">
        <x:v>Heritage Housing of Oklahoma City</x:v>
      </x:c>
      <x:c r="C4364" t="str" s="2">
        <x:v/>
      </x:c>
      <x:c r="D4364" t="str" s="2">
        <x:v>4059682956</x:v>
      </x:c>
      <x:c r="E4364" t="str" s="2">
        <x:v>pamalatom1963@gmail.com</x:v>
      </x:c>
      <x:c r="F4364" t="str" s="2">
        <x:v>Landing_BPM</x:v>
      </x:c>
      <x:c r="G4364" t="str" s="2">
        <x:v>Steve Castell</x:v>
      </x:c>
      <x:c r="H4364" s="6">
        <x:v>46275.43864876158</x:v>
      </x:c>
      <x:c r="I4364" t="str" s="2">
        <x:v>Steve Castell</x:v>
      </x:c>
      <x:c r="J4364" s="0"/>
      <x:c r="K4364" s="6">
        <x:v>46275</x:v>
      </x:c>
      <x:c r="L4364" t="str" s="2">
        <x:v>Message Sent</x:v>
      </x:c>
    </x:row>
    <x:row r="4365">
      <x:c r="A4365" t="str" s="2">
        <x:f>="JAMES MWANGI MWANGI"</x:f>
      </x:c>
      <x:c r="B4365" t="str" s="2">
        <x:v>Heritage Housing of Greenville</x:v>
      </x:c>
      <x:c r="C4365" t="str" s="2">
        <x:v/>
      </x:c>
      <x:c r="D4365" t="str" s="2">
        <x:v>3606121976</x:v>
      </x:c>
      <x:c r="E4365" t="str" s="2">
        <x:v>jambomwangi@gmail.com</x:v>
      </x:c>
      <x:c r="F4365" t="str" s="2">
        <x:v>Landing_BPM</x:v>
      </x:c>
      <x:c r="G4365" t="str" s="2">
        <x:v>Brooklynn Allen</x:v>
      </x:c>
      <x:c r="H4365" s="6">
        <x:v>46275.44070663195</x:v>
      </x:c>
      <x:c r="I4365" s="0"/>
      <x:c r="J4365" s="0"/>
      <x:c r="K4365" s="6">
        <x:v>46275</x:v>
      </x:c>
      <x:c r="L4365" t="str" s="2">
        <x:v>Message Sent</x:v>
      </x:c>
    </x:row>
    <x:row r="4366">
      <x:c r="A4366" t="str" s="2">
        <x:f>="Fernando Suazo"</x:f>
      </x:c>
      <x:c r="B4366" t="str" s="2">
        <x:v>Heritage Housing of Asheboro</x:v>
      </x:c>
      <x:c r="C4366" t="str" s="2">
        <x:v/>
      </x:c>
      <x:c r="D4366" t="str" s="2">
        <x:v>9804864309</x:v>
      </x:c>
      <x:c r="E4366" t="str" s="2">
        <x:v>suazoarias13@icloud.com</x:v>
      </x:c>
      <x:c r="F4366" t="str" s="2">
        <x:v>Landing_BPM</x:v>
      </x:c>
      <x:c r="G4366" t="str" s="2">
        <x:v>Maria Lopez</x:v>
      </x:c>
      <x:c r="H4366" s="6">
        <x:v>46275.44495509259</x:v>
      </x:c>
      <x:c r="I4366" s="0"/>
      <x:c r="J4366" s="0"/>
      <x:c r="K4366" s="6">
        <x:v>46276</x:v>
      </x:c>
      <x:c r="L4366" t="str" s="2">
        <x:v>Message Sent</x:v>
      </x:c>
    </x:row>
    <x:row r="4367">
      <x:c r="A4367" t="str" s="2">
        <x:f>="Connie Bagwell"</x:f>
      </x:c>
      <x:c r="B4367" t="str" s="2">
        <x:v>Heritage Housing of Albany</x:v>
      </x:c>
      <x:c r="C4367" t="str" s="2">
        <x:v/>
      </x:c>
      <x:c r="D4367" t="str" s="2">
        <x:v>2294252878</x:v>
      </x:c>
      <x:c r="E4367" t="str" s="2">
        <x:v>bagwell.connie3958@gmail.com</x:v>
      </x:c>
      <x:c r="F4367" t="str" s="2">
        <x:v>Youtube</x:v>
      </x:c>
      <x:c r="G4367" t="str" s="2">
        <x:v>Yanet Alvarez</x:v>
      </x:c>
      <x:c r="H4367" s="6">
        <x:v>46275.51238530093</x:v>
      </x:c>
      <x:c r="I4367" s="0"/>
      <x:c r="J4367" s="0"/>
      <x:c r="K4367" s="6">
        <x:v>46303</x:v>
      </x:c>
      <x:c r="L4367" t="str" s="2">
        <x:v>Message Sent</x:v>
      </x:c>
    </x:row>
    <x:row r="4368">
      <x:c r="A4368" t="str" s="2">
        <x:f>=HYPERLINK("https://rsms.futurehomex.com/lead/40093", "Penny Dunn")</x:f>
      </x:c>
      <x:c r="B4368" t="str" s="2">
        <x:v>Heritage Housing of Tulsa</x:v>
      </x:c>
      <x:c r="C4368" t="str" s="2">
        <x:v/>
      </x:c>
      <x:c r="D4368" t="str" s="2">
        <x:v>9186910518</x:v>
      </x:c>
      <x:c r="E4368" t="str" s="2">
        <x:v>nickelmorris6465@gmail.comc186910518</x:v>
      </x:c>
      <x:c r="F4368" t="str" s="2">
        <x:v>Youtube</x:v>
      </x:c>
      <x:c r="G4368" t="str" s="2">
        <x:v>Jenna Fransisco</x:v>
      </x:c>
      <x:c r="H4368" s="6">
        <x:v>46275.54700543982</x:v>
      </x:c>
      <x:c r="I4368" t="str" s="2">
        <x:v>Jenna Fransisco</x:v>
      </x:c>
      <x:c r="J4368" s="0"/>
      <x:c r="K4368" s="6">
        <x:v>46279</x:v>
      </x:c>
      <x:c r="L4368" t="str" s="2">
        <x:v>Message Sent</x:v>
      </x:c>
    </x:row>
    <x:row r="4369">
      <x:c r="A4369" t="str" s="2">
        <x:f>="Jakhia Stokes"</x:f>
      </x:c>
      <x:c r="B4369" t="str" s="2">
        <x:v>Heritage Housing of Augusta</x:v>
      </x:c>
      <x:c r="C4369" t="str" s="2">
        <x:v/>
      </x:c>
      <x:c r="D4369" t="str" s="2">
        <x:v>7628679093</x:v>
      </x:c>
      <x:c r="E4369" t="str" s="2">
        <x:v>stokesjakhia2@gmail.com</x:v>
      </x:c>
      <x:c r="F4369" t="str" s="2">
        <x:v>Landing_BPM</x:v>
      </x:c>
      <x:c r="G4369" t="str" s="2">
        <x:v>Faye Lively</x:v>
      </x:c>
      <x:c r="H4369" s="6">
        <x:v>46275.553615625</x:v>
      </x:c>
      <x:c r="I4369" s="0"/>
      <x:c r="J4369" s="0"/>
      <x:c r="K4369" s="6">
        <x:v>46275.56827033565</x:v>
      </x:c>
      <x:c r="L4369" t="str" s="2">
        <x:v>Message Sent</x:v>
      </x:c>
    </x:row>
    <x:row r="4370">
      <x:c r="A4370" t="str" s="2">
        <x:f>=HYPERLINK("https://rsms.futurehomex.com/lead/39866", "Stephanie Wenzel")</x:f>
      </x:c>
      <x:c r="B4370" t="str" s="2">
        <x:v>Heritage Housing of Oklahoma City</x:v>
      </x:c>
      <x:c r="C4370" t="str" s="2">
        <x:v/>
      </x:c>
      <x:c r="D4370" t="str" s="2">
        <x:v>4057232684</x:v>
      </x:c>
      <x:c r="E4370" t="str" s="2">
        <x:v>crownedone76@gmail.com</x:v>
      </x:c>
      <x:c r="F4370" t="str" s="2">
        <x:v>Landing_BPM</x:v>
      </x:c>
      <x:c r="G4370" t="str" s="2">
        <x:v>Steve Castell</x:v>
      </x:c>
      <x:c r="H4370" s="6">
        <x:v>46275.55458707176</x:v>
      </x:c>
      <x:c r="I4370" t="str" s="2">
        <x:v>Steve Castell</x:v>
      </x:c>
      <x:c r="J4370" s="0"/>
      <x:c r="K4370" s="6">
        <x:v>46275</x:v>
      </x:c>
      <x:c r="L4370" t="str" s="2">
        <x:v>Message Sent</x:v>
      </x:c>
    </x:row>
    <x:row r="4371">
      <x:c r="A4371" t="str" s="2">
        <x:f>="Brittany Trimble"</x:f>
      </x:c>
      <x:c r="B4371" t="str" s="2">
        <x:v>Heritage Housing of Tulsa</x:v>
      </x:c>
      <x:c r="C4371" t="str" s="2">
        <x:v/>
      </x:c>
      <x:c r="D4371" t="str" s="2">
        <x:v>9184024782</x:v>
      </x:c>
      <x:c r="E4371" t="str" s="2">
        <x:v>trimblebrittany9@gmail.com</x:v>
      </x:c>
      <x:c r="F4371" t="str" s="2">
        <x:v>Landing_BPM</x:v>
      </x:c>
      <x:c r="G4371" t="str" s="2">
        <x:v>Jenna Fransisco</x:v>
      </x:c>
      <x:c r="H4371" s="6">
        <x:v>46275.57334857639</x:v>
      </x:c>
      <x:c r="I4371" s="0"/>
      <x:c r="J4371" s="0"/>
      <x:c r="K4371" s="6">
        <x:v>46279.85162913195</x:v>
      </x:c>
      <x:c r="L4371" t="str" s="2">
        <x:v>Message Sent</x:v>
      </x:c>
    </x:row>
    <x:row r="4372">
      <x:c r="A4372" t="str" s="2">
        <x:f>="Cynthia Guillot"</x:f>
      </x:c>
      <x:c r="B4372" t="str" s="2">
        <x:v>Heritage Housing of Jennings</x:v>
      </x:c>
      <x:c r="C4372" t="str" s="2">
        <x:v/>
      </x:c>
      <x:c r="D4372" t="str" s="2">
        <x:v>3372415070</x:v>
      </x:c>
      <x:c r="E4372" t="str" s="2">
        <x:v>cglvsgod111@gmail.com</x:v>
      </x:c>
      <x:c r="F4372" t="str" s="2">
        <x:v>Youtube</x:v>
      </x:c>
      <x:c r="G4372" t="str" s="2">
        <x:v>Mervin Leslie Smith</x:v>
      </x:c>
      <x:c r="H4372" s="6">
        <x:v>46275.576477118055</x:v>
      </x:c>
      <x:c r="I4372" s="0"/>
      <x:c r="J4372" s="0"/>
      <x:c r="K4372" s="6">
        <x:v>46302.738767442126</x:v>
      </x:c>
      <x:c r="L4372" t="str" s="2">
        <x:v>Message Sent</x:v>
      </x:c>
    </x:row>
    <x:row r="4373">
      <x:c r="A4373" t="str" s="2">
        <x:f>="Charisse Kolodziejski"</x:f>
      </x:c>
      <x:c r="B4373" t="str" s="2">
        <x:v>Heritage Housing of Albany</x:v>
      </x:c>
      <x:c r="C4373" t="str" s="2">
        <x:v/>
      </x:c>
      <x:c r="D4373" t="str" s="2">
        <x:v>4043992620</x:v>
      </x:c>
      <x:c r="E4373" t="str" s="2">
        <x:v>kolodziejskicharisse@gmail.com</x:v>
      </x:c>
      <x:c r="F4373" t="str" s="2">
        <x:v>Website</x:v>
      </x:c>
      <x:c r="G4373" t="str" s="2">
        <x:v>Nathan Bishop</x:v>
      </x:c>
      <x:c r="H4373" s="6">
        <x:v>46275.57789371528</x:v>
      </x:c>
      <x:c r="I4373" s="0"/>
      <x:c r="J4373" s="0"/>
      <x:c r="K4373" s="6">
        <x:v>46280</x:v>
      </x:c>
      <x:c r="L4373" t="str" s="2">
        <x:v>Message Sent</x:v>
      </x:c>
    </x:row>
    <x:row r="4374">
      <x:c r="A4374" t="str" s="2">
        <x:f>="Randall Wright Wright"</x:f>
      </x:c>
      <x:c r="B4374" t="str" s="2">
        <x:v>Heritage Housing of Asheboro</x:v>
      </x:c>
      <x:c r="C4374" t="str" s="2">
        <x:v/>
      </x:c>
      <x:c r="D4374" t="str" s="2">
        <x:v>3362554593</x:v>
      </x:c>
      <x:c r="E4374" t="str" s="2">
        <x:v>randallwright011@gmail.com</x:v>
      </x:c>
      <x:c r="F4374" t="str" s="2">
        <x:v>Landing_BPM</x:v>
      </x:c>
      <x:c r="G4374" t="str" s="2">
        <x:v>Kate Gutierrez</x:v>
      </x:c>
      <x:c r="H4374" s="6">
        <x:v>46275.58841921296</x:v>
      </x:c>
      <x:c r="I4374" s="0"/>
      <x:c r="J4374" s="0"/>
      <x:c r="K4374" s="6">
        <x:v>46275</x:v>
      </x:c>
      <x:c r="L4374" t="str" s="2">
        <x:v>Message Sent</x:v>
      </x:c>
    </x:row>
    <x:row r="4375">
      <x:c r="A4375" t="str" s="2">
        <x:f>="Leslie Schuder"</x:f>
      </x:c>
      <x:c r="B4375" t="str" s="2">
        <x:v>Heritage Housing of Greenville</x:v>
      </x:c>
      <x:c r="C4375" t="str" s="2">
        <x:v/>
      </x:c>
      <x:c r="D4375" t="str" s="2">
        <x:v>4303224011</x:v>
      </x:c>
      <x:c r="E4375" t="str" s="2">
        <x:v>mechelleschuder@aol.com</x:v>
      </x:c>
      <x:c r="F4375" t="str" s="2">
        <x:v>Landing_BPM</x:v>
      </x:c>
      <x:c r="G4375" t="str" s="2">
        <x:v>Brooklynn Allen</x:v>
      </x:c>
      <x:c r="H4375" s="6">
        <x:v>46275.59444123843</x:v>
      </x:c>
      <x:c r="I4375" s="0"/>
      <x:c r="J4375" s="0"/>
      <x:c r="K4375" s="6">
        <x:v>46275</x:v>
      </x:c>
      <x:c r="L4375" t="str" s="2">
        <x:v>Message Sent</x:v>
      </x:c>
    </x:row>
    <x:row r="4376">
      <x:c r="A4376" t="str" s="2">
        <x:f>="Etta Eckel"</x:f>
      </x:c>
      <x:c r="B4376" t="str" s="2">
        <x:v>Heritage Housing of Tulsa</x:v>
      </x:c>
      <x:c r="C4376" t="str" s="2">
        <x:v/>
      </x:c>
      <x:c r="D4376" t="str" s="2">
        <x:v>9183402858</x:v>
      </x:c>
      <x:c r="E4376" t="str" s="2">
        <x:v>1983heydude@gmail.com</x:v>
      </x:c>
      <x:c r="F4376" t="str" s="2">
        <x:v>Youtube</x:v>
      </x:c>
      <x:c r="G4376" t="str" s="2">
        <x:v>Jenna Fransisco</x:v>
      </x:c>
      <x:c r="H4376" s="6">
        <x:v>46275.6208369213</x:v>
      </x:c>
      <x:c r="I4376" s="0"/>
      <x:c r="J4376" s="0"/>
      <x:c r="K4376" s="6">
        <x:v>46279</x:v>
      </x:c>
      <x:c r="L4376" t="str" s="2">
        <x:v>Message Sent</x:v>
      </x:c>
    </x:row>
    <x:row r="4377">
      <x:c r="A4377" t="str" s="2">
        <x:f>=HYPERLINK("https://rsms.futurehomex.com/lead/39891", "Kelsi Carrier")</x:f>
      </x:c>
      <x:c r="B4377" t="str" s="2">
        <x:v>Legacy Housing Corp. DBA Americasa</x:v>
      </x:c>
      <x:c r="C4377" t="str" s="2">
        <x:v/>
      </x:c>
      <x:c r="D4377" t="str" s="2">
        <x:v>8326541364</x:v>
      </x:c>
      <x:c r="E4377" t="str" s="2">
        <x:v>kelsi.carrier.306@gmail.com</x:v>
      </x:c>
      <x:c r="F4377" t="str" s="2">
        <x:v>Landing_BPM</x:v>
      </x:c>
      <x:c r="G4377" t="str" s="2">
        <x:v>Jose Parada</x:v>
      </x:c>
      <x:c r="H4377" s="6">
        <x:v>46275.63412890046</x:v>
      </x:c>
      <x:c r="I4377" t="str" s="2">
        <x:v>Jose Parada</x:v>
      </x:c>
      <x:c r="J4377" s="0"/>
      <x:c r="K4377" s="6">
        <x:v>46281</x:v>
      </x:c>
      <x:c r="L4377" t="str" s="2">
        <x:v>Message Sent</x:v>
      </x:c>
    </x:row>
    <x:row r="4378">
      <x:c r="A4378" t="str" s="2">
        <x:f>="Siobhan Gregory"</x:f>
      </x:c>
      <x:c r="B4378" t="str" s="2">
        <x:v>Heritage Housing of Tulsa</x:v>
      </x:c>
      <x:c r="C4378" t="str" s="2">
        <x:v/>
      </x:c>
      <x:c r="D4378" t="str" s="2">
        <x:v>6124320498</x:v>
      </x:c>
      <x:c r="E4378" t="str" s="2">
        <x:v>gopherfan30@gmail.com</x:v>
      </x:c>
      <x:c r="F4378" t="str" s="2">
        <x:v>Youtube</x:v>
      </x:c>
      <x:c r="G4378" t="str" s="2">
        <x:v>Jenna Fransisco</x:v>
      </x:c>
      <x:c r="H4378" s="6">
        <x:v>46275.647483912035</x:v>
      </x:c>
      <x:c r="I4378" s="0"/>
      <x:c r="J4378" s="0"/>
      <x:c r="K4378" s="6">
        <x:v>46276</x:v>
      </x:c>
      <x:c r="L4378" t="str" s="2">
        <x:v>Message Sent</x:v>
      </x:c>
    </x:row>
    <x:row r="4379">
      <x:c r="A4379" t="str" s="2">
        <x:f>="Brittany Richardson"</x:f>
      </x:c>
      <x:c r="B4379" t="str" s="2">
        <x:v>Heritage Housing of Jennings</x:v>
      </x:c>
      <x:c r="C4379" t="str" s="2">
        <x:v/>
      </x:c>
      <x:c r="D4379" t="str" s="2">
        <x:v>2255722892</x:v>
      </x:c>
      <x:c r="E4379" t="str" s="2">
        <x:v>brittanybrouss327@gmail.com</x:v>
      </x:c>
      <x:c r="F4379" t="str" s="2">
        <x:v>Website</x:v>
      </x:c>
      <x:c r="G4379" t="str" s="2">
        <x:v>Clint O'Neal</x:v>
      </x:c>
      <x:c r="H4379" s="6">
        <x:v>46275.656689270836</x:v>
      </x:c>
      <x:c r="I4379" s="0"/>
      <x:c r="J4379" s="0"/>
      <x:c r="K4379" s="6">
        <x:v>46302.7197540162</x:v>
      </x:c>
      <x:c r="L4379" t="str" s="2">
        <x:v>Message Sent</x:v>
      </x:c>
    </x:row>
    <x:row r="4380">
      <x:c r="A4380" t="str" s="2">
        <x:f>="Alan Barnes"</x:f>
      </x:c>
      <x:c r="B4380" t="str" s="2">
        <x:v>Heritage Housing of Augusta</x:v>
      </x:c>
      <x:c r="C4380" t="str" s="2">
        <x:v/>
      </x:c>
      <x:c r="D4380" t="str" s="2">
        <x:v>4784551918</x:v>
      </x:c>
      <x:c r="E4380" t="str" s="2">
        <x:v>alanbarnes86@yahoo.com</x:v>
      </x:c>
      <x:c r="F4380" t="str" s="2">
        <x:v>Landing_BPM</x:v>
      </x:c>
      <x:c r="G4380" t="str" s="2">
        <x:v>Faye Lively</x:v>
      </x:c>
      <x:c r="H4380" s="6">
        <x:v>46275.66072670139</x:v>
      </x:c>
      <x:c r="I4380" s="0"/>
      <x:c r="J4380" s="0"/>
      <x:c r="K4380" s="6">
        <x:v>46275</x:v>
      </x:c>
      <x:c r="L4380" t="str" s="2">
        <x:v>Message Sent</x:v>
      </x:c>
    </x:row>
    <x:row r="4381">
      <x:c r="A4381" t="str" s="2">
        <x:f>="Stephanie Rone"</x:f>
      </x:c>
      <x:c r="B4381" t="str" s="2">
        <x:v>Heritage Housing of Greenville</x:v>
      </x:c>
      <x:c r="C4381" t="str" s="2">
        <x:v/>
      </x:c>
      <x:c r="D4381" t="str" s="2">
        <x:v>9033064511</x:v>
      </x:c>
      <x:c r="E4381" t="str" s="2">
        <x:v>rstphn8@yahoo.com</x:v>
      </x:c>
      <x:c r="F4381" t="str" s="2">
        <x:v>Landing_BPM</x:v>
      </x:c>
      <x:c r="G4381" t="str" s="2">
        <x:v>Brooklynn Allen</x:v>
      </x:c>
      <x:c r="H4381" s="6">
        <x:v>46275.66176238426</x:v>
      </x:c>
      <x:c r="I4381" s="0"/>
      <x:c r="J4381" s="0"/>
      <x:c r="K4381" s="6">
        <x:v>46275</x:v>
      </x:c>
      <x:c r="L4381" t="str" s="2">
        <x:v>Message Sent</x:v>
      </x:c>
    </x:row>
    <x:row r="4382">
      <x:c r="A4382" t="str" s="2">
        <x:f>="Cynthia GREEN"</x:f>
      </x:c>
      <x:c r="B4382" t="str" s="2">
        <x:v>Legacy Housing Corp. DBA Americasa</x:v>
      </x:c>
      <x:c r="C4382" t="str" s="2">
        <x:v/>
      </x:c>
      <x:c r="D4382" t="str" s="2">
        <x:v>3467193186</x:v>
      </x:c>
      <x:c r="E4382" t="str" s="2">
        <x:v>cynthiagreen383@gmail.com</x:v>
      </x:c>
      <x:c r="F4382" t="str" s="2">
        <x:v>Youtube</x:v>
      </x:c>
      <x:c r="G4382" t="str" s="2">
        <x:v>Rodrigo Ramirez</x:v>
      </x:c>
      <x:c r="H4382" s="6">
        <x:v>46275.678976539355</x:v>
      </x:c>
      <x:c r="I4382" s="0"/>
      <x:c r="J4382" s="0"/>
      <x:c r="K4382" s="6">
        <x:v>46275</x:v>
      </x:c>
      <x:c r="L4382" t="str" s="2">
        <x:v>Message Sent</x:v>
      </x:c>
    </x:row>
    <x:row r="4383">
      <x:c r="A4383" t="str" s="2">
        <x:f>="Chykeria Dallas Dallas"</x:f>
      </x:c>
      <x:c r="B4383" t="str" s="2">
        <x:v>Heritage Housing of Albany</x:v>
      </x:c>
      <x:c r="C4383" t="str" s="2">
        <x:v/>
      </x:c>
      <x:c r="D4383" t="str" s="2">
        <x:v>4783160997</x:v>
      </x:c>
      <x:c r="E4383" t="str" s="2">
        <x:v>breeuunnaa@gmail.com</x:v>
      </x:c>
      <x:c r="F4383" t="str" s="2">
        <x:v>Landing_BPM</x:v>
      </x:c>
      <x:c r="G4383" t="str" s="2">
        <x:v>Yanet Alvarez</x:v>
      </x:c>
      <x:c r="H4383" s="6">
        <x:v>46275.68635008102</x:v>
      </x:c>
      <x:c r="I4383" s="0"/>
      <x:c r="J4383" s="0"/>
      <x:c r="K4383" s="6">
        <x:v>46303</x:v>
      </x:c>
      <x:c r="L4383" t="str" s="2">
        <x:v>Message Sent</x:v>
      </x:c>
    </x:row>
    <x:row r="4384">
      <x:c r="A4384" t="str" s="2">
        <x:f>="Brandi Knight"</x:f>
      </x:c>
      <x:c r="B4384" t="str" s="2">
        <x:v>Heritage Housing of Athens</x:v>
      </x:c>
      <x:c r="C4384" t="str" s="2">
        <x:v/>
      </x:c>
      <x:c r="D4384" t="str" s="2">
        <x:v>4707139151</x:v>
      </x:c>
      <x:c r="E4384" t="str" s="2">
        <x:v>pantherkayezz@gmail.com</x:v>
      </x:c>
      <x:c r="F4384" t="str" s="2">
        <x:v>Landing_BPM</x:v>
      </x:c>
      <x:c r="G4384" t="str" s="2">
        <x:v>Nathan Bishop</x:v>
      </x:c>
      <x:c r="H4384" s="6">
        <x:v>46275.69665042824</x:v>
      </x:c>
      <x:c r="I4384" s="0"/>
      <x:c r="J4384" s="0"/>
      <x:c r="K4384" s="6">
        <x:v>46282</x:v>
      </x:c>
      <x:c r="L4384" t="str" s="2">
        <x:v>Message Sent</x:v>
      </x:c>
    </x:row>
    <x:row r="4385">
      <x:c r="A4385" t="str" s="2">
        <x:f>="Delois West"</x:f>
      </x:c>
      <x:c r="B4385" t="str" s="2">
        <x:v>Heritage Housing of Albany</x:v>
      </x:c>
      <x:c r="C4385" t="str" s="2">
        <x:v/>
      </x:c>
      <x:c r="D4385" t="str" s="2">
        <x:v>4782832485</x:v>
      </x:c>
      <x:c r="E4385" t="str" s="2">
        <x:v>deloiswest6@gmail.com</x:v>
      </x:c>
      <x:c r="F4385" t="str" s="2">
        <x:v>Youtube</x:v>
      </x:c>
      <x:c r="G4385" t="str" s="2">
        <x:v>Justin Johnson</x:v>
      </x:c>
      <x:c r="H4385" s="6">
        <x:v>46275.78446003472</x:v>
      </x:c>
      <x:c r="I4385" s="0"/>
      <x:c r="J4385" s="0"/>
      <x:c r="K4385" s="6">
        <x:v>46280</x:v>
      </x:c>
      <x:c r="L4385" t="str" s="2">
        <x:v>Message Sent</x:v>
      </x:c>
    </x:row>
    <x:row r="4386">
      <x:c r="A4386" t="str" s="2">
        <x:f>="Ciarra House"</x:f>
      </x:c>
      <x:c r="B4386" t="str" s="2">
        <x:v>Heritage Housing of Albany</x:v>
      </x:c>
      <x:c r="C4386" t="str" s="2">
        <x:v/>
      </x:c>
      <x:c r="D4386" t="str" s="2">
        <x:v>4796470508</x:v>
      </x:c>
      <x:c r="E4386" t="str" s="2">
        <x:v>ckhouse29@gmail.com</x:v>
      </x:c>
      <x:c r="F4386" t="str" s="2">
        <x:v>Financing Form</x:v>
      </x:c>
      <x:c r="G4386" t="str" s="2">
        <x:v>Yanet Alvarez</x:v>
      </x:c>
      <x:c r="H4386" s="6">
        <x:v>46275.788823993054</x:v>
      </x:c>
      <x:c r="I4386" s="0"/>
      <x:c r="J4386" s="0"/>
      <x:c r="K4386" s="6">
        <x:v>46303</x:v>
      </x:c>
      <x:c r="L4386" t="str" s="2">
        <x:v>Message Sent</x:v>
      </x:c>
    </x:row>
    <x:row r="4387">
      <x:c r="A4387" t="str" s="2">
        <x:f>="Alexis Newton"</x:f>
      </x:c>
      <x:c r="B4387" t="str" s="2">
        <x:v>Heritage Housing of Augusta</x:v>
      </x:c>
      <x:c r="C4387" t="str" s="2">
        <x:v/>
      </x:c>
      <x:c r="D4387" t="str" s="2">
        <x:v>4044293129</x:v>
      </x:c>
      <x:c r="E4387" t="str" s="2">
        <x:v>queenmother013@gmail.com</x:v>
      </x:c>
      <x:c r="F4387" t="str" s="2">
        <x:v>Youtube</x:v>
      </x:c>
      <x:c r="G4387" t="str" s="2">
        <x:v>Jennifer Johnson</x:v>
      </x:c>
      <x:c r="H4387" s="6">
        <x:v>46275.79142966435</x:v>
      </x:c>
      <x:c r="I4387" s="0"/>
      <x:c r="J4387" s="0"/>
      <x:c r="K4387" s="6">
        <x:v>46288</x:v>
      </x:c>
      <x:c r="L4387" t="str" s="2">
        <x:v>Message Sent</x:v>
      </x:c>
    </x:row>
    <x:row r="4388">
      <x:c r="A4388" t="str" s="2">
        <x:f>="Sonia Velez"</x:f>
      </x:c>
      <x:c r="B4388" t="str" s="2">
        <x:v>Heritage Housing of Augusta</x:v>
      </x:c>
      <x:c r="C4388" t="str" s="2">
        <x:v/>
      </x:c>
      <x:c r="D4388" t="str" s="2">
        <x:v>8036134813</x:v>
      </x:c>
      <x:c r="E4388" t="str" s="2">
        <x:v>soniavelez4022@yahoo.com</x:v>
      </x:c>
      <x:c r="F4388" t="str" s="2">
        <x:v>Landing_BPM</x:v>
      </x:c>
      <x:c r="G4388" t="str" s="2">
        <x:v>Faye Lively</x:v>
      </x:c>
      <x:c r="H4388" s="6">
        <x:v>46275.79227774306</x:v>
      </x:c>
      <x:c r="I4388" s="0"/>
      <x:c r="J4388" s="0"/>
      <x:c r="K4388" s="6">
        <x:v>46276</x:v>
      </x:c>
      <x:c r="L4388" t="str" s="2">
        <x:v>Message Sent</x:v>
      </x:c>
    </x:row>
    <x:row r="4389">
      <x:c r="A4389" t="str" s="2">
        <x:f>="Wanda Sneed"</x:f>
      </x:c>
      <x:c r="B4389" t="str" s="2">
        <x:v>Heritage Housing of Jennings</x:v>
      </x:c>
      <x:c r="C4389" t="str" s="2">
        <x:v/>
      </x:c>
      <x:c r="D4389" t="str" s="2">
        <x:v>3188953590</x:v>
      </x:c>
      <x:c r="E4389" t="str" s="2">
        <x:v>wandasneed254@gmail.com</x:v>
      </x:c>
      <x:c r="F4389" t="str" s="2">
        <x:v>Youtube</x:v>
      </x:c>
      <x:c r="G4389" t="str" s="2">
        <x:v>Clint O'Neal</x:v>
      </x:c>
      <x:c r="H4389" s="6">
        <x:v>46275.7990931713</x:v>
      </x:c>
      <x:c r="I4389" s="0"/>
      <x:c r="J4389" s="0"/>
      <x:c r="K4389" s="6">
        <x:v>46302.7203090625</x:v>
      </x:c>
      <x:c r="L4389" t="str" s="2">
        <x:v>Message Sent</x:v>
      </x:c>
    </x:row>
    <x:row r="4390">
      <x:c r="A4390" t="str" s="2">
        <x:f>="Elizabeth Bailey"</x:f>
      </x:c>
      <x:c r="B4390" t="str" s="2">
        <x:v>Heritage Housing of Jennings</x:v>
      </x:c>
      <x:c r="C4390" t="str" s="2">
        <x:v/>
      </x:c>
      <x:c r="D4390" t="str" s="2">
        <x:v>5044090909</x:v>
      </x:c>
      <x:c r="E4390" t="str" s="2">
        <x:v>cajunsissyat50@gmail.com</x:v>
      </x:c>
      <x:c r="F4390" t="str" s="2">
        <x:v>Youtube</x:v>
      </x:c>
      <x:c r="G4390" t="str" s="2">
        <x:v>Mervin Leslie Smith</x:v>
      </x:c>
      <x:c r="H4390" s="6">
        <x:v>46275.81312222222</x:v>
      </x:c>
      <x:c r="I4390" s="0"/>
      <x:c r="J4390" s="0"/>
      <x:c r="K4390" s="6">
        <x:v>46302.739071261574</x:v>
      </x:c>
      <x:c r="L4390" t="str" s="2">
        <x:v>Message Sent</x:v>
      </x:c>
    </x:row>
    <x:row r="4391">
      <x:c r="A4391" t="str" s="2">
        <x:f>="Rachel Josey"</x:f>
      </x:c>
      <x:c r="B4391" t="str" s="2">
        <x:v>Heritage Housing of Asheboro</x:v>
      </x:c>
      <x:c r="C4391" t="str" s="2">
        <x:v/>
      </x:c>
      <x:c r="D4391" t="str" s="2">
        <x:v>9199304105</x:v>
      </x:c>
      <x:c r="E4391" t="str" s="2">
        <x:v>rrrachelsue@gmail.com</x:v>
      </x:c>
      <x:c r="F4391" t="str" s="2">
        <x:v>Landing_BPM</x:v>
      </x:c>
      <x:c r="G4391" t="str" s="2">
        <x:v>Maria Lopez</x:v>
      </x:c>
      <x:c r="H4391" s="6">
        <x:v>46275.82593179398</x:v>
      </x:c>
      <x:c r="I4391" s="0"/>
      <x:c r="J4391" s="0"/>
      <x:c r="K4391" s="6">
        <x:v>46307</x:v>
      </x:c>
      <x:c r="L4391" t="str" s="2">
        <x:v>Message Sent</x:v>
      </x:c>
    </x:row>
    <x:row r="4392">
      <x:c r="A4392" t="str" s="2">
        <x:f>="Yolanda Reese"</x:f>
      </x:c>
      <x:c r="B4392" t="str" s="2">
        <x:v>Heritage Housing of Albany</x:v>
      </x:c>
      <x:c r="C4392" t="str" s="2">
        <x:v/>
      </x:c>
      <x:c r="D4392" t="str" s="2">
        <x:v>4702602826</x:v>
      </x:c>
      <x:c r="E4392" t="str" s="2">
        <x:v>yolandareese78@gmail.com</x:v>
      </x:c>
      <x:c r="F4392" t="str" s="2">
        <x:v>Youtube</x:v>
      </x:c>
      <x:c r="G4392" t="str" s="2">
        <x:v>Justin Johnson</x:v>
      </x:c>
      <x:c r="H4392" s="6">
        <x:v>46275.866925925926</x:v>
      </x:c>
      <x:c r="I4392" s="0"/>
      <x:c r="J4392" s="0"/>
      <x:c r="K4392" s="6">
        <x:v>46280</x:v>
      </x:c>
      <x:c r="L4392" t="str" s="2">
        <x:v>Message Sent</x:v>
      </x:c>
    </x:row>
    <x:row r="4393">
      <x:c r="A4393" t="str" s="2">
        <x:f>="Lisa Brockman"</x:f>
      </x:c>
      <x:c r="B4393" t="str" s="2">
        <x:v>Heritage Housing of Tulsa</x:v>
      </x:c>
      <x:c r="C4393" t="str" s="2">
        <x:v/>
      </x:c>
      <x:c r="D4393" t="str" s="2">
        <x:v>9186766615</x:v>
      </x:c>
      <x:c r="E4393" t="str" s="2">
        <x:v>lisam_02@yahoo.com</x:v>
      </x:c>
      <x:c r="F4393" t="str" s="2">
        <x:v>Youtube</x:v>
      </x:c>
      <x:c r="G4393" t="str" s="2">
        <x:v>Jenna Fransisco</x:v>
      </x:c>
      <x:c r="H4393" s="6">
        <x:v>46275.87247465278</x:v>
      </x:c>
      <x:c r="I4393" s="0"/>
      <x:c r="J4393" s="0"/>
      <x:c r="K4393" s="6">
        <x:v>46279</x:v>
      </x:c>
      <x:c r="L4393" t="str" s="2">
        <x:v>Message Sent</x:v>
      </x:c>
    </x:row>
    <x:row r="4394">
      <x:c r="A4394" t="str" s="2">
        <x:f>="John Fennel"</x:f>
      </x:c>
      <x:c r="B4394" t="str" s="2">
        <x:v>Heritage Housing of Tulsa</x:v>
      </x:c>
      <x:c r="C4394" t="str" s="2">
        <x:v/>
      </x:c>
      <x:c r="D4394" t="str" s="2">
        <x:v>9188107761</x:v>
      </x:c>
      <x:c r="E4394" t="str" s="2">
        <x:v>catarise1@gmail.com</x:v>
      </x:c>
      <x:c r="F4394" t="str" s="2">
        <x:v>Landing_BPM</x:v>
      </x:c>
      <x:c r="G4394" t="str" s="2">
        <x:v>Jenna Fransisco</x:v>
      </x:c>
      <x:c r="H4394" s="6">
        <x:v>46275.903349733795</x:v>
      </x:c>
      <x:c r="I4394" s="0"/>
      <x:c r="J4394" s="0"/>
      <x:c r="K4394" s="6">
        <x:v>46279</x:v>
      </x:c>
      <x:c r="L4394" t="str" s="2">
        <x:v>Message Sent</x:v>
      </x:c>
    </x:row>
    <x:row r="4395">
      <x:c r="A4395" t="str" s="2">
        <x:f>="jessica winston"</x:f>
      </x:c>
      <x:c r="B4395" t="str" s="2">
        <x:v>Heritage Housing of Albany</x:v>
      </x:c>
      <x:c r="C4395" t="str" s="2">
        <x:v/>
      </x:c>
      <x:c r="D4395" t="str" s="2">
        <x:v>4784038030</x:v>
      </x:c>
      <x:c r="E4395" t="str" s="2">
        <x:v>trulyblessedhottie35@gmail.com</x:v>
      </x:c>
      <x:c r="F4395" t="str" s="2">
        <x:v>Youtube</x:v>
      </x:c>
      <x:c r="G4395" t="str" s="2">
        <x:v>Yanet Alvarez</x:v>
      </x:c>
      <x:c r="H4395" s="6">
        <x:v>46275.915844675925</x:v>
      </x:c>
      <x:c r="I4395" s="0"/>
      <x:c r="J4395" s="0"/>
      <x:c r="K4395" s="6">
        <x:v>46303</x:v>
      </x:c>
      <x:c r="L4395" t="str" s="2">
        <x:v>Message Sent</x:v>
      </x:c>
    </x:row>
    <x:row r="4396">
      <x:c r="A4396" t="str" s="2">
        <x:f>="Angie Hemke"</x:f>
      </x:c>
      <x:c r="B4396" t="str" s="2">
        <x:v>Heritage Housing of Tulsa</x:v>
      </x:c>
      <x:c r="C4396" t="str" s="2">
        <x:v/>
      </x:c>
      <x:c r="D4396" t="str" s="2">
        <x:v>918818196914</x:v>
      </x:c>
      <x:c r="E4396" t="str" s="2">
        <x:v>angel12eyes20@gmail.com</x:v>
      </x:c>
      <x:c r="F4396" t="str" s="2">
        <x:v>Youtube</x:v>
      </x:c>
      <x:c r="G4396" t="str" s="2">
        <x:v>Jenna Fransisco</x:v>
      </x:c>
      <x:c r="H4396" s="6">
        <x:v>46275.973977546295</x:v>
      </x:c>
      <x:c r="I4396" s="0"/>
      <x:c r="J4396" s="0"/>
      <x:c r="K4396" s="6">
        <x:v>46276</x:v>
      </x:c>
      <x:c r="L4396" t="str" s="2">
        <x:v>Message Sent</x:v>
      </x:c>
    </x:row>
    <x:row r="4397">
      <x:c r="A4397" t="str" s="2">
        <x:f>="Fredric Bradley"</x:f>
      </x:c>
      <x:c r="B4397" t="str" s="2">
        <x:v>Heritage Housing of Albany</x:v>
      </x:c>
      <x:c r="C4397" t="str" s="2">
        <x:v/>
      </x:c>
      <x:c r="D4397" t="str" s="2">
        <x:v>2514650325</x:v>
      </x:c>
      <x:c r="E4397" t="str" s="2">
        <x:v>frdrcbradley12@gmail.com</x:v>
      </x:c>
      <x:c r="F4397" t="str" s="2">
        <x:v>Financing Form</x:v>
      </x:c>
      <x:c r="G4397" t="str" s="2">
        <x:v>Justin Johnson</x:v>
      </x:c>
      <x:c r="H4397" s="6">
        <x:v>46275.98911354167</x:v>
      </x:c>
      <x:c r="I4397" s="0"/>
      <x:c r="J4397" s="0"/>
      <x:c r="K4397" s="6">
        <x:v>46280</x:v>
      </x:c>
      <x:c r="L4397" t="str" s="2">
        <x:v>Message Sent</x:v>
      </x:c>
    </x:row>
    <x:row r="4398">
      <x:c r="A4398" t="str" s="2">
        <x:f>="Lashunda Warren"</x:f>
      </x:c>
      <x:c r="B4398" t="str" s="2">
        <x:v>Heritage Housing of Albany</x:v>
      </x:c>
      <x:c r="C4398" t="str" s="2">
        <x:v/>
      </x:c>
      <x:c r="D4398" t="str" s="2">
        <x:v>2297332609</x:v>
      </x:c>
      <x:c r="E4398" t="str" s="2">
        <x:v>lashundawarren94@gmail.com</x:v>
      </x:c>
      <x:c r="F4398" t="str" s="2">
        <x:v>Landing_BPM</x:v>
      </x:c>
      <x:c r="G4398" t="str" s="2">
        <x:v>Justin Johnson</x:v>
      </x:c>
      <x:c r="H4398" s="6">
        <x:v>46275.99984293982</x:v>
      </x:c>
      <x:c r="I4398" s="0"/>
      <x:c r="J4398" s="0"/>
      <x:c r="K4398" s="6">
        <x:v>46280</x:v>
      </x:c>
      <x:c r="L4398" t="str" s="2">
        <x:v>Message Sent</x:v>
      </x:c>
    </x:row>
    <x:row r="4399">
      <x:c r="A4399" t="str" s="2">
        <x:f>="Gregory Randall"</x:f>
      </x:c>
      <x:c r="B4399" t="str" s="2">
        <x:v>Heritage Housing of Jennings</x:v>
      </x:c>
      <x:c r="C4399" t="str" s="2">
        <x:v/>
      </x:c>
      <x:c r="D4399" t="str" s="2">
        <x:v>9853505331</x:v>
      </x:c>
      <x:c r="E4399" t="str" s="2">
        <x:v>kasey.lynn.craig@gmail.com</x:v>
      </x:c>
      <x:c r="F4399" t="str" s="2">
        <x:v>Youtube</x:v>
      </x:c>
      <x:c r="G4399" t="str" s="2">
        <x:v>Clint O'Neal</x:v>
      </x:c>
      <x:c r="H4399" s="6">
        <x:v>46276.00966261574</x:v>
      </x:c>
      <x:c r="I4399" s="0"/>
      <x:c r="J4399" s="0"/>
      <x:c r="K4399" s="6">
        <x:v>46302.72064383102</x:v>
      </x:c>
      <x:c r="L4399" t="str" s="2">
        <x:v>Message Sent</x:v>
      </x:c>
    </x:row>
    <x:row r="4400">
      <x:c r="A4400" t="str" s="2">
        <x:f>="Carol Nix"</x:f>
      </x:c>
      <x:c r="B4400" t="str" s="2">
        <x:v>Heritage Housing of Athens</x:v>
      </x:c>
      <x:c r="C4400" t="str" s="2">
        <x:v/>
      </x:c>
      <x:c r="D4400" t="str" s="2">
        <x:v>6784476719</x:v>
      </x:c>
      <x:c r="E4400" t="str" s="2">
        <x:v>carmanix97@gmail.com</x:v>
      </x:c>
      <x:c r="F4400" t="str" s="2">
        <x:v>Youtube</x:v>
      </x:c>
      <x:c r="G4400" t="str" s="2">
        <x:v>Nathan Bishop</x:v>
      </x:c>
      <x:c r="H4400" s="6">
        <x:v>46276.03865902778</x:v>
      </x:c>
      <x:c r="I4400" s="0"/>
      <x:c r="J4400" s="0"/>
      <x:c r="K4400" s="6">
        <x:v>46282</x:v>
      </x:c>
      <x:c r="L4400" t="str" s="2">
        <x:v>Message Sent</x:v>
      </x:c>
    </x:row>
    <x:row r="4401">
      <x:c r="A4401" t="str" s="2">
        <x:f>="Roberto H"</x:f>
      </x:c>
      <x:c r="B4401" t="str" s="2">
        <x:v>Heritage Housing of Greenville</x:v>
      </x:c>
      <x:c r="C4401" t="str" s="2">
        <x:v/>
      </x:c>
      <x:c r="D4401" t="str" s="2">
        <x:v>2148361545</x:v>
      </x:c>
      <x:c r="E4401" t="str" s="2">
        <x:v>rhmancia775@gmail.com</x:v>
      </x:c>
      <x:c r="F4401" t="str" s="2">
        <x:v>Financing Form</x:v>
      </x:c>
      <x:c r="G4401" t="str" s="2">
        <x:v>Brooklynn Allen</x:v>
      </x:c>
      <x:c r="H4401" s="6">
        <x:v>46276.05883657408</x:v>
      </x:c>
      <x:c r="I4401" s="0"/>
      <x:c r="J4401" s="0"/>
      <x:c r="K4401" s="6">
        <x:v>46276</x:v>
      </x:c>
      <x:c r="L4401" t="str" s="2">
        <x:v>Message Sent</x:v>
      </x:c>
    </x:row>
    <x:row r="4402">
      <x:c r="A4402" t="str" s="2">
        <x:f>="Tiffany Vaughn"</x:f>
      </x:c>
      <x:c r="B4402" t="str" s="2">
        <x:v>Heritage Housing of Augusta</x:v>
      </x:c>
      <x:c r="C4402" t="str" s="2">
        <x:v/>
      </x:c>
      <x:c r="D4402" t="str" s="2">
        <x:v>8392738072</x:v>
      </x:c>
      <x:c r="E4402" t="str" s="2">
        <x:v>tiffmvaughn0808@gmail.com</x:v>
      </x:c>
      <x:c r="F4402" t="str" s="2">
        <x:v>Youtube</x:v>
      </x:c>
      <x:c r="G4402" t="str" s="2">
        <x:v>Faye Lively</x:v>
      </x:c>
      <x:c r="H4402" s="6">
        <x:v>46276.06368630787</x:v>
      </x:c>
      <x:c r="I4402" s="0"/>
      <x:c r="J4402" s="0"/>
      <x:c r="K4402" s="6">
        <x:v>46276</x:v>
      </x:c>
      <x:c r="L4402" t="str" s="2">
        <x:v>Message Sent</x:v>
      </x:c>
    </x:row>
    <x:row r="4403">
      <x:c r="A4403" t="str" s="2">
        <x:f>=HYPERLINK("https://rsms.futurehomex.com/lead/40191", "Matthew Gorham")</x:f>
      </x:c>
      <x:c r="B4403" t="str" s="2">
        <x:v>Heritage Housing of Asheboro</x:v>
      </x:c>
      <x:c r="C4403" t="str" s="2">
        <x:v>1/1</x:v>
      </x:c>
      <x:c r="D4403" t="str" s="2">
        <x:v>6789342688</x:v>
      </x:c>
      <x:c r="E4403" t="str" s="2">
        <x:v>matthewvonda@gmail.com</x:v>
      </x:c>
      <x:c r="F4403" t="str" s="2">
        <x:v>Website</x:v>
      </x:c>
      <x:c r="G4403" t="str" s="2">
        <x:v>Maria Lopez</x:v>
      </x:c>
      <x:c r="H4403" s="6">
        <x:v>46276.075785995374</x:v>
      </x:c>
      <x:c r="I4403" t="str" s="2">
        <x:v>Maria Lopez</x:v>
      </x:c>
      <x:c r="J4403" s="0"/>
      <x:c r="K4403" s="6">
        <x:v>46284</x:v>
      </x:c>
      <x:c r="L4403" t="str" s="2">
        <x:v>Message Sent</x:v>
      </x:c>
    </x:row>
    <x:row r="4404">
      <x:c r="A4404" t="str" s="2">
        <x:f>="Thomas Petite"</x:f>
      </x:c>
      <x:c r="B4404" t="str" s="2">
        <x:v>Heritage Housing Gainesville</x:v>
      </x:c>
      <x:c r="C4404" t="str" s="2">
        <x:v/>
      </x:c>
      <x:c r="D4404" t="str" s="2">
        <x:v>4043722915</x:v>
      </x:c>
      <x:c r="E4404" t="str" s="2">
        <x:v>Thomaspetite45@gmail.com</x:v>
      </x:c>
      <x:c r="F4404" t="str" s="2">
        <x:v>Landing_BPM</x:v>
      </x:c>
      <x:c r="G4404" t="str" s="2">
        <x:v>Kelly Ford</x:v>
      </x:c>
      <x:c r="H4404" s="6">
        <x:v>46276.09625940972</x:v>
      </x:c>
      <x:c r="I4404" s="0"/>
      <x:c r="J4404" s="0"/>
      <x:c r="K4404" s="6">
        <x:v>46290</x:v>
      </x:c>
      <x:c r="L4404" t="str" s="2">
        <x:v>Message Sent</x:v>
      </x:c>
    </x:row>
    <x:row r="4405">
      <x:c r="A4405" t="str" s="2">
        <x:f>="Dominic Friesen"</x:f>
      </x:c>
      <x:c r="B4405" t="str" s="2">
        <x:v>Heritage Housing of Tulsa</x:v>
      </x:c>
      <x:c r="C4405" t="str" s="2">
        <x:v/>
      </x:c>
      <x:c r="D4405" t="str" s="2">
        <x:v>2136401971</x:v>
      </x:c>
      <x:c r="E4405" t="str" s="2">
        <x:v>dfriesenpr@gmail.com</x:v>
      </x:c>
      <x:c r="F4405" t="str" s="2">
        <x:v>Youtube</x:v>
      </x:c>
      <x:c r="G4405" t="str" s="2">
        <x:v>Jenna Fransisco</x:v>
      </x:c>
      <x:c r="H4405" s="6">
        <x:v>46276.10858263889</x:v>
      </x:c>
      <x:c r="I4405" s="0"/>
      <x:c r="J4405" s="0"/>
      <x:c r="K4405" s="6">
        <x:v>46276</x:v>
      </x:c>
      <x:c r="L4405" t="str" s="2">
        <x:v>Message Sent</x:v>
      </x:c>
    </x:row>
    <x:row r="4406">
      <x:c r="A4406" t="str" s="2">
        <x:f>="Cameron Sprunger"</x:f>
      </x:c>
      <x:c r="B4406" t="str" s="2">
        <x:v>Legacy Housing Corp. DBA Americasa</x:v>
      </x:c>
      <x:c r="C4406" t="str" s="2">
        <x:v/>
      </x:c>
      <x:c r="D4406" t="str" s="2">
        <x:v>3464086864</x:v>
      </x:c>
      <x:c r="E4406" t="str" s="2">
        <x:v>cameronsprunger4@gmail.con</x:v>
      </x:c>
      <x:c r="F4406" t="str" s="2">
        <x:v>Landing_BPM</x:v>
      </x:c>
      <x:c r="G4406" t="str" s="2">
        <x:v>Jose Parada</x:v>
      </x:c>
      <x:c r="H4406" s="6">
        <x:v>46276.363559178244</x:v>
      </x:c>
      <x:c r="I4406" s="0"/>
      <x:c r="J4406" s="0"/>
      <x:c r="K4406" s="6">
        <x:v>46287</x:v>
      </x:c>
      <x:c r="L4406" t="str" s="2">
        <x:v>Message Sent</x:v>
      </x:c>
    </x:row>
    <x:row r="4407">
      <x:c r="A4407" t="str" s="2">
        <x:f>="Evelyn Santana"</x:f>
      </x:c>
      <x:c r="B4407" t="str" s="2">
        <x:v>Heritage Housing of Greenville</x:v>
      </x:c>
      <x:c r="C4407" t="str" s="2">
        <x:v/>
      </x:c>
      <x:c r="D4407" t="str" s="2">
        <x:v>682241-4940</x:v>
      </x:c>
      <x:c r="E4407" t="str" s="2">
        <x:v>supremecleaningservices13@gmail.com</x:v>
      </x:c>
      <x:c r="F4407" t="str" s="2">
        <x:v>Landing_BPM</x:v>
      </x:c>
      <x:c r="G4407" t="str" s="2">
        <x:v>Brooklynn Allen</x:v>
      </x:c>
      <x:c r="H4407" s="6">
        <x:v>46276.40201646991</x:v>
      </x:c>
      <x:c r="I4407" s="0"/>
      <x:c r="J4407" s="0"/>
      <x:c r="K4407" s="6">
        <x:v>46276</x:v>
      </x:c>
      <x:c r="L4407" t="str" s="2">
        <x:v>Message Sent</x:v>
      </x:c>
    </x:row>
    <x:row r="4408">
      <x:c r="A4408" t="str" s="2">
        <x:f>="Kimberly Pantoja"</x:f>
      </x:c>
      <x:c r="B4408" t="str" s="2">
        <x:v>Heritage Housing of Albany</x:v>
      </x:c>
      <x:c r="C4408" t="str" s="2">
        <x:v/>
      </x:c>
      <x:c r="D4408" t="str" s="2">
        <x:v>2709871963</x:v>
      </x:c>
      <x:c r="E4408" t="str" s="2">
        <x:v>kimberlylp@yahoo.com</x:v>
      </x:c>
      <x:c r="F4408" t="str" s="2">
        <x:v>Financing Form</x:v>
      </x:c>
      <x:c r="G4408" t="str" s="2">
        <x:v>Yanet Alvarez</x:v>
      </x:c>
      <x:c r="H4408" s="6">
        <x:v>46276.42744826389</x:v>
      </x:c>
      <x:c r="I4408" s="0"/>
      <x:c r="J4408" s="0"/>
      <x:c r="K4408" s="6">
        <x:v>46303</x:v>
      </x:c>
      <x:c r="L4408" t="str" s="2">
        <x:v>Message Sent</x:v>
      </x:c>
    </x:row>
    <x:row r="4409">
      <x:c r="A4409" t="str" s="2">
        <x:f>="PATIENCE Shatswell"</x:f>
      </x:c>
      <x:c r="B4409" t="str" s="2">
        <x:v>Heritage Housing of Tulsa</x:v>
      </x:c>
      <x:c r="C4409" t="str" s="2">
        <x:v/>
      </x:c>
      <x:c r="D4409" t="str" s="2">
        <x:v>3162354792</x:v>
      </x:c>
      <x:c r="E4409" t="str" s="2">
        <x:v>vaughnpay4@gmail.com</x:v>
      </x:c>
      <x:c r="F4409" t="str" s="2">
        <x:v>Landing_BPM</x:v>
      </x:c>
      <x:c r="G4409" t="str" s="2">
        <x:v>Jenna Fransisco</x:v>
      </x:c>
      <x:c r="H4409" s="6">
        <x:v>46276.52580373843</x:v>
      </x:c>
      <x:c r="I4409" s="0"/>
      <x:c r="J4409" s="0"/>
      <x:c r="K4409" s="6">
        <x:v>46302.71224082176</x:v>
      </x:c>
      <x:c r="L4409" t="str" s="2">
        <x:v>Message Sent</x:v>
      </x:c>
    </x:row>
    <x:row r="4410">
      <x:c r="A4410" t="str" s="2">
        <x:f>="morgan presley"</x:f>
      </x:c>
      <x:c r="B4410" t="str" s="2">
        <x:v>Heritage Housing of Albany</x:v>
      </x:c>
      <x:c r="C4410" t="str" s="2">
        <x:v/>
      </x:c>
      <x:c r="D4410" t="str" s="2">
        <x:v>6789275307</x:v>
      </x:c>
      <x:c r="E4410" t="str" s="2">
        <x:v>coffeeancars@gmail.com</x:v>
      </x:c>
      <x:c r="F4410" t="str" s="2">
        <x:v>Landing_BPM</x:v>
      </x:c>
      <x:c r="G4410" t="str" s="2">
        <x:v>Justin Johnson</x:v>
      </x:c>
      <x:c r="H4410" s="6">
        <x:v>46276.53113070602</x:v>
      </x:c>
      <x:c r="I4410" s="0"/>
      <x:c r="J4410" s="0"/>
      <x:c r="K4410" s="6">
        <x:v>46280</x:v>
      </x:c>
      <x:c r="L4410" t="str" s="2">
        <x:v>Message Sent</x:v>
      </x:c>
    </x:row>
    <x:row r="4411">
      <x:c r="A4411" t="str" s="2">
        <x:f>="Victoe Zavala"</x:f>
      </x:c>
      <x:c r="B4411" t="str" s="2">
        <x:v>Legacy Housing Corp. DBA Americasa</x:v>
      </x:c>
      <x:c r="C4411" t="str" s="2">
        <x:v/>
      </x:c>
      <x:c r="D4411" t="str" s="2">
        <x:v>2813956844</x:v>
      </x:c>
      <x:c r="E4411" t="str" s="2">
        <x:v>deissyzavala2013@gmail.com</x:v>
      </x:c>
      <x:c r="F4411" t="str" s="2">
        <x:v>Website</x:v>
      </x:c>
      <x:c r="G4411" t="str" s="2">
        <x:v>Rodrigo Ramirez</x:v>
      </x:c>
      <x:c r="H4411" s="6">
        <x:v>46276.54392326389</x:v>
      </x:c>
      <x:c r="I4411" s="0"/>
      <x:c r="J4411" s="0"/>
      <x:c r="K4411" s="6">
        <x:v>46280</x:v>
      </x:c>
      <x:c r="L4411" t="str" s="2">
        <x:v>Message Sent</x:v>
      </x:c>
    </x:row>
    <x:row r="4412">
      <x:c r="A4412" t="str" s="2">
        <x:f>="Anthony Roger"</x:f>
      </x:c>
      <x:c r="B4412" t="str" s="2">
        <x:v>Heritage Housing of Jennings</x:v>
      </x:c>
      <x:c r="C4412" t="str" s="2">
        <x:v/>
      </x:c>
      <x:c r="D4412" t="str" s="2">
        <x:v>3372873975</x:v>
      </x:c>
      <x:c r="E4412" t="str" s="2">
        <x:v>kjundad18@gmail.com</x:v>
      </x:c>
      <x:c r="F4412" t="str" s="2">
        <x:v>Landing_BPM</x:v>
      </x:c>
      <x:c r="G4412" t="str" s="2">
        <x:v>Mervin Leslie Smith</x:v>
      </x:c>
      <x:c r="H4412" s="6">
        <x:v>46276.55850146991</x:v>
      </x:c>
      <x:c r="I4412" s="0"/>
      <x:c r="J4412" s="0"/>
      <x:c r="K4412" s="6">
        <x:v>46302.73937908565</x:v>
      </x:c>
      <x:c r="L4412" t="str" s="2">
        <x:v>Message Sent</x:v>
      </x:c>
    </x:row>
    <x:row r="4413">
      <x:c r="A4413" t="str" s="2">
        <x:f>="Erin Reid"</x:f>
      </x:c>
      <x:c r="B4413" t="str" s="2">
        <x:v>Heritage Housing of Jennings</x:v>
      </x:c>
      <x:c r="C4413" t="str" s="2">
        <x:v/>
      </x:c>
      <x:c r="D4413" t="str" s="2">
        <x:v>8138434706</x:v>
      </x:c>
      <x:c r="E4413" t="str" s="2">
        <x:v>erinbrittany47@gmail.com</x:v>
      </x:c>
      <x:c r="F4413" t="str" s="2">
        <x:v>Youtube</x:v>
      </x:c>
      <x:c r="G4413" t="str" s="2">
        <x:v>Clint O'Neal</x:v>
      </x:c>
      <x:c r="H4413" s="6">
        <x:v>46276.56104583333</x:v>
      </x:c>
      <x:c r="I4413" s="0"/>
      <x:c r="J4413" s="0"/>
      <x:c r="K4413" s="6">
        <x:v>46302.72115269676</x:v>
      </x:c>
      <x:c r="L4413" t="str" s="2">
        <x:v>Message Sent</x:v>
      </x:c>
    </x:row>
    <x:row r="4414">
      <x:c r="A4414" t="str" s="2">
        <x:f>="Joselyn Marquez Marquez"</x:f>
      </x:c>
      <x:c r="B4414" t="str" s="2">
        <x:v>Heritage Housing of Augusta</x:v>
      </x:c>
      <x:c r="C4414" t="str" s="2">
        <x:v/>
      </x:c>
      <x:c r="D4414" t="str" s="2">
        <x:v>7275193472</x:v>
      </x:c>
      <x:c r="E4414" t="str" s="2">
        <x:v>boricuabesos85@gmail.com</x:v>
      </x:c>
      <x:c r="F4414" t="str" s="2">
        <x:v>Landing_BPM</x:v>
      </x:c>
      <x:c r="G4414" t="str" s="2">
        <x:v>Jennifer Johnson</x:v>
      </x:c>
      <x:c r="H4414" s="6">
        <x:v>46276.57386087963</x:v>
      </x:c>
      <x:c r="I4414" s="0"/>
      <x:c r="J4414" s="0"/>
      <x:c r="K4414" s="6">
        <x:v>46298</x:v>
      </x:c>
      <x:c r="L4414" t="str" s="2">
        <x:v>Message Sent</x:v>
      </x:c>
    </x:row>
    <x:row r="4415">
      <x:c r="A4415" t="str" s="2">
        <x:f>="Michael Holliday"</x:f>
      </x:c>
      <x:c r="B4415" t="str" s="2">
        <x:v>Heritage Housing of Asheboro</x:v>
      </x:c>
      <x:c r="C4415" t="str" s="2">
        <x:v/>
      </x:c>
      <x:c r="D4415" t="str" s="2">
        <x:v>9803221439</x:v>
      </x:c>
      <x:c r="E4415" t="str" s="2">
        <x:v>dallas.holliday@gmail.com</x:v>
      </x:c>
      <x:c r="F4415" t="str" s="2">
        <x:v>Youtube</x:v>
      </x:c>
      <x:c r="G4415" t="str" s="2">
        <x:v>Maria Lopez</x:v>
      </x:c>
      <x:c r="H4415" s="6">
        <x:v>46276.5787508912</x:v>
      </x:c>
      <x:c r="I4415" s="0"/>
      <x:c r="J4415" s="0"/>
      <x:c r="K4415" s="6">
        <x:v>46288</x:v>
      </x:c>
      <x:c r="L4415" t="str" s="2">
        <x:v>Message Sent</x:v>
      </x:c>
    </x:row>
    <x:row r="4416">
      <x:c r="A4416" t="str" s="2">
        <x:f>="Nicole Chavez"</x:f>
      </x:c>
      <x:c r="B4416" t="str" s="2">
        <x:v>Heritage Housing of Jennings</x:v>
      </x:c>
      <x:c r="C4416" t="str" s="2">
        <x:v/>
      </x:c>
      <x:c r="D4416" t="str" s="2">
        <x:v>2253046087</x:v>
      </x:c>
      <x:c r="E4416" t="str" s="2">
        <x:v>chaveznicole2004@gmail.com</x:v>
      </x:c>
      <x:c r="F4416" t="str" s="2">
        <x:v>Youtube</x:v>
      </x:c>
      <x:c r="G4416" t="str" s="2">
        <x:v>Mervin Leslie Smith</x:v>
      </x:c>
      <x:c r="H4416" s="6">
        <x:v>46276.584126354166</x:v>
      </x:c>
      <x:c r="I4416" s="0"/>
      <x:c r="J4416" s="0"/>
      <x:c r="K4416" s="6">
        <x:v>46302.655724965276</x:v>
      </x:c>
      <x:c r="L4416" t="str" s="2">
        <x:v>Message Sent</x:v>
      </x:c>
    </x:row>
    <x:row r="4417">
      <x:c r="A4417" t="str" s="2">
        <x:f>="Stephanie Campbell"</x:f>
      </x:c>
      <x:c r="B4417" t="str" s="2">
        <x:v>Heritage Housing of Tulsa</x:v>
      </x:c>
      <x:c r="C4417" t="str" s="2">
        <x:v/>
      </x:c>
      <x:c r="D4417" t="str" s="2">
        <x:v>5394309408</x:v>
      </x:c>
      <x:c r="E4417" t="str" s="2">
        <x:v>cherokeendn1234@gmail.com</x:v>
      </x:c>
      <x:c r="F4417" t="str" s="2">
        <x:v>Youtube</x:v>
      </x:c>
      <x:c r="G4417" t="str" s="2">
        <x:v>Jenna Fransisco</x:v>
      </x:c>
      <x:c r="H4417" s="6">
        <x:v>46276.61265517361</x:v>
      </x:c>
      <x:c r="I4417" s="0"/>
      <x:c r="J4417" s="0"/>
      <x:c r="K4417" s="6">
        <x:v>46279</x:v>
      </x:c>
      <x:c r="L4417" t="str" s="2">
        <x:v>Message Sent</x:v>
      </x:c>
    </x:row>
    <x:row r="4418">
      <x:c r="A4418" t="str" s="2">
        <x:f>="Angel Dixon"</x:f>
      </x:c>
      <x:c r="B4418" t="str" s="2">
        <x:v>Legacy Housing Corp. DBA Americasa</x:v>
      </x:c>
      <x:c r="C4418" t="str" s="2">
        <x:v/>
      </x:c>
      <x:c r="D4418" t="str" s="2">
        <x:v>3464342030</x:v>
      </x:c>
      <x:c r="E4418" t="str" s="2">
        <x:v>angeldixon75@gmail.com</x:v>
      </x:c>
      <x:c r="F4418" t="str" s="2">
        <x:v>Youtube</x:v>
      </x:c>
      <x:c r="G4418" t="str" s="2">
        <x:v>Jose Parada</x:v>
      </x:c>
      <x:c r="H4418" s="6">
        <x:v>46276.61737190972</x:v>
      </x:c>
      <x:c r="I4418" s="0"/>
      <x:c r="J4418" s="0"/>
      <x:c r="K4418" s="6">
        <x:v>46284</x:v>
      </x:c>
      <x:c r="L4418" t="str" s="2">
        <x:v>Message Sent</x:v>
      </x:c>
    </x:row>
    <x:row r="4419">
      <x:c r="A4419" t="str" s="2">
        <x:f>="Sherika Williams"</x:f>
      </x:c>
      <x:c r="B4419" t="str" s="2">
        <x:v>Heritage Housing of Albany</x:v>
      </x:c>
      <x:c r="C4419" t="str" s="2">
        <x:v/>
      </x:c>
      <x:c r="D4419" t="str" s="2">
        <x:v>4044533355</x:v>
      </x:c>
      <x:c r="E4419" t="str" s="2">
        <x:v>sherikatwilliams73@gmail.com</x:v>
      </x:c>
      <x:c r="F4419" t="str" s="2">
        <x:v>Youtube</x:v>
      </x:c>
      <x:c r="G4419" t="str" s="2">
        <x:v>Yanet Alvarez</x:v>
      </x:c>
      <x:c r="H4419" s="6">
        <x:v>46276.66546079861</x:v>
      </x:c>
      <x:c r="I4419" s="0"/>
      <x:c r="J4419" s="0"/>
      <x:c r="K4419" s="6">
        <x:v>46303</x:v>
      </x:c>
      <x:c r="L4419" t="str" s="2">
        <x:v>Message Sent</x:v>
      </x:c>
    </x:row>
    <x:row r="4420">
      <x:c r="A4420" t="str" s="2">
        <x:f>="C Crump"</x:f>
      </x:c>
      <x:c r="B4420" t="str" s="2">
        <x:v>Heritage Housing of Albany</x:v>
      </x:c>
      <x:c r="C4420" t="str" s="2">
        <x:v/>
      </x:c>
      <x:c r="D4420" t="str" s="2">
        <x:v>2293280866</x:v>
      </x:c>
      <x:c r="E4420" t="str" s="2">
        <x:v>ccarlisea@gmail.com</x:v>
      </x:c>
      <x:c r="F4420" t="str" s="2">
        <x:v>Landing_BPM</x:v>
      </x:c>
      <x:c r="G4420" t="str" s="2">
        <x:v>Justin Johnson</x:v>
      </x:c>
      <x:c r="H4420" s="6">
        <x:v>46276.668618599535</x:v>
      </x:c>
      <x:c r="I4420" s="0"/>
      <x:c r="J4420" s="0"/>
      <x:c r="K4420" s="6">
        <x:v>46280</x:v>
      </x:c>
      <x:c r="L4420" t="str" s="2">
        <x:v>Message Sent</x:v>
      </x:c>
    </x:row>
    <x:row r="4421">
      <x:c r="A4421" t="str" s="2">
        <x:f>="Linda Crandall"</x:f>
      </x:c>
      <x:c r="B4421" t="str" s="2">
        <x:v>Heritage Housing Mt Pleasant</x:v>
      </x:c>
      <x:c r="C4421" t="str" s="2">
        <x:v/>
      </x:c>
      <x:c r="D4421" t="str" s="2">
        <x:v>8709382950</x:v>
      </x:c>
      <x:c r="E4421" t="str" s="2">
        <x:v>lindac1951@yahoo.com</x:v>
      </x:c>
      <x:c r="F4421" t="str" s="2">
        <x:v>Bing - Search</x:v>
      </x:c>
      <x:c r="G4421" t="str" s="2">
        <x:v>Sandra Saldana</x:v>
      </x:c>
      <x:c r="H4421" s="6">
        <x:v>46276.671951006945</x:v>
      </x:c>
      <x:c r="I4421" s="0"/>
      <x:c r="J4421" s="0"/>
      <x:c r="K4421" s="6">
        <x:v>46276</x:v>
      </x:c>
      <x:c r="L4421" t="str" s="2">
        <x:v>Message Sent</x:v>
      </x:c>
    </x:row>
    <x:row r="4422">
      <x:c r="A4422" t="str" s="2">
        <x:f>="Jurshia Jones"</x:f>
      </x:c>
      <x:c r="B4422" t="str" s="2">
        <x:v>Heritage Housing of Athens</x:v>
      </x:c>
      <x:c r="C4422" t="str" s="2">
        <x:v/>
      </x:c>
      <x:c r="D4422" t="str" s="2">
        <x:v>6789790381</x:v>
      </x:c>
      <x:c r="E4422" t="str" s="2">
        <x:v>jjurshia5381@gmail.com</x:v>
      </x:c>
      <x:c r="F4422" t="str" s="2">
        <x:v>Landing_BPM</x:v>
      </x:c>
      <x:c r="G4422" t="str" s="2">
        <x:v>Nathan Bishop</x:v>
      </x:c>
      <x:c r="H4422" s="6">
        <x:v>46276.688270833336</x:v>
      </x:c>
      <x:c r="I4422" s="0"/>
      <x:c r="J4422" s="0"/>
      <x:c r="K4422" s="6">
        <x:v>46303.8371025463</x:v>
      </x:c>
      <x:c r="L4422" t="str" s="2">
        <x:v>Message Sent</x:v>
      </x:c>
    </x:row>
    <x:row r="4423">
      <x:c r="A4423" t="str" s="2">
        <x:f>="Crystal Chopin"</x:f>
      </x:c>
      <x:c r="B4423" t="str" s="2">
        <x:v>Heritage Housing of Jennings</x:v>
      </x:c>
      <x:c r="C4423" t="str" s="2">
        <x:v/>
      </x:c>
      <x:c r="D4423" t="str" s="2">
        <x:v>2253245272</x:v>
      </x:c>
      <x:c r="E4423" t="str" s="2">
        <x:v>DLOVELY09@GMAIL.COM</x:v>
      </x:c>
      <x:c r="F4423" t="str" s="2">
        <x:v>Youtube</x:v>
      </x:c>
      <x:c r="G4423" t="str" s="2">
        <x:v>Clint O'Neal</x:v>
      </x:c>
      <x:c r="H4423" s="6">
        <x:v>46276.699578125</x:v>
      </x:c>
      <x:c r="I4423" s="0"/>
      <x:c r="J4423" s="0"/>
      <x:c r="K4423" s="6">
        <x:v>46302.7216315625</x:v>
      </x:c>
      <x:c r="L4423" t="str" s="2">
        <x:v>Message Sent</x:v>
      </x:c>
    </x:row>
    <x:row r="4424">
      <x:c r="A4424" t="str" s="2">
        <x:f>="Samantha verrett"</x:f>
      </x:c>
      <x:c r="B4424" t="str" s="2">
        <x:v>Heritage Housing of Jennings</x:v>
      </x:c>
      <x:c r="C4424" t="str" s="2">
        <x:v>0/2</x:v>
      </x:c>
      <x:c r="D4424" t="str" s="2">
        <x:v>3374927739</x:v>
      </x:c>
      <x:c r="E4424" t="str" s="2">
        <x:v>verrettsamantha56@gmail.com</x:v>
      </x:c>
      <x:c r="F4424" t="str" s="2">
        <x:v>Youtube</x:v>
      </x:c>
      <x:c r="G4424" t="str" s="2">
        <x:v>Mervin Leslie Smith</x:v>
      </x:c>
      <x:c r="H4424" s="6">
        <x:v>46276.71194533565</x:v>
      </x:c>
      <x:c r="I4424" s="0"/>
      <x:c r="J4424" s="0"/>
      <x:c r="K4424" s="6">
        <x:v>46302.722102465275</x:v>
      </x:c>
      <x:c r="L4424" t="str" s="2">
        <x:v>Message Sent</x:v>
      </x:c>
    </x:row>
    <x:row r="4425">
      <x:c r="A4425" t="str" s="2">
        <x:f>="Monica Brown"</x:f>
      </x:c>
      <x:c r="B4425" t="str" s="2">
        <x:v>Heritage Housing of Athens</x:v>
      </x:c>
      <x:c r="C4425" t="str" s="2">
        <x:v>1/1</x:v>
      </x:c>
      <x:c r="D4425" t="str" s="2">
        <x:v>7069882884</x:v>
      </x:c>
      <x:c r="E4425" t="str" s="2">
        <x:v>wildtazzy24@gmail.com</x:v>
      </x:c>
      <x:c r="F4425" t="str" s="2">
        <x:v>Landing_BPM</x:v>
      </x:c>
      <x:c r="G4425" t="str" s="2">
        <x:v>Ethan Fossett</x:v>
      </x:c>
      <x:c r="H4425" s="6">
        <x:v>46276.780981331016</x:v>
      </x:c>
      <x:c r="I4425" s="0"/>
      <x:c r="J4425" s="0"/>
      <x:c r="K4425" s="6">
        <x:v>46279</x:v>
      </x:c>
      <x:c r="L4425" t="str" s="2">
        <x:v>Message Sent</x:v>
      </x:c>
    </x:row>
    <x:row r="4426">
      <x:c r="A4426" t="str" s="2">
        <x:f>="Ashley Cormier"</x:f>
      </x:c>
      <x:c r="B4426" t="str" s="2">
        <x:v>Heritage Housing of Jennings</x:v>
      </x:c>
      <x:c r="C4426" t="str" s="2">
        <x:v/>
      </x:c>
      <x:c r="D4426" t="str" s="2">
        <x:v>3376050073</x:v>
      </x:c>
      <x:c r="E4426" t="str" s="2">
        <x:v>cormierashley0@gmail.com</x:v>
      </x:c>
      <x:c r="F4426" t="str" s="2">
        <x:v>LandingPage</x:v>
      </x:c>
      <x:c r="G4426" t="str" s="2">
        <x:v>Clint O'Neal</x:v>
      </x:c>
      <x:c r="H4426" s="6">
        <x:v>46276.79159699074</x:v>
      </x:c>
      <x:c r="I4426" s="0"/>
      <x:c r="J4426" s="0"/>
      <x:c r="K4426" s="6">
        <x:v>46302.722705671295</x:v>
      </x:c>
      <x:c r="L4426" t="str" s="2">
        <x:v>Message Sent</x:v>
      </x:c>
    </x:row>
    <x:row r="4427">
      <x:c r="A4427" t="str" s="2">
        <x:f>="Teresa Dunn-Barnes"</x:f>
      </x:c>
      <x:c r="B4427" t="str" s="2">
        <x:v>Heritage Housing of Athens</x:v>
      </x:c>
      <x:c r="C4427" t="str" s="2">
        <x:v/>
      </x:c>
      <x:c r="D4427" t="str" s="2">
        <x:v>7068185224</x:v>
      </x:c>
      <x:c r="E4427" t="str" s="2">
        <x:v>dunnteresa43@gmail.com</x:v>
      </x:c>
      <x:c r="F4427" t="str" s="2">
        <x:v>LandingPage</x:v>
      </x:c>
      <x:c r="G4427" t="str" s="2">
        <x:v>Nathan Bishop</x:v>
      </x:c>
      <x:c r="H4427" s="6">
        <x:v>46276.80489517361</x:v>
      </x:c>
      <x:c r="I4427" s="0"/>
      <x:c r="J4427" s="0"/>
      <x:c r="K4427" s="6">
        <x:v>46303.83775358796</x:v>
      </x:c>
      <x:c r="L4427" t="str" s="2">
        <x:v>Message Sent</x:v>
      </x:c>
    </x:row>
    <x:row r="4428">
      <x:c r="A4428" t="str" s="2">
        <x:f>="Debra Hanks"</x:f>
      </x:c>
      <x:c r="B4428" t="str" s="2">
        <x:v>Heritage Housing of Tulsa</x:v>
      </x:c>
      <x:c r="C4428" t="str" s="2">
        <x:v/>
      </x:c>
      <x:c r="D4428" t="str" s="2">
        <x:v>7606006397</x:v>
      </x:c>
      <x:c r="E4428" t="str" s="2">
        <x:v>debrahanks96@gmail.com</x:v>
      </x:c>
      <x:c r="F4428" t="str" s="2">
        <x:v>Landing_BPM</x:v>
      </x:c>
      <x:c r="G4428" t="str" s="2">
        <x:v>Jenna Fransisco</x:v>
      </x:c>
      <x:c r="H4428" s="6">
        <x:v>46276.80994328704</x:v>
      </x:c>
      <x:c r="I4428" s="0"/>
      <x:c r="J4428" s="0"/>
      <x:c r="K4428" s="6">
        <x:v>46276</x:v>
      </x:c>
      <x:c r="L4428" t="str" s="2">
        <x:v>Message Sent</x:v>
      </x:c>
    </x:row>
    <x:row r="4429">
      <x:c r="A4429" t="str" s="2">
        <x:f>="Bri Summerall"</x:f>
      </x:c>
      <x:c r="B4429" t="str" s="2">
        <x:v>Heritage Housing of Asheboro</x:v>
      </x:c>
      <x:c r="C4429" t="str" s="2">
        <x:v/>
      </x:c>
      <x:c r="D4429" t="str" s="2">
        <x:v>8646515154</x:v>
      </x:c>
      <x:c r="E4429" t="str" s="2">
        <x:v>betterdays7119@icloud.com</x:v>
      </x:c>
      <x:c r="F4429" t="str" s="2">
        <x:v>Landing_BPM</x:v>
      </x:c>
      <x:c r="G4429" t="str" s="2">
        <x:v>Maria Lopez</x:v>
      </x:c>
      <x:c r="H4429" s="6">
        <x:v>46276.8147633912</x:v>
      </x:c>
      <x:c r="I4429" s="0"/>
      <x:c r="J4429" s="0"/>
      <x:c r="K4429" s="6">
        <x:v>46307</x:v>
      </x:c>
      <x:c r="L4429" t="str" s="2">
        <x:v>Message Sent</x:v>
      </x:c>
    </x:row>
    <x:row r="4430">
      <x:c r="A4430" t="str" s="2">
        <x:f>="Dedrick Jasper"</x:f>
      </x:c>
      <x:c r="B4430" t="str" s="2">
        <x:v>Heritage Housing of Canton</x:v>
      </x:c>
      <x:c r="C4430" t="str" s="2">
        <x:v/>
      </x:c>
      <x:c r="D4430" t="str" s="2">
        <x:v>9035307624</x:v>
      </x:c>
      <x:c r="E4430" t="str" s="2">
        <x:v>dedrickjasper@gmail.com</x:v>
      </x:c>
      <x:c r="F4430" t="str" s="2">
        <x:v>Landing_BPM</x:v>
      </x:c>
      <x:c r="G4430" t="str" s="2">
        <x:v>Maira Garcia</x:v>
      </x:c>
      <x:c r="H4430" s="6">
        <x:v>46276.82161721065</x:v>
      </x:c>
      <x:c r="I4430" s="0"/>
      <x:c r="J4430" s="0"/>
      <x:c r="K4430" s="6">
        <x:v>46276</x:v>
      </x:c>
      <x:c r="L4430" t="str" s="2">
        <x:v>Message Sent</x:v>
      </x:c>
    </x:row>
    <x:row r="4431">
      <x:c r="A4431" t="str" s="2">
        <x:f>="Billie Harris"</x:f>
      </x:c>
      <x:c r="B4431" t="str" s="2">
        <x:v>Heritage Housing of Greenville</x:v>
      </x:c>
      <x:c r="C4431" t="str" s="2">
        <x:v>0/2</x:v>
      </x:c>
      <x:c r="D4431" t="str" s="2">
        <x:v>4302953174</x:v>
      </x:c>
      <x:c r="E4431" t="str" s="2">
        <x:v>morristabitha8@gmail.com</x:v>
      </x:c>
      <x:c r="F4431" t="str" s="2">
        <x:v>Financing Form</x:v>
      </x:c>
      <x:c r="G4431" t="str" s="2">
        <x:v>Greg Christman</x:v>
      </x:c>
      <x:c r="H4431" s="6">
        <x:v>46276.83680424769</x:v>
      </x:c>
      <x:c r="I4431" s="0"/>
      <x:c r="J4431" s="0"/>
      <x:c r="K4431" s="6">
        <x:v>46288</x:v>
      </x:c>
      <x:c r="L4431" t="str" s="2">
        <x:v>Message Sent</x:v>
      </x:c>
    </x:row>
    <x:row r="4432">
      <x:c r="A4432" t="str" s="2">
        <x:f>="Cameron Swilley"</x:f>
      </x:c>
      <x:c r="B4432" t="str" s="2">
        <x:v>Heritage Housing of Albany</x:v>
      </x:c>
      <x:c r="C4432" t="str" s="2">
        <x:v>1/2</x:v>
      </x:c>
      <x:c r="D4432" t="str" s="2">
        <x:v>2298947861</x:v>
      </x:c>
      <x:c r="E4432" t="str" s="2">
        <x:v>swilleycameron9607@gmail.com</x:v>
      </x:c>
      <x:c r="F4432" t="str" s="2">
        <x:v>Financing Form</x:v>
      </x:c>
      <x:c r="G4432" t="str" s="2">
        <x:v>Yanet Alvarez</x:v>
      </x:c>
      <x:c r="H4432" s="6">
        <x:v>46276.853314548614</x:v>
      </x:c>
      <x:c r="I4432" s="0"/>
      <x:c r="J4432" s="0"/>
      <x:c r="K4432" s="6">
        <x:v>46307</x:v>
      </x:c>
      <x:c r="L4432" t="str" s="2">
        <x:v>Message Sent</x:v>
      </x:c>
    </x:row>
    <x:row r="4433">
      <x:c r="A4433" t="str" s="2">
        <x:f>="Pamela Bird"</x:f>
      </x:c>
      <x:c r="B4433" t="str" s="2">
        <x:v>Heritage Housing of Tulsa</x:v>
      </x:c>
      <x:c r="C4433" t="str" s="2">
        <x:v/>
      </x:c>
      <x:c r="D4433" t="str" s="2">
        <x:v>(405)437-3250</x:v>
      </x:c>
      <x:c r="E4433" t="str" s="2">
        <x:v>shalaina93@gmail.com</x:v>
      </x:c>
      <x:c r="F4433" t="str" s="2">
        <x:v>Landing_BPM</x:v>
      </x:c>
      <x:c r="G4433" t="str" s="2">
        <x:v>Jenna Fransisco</x:v>
      </x:c>
      <x:c r="H4433" s="6">
        <x:v>46276.86799259259</x:v>
      </x:c>
      <x:c r="I4433" s="0"/>
      <x:c r="J4433" s="0"/>
      <x:c r="K4433" s="6">
        <x:v>46279</x:v>
      </x:c>
      <x:c r="L4433" t="str" s="2">
        <x:v>Message Sent</x:v>
      </x:c>
    </x:row>
    <x:row r="4434">
      <x:c r="A4434" t="str" s="2">
        <x:f>="Chinita Walker"</x:f>
      </x:c>
      <x:c r="B4434" t="str" s="2">
        <x:v>Heritage Housing of Jennings</x:v>
      </x:c>
      <x:c r="C4434" t="str" s="2">
        <x:v/>
      </x:c>
      <x:c r="D4434" t="str" s="2">
        <x:v>9852469212</x:v>
      </x:c>
      <x:c r="E4434" t="str" s="2">
        <x:v>cheekymitchell43@gmail.com</x:v>
      </x:c>
      <x:c r="F4434" t="str" s="2">
        <x:v>Youtube</x:v>
      </x:c>
      <x:c r="G4434" t="str" s="2">
        <x:v>Mervin Leslie Smith</x:v>
      </x:c>
      <x:c r="H4434" s="6">
        <x:v>46276.907859756946</x:v>
      </x:c>
      <x:c r="I4434" s="0"/>
      <x:c r="J4434" s="0"/>
      <x:c r="K4434" s="6">
        <x:v>46302.72362427083</x:v>
      </x:c>
      <x:c r="L4434" t="str" s="2">
        <x:v>Message Sent</x:v>
      </x:c>
    </x:row>
    <x:row r="4435">
      <x:c r="A4435" t="str" s="2">
        <x:f>="Isaiah Jefferies"</x:f>
      </x:c>
      <x:c r="B4435" t="str" s="2">
        <x:v>Heritage Housing of Albany</x:v>
      </x:c>
      <x:c r="C4435" t="str" s="2">
        <x:v/>
      </x:c>
      <x:c r="D4435" t="str" s="2">
        <x:v>4708605822</x:v>
      </x:c>
      <x:c r="E4435" t="str" s="2">
        <x:v>bamboonomad317@gmail.com</x:v>
      </x:c>
      <x:c r="F4435" t="str" s="2">
        <x:v>Financing Form</x:v>
      </x:c>
      <x:c r="G4435" t="str" s="2">
        <x:v>Justin Johnson</x:v>
      </x:c>
      <x:c r="H4435" s="6">
        <x:v>46276.968352662036</x:v>
      </x:c>
      <x:c r="I4435" s="0"/>
      <x:c r="J4435" s="0"/>
      <x:c r="K4435" s="6">
        <x:v>46280</x:v>
      </x:c>
      <x:c r="L4435" t="str" s="2">
        <x:v>Message Sent</x:v>
      </x:c>
    </x:row>
    <x:row r="4436">
      <x:c r="A4436" t="str" s="2">
        <x:f>="Virginia Jordan"</x:f>
      </x:c>
      <x:c r="B4436" t="str" s="2">
        <x:v>Heritage Housing of Augusta</x:v>
      </x:c>
      <x:c r="C4436" t="str" s="2">
        <x:v/>
      </x:c>
      <x:c r="D4436" t="str" s="2">
        <x:v>4702650386</x:v>
      </x:c>
      <x:c r="E4436" t="str" s="2">
        <x:v>vparsons51@yahoo.com</x:v>
      </x:c>
      <x:c r="F4436" t="str" s="2">
        <x:v>Landing_BPM</x:v>
      </x:c>
      <x:c r="G4436" t="str" s="2">
        <x:v>Jennifer Johnson</x:v>
      </x:c>
      <x:c r="H4436" s="6">
        <x:v>46276.971199224536</x:v>
      </x:c>
      <x:c r="I4436" s="0"/>
      <x:c r="J4436" s="0"/>
      <x:c r="K4436" s="6">
        <x:v>46298</x:v>
      </x:c>
      <x:c r="L4436" t="str" s="2">
        <x:v>Message Sent</x:v>
      </x:c>
    </x:row>
    <x:row r="4437">
      <x:c r="A4437" t="str" s="2">
        <x:f>="Juan Corona"</x:f>
      </x:c>
      <x:c r="B4437" t="str" s="2">
        <x:v>Heritage Housing of Canton</x:v>
      </x:c>
      <x:c r="C4437" t="str" s="2">
        <x:v/>
      </x:c>
      <x:c r="D4437" t="str" s="2">
        <x:v>2148999422</x:v>
      </x:c>
      <x:c r="E4437" t="str" s="2">
        <x:v>crown214@gmail.com</x:v>
      </x:c>
      <x:c r="F4437" t="str" s="2">
        <x:v>Financing Form</x:v>
      </x:c>
      <x:c r="G4437" t="str" s="2">
        <x:v>Jacob Hatten</x:v>
      </x:c>
      <x:c r="H4437" s="6">
        <x:v>46277.00658371528</x:v>
      </x:c>
      <x:c r="I4437" s="0"/>
      <x:c r="J4437" s="0"/>
      <x:c r="K4437" s="6">
        <x:v>46302</x:v>
      </x:c>
      <x:c r="L4437" t="str" s="2">
        <x:v>Message Sent</x:v>
      </x:c>
    </x:row>
    <x:row r="4438">
      <x:c r="A4438" t="str" s="2">
        <x:f>="Brittney Dorsett"</x:f>
      </x:c>
      <x:c r="B4438" t="str" s="2">
        <x:v>Heritage Housing of Asheboro</x:v>
      </x:c>
      <x:c r="C4438" t="str" s="2">
        <x:v/>
      </x:c>
      <x:c r="D4438" t="str" s="2">
        <x:v>9109754802</x:v>
      </x:c>
      <x:c r="E4438" t="str" s="2">
        <x:v>Brittneydorsett@yahoo.com</x:v>
      </x:c>
      <x:c r="F4438" t="str" s="2">
        <x:v>Website</x:v>
      </x:c>
      <x:c r="G4438" t="str" s="2">
        <x:v>Maria Lopez</x:v>
      </x:c>
      <x:c r="H4438" s="6">
        <x:v>46277.01004332176</x:v>
      </x:c>
      <x:c r="I4438" s="0"/>
      <x:c r="J4438" s="0"/>
      <x:c r="K4438" s="6">
        <x:v>46288</x:v>
      </x:c>
      <x:c r="L4438" t="str" s="2">
        <x:v>Message Sent</x:v>
      </x:c>
    </x:row>
    <x:row r="4439">
      <x:c r="A4439" t="str" s="2">
        <x:f>="Mekhi Mcmillan"</x:f>
      </x:c>
      <x:c r="B4439" t="str" s="2">
        <x:v>Legacy Housing Corp. DBA Americasa</x:v>
      </x:c>
      <x:c r="C4439" t="str" s="2">
        <x:v/>
      </x:c>
      <x:c r="D4439" t="str" s="2">
        <x:v>8322932664</x:v>
      </x:c>
      <x:c r="E4439" t="str" s="2">
        <x:v>ethan11tez@gmail.com</x:v>
      </x:c>
      <x:c r="F4439" t="str" s="2">
        <x:v>Landing_BPM</x:v>
      </x:c>
      <x:c r="G4439" t="str" s="2">
        <x:v>Rodrigo Ramirez</x:v>
      </x:c>
      <x:c r="H4439" s="6">
        <x:v>46277.02350173611</x:v>
      </x:c>
      <x:c r="I4439" s="0"/>
      <x:c r="J4439" s="0"/>
      <x:c r="K4439" s="6">
        <x:v>46277</x:v>
      </x:c>
      <x:c r="L4439" t="str" s="2">
        <x:v>Message Sent</x:v>
      </x:c>
    </x:row>
    <x:row r="4440">
      <x:c r="A4440" t="str" s="2">
        <x:f>="Rhonda Tibbetts"</x:f>
      </x:c>
      <x:c r="B4440" t="str" s="2">
        <x:v>Heritage Housing of Tulsa</x:v>
      </x:c>
      <x:c r="C4440" t="str" s="2">
        <x:v/>
      </x:c>
      <x:c r="D4440" t="str" s="2">
        <x:v>5393676692</x:v>
      </x:c>
      <x:c r="E4440" t="str" s="2">
        <x:v>5393676692crazy@gmail.com</x:v>
      </x:c>
      <x:c r="F4440" t="str" s="2">
        <x:v>Youtube</x:v>
      </x:c>
      <x:c r="G4440" t="str" s="2">
        <x:v>Jenna Fransisco</x:v>
      </x:c>
      <x:c r="H4440" s="6">
        <x:v>46277.07365096065</x:v>
      </x:c>
      <x:c r="I4440" s="0"/>
      <x:c r="J4440" s="0"/>
      <x:c r="K4440" s="6">
        <x:v>46279</x:v>
      </x:c>
      <x:c r="L4440" t="str" s="2">
        <x:v>Message Sent</x:v>
      </x:c>
    </x:row>
    <x:row r="4441">
      <x:c r="A4441" t="str" s="2">
        <x:f>="Tony Mills"</x:f>
      </x:c>
      <x:c r="B4441" t="str" s="2">
        <x:v>Heritage Housing of Albany</x:v>
      </x:c>
      <x:c r="C4441" t="str" s="2">
        <x:v/>
      </x:c>
      <x:c r="D4441" t="str" s="2">
        <x:v>3363096413</x:v>
      </x:c>
      <x:c r="E4441" t="str" s="2">
        <x:v>millstony237@gmail.com</x:v>
      </x:c>
      <x:c r="F4441" t="str" s="2">
        <x:v>Financing Form</x:v>
      </x:c>
      <x:c r="G4441" t="str" s="2">
        <x:v>Yanet Alvarez</x:v>
      </x:c>
      <x:c r="H4441" s="6">
        <x:v>46277.115943020835</x:v>
      </x:c>
      <x:c r="I4441" s="0"/>
      <x:c r="J4441" s="0"/>
      <x:c r="K4441" s="6">
        <x:v>46303</x:v>
      </x:c>
      <x:c r="L4441" t="str" s="2">
        <x:v>Message Sent</x:v>
      </x:c>
    </x:row>
    <x:row r="4442">
      <x:c r="A4442" t="str" s="2">
        <x:f>="Nicole Davis Davis"</x:f>
      </x:c>
      <x:c r="B4442" t="str" s="2">
        <x:v>Heritage Housing of Albany</x:v>
      </x:c>
      <x:c r="C4442" t="str" s="2">
        <x:v/>
      </x:c>
      <x:c r="D4442" t="str" s="2">
        <x:v>2025551491</x:v>
      </x:c>
      <x:c r="E4442" t="str" s="2">
        <x:v>fornabai427@gmail.com</x:v>
      </x:c>
      <x:c r="F4442" t="str" s="2">
        <x:v>Website</x:v>
      </x:c>
      <x:c r="G4442" t="str" s="2">
        <x:v>Yanet Alvarez</x:v>
      </x:c>
      <x:c r="H4442" s="6">
        <x:v>46277.342078125</x:v>
      </x:c>
      <x:c r="I4442" s="0"/>
      <x:c r="J4442" s="0"/>
      <x:c r="K4442" s="6">
        <x:v>46302</x:v>
      </x:c>
      <x:c r="L4442" t="str" s="2">
        <x:v>Message Sent</x:v>
      </x:c>
    </x:row>
    <x:row r="4443">
      <x:c r="A4443" t="str" s="2">
        <x:f>="Melissa Chandler"</x:f>
      </x:c>
      <x:c r="B4443" t="str" s="2">
        <x:v>Legacy Housing Corp. DBA Americasa</x:v>
      </x:c>
      <x:c r="C4443" t="str" s="2">
        <x:v/>
      </x:c>
      <x:c r="D4443" t="str" s="2">
        <x:v>7377021839</x:v>
      </x:c>
      <x:c r="E4443" t="str" s="2">
        <x:v>melissaschandler83@gmail.com</x:v>
      </x:c>
      <x:c r="F4443" t="str" s="2">
        <x:v>Landing_BPM</x:v>
      </x:c>
      <x:c r="G4443" t="str" s="2">
        <x:v>Jose Parada</x:v>
      </x:c>
      <x:c r="H4443" s="6">
        <x:v>46277.36259383102</x:v>
      </x:c>
      <x:c r="I4443" s="0"/>
      <x:c r="J4443" s="0"/>
      <x:c r="K4443" s="6">
        <x:v>46277</x:v>
      </x:c>
      <x:c r="L4443" t="str" s="2">
        <x:v>Message Sent</x:v>
      </x:c>
    </x:row>
    <x:row r="4444">
      <x:c r="A4444" t="str" s="2">
        <x:f>="Ashley Ward"</x:f>
      </x:c>
      <x:c r="B4444" t="str" s="2">
        <x:v>Heritage Housing of Tulsa</x:v>
      </x:c>
      <x:c r="C4444" t="str" s="2">
        <x:v/>
      </x:c>
      <x:c r="D4444" t="str" s="2">
        <x:v>4424643765</x:v>
      </x:c>
      <x:c r="E4444" t="str" s="2">
        <x:v>ashw5523@icloud.com</x:v>
      </x:c>
      <x:c r="F4444" t="str" s="2">
        <x:v>Bing - Search</x:v>
      </x:c>
      <x:c r="G4444" t="str" s="2">
        <x:v>Jenna Fransisco</x:v>
      </x:c>
      <x:c r="H4444" s="6">
        <x:v>46277.415399108795</x:v>
      </x:c>
      <x:c r="I4444" s="0"/>
      <x:c r="J4444" s="0"/>
      <x:c r="K4444" s="6">
        <x:v>46279</x:v>
      </x:c>
      <x:c r="L4444" t="str" s="2">
        <x:v>Message Sent</x:v>
      </x:c>
    </x:row>
    <x:row r="4445">
      <x:c r="A4445" t="str" s="2">
        <x:f>="Jeremy Canady Canady"</x:f>
      </x:c>
      <x:c r="B4445" t="str" s="2">
        <x:v>Heritage Housing of Albany</x:v>
      </x:c>
      <x:c r="C4445" t="str" s="2">
        <x:v>0/3</x:v>
      </x:c>
      <x:c r="D4445" t="str" s="2">
        <x:v>2299391833</x:v>
      </x:c>
      <x:c r="E4445" t="str" s="2">
        <x:v>jcanady85@gmail.com</x:v>
      </x:c>
      <x:c r="F4445" t="str" s="2">
        <x:v>Landing_BPM</x:v>
      </x:c>
      <x:c r="G4445" t="str" s="2">
        <x:v>Yanet Alvarez</x:v>
      </x:c>
      <x:c r="H4445" s="6">
        <x:v>46277.5680650463</x:v>
      </x:c>
      <x:c r="I4445" s="0"/>
      <x:c r="J4445" s="0"/>
      <x:c r="K4445" s="6">
        <x:v>46302</x:v>
      </x:c>
      <x:c r="L4445" t="str" s="2">
        <x:v>Message Sent</x:v>
      </x:c>
    </x:row>
    <x:row r="4446">
      <x:c r="A4446" t="str" s="2">
        <x:f>="Angela Robinson"</x:f>
      </x:c>
      <x:c r="B4446" t="str" s="2">
        <x:v>Heritage Housing of Tulsa</x:v>
      </x:c>
      <x:c r="C4446" t="str" s="2">
        <x:v/>
      </x:c>
      <x:c r="D4446" t="str" s="2">
        <x:v>9188052374</x:v>
      </x:c>
      <x:c r="E4446" t="str" s="2">
        <x:v>lifechange0523@gmail.com</x:v>
      </x:c>
      <x:c r="F4446" t="str" s="2">
        <x:v>Bing - Search</x:v>
      </x:c>
      <x:c r="G4446" t="str" s="2">
        <x:v>Jenna Fransisco</x:v>
      </x:c>
      <x:c r="H4446" s="6">
        <x:v>46277.57901045139</x:v>
      </x:c>
      <x:c r="I4446" s="0"/>
      <x:c r="J4446" s="0"/>
      <x:c r="K4446" s="6">
        <x:v>46279</x:v>
      </x:c>
      <x:c r="L4446" t="str" s="2">
        <x:v>Message Sent</x:v>
      </x:c>
    </x:row>
    <x:row r="4447">
      <x:c r="A4447" t="str" s="2">
        <x:f>="Darrick Price"</x:f>
      </x:c>
      <x:c r="B4447" t="str" s="2">
        <x:v>Heritage Housing of Augusta</x:v>
      </x:c>
      <x:c r="C4447" t="str" s="2">
        <x:v/>
      </x:c>
      <x:c r="D4447" t="str" s="2">
        <x:v>7628676280</x:v>
      </x:c>
      <x:c r="E4447" t="str" s="2">
        <x:v>darrickprice556@gmail.com</x:v>
      </x:c>
      <x:c r="F4447" t="str" s="2">
        <x:v>Website</x:v>
      </x:c>
      <x:c r="G4447" t="str" s="2">
        <x:v>Jennifer Johnson</x:v>
      </x:c>
      <x:c r="H4447" s="6">
        <x:v>46277.58378113426</x:v>
      </x:c>
      <x:c r="I4447" s="0"/>
      <x:c r="J4447" s="0"/>
      <x:c r="K4447" s="6">
        <x:v>46289</x:v>
      </x:c>
      <x:c r="L4447" t="str" s="2">
        <x:v>Message Sent</x:v>
      </x:c>
    </x:row>
    <x:row r="4448">
      <x:c r="A4448" t="str" s="2">
        <x:f>="Lucinda Jones"</x:f>
      </x:c>
      <x:c r="B4448" t="str" s="2">
        <x:v>Legacy Housing Corp. DBA Americasa</x:v>
      </x:c>
      <x:c r="C4448" t="str" s="2">
        <x:v/>
      </x:c>
      <x:c r="D4448" t="str" s="2">
        <x:v>4098538894</x:v>
      </x:c>
      <x:c r="E4448" t="str" s="2">
        <x:v>Lucinda.lee@yahoo.com</x:v>
      </x:c>
      <x:c r="F4448" t="str" s="2">
        <x:v>Landing_BPM</x:v>
      </x:c>
      <x:c r="G4448" t="str" s="2">
        <x:v>Rodrigo Ramirez</x:v>
      </x:c>
      <x:c r="H4448" s="6">
        <x:v>46277.65771863426</x:v>
      </x:c>
      <x:c r="I4448" s="0"/>
      <x:c r="J4448" s="0"/>
      <x:c r="K4448" s="6">
        <x:v>46277</x:v>
      </x:c>
      <x:c r="L4448" t="str" s="2">
        <x:v>Message Sent</x:v>
      </x:c>
    </x:row>
    <x:row r="4449">
      <x:c r="A4449" t="str" s="2">
        <x:f>="Monica Elliott"</x:f>
      </x:c>
      <x:c r="B4449" t="str" s="2">
        <x:v>Heritage Housing of Albany</x:v>
      </x:c>
      <x:c r="C4449" t="str" s="2">
        <x:v>1/3</x:v>
      </x:c>
      <x:c r="D4449" t="str" s="2">
        <x:v>7069753832</x:v>
      </x:c>
      <x:c r="E4449" t="str" s="2">
        <x:v>elliottwreaths@gmail.com</x:v>
      </x:c>
      <x:c r="F4449" t="str" s="2">
        <x:v>Walk-in</x:v>
      </x:c>
      <x:c r="G4449" t="str" s="2">
        <x:v>Yanet Alvarez</x:v>
      </x:c>
      <x:c r="H4449" s="6">
        <x:v>46277.66305234954</x:v>
      </x:c>
      <x:c r="I4449" s="0"/>
      <x:c r="J4449" s="0"/>
      <x:c r="K4449" s="6">
        <x:v>46307</x:v>
      </x:c>
      <x:c r="L4449" t="str" s="2">
        <x:v>Message Sent</x:v>
      </x:c>
    </x:row>
    <x:row r="4450">
      <x:c r="A4450" t="str" s="2">
        <x:f>="Hannah Thomas Thomas"</x:f>
      </x:c>
      <x:c r="B4450" t="str" s="2">
        <x:v>Heritage Housing of Albany</x:v>
      </x:c>
      <x:c r="C4450" t="str" s="2">
        <x:v/>
      </x:c>
      <x:c r="D4450" t="str" s="2">
        <x:v>2025555468</x:v>
      </x:c>
      <x:c r="E4450" t="str" s="2">
        <x:v>mikeemac08@yahoo.com</x:v>
      </x:c>
      <x:c r="F4450" t="str" s="2">
        <x:v>Website</x:v>
      </x:c>
      <x:c r="G4450" t="str" s="2">
        <x:v>Yanet Alvarez</x:v>
      </x:c>
      <x:c r="H4450" s="6">
        <x:v>46277.71737924768</x:v>
      </x:c>
      <x:c r="I4450" s="0"/>
      <x:c r="J4450" s="0"/>
      <x:c r="K4450" s="6">
        <x:v>46307</x:v>
      </x:c>
      <x:c r="L4450" t="str" s="2">
        <x:v>Message Sent</x:v>
      </x:c>
    </x:row>
    <x:row r="4451">
      <x:c r="A4451" t="str" s="2">
        <x:f>="Rodney Fout"</x:f>
      </x:c>
      <x:c r="B4451" t="str" s="2">
        <x:v>Heritage Housing of Albany</x:v>
      </x:c>
      <x:c r="C4451" t="str" s="2">
        <x:v/>
      </x:c>
      <x:c r="D4451" t="str" s="2">
        <x:v>2192081935</x:v>
      </x:c>
      <x:c r="E4451" t="str" s="2">
        <x:v>rodney_ft72@yahoo.com</x:v>
      </x:c>
      <x:c r="F4451" t="str" s="2">
        <x:v>Financing Form</x:v>
      </x:c>
      <x:c r="G4451" t="str" s="2">
        <x:v>Yanet Alvarez</x:v>
      </x:c>
      <x:c r="H4451" s="6">
        <x:v>46277.71881400463</x:v>
      </x:c>
      <x:c r="I4451" s="0"/>
      <x:c r="J4451" s="0"/>
      <x:c r="K4451" s="6">
        <x:v>46303.94429100694</x:v>
      </x:c>
      <x:c r="L4451" t="str" s="2">
        <x:v>Message Sent</x:v>
      </x:c>
    </x:row>
    <x:row r="4452">
      <x:c r="A4452" t="str" s="2">
        <x:f>="Shelly Bishop"</x:f>
      </x:c>
      <x:c r="B4452" t="str" s="2">
        <x:v>Heritage Housing of Asheboro</x:v>
      </x:c>
      <x:c r="C4452" t="str" s="2">
        <x:v/>
      </x:c>
      <x:c r="D4452" t="str" s="2">
        <x:v>9073142702</x:v>
      </x:c>
      <x:c r="E4452" t="str" s="2">
        <x:v>shellbellsplace@gmail.com</x:v>
      </x:c>
      <x:c r="F4452" t="str" s="2">
        <x:v>Website</x:v>
      </x:c>
      <x:c r="G4452" t="str" s="2">
        <x:v>Maria Lopez</x:v>
      </x:c>
      <x:c r="H4452" s="6">
        <x:v>46277.73305659722</x:v>
      </x:c>
      <x:c r="I4452" s="0"/>
      <x:c r="J4452" s="0"/>
      <x:c r="K4452" s="6">
        <x:v>46288</x:v>
      </x:c>
      <x:c r="L4452" t="str" s="2">
        <x:v>Message Sent</x:v>
      </x:c>
    </x:row>
    <x:row r="4453">
      <x:c r="A4453" t="str" s="2">
        <x:f>="Phaedra Kirk"</x:f>
      </x:c>
      <x:c r="B4453" t="str" s="2">
        <x:v>Heritage Housing of Greenville</x:v>
      </x:c>
      <x:c r="C4453" t="str" s="2">
        <x:v/>
      </x:c>
      <x:c r="D4453" t="str" s="2">
        <x:v>2147108893</x:v>
      </x:c>
      <x:c r="E4453" t="str" s="2">
        <x:v>phaedrakirk26@gmail.com</x:v>
      </x:c>
      <x:c r="F4453" t="str" s="2">
        <x:v>Landing_BPM</x:v>
      </x:c>
      <x:c r="G4453" t="str" s="2">
        <x:v>Brooklynn Allen</x:v>
      </x:c>
      <x:c r="H4453" s="6">
        <x:v>46277.73840952546</x:v>
      </x:c>
      <x:c r="I4453" s="0"/>
      <x:c r="J4453" s="0"/>
      <x:c r="K4453" s="6">
        <x:v>46288</x:v>
      </x:c>
      <x:c r="L4453" t="str" s="2">
        <x:v>Message Sent</x:v>
      </x:c>
    </x:row>
    <x:row r="4454">
      <x:c r="A4454" t="str" s="2">
        <x:f>="Heather Phillips"</x:f>
      </x:c>
      <x:c r="B4454" t="str" s="2">
        <x:v>Heritage Housing of Jennings</x:v>
      </x:c>
      <x:c r="C4454" t="str" s="2">
        <x:v/>
      </x:c>
      <x:c r="D4454" t="str" s="2">
        <x:v>9855510838</x:v>
      </x:c>
      <x:c r="E4454" t="str" s="2">
        <x:v>heatherreneephil@gmail.com</x:v>
      </x:c>
      <x:c r="F4454" t="str" s="2">
        <x:v>Youtube</x:v>
      </x:c>
      <x:c r="G4454" t="str" s="2">
        <x:v>Clint O'Neal</x:v>
      </x:c>
      <x:c r="H4454" s="6">
        <x:v>46277.75408445602</x:v>
      </x:c>
      <x:c r="I4454" s="0"/>
      <x:c r="J4454" s="0"/>
      <x:c r="K4454" s="6">
        <x:v>46302.72400883102</x:v>
      </x:c>
      <x:c r="L4454" t="str" s="2">
        <x:v>Message Sent</x:v>
      </x:c>
    </x:row>
    <x:row r="4455">
      <x:c r="A4455" t="str" s="2">
        <x:f>="Michael Durazzo"</x:f>
      </x:c>
      <x:c r="B4455" t="str" s="2">
        <x:v>Legacy Housing Corp. DBA Americasa</x:v>
      </x:c>
      <x:c r="C4455" t="str" s="2">
        <x:v/>
      </x:c>
      <x:c r="D4455" t="str" s="2">
        <x:v>7135050319</x:v>
      </x:c>
      <x:c r="E4455" t="str" s="2">
        <x:v>rockydurazzo91989@gmail.com</x:v>
      </x:c>
      <x:c r="F4455" t="str" s="2">
        <x:v>Landing_BPM</x:v>
      </x:c>
      <x:c r="G4455" t="str" s="2">
        <x:v>Jose Parada</x:v>
      </x:c>
      <x:c r="H4455" s="6">
        <x:v>46277.76233394676</x:v>
      </x:c>
      <x:c r="I4455" s="0"/>
      <x:c r="J4455" s="0"/>
      <x:c r="K4455" s="6">
        <x:v>46277</x:v>
      </x:c>
      <x:c r="L4455" t="str" s="2">
        <x:v>Message Sent</x:v>
      </x:c>
    </x:row>
    <x:row r="4456">
      <x:c r="A4456" t="str" s="2">
        <x:f>=HYPERLINK("https://rsms.futurehomex.com/lead/39948", "Rico Jones")</x:f>
      </x:c>
      <x:c r="B4456" t="str" s="2">
        <x:v>Heritage Housing of Augusta</x:v>
      </x:c>
      <x:c r="C4456" t="str" s="2">
        <x:v/>
      </x:c>
      <x:c r="D4456" t="str" s="2">
        <x:v>4045672747</x:v>
      </x:c>
      <x:c r="E4456" t="str" s="2">
        <x:v>ricojones@bellsouth.net</x:v>
      </x:c>
      <x:c r="F4456" t="str" s="2">
        <x:v>Walk-in</x:v>
      </x:c>
      <x:c r="G4456" t="str" s="2">
        <x:v>Jennifer Johnson</x:v>
      </x:c>
      <x:c r="H4456" s="6">
        <x:v>46277.77813741898</x:v>
      </x:c>
      <x:c r="I4456" t="str" s="2">
        <x:v>Jennifer Johnson</x:v>
      </x:c>
      <x:c r="J4456" s="0"/>
      <x:c r="K4456" s="6">
        <x:v>46296</x:v>
      </x:c>
      <x:c r="L4456" t="str" s="2">
        <x:v>Message Sent</x:v>
      </x:c>
    </x:row>
    <x:row r="4457">
      <x:c r="A4457" t="str" s="2">
        <x:f>="Dominique Bridges"</x:f>
      </x:c>
      <x:c r="B4457" t="str" s="2">
        <x:v>Heritage Housing of Athens</x:v>
      </x:c>
      <x:c r="C4457" t="str" s="2">
        <x:v/>
      </x:c>
      <x:c r="D4457" t="str" s="2">
        <x:v>4045617855</x:v>
      </x:c>
      <x:c r="E4457" t="str" s="2">
        <x:v>captionque1942@icloud.com</x:v>
      </x:c>
      <x:c r="F4457" t="str" s="2">
        <x:v>Landing_BPM</x:v>
      </x:c>
      <x:c r="G4457" t="str" s="2">
        <x:v>Nathan Bishop</x:v>
      </x:c>
      <x:c r="H4457" s="6">
        <x:v>46277.78207086805</x:v>
      </x:c>
      <x:c r="I4457" s="0"/>
      <x:c r="J4457" s="0"/>
      <x:c r="K4457" s="6">
        <x:v>46279</x:v>
      </x:c>
      <x:c r="L4457" t="str" s="2">
        <x:v>Message Sent</x:v>
      </x:c>
    </x:row>
    <x:row r="4458">
      <x:c r="A4458" t="str" s="2">
        <x:f>="Debbie. Ben"</x:f>
      </x:c>
      <x:c r="B4458" t="str" s="2">
        <x:v>Legacy Housing Corp. DBA Americasa</x:v>
      </x:c>
      <x:c r="C4458" t="str" s="2">
        <x:v/>
      </x:c>
      <x:c r="D4458" t="str" s="2">
        <x:v>3463923024</x:v>
      </x:c>
      <x:c r="E4458" t="str" s="2">
        <x:v>debbied434343@gmail.com</x:v>
      </x:c>
      <x:c r="F4458" t="str" s="2">
        <x:v>Youtube</x:v>
      </x:c>
      <x:c r="G4458" t="str" s="2">
        <x:v>Rodrigo Ramirez</x:v>
      </x:c>
      <x:c r="H4458" s="6">
        <x:v>46277.81825859954</x:v>
      </x:c>
      <x:c r="I4458" s="0"/>
      <x:c r="J4458" s="0"/>
      <x:c r="K4458" s="6">
        <x:v>46277</x:v>
      </x:c>
      <x:c r="L4458" t="str" s="2">
        <x:v>Message Sent</x:v>
      </x:c>
    </x:row>
    <x:row r="4459">
      <x:c r="A4459" t="str" s="2">
        <x:f>="Neil Coppley"</x:f>
      </x:c>
      <x:c r="B4459" t="str" s="2">
        <x:v>Heritage Housing of Asheboro</x:v>
      </x:c>
      <x:c r="C4459" t="str" s="2">
        <x:v/>
      </x:c>
      <x:c r="D4459" t="str" s="2">
        <x:v>3364801811</x:v>
      </x:c>
      <x:c r="E4459" t="str" s="2">
        <x:v>cncoppley@gmail.com</x:v>
      </x:c>
      <x:c r="F4459" t="str" s="2">
        <x:v>Website</x:v>
      </x:c>
      <x:c r="G4459" t="str" s="2">
        <x:v>Maria Lopez</x:v>
      </x:c>
      <x:c r="H4459" s="6">
        <x:v>46277.8556841088</x:v>
      </x:c>
      <x:c r="I4459" s="0"/>
      <x:c r="J4459" s="0"/>
      <x:c r="K4459" s="6">
        <x:v>46288</x:v>
      </x:c>
      <x:c r="L4459" t="str" s="2">
        <x:v>Message Sent</x:v>
      </x:c>
    </x:row>
    <x:row r="4460">
      <x:c r="A4460" t="str" s="2">
        <x:f>="Maurice Southerland"</x:f>
      </x:c>
      <x:c r="B4460" t="str" s="2">
        <x:v>Heritage Housing of Athens</x:v>
      </x:c>
      <x:c r="C4460" t="str" s="2">
        <x:v/>
      </x:c>
      <x:c r="D4460" t="str" s="2">
        <x:v>7708204402</x:v>
      </x:c>
      <x:c r="E4460" t="str" s="2">
        <x:v>msoutherland45@gmail.com</x:v>
      </x:c>
      <x:c r="F4460" t="str" s="2">
        <x:v>Youtube</x:v>
      </x:c>
      <x:c r="G4460" t="str" s="2">
        <x:v>Nathan Bishop</x:v>
      </x:c>
      <x:c r="H4460" s="6">
        <x:v>46277.85880355324</x:v>
      </x:c>
      <x:c r="I4460" s="0"/>
      <x:c r="J4460" s="0"/>
      <x:c r="K4460" s="6">
        <x:v>46278</x:v>
      </x:c>
      <x:c r="L4460" t="str" s="2">
        <x:v>Message Sent</x:v>
      </x:c>
    </x:row>
    <x:row r="4461">
      <x:c r="A4461" t="str" s="2">
        <x:f>="Princess Williams"</x:f>
      </x:c>
      <x:c r="B4461" t="str" s="2">
        <x:v>Heritage Housing of Augusta</x:v>
      </x:c>
      <x:c r="C4461" t="str" s="2">
        <x:v/>
      </x:c>
      <x:c r="D4461" t="str" s="2">
        <x:v>7064212771</x:v>
      </x:c>
      <x:c r="E4461" t="str" s="2">
        <x:v>princess.thomas9186@gmail.com</x:v>
      </x:c>
      <x:c r="F4461" t="str" s="2">
        <x:v>Financing Form</x:v>
      </x:c>
      <x:c r="G4461" t="str" s="2">
        <x:v>Faye Lively</x:v>
      </x:c>
      <x:c r="H4461" s="6">
        <x:v>46277.878555243056</x:v>
      </x:c>
      <x:c r="I4461" s="0"/>
      <x:c r="J4461" s="0"/>
      <x:c r="K4461" s="6">
        <x:v>46279</x:v>
      </x:c>
      <x:c r="L4461" t="str" s="2">
        <x:v>Message Sent</x:v>
      </x:c>
    </x:row>
    <x:row r="4462">
      <x:c r="A4462" t="str" s="2">
        <x:f>="April Wilkins"</x:f>
      </x:c>
      <x:c r="B4462" t="str" s="2">
        <x:v>Heritage Housing of Asheboro</x:v>
      </x:c>
      <x:c r="C4462" t="str" s="2">
        <x:v/>
      </x:c>
      <x:c r="D4462" t="str" s="2">
        <x:v>6034044143</x:v>
      </x:c>
      <x:c r="E4462" t="str" s="2">
        <x:v>shorty14me@gmail.com</x:v>
      </x:c>
      <x:c r="F4462" t="str" s="2">
        <x:v>Youtube</x:v>
      </x:c>
      <x:c r="G4462" t="str" s="2">
        <x:v>Kate Gutierrez</x:v>
      </x:c>
      <x:c r="H4462" s="6">
        <x:v>46277.87932195602</x:v>
      </x:c>
      <x:c r="I4462" s="0"/>
      <x:c r="J4462" s="0"/>
      <x:c r="K4462" s="6">
        <x:v>46280</x:v>
      </x:c>
      <x:c r="L4462" t="str" s="2">
        <x:v>Message Sent</x:v>
      </x:c>
    </x:row>
    <x:row r="4463">
      <x:c r="A4463" t="str" s="2">
        <x:f>="Euline Butron Gonzalez"</x:f>
      </x:c>
      <x:c r="B4463" t="str" s="2">
        <x:v>Heritage Housing of Jennings</x:v>
      </x:c>
      <x:c r="C4463" t="str" s="2">
        <x:v/>
      </x:c>
      <x:c r="D4463" t="str" s="2">
        <x:v>9852081703</x:v>
      </x:c>
      <x:c r="E4463" t="str" s="2">
        <x:v>bayoubabe007@gmail.com</x:v>
      </x:c>
      <x:c r="F4463" t="str" s="2">
        <x:v>Youtube</x:v>
      </x:c>
      <x:c r="G4463" t="str" s="2">
        <x:v>Mervin Leslie Smith</x:v>
      </x:c>
      <x:c r="H4463" s="6">
        <x:v>46277.89566825231</x:v>
      </x:c>
      <x:c r="I4463" s="0"/>
      <x:c r="J4463" s="0"/>
      <x:c r="K4463" s="6">
        <x:v>46302.72440054398</x:v>
      </x:c>
      <x:c r="L4463" t="str" s="2">
        <x:v>Message Sent</x:v>
      </x:c>
    </x:row>
    <x:row r="4464">
      <x:c r="A4464" t="str" s="2">
        <x:f>=HYPERLINK("https://rsms.futurehomex.com/lead/40023", "Lorie Horn")</x:f>
      </x:c>
      <x:c r="B4464" t="str" s="2">
        <x:v>Heritage Housing of Tulsa</x:v>
      </x:c>
      <x:c r="C4464" t="str" s="2">
        <x:v/>
      </x:c>
      <x:c r="D4464" t="str" s="2">
        <x:v>4199899744</x:v>
      </x:c>
      <x:c r="E4464" t="str" s="2">
        <x:v>loriehorn419@gmail.com</x:v>
      </x:c>
      <x:c r="F4464" t="str" s="2">
        <x:v>Financing Form</x:v>
      </x:c>
      <x:c r="G4464" t="str" s="2">
        <x:v>Jenna Fransisco</x:v>
      </x:c>
      <x:c r="H4464" s="6">
        <x:v>46277.92337978009</x:v>
      </x:c>
      <x:c r="I4464" t="str" s="2">
        <x:v>Jenna Fransisco</x:v>
      </x:c>
      <x:c r="J4464" s="0"/>
      <x:c r="K4464" s="6">
        <x:v>46282</x:v>
      </x:c>
      <x:c r="L4464" t="str" s="2">
        <x:v>Message Sent</x:v>
      </x:c>
    </x:row>
    <x:row r="4465">
      <x:c r="A4465" t="str" s="2">
        <x:f>="maria de torres"</x:f>
      </x:c>
      <x:c r="B4465" t="str" s="2">
        <x:v>Heritage Housing of Canton</x:v>
      </x:c>
      <x:c r="C4465" t="str" s="2">
        <x:v/>
      </x:c>
      <x:c r="D4465" t="str" s="2">
        <x:v>4699655895</x:v>
      </x:c>
      <x:c r="E4465" t="str" s="2">
        <x:v>mariaceliacanales05@gmail.comm</x:v>
      </x:c>
      <x:c r="F4465" t="str" s="2">
        <x:v>Youtube</x:v>
      </x:c>
      <x:c r="G4465" t="str" s="2">
        <x:v>Maira Garcia</x:v>
      </x:c>
      <x:c r="H4465" s="6">
        <x:v>46277.9418059375</x:v>
      </x:c>
      <x:c r="I4465" s="0"/>
      <x:c r="J4465" s="0"/>
      <x:c r="K4465" s="6">
        <x:v>46279</x:v>
      </x:c>
      <x:c r="L4465" t="str" s="2">
        <x:v>Message Sent</x:v>
      </x:c>
    </x:row>
    <x:row r="4466">
      <x:c r="A4466" t="str" s="2">
        <x:f>="Cynthia Jones"</x:f>
      </x:c>
      <x:c r="B4466" t="str" s="2">
        <x:v>Heritage Housing of Augusta</x:v>
      </x:c>
      <x:c r="C4466" t="str" s="2">
        <x:v>0/1</x:v>
      </x:c>
      <x:c r="D4466" t="str" s="2">
        <x:v>7133985585</x:v>
      </x:c>
      <x:c r="E4466" t="str" s="2">
        <x:v>cajones3112@gmail.com</x:v>
      </x:c>
      <x:c r="F4466" t="str" s="2">
        <x:v>Landing_BPM</x:v>
      </x:c>
      <x:c r="G4466" t="str" s="2">
        <x:v>Jennifer Johnson</x:v>
      </x:c>
      <x:c r="H4466" s="6">
        <x:v>46277.94293903935</x:v>
      </x:c>
      <x:c r="I4466" s="0"/>
      <x:c r="J4466" s="0"/>
      <x:c r="K4466" s="6">
        <x:v>46298</x:v>
      </x:c>
      <x:c r="L4466" t="str" s="2">
        <x:v>Message Sent</x:v>
      </x:c>
    </x:row>
    <x:row r="4467">
      <x:c r="A4467" t="str" s="2">
        <x:f>=HYPERLINK("https://rsms.futurehomex.com/lead/40150", "Stacy Rinehart")</x:f>
      </x:c>
      <x:c r="B4467" t="str" s="2">
        <x:v>Heritage Housing of Tulsa</x:v>
      </x:c>
      <x:c r="C4467" t="str" s="2">
        <x:v/>
      </x:c>
      <x:c r="D4467" t="str" s="2">
        <x:v>9185641005</x:v>
      </x:c>
      <x:c r="E4467" t="str" s="2">
        <x:v>stacyrinehart1211@gmail.com</x:v>
      </x:c>
      <x:c r="F4467" t="str" s="2">
        <x:v>Youtube</x:v>
      </x:c>
      <x:c r="G4467" t="str" s="2">
        <x:v>Jenna Fransisco</x:v>
      </x:c>
      <x:c r="H4467" s="6">
        <x:v>46277.94530292824</x:v>
      </x:c>
      <x:c r="I4467" t="str" s="2">
        <x:v>Jenna Fransisco</x:v>
      </x:c>
      <x:c r="J4467" s="0"/>
      <x:c r="K4467" s="6">
        <x:v>46283</x:v>
      </x:c>
      <x:c r="L4467" t="str" s="2">
        <x:v>Message Sent</x:v>
      </x:c>
    </x:row>
    <x:row r="4468">
      <x:c r="A4468" t="str" s="2">
        <x:f>="Brittney Higginbotham"</x:f>
      </x:c>
      <x:c r="B4468" t="str" s="2">
        <x:v>Heritage Housing of Jennings</x:v>
      </x:c>
      <x:c r="C4468" t="str" s="2">
        <x:v/>
      </x:c>
      <x:c r="D4468" t="str" s="2">
        <x:v>5042216125</x:v>
      </x:c>
      <x:c r="E4468" t="str" s="2">
        <x:v>skysky081216@gmail.com</x:v>
      </x:c>
      <x:c r="F4468" t="str" s="2">
        <x:v>Financing Form</x:v>
      </x:c>
      <x:c r="G4468" t="str" s="2">
        <x:v>Clint O'Neal</x:v>
      </x:c>
      <x:c r="H4468" s="6">
        <x:v>46277.94909212963</x:v>
      </x:c>
      <x:c r="I4468" s="0"/>
      <x:c r="J4468" s="0"/>
      <x:c r="K4468" s="6">
        <x:v>46302.72484371528</x:v>
      </x:c>
      <x:c r="L4468" t="str" s="2">
        <x:v>Message Sent</x:v>
      </x:c>
    </x:row>
    <x:row r="4469">
      <x:c r="A4469" t="str" s="2">
        <x:f>="Celia Zuccala"</x:f>
      </x:c>
      <x:c r="B4469" t="str" s="2">
        <x:v>Heritage Housing of Tulsa</x:v>
      </x:c>
      <x:c r="C4469" t="str" s="2">
        <x:v/>
      </x:c>
      <x:c r="D4469" t="str" s="2">
        <x:v>9183811788</x:v>
      </x:c>
      <x:c r="E4469" t="str" s="2">
        <x:v>zuccala1988@gmail.com</x:v>
      </x:c>
      <x:c r="F4469" t="str" s="2">
        <x:v>Financing Form</x:v>
      </x:c>
      <x:c r="G4469" t="str" s="2">
        <x:v>Jenna Fransisco</x:v>
      </x:c>
      <x:c r="H4469" s="6">
        <x:v>46277.98685185185</x:v>
      </x:c>
      <x:c r="I4469" s="0"/>
      <x:c r="J4469" s="0"/>
      <x:c r="K4469" s="6">
        <x:v>46279</x:v>
      </x:c>
      <x:c r="L4469" t="str" s="2">
        <x:v>Message Sent</x:v>
      </x:c>
    </x:row>
    <x:row r="4470">
      <x:c r="A4470" t="str" s="2">
        <x:f>="Gilberto Castillo"</x:f>
      </x:c>
      <x:c r="B4470" t="str" s="2">
        <x:v>Heritage Housing of Canton</x:v>
      </x:c>
      <x:c r="C4470" t="str" s="2">
        <x:v/>
      </x:c>
      <x:c r="D4470" t="str" s="2">
        <x:v>9567046098</x:v>
      </x:c>
      <x:c r="E4470" t="str" s="2">
        <x:v>gilcast7301@gmail.com</x:v>
      </x:c>
      <x:c r="F4470" t="str" s="2">
        <x:v>Youtube</x:v>
      </x:c>
      <x:c r="G4470" t="str" s="2">
        <x:v>Jacob Hatten</x:v>
      </x:c>
      <x:c r="H4470" s="6">
        <x:v>46278.01214637732</x:v>
      </x:c>
      <x:c r="I4470" s="0"/>
      <x:c r="J4470" s="0"/>
      <x:c r="K4470" s="6">
        <x:v>46302</x:v>
      </x:c>
      <x:c r="L4470" t="str" s="2">
        <x:v>Message Sent</x:v>
      </x:c>
    </x:row>
    <x:row r="4471">
      <x:c r="A4471" t="str" s="2">
        <x:f>="Damon Waller"</x:f>
      </x:c>
      <x:c r="B4471" t="str" s="2">
        <x:v>Heritage Housing of Albany</x:v>
      </x:c>
      <x:c r="C4471" t="str" s="2">
        <x:v/>
      </x:c>
      <x:c r="D4471" t="str" s="2">
        <x:v>6783340741</x:v>
      </x:c>
      <x:c r="E4471" t="str" s="2">
        <x:v>wallerdamon3@gmail.com</x:v>
      </x:c>
      <x:c r="F4471" t="str" s="2">
        <x:v>Youtube</x:v>
      </x:c>
      <x:c r="G4471" t="str" s="2">
        <x:v>Yanet Alvarez</x:v>
      </x:c>
      <x:c r="H4471" s="6">
        <x:v>46278.0128091088</x:v>
      </x:c>
      <x:c r="I4471" s="0"/>
      <x:c r="J4471" s="0"/>
      <x:c r="K4471" s="6">
        <x:v>46307</x:v>
      </x:c>
      <x:c r="L4471" t="str" s="2">
        <x:v>Message Sent</x:v>
      </x:c>
    </x:row>
    <x:row r="4472">
      <x:c r="A4472" t="str" s="2">
        <x:f>="Kevin Jackson"</x:f>
      </x:c>
      <x:c r="B4472" t="str" s="2">
        <x:v>Heritage Housing of Asheboro</x:v>
      </x:c>
      <x:c r="C4472" t="str" s="2">
        <x:v/>
      </x:c>
      <x:c r="D4472" t="str" s="2">
        <x:v>3362636458</x:v>
      </x:c>
      <x:c r="E4472" t="str" s="2">
        <x:v>kevinjack8732@gmail.com</x:v>
      </x:c>
      <x:c r="F4472" t="str" s="2">
        <x:v>Youtube</x:v>
      </x:c>
      <x:c r="G4472" t="str" s="2">
        <x:v>Maria Lopez</x:v>
      </x:c>
      <x:c r="H4472" s="6">
        <x:v>46278.019275810184</x:v>
      </x:c>
      <x:c r="I4472" s="0"/>
      <x:c r="J4472" s="0"/>
      <x:c r="K4472" s="6">
        <x:v>46279</x:v>
      </x:c>
      <x:c r="L4472" t="str" s="2">
        <x:v>Message Sent</x:v>
      </x:c>
    </x:row>
    <x:row r="4473">
      <x:c r="A4473" t="str" s="2">
        <x:f>="Sarah Williams Williams"</x:f>
      </x:c>
      <x:c r="B4473" t="str" s="2">
        <x:v>Heritage Housing of Albany</x:v>
      </x:c>
      <x:c r="C4473" t="str" s="2">
        <x:v/>
      </x:c>
      <x:c r="D4473" t="str" s="2">
        <x:v>2025550145</x:v>
      </x:c>
      <x:c r="E4473" t="str" s="2">
        <x:v>paigeschmidt25@gmail.com</x:v>
      </x:c>
      <x:c r="F4473" t="str" s="2">
        <x:v>Website</x:v>
      </x:c>
      <x:c r="G4473" t="str" s="2">
        <x:v>Yanet Alvarez</x:v>
      </x:c>
      <x:c r="H4473" s="6">
        <x:v>46278.03560170139</x:v>
      </x:c>
      <x:c r="I4473" s="0"/>
      <x:c r="J4473" s="0"/>
      <x:c r="K4473" s="6">
        <x:v>46280</x:v>
      </x:c>
      <x:c r="L4473" t="str" s="2">
        <x:v>Message Sent</x:v>
      </x:c>
    </x:row>
    <x:row r="4474">
      <x:c r="A4474" t="str" s="2">
        <x:f>="Rita Becerra"</x:f>
      </x:c>
      <x:c r="B4474" t="str" s="2">
        <x:v>Legacy Housing Corp. DBA Americasa</x:v>
      </x:c>
      <x:c r="C4474" t="str" s="2">
        <x:v/>
      </x:c>
      <x:c r="D4474" t="str" s="2">
        <x:v>8052485265</x:v>
      </x:c>
      <x:c r="E4474" t="str" s="2">
        <x:v>iamrb@mail.com</x:v>
      </x:c>
      <x:c r="F4474" t="str" s="2">
        <x:v>Landing_BPM</x:v>
      </x:c>
      <x:c r="G4474" t="str" s="2">
        <x:v>Jose Parada</x:v>
      </x:c>
      <x:c r="H4474" s="6">
        <x:v>46278.18833394676</x:v>
      </x:c>
      <x:c r="I4474" s="0"/>
      <x:c r="J4474" s="0"/>
      <x:c r="K4474" s="6">
        <x:v>46279</x:v>
      </x:c>
      <x:c r="L4474" t="str" s="2">
        <x:v>Message Sent</x:v>
      </x:c>
    </x:row>
    <x:row r="4475">
      <x:c r="A4475" t="str" s="2">
        <x:f>="Jennifer Kaufman"</x:f>
      </x:c>
      <x:c r="B4475" t="str" s="2">
        <x:v>Heritage Housing of Asheboro</x:v>
      </x:c>
      <x:c r="C4475" t="str" s="2">
        <x:v/>
      </x:c>
      <x:c r="D4475" t="str" s="2">
        <x:v>9109869763</x:v>
      </x:c>
      <x:c r="E4475" t="str" s="2">
        <x:v>jlkaufman30@yahoo.com</x:v>
      </x:c>
      <x:c r="F4475" t="str" s="2">
        <x:v>Landing_BPM</x:v>
      </x:c>
      <x:c r="G4475" t="str" s="2">
        <x:v>Maria Lopez</x:v>
      </x:c>
      <x:c r="H4475" s="6">
        <x:v>46278.219162152775</x:v>
      </x:c>
      <x:c r="I4475" s="0"/>
      <x:c r="J4475" s="0"/>
      <x:c r="K4475" s="6">
        <x:v>46288</x:v>
      </x:c>
      <x:c r="L4475" t="str" s="2">
        <x:v>Message Sent</x:v>
      </x:c>
    </x:row>
    <x:row r="4476">
      <x:c r="A4476" t="str" s="2">
        <x:f>="Maurice Cummings"</x:f>
      </x:c>
      <x:c r="B4476" t="str" s="2">
        <x:v>Heritage Housing of Augusta</x:v>
      </x:c>
      <x:c r="C4476" t="str" s="2">
        <x:v/>
      </x:c>
      <x:c r="D4476" t="str" s="2">
        <x:v>7068413430</x:v>
      </x:c>
      <x:c r="E4476" t="str" s="2">
        <x:v>mauricechance6@icloud.com</x:v>
      </x:c>
      <x:c r="F4476" t="str" s="2">
        <x:v>Landing_BPM</x:v>
      </x:c>
      <x:c r="G4476" t="str" s="2">
        <x:v>Faye Lively</x:v>
      </x:c>
      <x:c r="H4476" s="6">
        <x:v>46278.220749224536</x:v>
      </x:c>
      <x:c r="I4476" s="0"/>
      <x:c r="J4476" s="0"/>
      <x:c r="K4476" s="6">
        <x:v>46279.914494641205</x:v>
      </x:c>
      <x:c r="L4476" t="str" s="2">
        <x:v>Message Sent</x:v>
      </x:c>
    </x:row>
    <x:row r="4477">
      <x:c r="A4477" t="str" s="2">
        <x:f>="Bryan Bowers"</x:f>
      </x:c>
      <x:c r="B4477" t="str" s="2">
        <x:v>Heritage Housing of Jennings</x:v>
      </x:c>
      <x:c r="C4477" t="str" s="2">
        <x:v/>
      </x:c>
      <x:c r="D4477" t="str" s="2">
        <x:v>3374691489</x:v>
      </x:c>
      <x:c r="E4477" t="str" s="2">
        <x:v>bryanbowers808@gmail.com</x:v>
      </x:c>
      <x:c r="F4477" t="str" s="2">
        <x:v>Landing_BPM</x:v>
      </x:c>
      <x:c r="G4477" t="str" s="2">
        <x:v>Mervin Leslie Smith</x:v>
      </x:c>
      <x:c r="H4477" s="6">
        <x:v>46278.29566015046</x:v>
      </x:c>
      <x:c r="I4477" s="0"/>
      <x:c r="J4477" s="0"/>
      <x:c r="K4477" s="6">
        <x:v>46302.72520431713</x:v>
      </x:c>
      <x:c r="L4477" t="str" s="2">
        <x:v>Message Sent</x:v>
      </x:c>
    </x:row>
    <x:row r="4478">
      <x:c r="A4478" t="str" s="2">
        <x:f>="Trayla Griffith"</x:f>
      </x:c>
      <x:c r="B4478" t="str" s="2">
        <x:v>Heritage Housing of Tulsa</x:v>
      </x:c>
      <x:c r="C4478" t="str" s="2">
        <x:v/>
      </x:c>
      <x:c r="D4478" t="str" s="2">
        <x:v>918616981</x:v>
      </x:c>
      <x:c r="E4478" t="str" s="2">
        <x:v>griffithtrayla22@gmail.com</x:v>
      </x:c>
      <x:c r="F4478" t="str" s="2">
        <x:v>Bing - Search</x:v>
      </x:c>
      <x:c r="G4478" t="str" s="2">
        <x:v>Jenna Fransisco</x:v>
      </x:c>
      <x:c r="H4478" s="6">
        <x:v>46278.30065034722</x:v>
      </x:c>
      <x:c r="I4478" s="0"/>
      <x:c r="J4478" s="0"/>
      <x:c r="K4478" s="6">
        <x:v>46279</x:v>
      </x:c>
      <x:c r="L4478" t="str" s="2">
        <x:v>Message Sent</x:v>
      </x:c>
    </x:row>
    <x:row r="4479">
      <x:c r="A4479" t="str" s="2">
        <x:f>="Casey Raines"</x:f>
      </x:c>
      <x:c r="B4479" t="str" s="2">
        <x:v>Heritage Housing of Athens</x:v>
      </x:c>
      <x:c r="C4479" t="str" s="2">
        <x:v/>
      </x:c>
      <x:c r="D4479" t="str" s="2">
        <x:v>8648164306</x:v>
      </x:c>
      <x:c r="E4479" t="str" s="2">
        <x:v>caseyraines969@gmail.com</x:v>
      </x:c>
      <x:c r="F4479" t="str" s="2">
        <x:v>Landing_BPM</x:v>
      </x:c>
      <x:c r="G4479" t="str" s="2">
        <x:v>Nathan Bishop</x:v>
      </x:c>
      <x:c r="H4479" s="6">
        <x:v>46278.334629398145</x:v>
      </x:c>
      <x:c r="I4479" s="0"/>
      <x:c r="J4479" s="0"/>
      <x:c r="K4479" s="6">
        <x:v>46279</x:v>
      </x:c>
      <x:c r="L4479" t="str" s="2">
        <x:v>Message Sent</x:v>
      </x:c>
    </x:row>
    <x:row r="4480">
      <x:c r="A4480" t="str" s="2">
        <x:f>="Sherrie Hearn"</x:f>
      </x:c>
      <x:c r="B4480" t="str" s="2">
        <x:v>Heritage Housing of Albany</x:v>
      </x:c>
      <x:c r="C4480" t="str" s="2">
        <x:v/>
      </x:c>
      <x:c r="D4480" t="str" s="2">
        <x:v>3344683071</x:v>
      </x:c>
      <x:c r="E4480" t="str" s="2">
        <x:v>sherriehearn449@gmail.com</x:v>
      </x:c>
      <x:c r="F4480" t="str" s="2">
        <x:v>Financing Form</x:v>
      </x:c>
      <x:c r="G4480" t="str" s="2">
        <x:v>Yanet Alvarez</x:v>
      </x:c>
      <x:c r="H4480" s="6">
        <x:v>46278.33492190972</x:v>
      </x:c>
      <x:c r="I4480" s="0"/>
      <x:c r="J4480" s="0"/>
      <x:c r="K4480" s="6">
        <x:v>46307</x:v>
      </x:c>
      <x:c r="L4480" t="str" s="2">
        <x:v>Message Sent</x:v>
      </x:c>
    </x:row>
    <x:row r="4481">
      <x:c r="A4481" t="str" s="2">
        <x:f>="Christopher Reed"</x:f>
      </x:c>
      <x:c r="B4481" t="str" s="2">
        <x:v>Heritage Housing of Albany</x:v>
      </x:c>
      <x:c r="C4481" t="str" s="2">
        <x:v/>
      </x:c>
      <x:c r="D4481" t="str" s="2">
        <x:v>8703185203</x:v>
      </x:c>
      <x:c r="E4481" t="str" s="2">
        <x:v>clients@sankofacaringtrust.org</x:v>
      </x:c>
      <x:c r="F4481" t="str" s="2">
        <x:v>Financing Form</x:v>
      </x:c>
      <x:c r="G4481" t="str" s="2">
        <x:v>Yanet Alvarez</x:v>
      </x:c>
      <x:c r="H4481" s="6">
        <x:v>46278.404102002314</x:v>
      </x:c>
      <x:c r="I4481" s="0"/>
      <x:c r="J4481" s="0"/>
      <x:c r="K4481" s="6">
        <x:v>46307</x:v>
      </x:c>
      <x:c r="L4481" t="str" s="2">
        <x:v>Message Sent</x:v>
      </x:c>
    </x:row>
    <x:row r="4482">
      <x:c r="A4482" t="str" s="2">
        <x:f>="Nicole Davenport"</x:f>
      </x:c>
      <x:c r="B4482" t="str" s="2">
        <x:v>Legacy Housing Corp. DBA Americasa</x:v>
      </x:c>
      <x:c r="C4482" t="str" s="2">
        <x:v/>
      </x:c>
      <x:c r="D4482" t="str" s="2">
        <x:v>8328809090</x:v>
      </x:c>
      <x:c r="E4482" t="str" s="2">
        <x:v>nicoledavenport30@gmail.com</x:v>
      </x:c>
      <x:c r="F4482" t="str" s="2">
        <x:v>Landing_BPM</x:v>
      </x:c>
      <x:c r="G4482" t="str" s="2">
        <x:v>Rodrigo Ramirez</x:v>
      </x:c>
      <x:c r="H4482" s="6">
        <x:v>46278.48107577546</x:v>
      </x:c>
      <x:c r="I4482" s="0"/>
      <x:c r="J4482" s="0"/>
      <x:c r="K4482" s="6">
        <x:v>46279</x:v>
      </x:c>
      <x:c r="L4482" t="str" s="2">
        <x:v>Message Sent</x:v>
      </x:c>
    </x:row>
    <x:row r="4483">
      <x:c r="A4483" t="str" s="2">
        <x:f>="Derrick Harris"</x:f>
      </x:c>
      <x:c r="B4483" t="str" s="2">
        <x:v>Heritage Housing of Jennings</x:v>
      </x:c>
      <x:c r="C4483" t="str" s="2">
        <x:v/>
      </x:c>
      <x:c r="D4483" t="str" s="2">
        <x:v>7252760959</x:v>
      </x:c>
      <x:c r="E4483" t="str" s="2">
        <x:v>harrisderrick368@gmail.com</x:v>
      </x:c>
      <x:c r="F4483" t="str" s="2">
        <x:v>Youtube</x:v>
      </x:c>
      <x:c r="G4483" t="str" s="2">
        <x:v>Clint O'Neal</x:v>
      </x:c>
      <x:c r="H4483" s="6">
        <x:v>46278.499662581016</x:v>
      </x:c>
      <x:c r="I4483" s="0"/>
      <x:c r="J4483" s="0"/>
      <x:c r="K4483" s="6">
        <x:v>46302.72554467592</x:v>
      </x:c>
      <x:c r="L4483" t="str" s="2">
        <x:v>Message Sent</x:v>
      </x:c>
    </x:row>
    <x:row r="4484">
      <x:c r="A4484" t="str" s="2">
        <x:f>="Kristy Hoy"</x:f>
      </x:c>
      <x:c r="B4484" t="str" s="2">
        <x:v>Heritage Housing of Asheboro</x:v>
      </x:c>
      <x:c r="C4484" t="str" s="2">
        <x:v/>
      </x:c>
      <x:c r="D4484" t="str" s="2">
        <x:v>4722031611</x:v>
      </x:c>
      <x:c r="E4484" t="str" s="2">
        <x:v>kristyhoy7@gmail.com</x:v>
      </x:c>
      <x:c r="F4484" t="str" s="2">
        <x:v>Financing Form</x:v>
      </x:c>
      <x:c r="G4484" t="str" s="2">
        <x:v>Kate Gutierrez</x:v>
      </x:c>
      <x:c r="H4484" s="6">
        <x:v>46278.51899282407</x:v>
      </x:c>
      <x:c r="I4484" s="0"/>
      <x:c r="J4484" s="0"/>
      <x:c r="K4484" s="6">
        <x:v>46280</x:v>
      </x:c>
      <x:c r="L4484" t="str" s="2">
        <x:v>Message Sent</x:v>
      </x:c>
    </x:row>
    <x:row r="4485">
      <x:c r="A4485" t="str" s="2">
        <x:f>="Tamica Jackson"</x:f>
      </x:c>
      <x:c r="B4485" t="str" s="2">
        <x:v>Heritage Housing of Jennings</x:v>
      </x:c>
      <x:c r="C4485" t="str" s="2">
        <x:v/>
      </x:c>
      <x:c r="D4485" t="str" s="2">
        <x:v>2256058283</x:v>
      </x:c>
      <x:c r="E4485" t="str" s="2">
        <x:v>jacksontamical@gmail.com</x:v>
      </x:c>
      <x:c r="F4485" t="str" s="2">
        <x:v>Youtube</x:v>
      </x:c>
      <x:c r="G4485" t="str" s="2">
        <x:v>Clint O'Neal</x:v>
      </x:c>
      <x:c r="H4485" s="6">
        <x:v>46278.52119170139</x:v>
      </x:c>
      <x:c r="I4485" s="0"/>
      <x:c r="J4485" s="0"/>
      <x:c r="K4485" s="6">
        <x:v>46302.72598190972</x:v>
      </x:c>
      <x:c r="L4485" t="str" s="2">
        <x:v>Message Sent</x:v>
      </x:c>
    </x:row>
    <x:row r="4486">
      <x:c r="A4486" t="str" s="2">
        <x:f>="Cynthia Wilburn"</x:f>
      </x:c>
      <x:c r="B4486" t="str" s="2">
        <x:v>Heritage Housing of Athens</x:v>
      </x:c>
      <x:c r="C4486" t="str" s="2">
        <x:v/>
      </x:c>
      <x:c r="D4486" t="str" s="2">
        <x:v>7063726788</x:v>
      </x:c>
      <x:c r="E4486" t="str" s="2">
        <x:v>cynthiaveasley20@gmail.com</x:v>
      </x:c>
      <x:c r="F4486" t="str" s="2">
        <x:v>Landing_BPM</x:v>
      </x:c>
      <x:c r="G4486" t="str" s="2">
        <x:v>Nathan Bishop</x:v>
      </x:c>
      <x:c r="H4486" s="6">
        <x:v>46278.54733252315</x:v>
      </x:c>
      <x:c r="I4486" s="0"/>
      <x:c r="J4486" s="0"/>
      <x:c r="K4486" s="6">
        <x:v>46279</x:v>
      </x:c>
      <x:c r="L4486" t="str" s="2">
        <x:v>Message Sent</x:v>
      </x:c>
    </x:row>
    <x:row r="4487">
      <x:c r="A4487" t="str" s="2">
        <x:f>="Maple Patton"</x:f>
      </x:c>
      <x:c r="B4487" t="str" s="2">
        <x:v>Heritage Housing of Jennings</x:v>
      </x:c>
      <x:c r="C4487" t="str" s="2">
        <x:v/>
      </x:c>
      <x:c r="D4487" t="str" s="2">
        <x:v>3186912934</x:v>
      </x:c>
      <x:c r="E4487" t="str" s="2">
        <x:v>demoine.333@gmail.com</x:v>
      </x:c>
      <x:c r="F4487" t="str" s="2">
        <x:v>Youtube</x:v>
      </x:c>
      <x:c r="G4487" t="str" s="2">
        <x:v>Mervin Leslie Smith</x:v>
      </x:c>
      <x:c r="H4487" s="6">
        <x:v>46278.55345439815</x:v>
      </x:c>
      <x:c r="I4487" s="0"/>
      <x:c r="J4487" s="0"/>
      <x:c r="K4487" s="6">
        <x:v>46302.726662534726</x:v>
      </x:c>
      <x:c r="L4487" t="str" s="2">
        <x:v>Message Sent</x:v>
      </x:c>
    </x:row>
    <x:row r="4488">
      <x:c r="A4488" t="str" s="2">
        <x:f>="Houessou Quenum Alaba"</x:f>
      </x:c>
      <x:c r="B4488" t="str" s="2">
        <x:v>Heritage Housing of Tulsa</x:v>
      </x:c>
      <x:c r="C4488" t="str" s="2">
        <x:v/>
      </x:c>
      <x:c r="D4488" t="str" s="2">
        <x:v>9184364463</x:v>
      </x:c>
      <x:c r="E4488" t="str" s="2">
        <x:v>emmanuelalabaq@yahoo.com</x:v>
      </x:c>
      <x:c r="F4488" t="str" s="2">
        <x:v>Bing - Search</x:v>
      </x:c>
      <x:c r="G4488" t="str" s="2">
        <x:v>Jenna Fransisco</x:v>
      </x:c>
      <x:c r="H4488" s="6">
        <x:v>46278.55734961806</x:v>
      </x:c>
      <x:c r="I4488" s="0"/>
      <x:c r="J4488" s="0"/>
      <x:c r="K4488" s="6">
        <x:v>46279</x:v>
      </x:c>
      <x:c r="L4488" t="str" s="2">
        <x:v>Message Sent</x:v>
      </x:c>
    </x:row>
    <x:row r="4489">
      <x:c r="A4489" t="str" s="2">
        <x:f>="BobbyMer +127467747680"</x:f>
      </x:c>
      <x:c r="B4489" t="str" s="2">
        <x:v>Heritage Housing of Albany</x:v>
      </x:c>
      <x:c r="C4489" t="str" s="2">
        <x:v/>
      </x:c>
      <x:c r="D4489" t="str" s="2">
        <x:v>81751323731</x:v>
      </x:c>
      <x:c r="E4489" t="str" s="2">
        <x:v>jarvnga@irwdeix.sto</x:v>
      </x:c>
      <x:c r="F4489" t="str" s="2">
        <x:v>Website</x:v>
      </x:c>
      <x:c r="G4489" t="str" s="2">
        <x:v>Yanet Alvarez</x:v>
      </x:c>
      <x:c r="H4489" s="6">
        <x:v>46278.56109603009</x:v>
      </x:c>
      <x:c r="I4489" s="0"/>
      <x:c r="J4489" s="0"/>
      <x:c r="K4489" s="6">
        <x:v>46307</x:v>
      </x:c>
      <x:c r="L4489" t="str" s="2">
        <x:v>Message Sent</x:v>
      </x:c>
    </x:row>
    <x:row r="4490">
      <x:c r="A4490" t="str" s="2">
        <x:f>="Mandi Nelson"</x:f>
      </x:c>
      <x:c r="B4490" t="str" s="2">
        <x:v>Heritage Housing Mt Pleasant</x:v>
      </x:c>
      <x:c r="C4490" t="str" s="2">
        <x:v/>
      </x:c>
      <x:c r="D4490" t="str" s="2">
        <x:v>9182105395</x:v>
      </x:c>
      <x:c r="E4490" t="str" s="2">
        <x:v>mandi@m2nelson.com</x:v>
      </x:c>
      <x:c r="F4490" t="str" s="2">
        <x:v>Landing_BPM</x:v>
      </x:c>
      <x:c r="G4490" t="str" s="2">
        <x:v>Sandra Saldana</x:v>
      </x:c>
      <x:c r="H4490" s="6">
        <x:v>46278.56424386574</x:v>
      </x:c>
      <x:c r="I4490" s="0"/>
      <x:c r="J4490" s="0"/>
      <x:c r="K4490" s="6">
        <x:v>46278</x:v>
      </x:c>
      <x:c r="L4490" t="str" s="2">
        <x:v>Message Sent</x:v>
      </x:c>
    </x:row>
    <x:row r="4491">
      <x:c r="A4491" t="str" s="2">
        <x:f>="Kenneth Payne"</x:f>
      </x:c>
      <x:c r="B4491" t="str" s="2">
        <x:v>Heritage Housing of Asheboro</x:v>
      </x:c>
      <x:c r="C4491" t="str" s="2">
        <x:v/>
      </x:c>
      <x:c r="D4491" t="str" s="2">
        <x:v>9802029911</x:v>
      </x:c>
      <x:c r="E4491" t="str" s="2">
        <x:v>kKenneth33801@hotmail.com</x:v>
      </x:c>
      <x:c r="F4491" t="str" s="2">
        <x:v>Youtube</x:v>
      </x:c>
      <x:c r="G4491" t="str" s="2">
        <x:v>Maria Lopez</x:v>
      </x:c>
      <x:c r="H4491" s="6">
        <x:v>46278.57915949074</x:v>
      </x:c>
      <x:c r="I4491" s="0"/>
      <x:c r="J4491" s="0"/>
      <x:c r="K4491" s="6">
        <x:v>46279</x:v>
      </x:c>
      <x:c r="L4491" t="str" s="2">
        <x:v>Message Sent</x:v>
      </x:c>
    </x:row>
    <x:row r="4492">
      <x:c r="A4492" t="str" s="2">
        <x:f>="Elisha Cornwell"</x:f>
      </x:c>
      <x:c r="B4492" t="str" s="2">
        <x:v>Heritage Housing of Asheboro</x:v>
      </x:c>
      <x:c r="C4492" t="str" s="2">
        <x:v/>
      </x:c>
      <x:c r="D4492" t="str" s="2">
        <x:v>8032282490</x:v>
      </x:c>
      <x:c r="E4492" t="str" s="2">
        <x:v>elishacornwell@gmail.com</x:v>
      </x:c>
      <x:c r="F4492" t="str" s="2">
        <x:v>Landing_BPM</x:v>
      </x:c>
      <x:c r="G4492" t="str" s="2">
        <x:v>Maria Lopez</x:v>
      </x:c>
      <x:c r="H4492" s="6">
        <x:v>46278.585793321756</x:v>
      </x:c>
      <x:c r="I4492" s="0"/>
      <x:c r="J4492" s="0"/>
      <x:c r="K4492" s="6">
        <x:v>46288</x:v>
      </x:c>
      <x:c r="L4492" t="str" s="2">
        <x:v>Message Sent</x:v>
      </x:c>
    </x:row>
    <x:row r="4493">
      <x:c r="A4493" t="str" s="2">
        <x:f>="felicia parks"</x:f>
      </x:c>
      <x:c r="B4493" t="str" s="2">
        <x:v>Heritage Housing of Canton</x:v>
      </x:c>
      <x:c r="C4493" t="str" s="2">
        <x:v/>
      </x:c>
      <x:c r="D4493" t="str" s="2">
        <x:v>9403992364</x:v>
      </x:c>
      <x:c r="E4493" t="str" s="2">
        <x:v>feliciaparks101112@gmail.com</x:v>
      </x:c>
      <x:c r="F4493" t="str" s="2">
        <x:v>Youtube</x:v>
      </x:c>
      <x:c r="G4493" t="str" s="2">
        <x:v>Maira Garcia</x:v>
      </x:c>
      <x:c r="H4493" s="6">
        <x:v>46278.63082280093</x:v>
      </x:c>
      <x:c r="I4493" s="0"/>
      <x:c r="J4493" s="0"/>
      <x:c r="K4493" s="6">
        <x:v>46279</x:v>
      </x:c>
      <x:c r="L4493" t="str" s="2">
        <x:v>Message Sent</x:v>
      </x:c>
    </x:row>
    <x:row r="4494">
      <x:c r="A4494" t="str" s="2">
        <x:f>="Terrell Diaz"</x:f>
      </x:c>
      <x:c r="B4494" t="str" s="2">
        <x:v>Heritage Housing of Augusta</x:v>
      </x:c>
      <x:c r="C4494" t="str" s="2">
        <x:v/>
      </x:c>
      <x:c r="D4494" t="str" s="2">
        <x:v>6093589994</x:v>
      </x:c>
      <x:c r="E4494" t="str" s="2">
        <x:v>terrelldiaz33@gmail.com</x:v>
      </x:c>
      <x:c r="F4494" t="str" s="2">
        <x:v>Landing_BPM</x:v>
      </x:c>
      <x:c r="G4494" t="str" s="2">
        <x:v>Faye Lively</x:v>
      </x:c>
      <x:c r="H4494" s="6">
        <x:v>46278.6323341088</x:v>
      </x:c>
      <x:c r="I4494" s="0"/>
      <x:c r="J4494" s="0"/>
      <x:c r="K4494" s="6">
        <x:v>46279.91430957176</x:v>
      </x:c>
      <x:c r="L4494" t="str" s="2">
        <x:v>Message Sent</x:v>
      </x:c>
    </x:row>
    <x:row r="4495">
      <x:c r="A4495" t="str" s="2">
        <x:f>="Jackie Lyons Lyons"</x:f>
      </x:c>
      <x:c r="B4495" t="str" s="2">
        <x:v>Heritage Housing Gainesville</x:v>
      </x:c>
      <x:c r="C4495" t="str" s="2">
        <x:v/>
      </x:c>
      <x:c r="D4495" t="str" s="2">
        <x:v>5202704609</x:v>
      </x:c>
      <x:c r="E4495" t="str" s="2">
        <x:v>jackiev3774@gmail.com</x:v>
      </x:c>
      <x:c r="F4495" t="str" s="2">
        <x:v>Landing_BPM</x:v>
      </x:c>
      <x:c r="G4495" t="str" s="2">
        <x:v>Kelly Ford</x:v>
      </x:c>
      <x:c r="H4495" s="6">
        <x:v>46278.635852280095</x:v>
      </x:c>
      <x:c r="I4495" s="0"/>
      <x:c r="J4495" s="0"/>
      <x:c r="K4495" s="6">
        <x:v>46290</x:v>
      </x:c>
      <x:c r="L4495" t="str" s="2">
        <x:v>Message Sent</x:v>
      </x:c>
    </x:row>
    <x:row r="4496">
      <x:c r="A4496" t="str" s="2">
        <x:f>="Alejandro Diaz"</x:f>
      </x:c>
      <x:c r="B4496" t="str" s="2">
        <x:v>Heritage Housing of Canton</x:v>
      </x:c>
      <x:c r="C4496" t="str" s="2">
        <x:v/>
      </x:c>
      <x:c r="D4496" t="str" s="2">
        <x:v>5138369309</x:v>
      </x:c>
      <x:c r="E4496" t="str" s="2">
        <x:v>alejandrodiazzet@gmail.com</x:v>
      </x:c>
      <x:c r="F4496" t="str" s="2">
        <x:v>Youtube</x:v>
      </x:c>
      <x:c r="G4496" t="str" s="2">
        <x:v>Jacob Hatten</x:v>
      </x:c>
      <x:c r="H4496" s="6">
        <x:v>46278.68075373842</x:v>
      </x:c>
      <x:c r="I4496" s="0"/>
      <x:c r="J4496" s="0"/>
      <x:c r="K4496" s="6">
        <x:v>46302</x:v>
      </x:c>
      <x:c r="L4496" t="str" s="2">
        <x:v>Message Sent</x:v>
      </x:c>
    </x:row>
    <x:row r="4497">
      <x:c r="A4497" t="str" s="2">
        <x:f>="Elijah Scott"</x:f>
      </x:c>
      <x:c r="B4497" t="str" s="2">
        <x:v>Heritage Housing of Asheboro</x:v>
      </x:c>
      <x:c r="C4497" t="str" s="2">
        <x:v/>
      </x:c>
      <x:c r="D4497" t="str" s="2">
        <x:v>3369958801</x:v>
      </x:c>
      <x:c r="E4497" t="str" s="2">
        <x:v>elisco1754@gmail.com</x:v>
      </x:c>
      <x:c r="F4497" t="str" s="2">
        <x:v>Landing_BPM</x:v>
      </x:c>
      <x:c r="G4497" t="str" s="2">
        <x:v>Kate Gutierrez</x:v>
      </x:c>
      <x:c r="H4497" s="6">
        <x:v>46278.71845378472</x:v>
      </x:c>
      <x:c r="I4497" s="0"/>
      <x:c r="J4497" s="0"/>
      <x:c r="K4497" s="6">
        <x:v>46280</x:v>
      </x:c>
      <x:c r="L4497" t="str" s="2">
        <x:v>Message Sent</x:v>
      </x:c>
    </x:row>
    <x:row r="4498">
      <x:c r="A4498" t="str" s="2">
        <x:f>="Jamie Dardar"</x:f>
      </x:c>
      <x:c r="B4498" t="str" s="2">
        <x:v>Heritage Housing of Jennings</x:v>
      </x:c>
      <x:c r="C4498" t="str" s="2">
        <x:v/>
      </x:c>
      <x:c r="D4498" t="str" s="2">
        <x:v>9852626771</x:v>
      </x:c>
      <x:c r="E4498" t="str" s="2">
        <x:v>jdardar2021@gmail.com</x:v>
      </x:c>
      <x:c r="F4498" t="str" s="2">
        <x:v>Youtube</x:v>
      </x:c>
      <x:c r="G4498" t="str" s="2">
        <x:v>Clint O'Neal</x:v>
      </x:c>
      <x:c r="H4498" s="6">
        <x:v>46278.71909490741</x:v>
      </x:c>
      <x:c r="I4498" s="0"/>
      <x:c r="J4498" s="0"/>
      <x:c r="K4498" s="6">
        <x:v>46302.72697681713</x:v>
      </x:c>
      <x:c r="L4498" t="str" s="2">
        <x:v>Message Sent</x:v>
      </x:c>
    </x:row>
    <x:row r="4499">
      <x:c r="A4499" t="str" s="2">
        <x:f>="Eleazar Delgado"</x:f>
      </x:c>
      <x:c r="B4499" t="str" s="2">
        <x:v>Heritage Housing of Canton</x:v>
      </x:c>
      <x:c r="C4499" t="str" s="2">
        <x:v/>
      </x:c>
      <x:c r="D4499" t="str" s="2">
        <x:v>9562150951</x:v>
      </x:c>
      <x:c r="E4499" t="str" s="2">
        <x:v>delgadoeleazar228@gmail.com</x:v>
      </x:c>
      <x:c r="F4499" t="str" s="2">
        <x:v>Youtube</x:v>
      </x:c>
      <x:c r="G4499" t="str" s="2">
        <x:v>Maira Garcia</x:v>
      </x:c>
      <x:c r="H4499" s="6">
        <x:v>46278.72760806713</x:v>
      </x:c>
      <x:c r="I4499" s="0"/>
      <x:c r="J4499" s="0"/>
      <x:c r="K4499" s="6">
        <x:v>46279</x:v>
      </x:c>
      <x:c r="L4499" t="str" s="2">
        <x:v>Message Sent</x:v>
      </x:c>
    </x:row>
    <x:row r="4500">
      <x:c r="A4500" t="str" s="2">
        <x:f>="Robert Garza"</x:f>
      </x:c>
      <x:c r="B4500" t="str" s="2">
        <x:v>Heritage Housing of Greenville</x:v>
      </x:c>
      <x:c r="C4500" t="str" s="2">
        <x:v/>
      </x:c>
      <x:c r="D4500" t="str" s="2">
        <x:v>8172048630</x:v>
      </x:c>
      <x:c r="E4500" t="str" s="2">
        <x:v>robertrubingarza@gmail.com</x:v>
      </x:c>
      <x:c r="F4500" t="str" s="2">
        <x:v>Landing_BPM</x:v>
      </x:c>
      <x:c r="G4500" t="str" s="2">
        <x:v>Brooklynn Allen</x:v>
      </x:c>
      <x:c r="H4500" s="6">
        <x:v>46278.75116820602</x:v>
      </x:c>
      <x:c r="I4500" s="0"/>
      <x:c r="J4500" s="0"/>
      <x:c r="K4500" s="6">
        <x:v>46288</x:v>
      </x:c>
      <x:c r="L4500" t="str" s="2">
        <x:v>Message Sent</x:v>
      </x:c>
    </x:row>
    <x:row r="4501">
      <x:c r="A4501" t="str" s="2">
        <x:f>="Robert Howard"</x:f>
      </x:c>
      <x:c r="B4501" t="str" s="2">
        <x:v>Heritage Housing of Asheboro</x:v>
      </x:c>
      <x:c r="C4501" t="str" s="2">
        <x:v/>
      </x:c>
      <x:c r="D4501" t="str" s="2">
        <x:v>8643843397</x:v>
      </x:c>
      <x:c r="E4501" t="str" s="2">
        <x:v>roberthoward0549@gmail.com</x:v>
      </x:c>
      <x:c r="F4501" t="str" s="2">
        <x:v>Landing_BPM</x:v>
      </x:c>
      <x:c r="G4501" t="str" s="2">
        <x:v>Maria Lopez</x:v>
      </x:c>
      <x:c r="H4501" s="6">
        <x:v>46278.767210150465</x:v>
      </x:c>
      <x:c r="I4501" s="0"/>
      <x:c r="J4501" s="0"/>
      <x:c r="K4501" s="6">
        <x:v>46307</x:v>
      </x:c>
      <x:c r="L4501" t="str" s="2">
        <x:v>Message Sent</x:v>
      </x:c>
    </x:row>
    <x:row r="4502">
      <x:c r="A4502" t="str" s="2">
        <x:f>="Alicia Cooper"</x:f>
      </x:c>
      <x:c r="B4502" t="str" s="2">
        <x:v>Heritage Housing of Athens</x:v>
      </x:c>
      <x:c r="C4502" t="str" s="2">
        <x:v/>
      </x:c>
      <x:c r="D4502" t="str" s="2">
        <x:v>7063809162</x:v>
      </x:c>
      <x:c r="E4502" t="str" s="2">
        <x:v>cooper.alicia26@gmail.com</x:v>
      </x:c>
      <x:c r="F4502" t="str" s="2">
        <x:v>Landing_BPM</x:v>
      </x:c>
      <x:c r="G4502" t="str" s="2">
        <x:v>Nathan Bishop</x:v>
      </x:c>
      <x:c r="H4502" s="6">
        <x:v>46278.77149771991</x:v>
      </x:c>
      <x:c r="I4502" s="0"/>
      <x:c r="J4502" s="0"/>
      <x:c r="K4502" s="6">
        <x:v>46282</x:v>
      </x:c>
      <x:c r="L4502" t="str" s="2">
        <x:v>Message Sent</x:v>
      </x:c>
    </x:row>
    <x:row r="4503">
      <x:c r="A4503" t="str" s="2">
        <x:f>="Danny White"</x:f>
      </x:c>
      <x:c r="B4503" t="str" s="2">
        <x:v>Heritage Housing of Asheboro</x:v>
      </x:c>
      <x:c r="C4503" t="str" s="2">
        <x:v/>
      </x:c>
      <x:c r="D4503" t="str" s="2">
        <x:v>4729993344</x:v>
      </x:c>
      <x:c r="E4503" t="str" s="2">
        <x:v>missdreawhite@gmail.com</x:v>
      </x:c>
      <x:c r="F4503" t="str" s="2">
        <x:v>Youtube</x:v>
      </x:c>
      <x:c r="G4503" t="str" s="2">
        <x:v>Maria Lopez</x:v>
      </x:c>
      <x:c r="H4503" s="6">
        <x:v>46278.77155494213</x:v>
      </x:c>
      <x:c r="I4503" s="0"/>
      <x:c r="J4503" s="0"/>
      <x:c r="K4503" s="6">
        <x:v>46288</x:v>
      </x:c>
      <x:c r="L4503" t="str" s="2">
        <x:v>Message Sent</x:v>
      </x:c>
    </x:row>
    <x:row r="4504">
      <x:c r="A4504" t="str" s="2">
        <x:f>="Aniya Bowyer"</x:f>
      </x:c>
      <x:c r="B4504" t="str" s="2">
        <x:v>Heritage Housing of Tulsa</x:v>
      </x:c>
      <x:c r="C4504" t="str" s="2">
        <x:v/>
      </x:c>
      <x:c r="D4504" t="str" s="2">
        <x:v>5393226284</x:v>
      </x:c>
      <x:c r="E4504" t="str" s="2">
        <x:v>milanmarie1999@gmail.com</x:v>
      </x:c>
      <x:c r="F4504" t="str" s="2">
        <x:v>Landing_BPM</x:v>
      </x:c>
      <x:c r="G4504" t="str" s="2">
        <x:v>Jenna Fransisco</x:v>
      </x:c>
      <x:c r="H4504" s="6">
        <x:v>46278.7794778125</x:v>
      </x:c>
      <x:c r="I4504" s="0"/>
      <x:c r="J4504" s="0"/>
      <x:c r="K4504" s="6">
        <x:v>46279</x:v>
      </x:c>
      <x:c r="L4504" t="str" s="2">
        <x:v>Message Sent</x:v>
      </x:c>
    </x:row>
    <x:row r="4505">
      <x:c r="A4505" t="str" s="2">
        <x:f>="Melinda Mccullen"</x:f>
      </x:c>
      <x:c r="B4505" t="str" s="2">
        <x:v>Heritage Housing of Asheboro</x:v>
      </x:c>
      <x:c r="C4505" t="str" s="2">
        <x:v>2/2</x:v>
      </x:c>
      <x:c r="D4505" t="str" s="2">
        <x:v>9104104383</x:v>
      </x:c>
      <x:c r="E4505" t="str" s="2">
        <x:v>melindaplayer02@gmail.com</x:v>
      </x:c>
      <x:c r="F4505" t="str" s="2">
        <x:v>Youtube</x:v>
      </x:c>
      <x:c r="G4505" t="str" s="2">
        <x:v>Kate Gutierrez</x:v>
      </x:c>
      <x:c r="H4505" s="6">
        <x:v>46278.78053487268</x:v>
      </x:c>
      <x:c r="I4505" s="0"/>
      <x:c r="J4505" s="0"/>
      <x:c r="K4505" s="6">
        <x:v>46283</x:v>
      </x:c>
      <x:c r="L4505" t="str" s="2">
        <x:v>Message Sent</x:v>
      </x:c>
    </x:row>
    <x:row r="4506">
      <x:c r="A4506" t="str" s="2">
        <x:f>="Quanton Moody"</x:f>
      </x:c>
      <x:c r="B4506" t="str" s="2">
        <x:v>Heritage Housing of Tulsa</x:v>
      </x:c>
      <x:c r="C4506" t="str" s="2">
        <x:v/>
      </x:c>
      <x:c r="D4506" t="str" s="2">
        <x:v>9182536963</x:v>
      </x:c>
      <x:c r="E4506" t="str" s="2">
        <x:v>lorrainemoody60@gmail.com</x:v>
      </x:c>
      <x:c r="F4506" t="str" s="2">
        <x:v>Youtube</x:v>
      </x:c>
      <x:c r="G4506" t="str" s="2">
        <x:v>Jenna Fransisco</x:v>
      </x:c>
      <x:c r="H4506" s="6">
        <x:v>46278.788212037034</x:v>
      </x:c>
      <x:c r="I4506" s="0"/>
      <x:c r="J4506" s="0"/>
      <x:c r="K4506" s="6">
        <x:v>46279</x:v>
      </x:c>
      <x:c r="L4506" t="str" s="2">
        <x:v>Message Sent</x:v>
      </x:c>
    </x:row>
    <x:row r="4507">
      <x:c r="A4507" t="str" s="2">
        <x:f>="Cristy Womack"</x:f>
      </x:c>
      <x:c r="B4507" t="str" s="2">
        <x:v>Heritage Housing of Asheboro</x:v>
      </x:c>
      <x:c r="C4507" t="str" s="2">
        <x:v/>
      </x:c>
      <x:c r="D4507" t="str" s="2">
        <x:v>3362573336</x:v>
      </x:c>
      <x:c r="E4507" t="str" s="2">
        <x:v>Crazicristy81@gmail.com</x:v>
      </x:c>
      <x:c r="F4507" t="str" s="2">
        <x:v>LandingPage</x:v>
      </x:c>
      <x:c r="G4507" t="str" s="2">
        <x:v>Maria Lopez</x:v>
      </x:c>
      <x:c r="H4507" s="6">
        <x:v>46278.810050775464</x:v>
      </x:c>
      <x:c r="I4507" s="0"/>
      <x:c r="J4507" s="0"/>
      <x:c r="K4507" s="6">
        <x:v>46279</x:v>
      </x:c>
      <x:c r="L4507" t="str" s="2">
        <x:v>Message Sent</x:v>
      </x:c>
    </x:row>
    <x:row r="4508">
      <x:c r="A4508" t="str" s="2">
        <x:f>="Betty Dalton"</x:f>
      </x:c>
      <x:c r="B4508" t="str" s="2">
        <x:v>Heritage Housing of Tulsa</x:v>
      </x:c>
      <x:c r="C4508" t="str" s="2">
        <x:v/>
      </x:c>
      <x:c r="D4508" t="str" s="2">
        <x:v>5397662425</x:v>
      </x:c>
      <x:c r="E4508" t="str" s="2">
        <x:v>bdalton115@gmail.com</x:v>
      </x:c>
      <x:c r="F4508" t="str" s="2">
        <x:v>Financing Form</x:v>
      </x:c>
      <x:c r="G4508" t="str" s="2">
        <x:v>Jenna Fransisco</x:v>
      </x:c>
      <x:c r="H4508" s="6">
        <x:v>46278.825786030095</x:v>
      </x:c>
      <x:c r="I4508" s="0"/>
      <x:c r="J4508" s="0"/>
      <x:c r="K4508" s="6">
        <x:v>46282</x:v>
      </x:c>
      <x:c r="L4508" t="str" s="2">
        <x:v>Message Sent</x:v>
      </x:c>
    </x:row>
    <x:row r="4509">
      <x:c r="A4509" t="str" s="2">
        <x:f>="kaderies williams"</x:f>
      </x:c>
      <x:c r="B4509" t="str" s="2">
        <x:v>Heritage Housing of Canton</x:v>
      </x:c>
      <x:c r="C4509" t="str" s="2">
        <x:v/>
      </x:c>
      <x:c r="D4509" t="str" s="2">
        <x:v>9562406192</x:v>
      </x:c>
      <x:c r="E4509" t="str" s="2">
        <x:v>wkaderies@gmail.com</x:v>
      </x:c>
      <x:c r="F4509" t="str" s="2">
        <x:v>Landing_BPM</x:v>
      </x:c>
      <x:c r="G4509" t="str" s="2">
        <x:v>Jacob Hatten</x:v>
      </x:c>
      <x:c r="H4509" s="6">
        <x:v>46278.82832260417</x:v>
      </x:c>
      <x:c r="I4509" s="0"/>
      <x:c r="J4509" s="0"/>
      <x:c r="K4509" s="6">
        <x:v>46302</x:v>
      </x:c>
      <x:c r="L4509" t="str" s="2">
        <x:v>Message Sent</x:v>
      </x:c>
    </x:row>
    <x:row r="4510">
      <x:c r="A4510" t="str" s="2">
        <x:f>="Raphael Ewohime"</x:f>
      </x:c>
      <x:c r="B4510" t="str" s="2">
        <x:v>Heritage Housing of Tulsa</x:v>
      </x:c>
      <x:c r="C4510" t="str" s="2">
        <x:v/>
      </x:c>
      <x:c r="D4510" t="str" s="2">
        <x:v>9189955513</x:v>
      </x:c>
      <x:c r="E4510" t="str" s="2">
        <x:v>rewohime787@gmail.com</x:v>
      </x:c>
      <x:c r="F4510" t="str" s="2">
        <x:v>Financing Form</x:v>
      </x:c>
      <x:c r="G4510" t="str" s="2">
        <x:v>Jenna Fransisco</x:v>
      </x:c>
      <x:c r="H4510" s="6">
        <x:v>46278.85982199074</x:v>
      </x:c>
      <x:c r="I4510" s="0"/>
      <x:c r="J4510" s="0"/>
      <x:c r="K4510" s="6">
        <x:v>46279</x:v>
      </x:c>
      <x:c r="L4510" t="str" s="2">
        <x:v>Message Sent</x:v>
      </x:c>
    </x:row>
    <x:row r="4511">
      <x:c r="A4511" t="str" s="2">
        <x:f>="Frances BlackOmari"</x:f>
      </x:c>
      <x:c r="B4511" t="str" s="2">
        <x:v>Heritage Housing of Canton</x:v>
      </x:c>
      <x:c r="C4511" t="str" s="2">
        <x:v/>
      </x:c>
      <x:c r="D4511" t="str" s="2">
        <x:v>2022211609</x:v>
      </x:c>
      <x:c r="E4511" t="str" s="2">
        <x:v>f30914821@gmail.com</x:v>
      </x:c>
      <x:c r="F4511" t="str" s="2">
        <x:v>Youtube</x:v>
      </x:c>
      <x:c r="G4511" t="str" s="2">
        <x:v>Maira Garcia</x:v>
      </x:c>
      <x:c r="H4511" s="6">
        <x:v>46278.86019853009</x:v>
      </x:c>
      <x:c r="I4511" s="0"/>
      <x:c r="J4511" s="0"/>
      <x:c r="K4511" s="6">
        <x:v>46279</x:v>
      </x:c>
      <x:c r="L4511" t="str" s="2">
        <x:v>Message Sent</x:v>
      </x:c>
    </x:row>
    <x:row r="4512">
      <x:c r="A4512" t="str" s="2">
        <x:f>="Natalie Fox"</x:f>
      </x:c>
      <x:c r="B4512" t="str" s="2">
        <x:v>Heritage Housing of Augusta</x:v>
      </x:c>
      <x:c r="C4512" t="str" s="2">
        <x:v>0/1</x:v>
      </x:c>
      <x:c r="D4512" t="str" s="2">
        <x:v>4783914392</x:v>
      </x:c>
      <x:c r="E4512" t="str" s="2">
        <x:v>timothytrey2026@gmail.com</x:v>
      </x:c>
      <x:c r="F4512" t="str" s="2">
        <x:v>Youtube</x:v>
      </x:c>
      <x:c r="G4512" t="str" s="2">
        <x:v>Jennifer Johnson</x:v>
      </x:c>
      <x:c r="H4512" s="6">
        <x:v>46278.864608599535</x:v>
      </x:c>
      <x:c r="I4512" s="0"/>
      <x:c r="J4512" s="0"/>
      <x:c r="K4512" s="6">
        <x:v>46297</x:v>
      </x:c>
      <x:c r="L4512" t="str" s="2">
        <x:v>Message Sent</x:v>
      </x:c>
    </x:row>
    <x:row r="4513">
      <x:c r="A4513" t="str" s="2">
        <x:f>="Deanna Bennett"</x:f>
      </x:c>
      <x:c r="B4513" t="str" s="2">
        <x:v>Heritage Housing of Albany</x:v>
      </x:c>
      <x:c r="C4513" t="str" s="2">
        <x:v/>
      </x:c>
      <x:c r="D4513" t="str" s="2">
        <x:v>2523698312</x:v>
      </x:c>
      <x:c r="E4513" t="str" s="2">
        <x:v>dmeek0975@gmail.com</x:v>
      </x:c>
      <x:c r="F4513" t="str" s="2">
        <x:v>Bing - Search</x:v>
      </x:c>
      <x:c r="G4513" t="str" s="2">
        <x:v>Yanet Alvarez</x:v>
      </x:c>
      <x:c r="H4513" s="6">
        <x:v>46278.8704116088</x:v>
      </x:c>
      <x:c r="I4513" s="0"/>
      <x:c r="J4513" s="0"/>
      <x:c r="K4513" s="6">
        <x:v>46307</x:v>
      </x:c>
      <x:c r="L4513" t="str" s="2">
        <x:v>Message Sent</x:v>
      </x:c>
    </x:row>
    <x:row r="4514">
      <x:c r="A4514" t="str" s="2">
        <x:f>="William Pipkins"</x:f>
      </x:c>
      <x:c r="B4514" t="str" s="2">
        <x:v>Heritage Housing of Augusta</x:v>
      </x:c>
      <x:c r="C4514" t="str" s="2">
        <x:v/>
      </x:c>
      <x:c r="D4514" t="str" s="2">
        <x:v>8034966056</x:v>
      </x:c>
      <x:c r="E4514" t="str" s="2">
        <x:v>Pipkinswilliam812@gmail.com</x:v>
      </x:c>
      <x:c r="F4514" t="str" s="2">
        <x:v>Bing - Search</x:v>
      </x:c>
      <x:c r="G4514" t="str" s="2">
        <x:v>Justin Johnson</x:v>
      </x:c>
      <x:c r="H4514" s="6">
        <x:v>46278.87100489583</x:v>
      </x:c>
      <x:c r="I4514" s="0"/>
      <x:c r="J4514" s="0"/>
      <x:c r="K4514" s="6">
        <x:v>46279.91403568287</x:v>
      </x:c>
      <x:c r="L4514" t="str" s="2">
        <x:v>Message Sent</x:v>
      </x:c>
    </x:row>
    <x:row r="4515">
      <x:c r="A4515" t="str" s="2">
        <x:f>="Melissa Sheppard"</x:f>
      </x:c>
      <x:c r="B4515" t="str" s="2">
        <x:v>Heritage Housing of Augusta</x:v>
      </x:c>
      <x:c r="C4515" t="str" s="2">
        <x:v/>
      </x:c>
      <x:c r="D4515" t="str" s="2">
        <x:v>8036524698</x:v>
      </x:c>
      <x:c r="E4515" t="str" s="2">
        <x:v>unwantedalways81@gmail.com</x:v>
      </x:c>
      <x:c r="F4515" t="str" s="2">
        <x:v>Landing_BPM</x:v>
      </x:c>
      <x:c r="G4515" t="str" s="2">
        <x:v>Faye Lively</x:v>
      </x:c>
      <x:c r="H4515" s="6">
        <x:v>46278.89633333333</x:v>
      </x:c>
      <x:c r="I4515" s="0"/>
      <x:c r="J4515" s="0"/>
      <x:c r="K4515" s="6">
        <x:v>46279.9138716088</x:v>
      </x:c>
      <x:c r="L4515" t="str" s="2">
        <x:v>Message Sent</x:v>
      </x:c>
    </x:row>
    <x:row r="4516">
      <x:c r="A4516" t="str" s="2">
        <x:f>="William Quinn"</x:f>
      </x:c>
      <x:c r="B4516" t="str" s="2">
        <x:v>Heritage Housing of Albany</x:v>
      </x:c>
      <x:c r="C4516" t="str" s="2">
        <x:v/>
      </x:c>
      <x:c r="D4516" t="str" s="2">
        <x:v>3862932812</x:v>
      </x:c>
      <x:c r="E4516" t="str" s="2">
        <x:v>billquinn0458@gmail.com</x:v>
      </x:c>
      <x:c r="F4516" t="str" s="2">
        <x:v>Youtube</x:v>
      </x:c>
      <x:c r="G4516" t="str" s="2">
        <x:v>Yanet Alvarez</x:v>
      </x:c>
      <x:c r="H4516" s="6">
        <x:v>46278.8977065625</x:v>
      </x:c>
      <x:c r="I4516" s="0"/>
      <x:c r="J4516" s="0"/>
      <x:c r="K4516" s="6">
        <x:v>46307</x:v>
      </x:c>
      <x:c r="L4516" t="str" s="2">
        <x:v>Message Sent</x:v>
      </x:c>
    </x:row>
    <x:row r="4517">
      <x:c r="A4517" t="str" s="2">
        <x:f>="Ashley Sylve"</x:f>
      </x:c>
      <x:c r="B4517" t="str" s="2">
        <x:v>Heritage Housing of Jennings</x:v>
      </x:c>
      <x:c r="C4517" t="str" s="2">
        <x:v/>
      </x:c>
      <x:c r="D4517" t="str" s="2">
        <x:v>2252003489</x:v>
      </x:c>
      <x:c r="E4517" t="str" s="2">
        <x:v>ashnec91@gmail.com</x:v>
      </x:c>
      <x:c r="F4517" t="str" s="2">
        <x:v>Landing_BPM</x:v>
      </x:c>
      <x:c r="G4517" t="str" s="2">
        <x:v>Mervin Leslie Smith</x:v>
      </x:c>
      <x:c r="H4517" s="6">
        <x:v>46278.898860416666</x:v>
      </x:c>
      <x:c r="I4517" s="0"/>
      <x:c r="J4517" s="0"/>
      <x:c r="K4517" s="6">
        <x:v>46302.656240972225</x:v>
      </x:c>
      <x:c r="L4517" t="str" s="2">
        <x:v>Message Sent</x:v>
      </x:c>
    </x:row>
    <x:row r="4518">
      <x:c r="A4518" t="str" s="2">
        <x:f>="Lateesha Utley"</x:f>
      </x:c>
      <x:c r="B4518" t="str" s="2">
        <x:v>Heritage Housing of Asheboro</x:v>
      </x:c>
      <x:c r="C4518" t="str" s="2">
        <x:v/>
      </x:c>
      <x:c r="D4518" t="str" s="2">
        <x:v>3366832199</x:v>
      </x:c>
      <x:c r="E4518" t="str" s="2">
        <x:v>teesha82.lu@gmail.com</x:v>
      </x:c>
      <x:c r="F4518" t="str" s="2">
        <x:v>Landing_BPM</x:v>
      </x:c>
      <x:c r="G4518" t="str" s="2">
        <x:v>Maria Lopez</x:v>
      </x:c>
      <x:c r="H4518" s="6">
        <x:v>46278.91957063657</x:v>
      </x:c>
      <x:c r="I4518" s="0"/>
      <x:c r="J4518" s="0"/>
      <x:c r="K4518" s="6">
        <x:v>46288</x:v>
      </x:c>
      <x:c r="L4518" t="str" s="2">
        <x:v>Message Sent</x:v>
      </x:c>
    </x:row>
    <x:row r="4519">
      <x:c r="A4519" t="str" s="2">
        <x:f>="Mac Barrow"</x:f>
      </x:c>
      <x:c r="B4519" t="str" s="2">
        <x:v>Heritage Housing of Jennings</x:v>
      </x:c>
      <x:c r="C4519" t="str" s="2">
        <x:v/>
      </x:c>
      <x:c r="D4519" t="str" s="2">
        <x:v>3182000473</x:v>
      </x:c>
      <x:c r="E4519" t="str" s="2">
        <x:v>ikoalaradio@gmx.com</x:v>
      </x:c>
      <x:c r="F4519" t="str" s="2">
        <x:v>Landing_BPM</x:v>
      </x:c>
      <x:c r="G4519" t="str" s="2">
        <x:v>Clint O'Neal</x:v>
      </x:c>
      <x:c r="H4519" s="6">
        <x:v>46278.9710215625</x:v>
      </x:c>
      <x:c r="I4519" s="0"/>
      <x:c r="J4519" s="0"/>
      <x:c r="K4519" s="6">
        <x:v>46302.726352858794</x:v>
      </x:c>
      <x:c r="L4519" t="str" s="2">
        <x:v>Message Sent</x:v>
      </x:c>
    </x:row>
    <x:row r="4520">
      <x:c r="A4520" t="str" s="2">
        <x:f>="Sheryl Benoit"</x:f>
      </x:c>
      <x:c r="B4520" t="str" s="2">
        <x:v>Heritage Housing of Jennings</x:v>
      </x:c>
      <x:c r="C4520" t="str" s="2">
        <x:v/>
      </x:c>
      <x:c r="D4520" t="str" s="2">
        <x:v>3374586161</x:v>
      </x:c>
      <x:c r="E4520" t="str" s="2">
        <x:v>benoitsheryl@yahoo.com</x:v>
      </x:c>
      <x:c r="F4520" t="str" s="2">
        <x:v>Landing_BPM</x:v>
      </x:c>
      <x:c r="G4520" t="str" s="2">
        <x:v>Mervin Leslie Smith</x:v>
      </x:c>
      <x:c r="H4520" s="6">
        <x:v>46278.97468607639</x:v>
      </x:c>
      <x:c r="I4520" s="0"/>
      <x:c r="J4520" s="0"/>
      <x:c r="K4520" s="6">
        <x:v>46302.72791223379</x:v>
      </x:c>
      <x:c r="L4520" t="str" s="2">
        <x:v>Message Sent</x:v>
      </x:c>
    </x:row>
    <x:row r="4521">
      <x:c r="A4521" t="str" s="2">
        <x:f>="Debra Bergeaux"</x:f>
      </x:c>
      <x:c r="B4521" t="str" s="2">
        <x:v>Heritage Housing of Jennings</x:v>
      </x:c>
      <x:c r="C4521" t="str" s="2">
        <x:v/>
      </x:c>
      <x:c r="D4521" t="str" s="2">
        <x:v>3374039349</x:v>
      </x:c>
      <x:c r="E4521" t="str" s="2">
        <x:v>debbiebergeaux45@gmail.com</x:v>
      </x:c>
      <x:c r="F4521" t="str" s="2">
        <x:v>Landing_BPM</x:v>
      </x:c>
      <x:c r="G4521" t="str" s="2">
        <x:v>Clint O'Neal</x:v>
      </x:c>
      <x:c r="H4521" s="6">
        <x:v>46278.9879996875</x:v>
      </x:c>
      <x:c r="I4521" s="0"/>
      <x:c r="J4521" s="0"/>
      <x:c r="K4521" s="6">
        <x:v>46302.727325</x:v>
      </x:c>
      <x:c r="L4521" t="str" s="2">
        <x:v>Message Sent</x:v>
      </x:c>
    </x:row>
    <x:row r="4522">
      <x:c r="A4522" t="str" s="2">
        <x:f>="Janet Meza"</x:f>
      </x:c>
      <x:c r="B4522" t="str" s="2">
        <x:v>Heritage Housing of Canton</x:v>
      </x:c>
      <x:c r="C4522" t="str" s="2">
        <x:v/>
      </x:c>
      <x:c r="D4522" t="str" s="2">
        <x:v>9152615627</x:v>
      </x:c>
      <x:c r="E4522" t="str" s="2">
        <x:v>ja_mez_13@hotmail.com</x:v>
      </x:c>
      <x:c r="F4522" t="str" s="2">
        <x:v>Landing_BPM</x:v>
      </x:c>
      <x:c r="G4522" t="str" s="2">
        <x:v>Jacob Hatten</x:v>
      </x:c>
      <x:c r="H4522" s="6">
        <x:v>46279.00604799768</x:v>
      </x:c>
      <x:c r="I4522" s="0"/>
      <x:c r="J4522" s="0"/>
      <x:c r="K4522" s="6">
        <x:v>46302</x:v>
      </x:c>
      <x:c r="L4522" t="str" s="2">
        <x:v>Message Sent</x:v>
      </x:c>
    </x:row>
    <x:row r="4523">
      <x:c r="A4523" t="str" s="2">
        <x:f>="Jeremiah Coleman"</x:f>
      </x:c>
      <x:c r="B4523" t="str" s="2">
        <x:v>Heritage Housing of Athens</x:v>
      </x:c>
      <x:c r="C4523" t="str" s="2">
        <x:v/>
      </x:c>
      <x:c r="D4523" t="str" s="2">
        <x:v>7065409789</x:v>
      </x:c>
      <x:c r="E4523" t="str" s="2">
        <x:v>JEREMIAHCOLEMAN16@YAHOO.COM</x:v>
      </x:c>
      <x:c r="F4523" t="str" s="2">
        <x:v>Landing_BPM</x:v>
      </x:c>
      <x:c r="G4523" t="str" s="2">
        <x:v>Nathan Bishop</x:v>
      </x:c>
      <x:c r="H4523" s="6">
        <x:v>46279.02013329861</x:v>
      </x:c>
      <x:c r="I4523" s="0"/>
      <x:c r="J4523" s="0"/>
      <x:c r="K4523" s="6">
        <x:v>46279</x:v>
      </x:c>
      <x:c r="L4523" t="str" s="2">
        <x:v>Message Sent</x:v>
      </x:c>
    </x:row>
    <x:row r="4524">
      <x:c r="A4524" t="str" s="2">
        <x:f>="Benjamin Biles"</x:f>
      </x:c>
      <x:c r="B4524" t="str" s="2">
        <x:v>Heritage Housing of Albany</x:v>
      </x:c>
      <x:c r="C4524" t="str" s="2">
        <x:v/>
      </x:c>
      <x:c r="D4524" t="str" s="2">
        <x:v>4049929360</x:v>
      </x:c>
      <x:c r="E4524" t="str" s="2">
        <x:v>benbiles94@gmail.como</x:v>
      </x:c>
      <x:c r="F4524" t="str" s="2">
        <x:v>Youtube</x:v>
      </x:c>
      <x:c r="G4524" t="str" s="2">
        <x:v>Yanet Alvarez</x:v>
      </x:c>
      <x:c r="H4524" s="6">
        <x:v>46279.024692280094</x:v>
      </x:c>
      <x:c r="I4524" s="0"/>
      <x:c r="J4524" s="0"/>
      <x:c r="K4524" s="6">
        <x:v>46280</x:v>
      </x:c>
      <x:c r="L4524" t="str" s="2">
        <x:v>Message Sent</x:v>
      </x:c>
    </x:row>
    <x:row r="4525">
      <x:c r="A4525" t="str" s="2">
        <x:f>="Tatiana Campos"</x:f>
      </x:c>
      <x:c r="B4525" t="str" s="2">
        <x:v>Heritage Housing Gainesville</x:v>
      </x:c>
      <x:c r="C4525" t="str" s="2">
        <x:v/>
      </x:c>
      <x:c r="D4525" t="str" s="2">
        <x:v>4697739102</x:v>
      </x:c>
      <x:c r="E4525" t="str" s="2">
        <x:v>tatianamcastillo710@gmail.com</x:v>
      </x:c>
      <x:c r="F4525" t="str" s="2">
        <x:v>Landing_BPM</x:v>
      </x:c>
      <x:c r="G4525" t="str" s="2">
        <x:v>Kelly Ford</x:v>
      </x:c>
      <x:c r="H4525" s="6">
        <x:v>46279.025787349536</x:v>
      </x:c>
      <x:c r="I4525" s="0"/>
      <x:c r="J4525" s="0"/>
      <x:c r="K4525" s="6">
        <x:v>46290</x:v>
      </x:c>
      <x:c r="L4525" t="str" s="2">
        <x:v>Message Sent</x:v>
      </x:c>
    </x:row>
    <x:row r="4526">
      <x:c r="A4526" t="str" s="2">
        <x:f>="Tiffany McKay"</x:f>
      </x:c>
      <x:c r="B4526" t="str" s="2">
        <x:v>Heritage Housing of Albany</x:v>
      </x:c>
      <x:c r="C4526" t="str" s="2">
        <x:v/>
      </x:c>
      <x:c r="D4526" t="str" s="2">
        <x:v>9282430139</x:v>
      </x:c>
      <x:c r="E4526" t="str" s="2">
        <x:v>mrsseanmckay@gmail.com</x:v>
      </x:c>
      <x:c r="F4526" t="str" s="2">
        <x:v>Financing Form</x:v>
      </x:c>
      <x:c r="G4526" t="str" s="2">
        <x:v>Yanet Alvarez</x:v>
      </x:c>
      <x:c r="H4526" s="6">
        <x:v>46279.07331435185</x:v>
      </x:c>
      <x:c r="I4526" s="0"/>
      <x:c r="J4526" s="0"/>
      <x:c r="K4526" s="6">
        <x:v>46307</x:v>
      </x:c>
      <x:c r="L4526" t="str" s="2">
        <x:v>Message Sent</x:v>
      </x:c>
    </x:row>
    <x:row r="4527">
      <x:c r="A4527" t="str" s="2">
        <x:f>="Marisol Caballero garcia"</x:f>
      </x:c>
      <x:c r="B4527" t="str" s="2">
        <x:v>Heritage Housing of Canton</x:v>
      </x:c>
      <x:c r="C4527" t="str" s="2">
        <x:v/>
      </x:c>
      <x:c r="D4527" t="str" s="2">
        <x:v>3375016651</x:v>
      </x:c>
      <x:c r="E4527" t="str" s="2">
        <x:v>caballeromarisol21@gmail.com</x:v>
      </x:c>
      <x:c r="F4527" t="str" s="2">
        <x:v>Youtube</x:v>
      </x:c>
      <x:c r="G4527" t="str" s="2">
        <x:v>Maira Garcia</x:v>
      </x:c>
      <x:c r="H4527" s="6">
        <x:v>46279.08804517361</x:v>
      </x:c>
      <x:c r="I4527" s="0"/>
      <x:c r="J4527" s="0"/>
      <x:c r="K4527" s="6">
        <x:v>46279</x:v>
      </x:c>
      <x:c r="L4527" t="str" s="2">
        <x:v>Message Sent</x:v>
      </x:c>
    </x:row>
    <x:row r="4528">
      <x:c r="A4528" t="str" s="2">
        <x:f>="Larryguict LarryguictPA"</x:f>
      </x:c>
      <x:c r="B4528" t="str" s="2">
        <x:v>Heritage Housing of Greenville</x:v>
      </x:c>
      <x:c r="C4528" t="str" s="2">
        <x:v/>
      </x:c>
      <x:c r="D4528" t="str" s="2">
        <x:v>89872236553</x:v>
      </x:c>
      <x:c r="E4528" t="str" s="2">
        <x:v>dgqguje@blnbwko.tre</x:v>
      </x:c>
      <x:c r="F4528" t="str" s="2">
        <x:v>Website</x:v>
      </x:c>
      <x:c r="G4528" t="str" s="2">
        <x:v>Brooklynn Allen</x:v>
      </x:c>
      <x:c r="H4528" s="6">
        <x:v>46279.08962126158</x:v>
      </x:c>
      <x:c r="I4528" s="0"/>
      <x:c r="J4528" s="0"/>
      <x:c r="K4528" s="6">
        <x:v>46288</x:v>
      </x:c>
      <x:c r="L4528" t="str" s="2">
        <x:v>Message Sent</x:v>
      </x:c>
    </x:row>
    <x:row r="4529">
      <x:c r="A4529" t="str" s="2">
        <x:f>="Cora Watson"</x:f>
      </x:c>
      <x:c r="B4529" t="str" s="2">
        <x:v>Heritage Housing of Tulsa</x:v>
      </x:c>
      <x:c r="C4529" t="str" s="2">
        <x:v/>
      </x:c>
      <x:c r="D4529" t="str" s="2">
        <x:v>5392863919</x:v>
      </x:c>
      <x:c r="E4529" t="str" s="2">
        <x:v>coralee.watson@gmail.com</x:v>
      </x:c>
      <x:c r="F4529" t="str" s="2">
        <x:v>Youtube</x:v>
      </x:c>
      <x:c r="G4529" t="str" s="2">
        <x:v>Jenna Fransisco</x:v>
      </x:c>
      <x:c r="H4529" s="6">
        <x:v>46279.11531226852</x:v>
      </x:c>
      <x:c r="I4529" s="0"/>
      <x:c r="J4529" s="0"/>
      <x:c r="K4529" s="6">
        <x:v>46279</x:v>
      </x:c>
      <x:c r="L4529" t="str" s="2">
        <x:v>Message Sent</x:v>
      </x:c>
    </x:row>
    <x:row r="4530">
      <x:c r="A4530" t="str" s="2">
        <x:f>="Quaneshia Patterson"</x:f>
      </x:c>
      <x:c r="B4530" t="str" s="2">
        <x:v>Heritage Housing of Albany</x:v>
      </x:c>
      <x:c r="C4530" t="str" s="2">
        <x:v/>
      </x:c>
      <x:c r="D4530" t="str" s="2">
        <x:v>2292122390</x:v>
      </x:c>
      <x:c r="E4530" t="str" s="2">
        <x:v>quaneshipatterson10@gmail.com</x:v>
      </x:c>
      <x:c r="F4530" t="str" s="2">
        <x:v>Landing_BPM</x:v>
      </x:c>
      <x:c r="G4530" t="str" s="2">
        <x:v>Yanet Alvarez</x:v>
      </x:c>
      <x:c r="H4530" s="6">
        <x:v>46279.13009097222</x:v>
      </x:c>
      <x:c r="I4530" s="0"/>
      <x:c r="J4530" s="0"/>
      <x:c r="K4530" s="6">
        <x:v>46307</x:v>
      </x:c>
      <x:c r="L4530" t="str" s="2">
        <x:v>Message Sent</x:v>
      </x:c>
    </x:row>
    <x:row r="4531">
      <x:c r="A4531" t="str" s="2">
        <x:f>="Mikaela Ely"</x:f>
      </x:c>
      <x:c r="B4531" t="str" s="2">
        <x:v>Legacy Housing Corp. DBA Americasa</x:v>
      </x:c>
      <x:c r="C4531" t="str" s="2">
        <x:v/>
      </x:c>
      <x:c r="D4531" t="str" s="2">
        <x:v>8177716375</x:v>
      </x:c>
      <x:c r="E4531" t="str" s="2">
        <x:v>mikaela0607@icloud.com</x:v>
      </x:c>
      <x:c r="F4531" t="str" s="2">
        <x:v>Landing_BPM</x:v>
      </x:c>
      <x:c r="G4531" t="str" s="2">
        <x:v>Jose Parada</x:v>
      </x:c>
      <x:c r="H4531" s="6">
        <x:v>46279.13655390046</x:v>
      </x:c>
      <x:c r="I4531" s="0"/>
      <x:c r="J4531" s="0"/>
      <x:c r="K4531" s="6">
        <x:v>46279</x:v>
      </x:c>
      <x:c r="L4531" t="str" s="2">
        <x:v>Message Sent</x:v>
      </x:c>
    </x:row>
    <x:row r="4532">
      <x:c r="A4532" t="str" s="2">
        <x:f>="Wilbert Cooks"</x:f>
      </x:c>
      <x:c r="B4532" t="str" s="2">
        <x:v>Heritage Housing of Jennings</x:v>
      </x:c>
      <x:c r="C4532" t="str" s="2">
        <x:v/>
      </x:c>
      <x:c r="D4532" t="str" s="2">
        <x:v>9854145102</x:v>
      </x:c>
      <x:c r="E4532" t="str" s="2">
        <x:v>anthonyjcooks@gmail.com</x:v>
      </x:c>
      <x:c r="F4532" t="str" s="2">
        <x:v>Youtube</x:v>
      </x:c>
      <x:c r="G4532" t="str" s="2">
        <x:v>Clint O'Neal</x:v>
      </x:c>
      <x:c r="H4532" s="6">
        <x:v>46279.140047534725</x:v>
      </x:c>
      <x:c r="I4532" s="0"/>
      <x:c r="J4532" s="0"/>
      <x:c r="K4532" s="6">
        <x:v>46302.72826354166</x:v>
      </x:c>
      <x:c r="L4532" t="str" s="2">
        <x:v>Message Sent</x:v>
      </x:c>
    </x:row>
    <x:row r="4533">
      <x:c r="A4533" t="str" s="2">
        <x:f>="Christopher Quintana"</x:f>
      </x:c>
      <x:c r="B4533" t="str" s="2">
        <x:v>Heritage Housing Gainesville</x:v>
      </x:c>
      <x:c r="C4533" t="str" s="2">
        <x:v/>
      </x:c>
      <x:c r="D4533" t="str" s="2">
        <x:v>15802389708</x:v>
      </x:c>
      <x:c r="E4533" t="str" s="2">
        <x:v>qchristopher1992q@icloud.com</x:v>
      </x:c>
      <x:c r="F4533" t="str" s="2">
        <x:v>Financing Form</x:v>
      </x:c>
      <x:c r="G4533" t="str" s="2">
        <x:v>Kelly Ford</x:v>
      </x:c>
      <x:c r="H4533" s="6">
        <x:v>46279.18280744213</x:v>
      </x:c>
      <x:c r="I4533" s="0"/>
      <x:c r="J4533" s="0"/>
      <x:c r="K4533" s="6">
        <x:v>46290</x:v>
      </x:c>
      <x:c r="L4533" t="str" s="2">
        <x:v>Message Sent</x:v>
      </x:c>
    </x:row>
    <x:row r="4534">
      <x:c r="A4534" t="str" s="2">
        <x:f>="Cedric Langley"</x:f>
      </x:c>
      <x:c r="B4534" t="str" s="2">
        <x:v>Heritage Housing of Canton</x:v>
      </x:c>
      <x:c r="C4534" t="str" s="2">
        <x:v/>
      </x:c>
      <x:c r="D4534" t="str" s="2">
        <x:v>4303448404</x:v>
      </x:c>
      <x:c r="E4534" t="str" s="2">
        <x:v>Cedriclangley45@gmail.com</x:v>
      </x:c>
      <x:c r="F4534" t="str" s="2">
        <x:v>Financing Form</x:v>
      </x:c>
      <x:c r="G4534" t="str" s="2">
        <x:v>Jacob Hatten</x:v>
      </x:c>
      <x:c r="H4534" s="6">
        <x:v>46279.214294791665</x:v>
      </x:c>
      <x:c r="I4534" s="0"/>
      <x:c r="J4534" s="0"/>
      <x:c r="K4534" s="6">
        <x:v>46302</x:v>
      </x:c>
      <x:c r="L4534" t="str" s="2">
        <x:v>Message Sent</x:v>
      </x:c>
    </x:row>
    <x:row r="4535">
      <x:c r="A4535" t="str" s="2">
        <x:f>="Jana Bravo"</x:f>
      </x:c>
      <x:c r="B4535" t="str" s="2">
        <x:v>Legacy Housing Corp. DBA Americasa</x:v>
      </x:c>
      <x:c r="C4535" t="str" s="2">
        <x:v/>
      </x:c>
      <x:c r="D4535" t="str" s="2">
        <x:v>8329034959</x:v>
      </x:c>
      <x:c r="E4535" t="str" s="2">
        <x:v>janalewisbravo@gmail.com</x:v>
      </x:c>
      <x:c r="F4535" t="str" s="2">
        <x:v>Landing_BPM</x:v>
      </x:c>
      <x:c r="G4535" t="str" s="2">
        <x:v>Rodrigo Ramirez</x:v>
      </x:c>
      <x:c r="H4535" s="6">
        <x:v>46279.216100543985</x:v>
      </x:c>
      <x:c r="I4535" s="0"/>
      <x:c r="J4535" s="0"/>
      <x:c r="K4535" s="6">
        <x:v>46279</x:v>
      </x:c>
      <x:c r="L4535" t="str" s="2">
        <x:v>Message Sent</x:v>
      </x:c>
    </x:row>
    <x:row r="4536">
      <x:c r="A4536" t="str" s="2">
        <x:f>="Angel Lankford"</x:f>
      </x:c>
      <x:c r="B4536" t="str" s="2">
        <x:v>Heritage Housing of Albany</x:v>
      </x:c>
      <x:c r="C4536" t="str" s="2">
        <x:v/>
      </x:c>
      <x:c r="D4536" t="str" s="2">
        <x:v>4237693356</x:v>
      </x:c>
      <x:c r="E4536" t="str" s="2">
        <x:v>lightfoot12483@gmail.com</x:v>
      </x:c>
      <x:c r="F4536" t="str" s="2">
        <x:v>Landing_BPM</x:v>
      </x:c>
      <x:c r="G4536" t="str" s="2">
        <x:v>Yanet Alvarez</x:v>
      </x:c>
      <x:c r="H4536" s="6">
        <x:v>46279.23190130787</x:v>
      </x:c>
      <x:c r="I4536" s="0"/>
      <x:c r="J4536" s="0"/>
      <x:c r="K4536" s="6">
        <x:v>46307</x:v>
      </x:c>
      <x:c r="L4536" t="str" s="2">
        <x:v>Message Sent</x:v>
      </x:c>
    </x:row>
    <x:row r="4537">
      <x:c r="A4537" t="str" s="2">
        <x:f>="Carmen McKnight"</x:f>
      </x:c>
      <x:c r="B4537" t="str" s="2">
        <x:v>Legacy Housing Corp. DBA Americasa</x:v>
      </x:c>
      <x:c r="C4537" t="str" s="2">
        <x:v/>
      </x:c>
      <x:c r="D4537" t="str" s="2">
        <x:v>3468015585</x:v>
      </x:c>
      <x:c r="E4537" t="str" s="2">
        <x:v>iamcreated2become@gmail.com</x:v>
      </x:c>
      <x:c r="F4537" t="str" s="2">
        <x:v>Youtube</x:v>
      </x:c>
      <x:c r="G4537" t="str" s="2">
        <x:v>Joey Marquez</x:v>
      </x:c>
      <x:c r="H4537" s="6">
        <x:v>46279.24911554398</x:v>
      </x:c>
      <x:c r="I4537" s="0"/>
      <x:c r="J4537" s="0"/>
      <x:c r="K4537" s="6">
        <x:v>46283</x:v>
      </x:c>
      <x:c r="L4537" t="str" s="2">
        <x:v>Message Sent</x:v>
      </x:c>
    </x:row>
    <x:row r="4538">
      <x:c r="A4538" t="str" s="2">
        <x:f>="Emma White White"</x:f>
      </x:c>
      <x:c r="B4538" t="str" s="2">
        <x:v>Heritage Housing of Albany</x:v>
      </x:c>
      <x:c r="C4538" t="str" s="2">
        <x:v/>
      </x:c>
      <x:c r="D4538" t="str" s="2">
        <x:v>2025559801</x:v>
      </x:c>
      <x:c r="E4538" t="str" s="2">
        <x:v>rmontenegro0921@gmail.com</x:v>
      </x:c>
      <x:c r="F4538" t="str" s="2">
        <x:v>Website</x:v>
      </x:c>
      <x:c r="G4538" t="str" s="2">
        <x:v>Yanet Alvarez</x:v>
      </x:c>
      <x:c r="H4538" s="6">
        <x:v>46279.26236689815</x:v>
      </x:c>
      <x:c r="I4538" s="0"/>
      <x:c r="J4538" s="0"/>
      <x:c r="K4538" s="6">
        <x:v>46307</x:v>
      </x:c>
      <x:c r="L4538" t="str" s="2">
        <x:v>Message Sent</x:v>
      </x:c>
    </x:row>
    <x:row r="4539">
      <x:c r="A4539" t="str" s="2">
        <x:f>="April SMALL"</x:f>
      </x:c>
      <x:c r="B4539" t="str" s="2">
        <x:v>Heritage Housing of Asheboro</x:v>
      </x:c>
      <x:c r="C4539" t="str" s="2">
        <x:v/>
      </x:c>
      <x:c r="D4539" t="str" s="2">
        <x:v>8649038806</x:v>
      </x:c>
      <x:c r="E4539" t="str" s="2">
        <x:v>georigagril65@gmail.com</x:v>
      </x:c>
      <x:c r="F4539" t="str" s="2">
        <x:v>Landing_BPM</x:v>
      </x:c>
      <x:c r="G4539" t="str" s="2">
        <x:v>Maria Lopez</x:v>
      </x:c>
      <x:c r="H4539" s="6">
        <x:v>46279.276941550925</x:v>
      </x:c>
      <x:c r="I4539" s="0"/>
      <x:c r="J4539" s="0"/>
      <x:c r="K4539" s="6">
        <x:v>46279</x:v>
      </x:c>
      <x:c r="L4539" t="str" s="2">
        <x:v>Message Sent</x:v>
      </x:c>
    </x:row>
    <x:row r="4540">
      <x:c r="A4540" t="str" s="2">
        <x:f>="Rashida Brown"</x:f>
      </x:c>
      <x:c r="B4540" t="str" s="2">
        <x:v>Heritage Housing of Greenville</x:v>
      </x:c>
      <x:c r="C4540" t="str" s="2">
        <x:v/>
      </x:c>
      <x:c r="D4540" t="str" s="2">
        <x:v>9452862258</x:v>
      </x:c>
      <x:c r="E4540" t="str" s="2">
        <x:v>rbrown75231@gmail.com</x:v>
      </x:c>
      <x:c r="F4540" t="str" s="2">
        <x:v>Landing_BPM</x:v>
      </x:c>
      <x:c r="G4540" t="str" s="2">
        <x:v>Brooklynn Allen</x:v>
      </x:c>
      <x:c r="H4540" s="6">
        <x:v>46279.35250193287</x:v>
      </x:c>
      <x:c r="I4540" s="0"/>
      <x:c r="J4540" s="0"/>
      <x:c r="K4540" s="6">
        <x:v>46288</x:v>
      </x:c>
      <x:c r="L4540" t="str" s="2">
        <x:v>Message Sent</x:v>
      </x:c>
    </x:row>
    <x:row r="4541">
      <x:c r="A4541" t="str" s="2">
        <x:f>="Bobbie Marigny Marigny"</x:f>
      </x:c>
      <x:c r="B4541" t="str" s="2">
        <x:v>Heritage Housing of Canton</x:v>
      </x:c>
      <x:c r="C4541" t="str" s="2">
        <x:v/>
      </x:c>
      <x:c r="D4541" t="str" s="2">
        <x:v>6824499123</x:v>
      </x:c>
      <x:c r="E4541" t="str" s="2">
        <x:v>bjmarigny@yahoo.com</x:v>
      </x:c>
      <x:c r="F4541" t="str" s="2">
        <x:v>Landing_BPM</x:v>
      </x:c>
      <x:c r="G4541" t="str" s="2">
        <x:v>Maira Garcia</x:v>
      </x:c>
      <x:c r="H4541" s="6">
        <x:v>46279.379111030095</x:v>
      </x:c>
      <x:c r="I4541" s="0"/>
      <x:c r="J4541" s="0"/>
      <x:c r="K4541" s="6">
        <x:v>46279</x:v>
      </x:c>
      <x:c r="L4541" t="str" s="2">
        <x:v>Message Sent</x:v>
      </x:c>
    </x:row>
    <x:row r="4542">
      <x:c r="A4542" t="str" s="2">
        <x:f>="Katherin Miller"</x:f>
      </x:c>
      <x:c r="B4542" t="str" s="2">
        <x:v>Heritage Housing of Augusta</x:v>
      </x:c>
      <x:c r="C4542" t="str" s="2">
        <x:v/>
      </x:c>
      <x:c r="D4542" t="str" s="2">
        <x:v>8035220452</x:v>
      </x:c>
      <x:c r="E4542" t="str" s="2">
        <x:v>katherinlillian@gmail.com</x:v>
      </x:c>
      <x:c r="F4542" t="str" s="2">
        <x:v>Youtube</x:v>
      </x:c>
      <x:c r="G4542" t="str" s="2">
        <x:v>Faye Lively</x:v>
      </x:c>
      <x:c r="H4542" s="6">
        <x:v>46279.52175829861</x:v>
      </x:c>
      <x:c r="I4542" s="0"/>
      <x:c r="J4542" s="0"/>
      <x:c r="K4542" s="6">
        <x:v>46279.91371574074</x:v>
      </x:c>
      <x:c r="L4542" t="str" s="2">
        <x:v>Message Sent</x:v>
      </x:c>
    </x:row>
    <x:row r="4543">
      <x:c r="A4543" t="str" s="2">
        <x:f>="Tamera McWhirt"</x:f>
      </x:c>
      <x:c r="B4543" t="str" s="2">
        <x:v>Heritage Housing of Tulsa</x:v>
      </x:c>
      <x:c r="C4543" t="str" s="2">
        <x:v/>
      </x:c>
      <x:c r="D4543" t="str" s="2">
        <x:v>9186366904</x:v>
      </x:c>
      <x:c r="E4543" t="str" s="2">
        <x:v>tameraandbilly36257285@gmail.com</x:v>
      </x:c>
      <x:c r="F4543" t="str" s="2">
        <x:v>Landing_BPM</x:v>
      </x:c>
      <x:c r="G4543" t="str" s="2">
        <x:v>Jenna Fransisco</x:v>
      </x:c>
      <x:c r="H4543" s="6">
        <x:v>46279.524621145836</x:v>
      </x:c>
      <x:c r="I4543" s="0"/>
      <x:c r="J4543" s="0"/>
      <x:c r="K4543" s="6">
        <x:v>46279</x:v>
      </x:c>
      <x:c r="L4543" t="str" s="2">
        <x:v>Message Sent</x:v>
      </x:c>
    </x:row>
    <x:row r="4544">
      <x:c r="A4544" t="str" s="2">
        <x:f>="Carl Langford"</x:f>
      </x:c>
      <x:c r="B4544" t="str" s="2">
        <x:v>Heritage Housing of Athens</x:v>
      </x:c>
      <x:c r="C4544" t="str" s="2">
        <x:v/>
      </x:c>
      <x:c r="D4544" t="str" s="2">
        <x:v>2292846278</x:v>
      </x:c>
      <x:c r="E4544" t="str" s="2">
        <x:v>langfordcarl2004@gmail.com</x:v>
      </x:c>
      <x:c r="F4544" t="str" s="2">
        <x:v>Landing_BPM</x:v>
      </x:c>
      <x:c r="G4544" t="str" s="2">
        <x:v>Nathan Bishop</x:v>
      </x:c>
      <x:c r="H4544" s="6">
        <x:v>46279.52640497685</x:v>
      </x:c>
      <x:c r="I4544" s="0"/>
      <x:c r="J4544" s="0"/>
      <x:c r="K4544" s="6">
        <x:v>46303</x:v>
      </x:c>
      <x:c r="L4544" t="str" s="2">
        <x:v>Message Sent</x:v>
      </x:c>
    </x:row>
    <x:row r="4545">
      <x:c r="A4545" t="str" s="2">
        <x:f>="Donna Vantassell"</x:f>
      </x:c>
      <x:c r="B4545" t="str" s="2">
        <x:v>Heritage Housing of Augusta</x:v>
      </x:c>
      <x:c r="C4545" t="str" s="2">
        <x:v>0/1</x:v>
      </x:c>
      <x:c r="D4545" t="str" s="2">
        <x:v>7066998505</x:v>
      </x:c>
      <x:c r="E4545" t="str" s="2">
        <x:v>donnamarievantassell67@gmail.com</x:v>
      </x:c>
      <x:c r="F4545" t="str" s="2">
        <x:v>Landing_BPM</x:v>
      </x:c>
      <x:c r="G4545" t="str" s="2">
        <x:v>Jennifer Johnson</x:v>
      </x:c>
      <x:c r="H4545" s="6">
        <x:v>46279.54485266204</x:v>
      </x:c>
      <x:c r="I4545" s="0"/>
      <x:c r="J4545" s="0"/>
      <x:c r="K4545" s="6">
        <x:v>46279.91354869213</x:v>
      </x:c>
      <x:c r="L4545" t="str" s="2">
        <x:v>Message Sent</x:v>
      </x:c>
    </x:row>
    <x:row r="4546">
      <x:c r="A4546" t="str" s="2">
        <x:f>="Iinda Owens"</x:f>
      </x:c>
      <x:c r="B4546" t="str" s="2">
        <x:v>Heritage Housing of Asheboro</x:v>
      </x:c>
      <x:c r="C4546" t="str" s="2">
        <x:v/>
      </x:c>
      <x:c r="D4546" t="str" s="2">
        <x:v>9105279623</x:v>
      </x:c>
      <x:c r="E4546" t="str" s="2">
        <x:v>lindajones270518@gmail.com</x:v>
      </x:c>
      <x:c r="F4546" t="str" s="2">
        <x:v>Youtube</x:v>
      </x:c>
      <x:c r="G4546" t="str" s="2">
        <x:v>Kate Gutierrez</x:v>
      </x:c>
      <x:c r="H4546" s="6">
        <x:v>46279.55045289352</x:v>
      </x:c>
      <x:c r="I4546" s="0"/>
      <x:c r="J4546" s="0"/>
      <x:c r="K4546" s="6">
        <x:v>46280</x:v>
      </x:c>
      <x:c r="L4546" t="str" s="2">
        <x:v>Message Sent</x:v>
      </x:c>
    </x:row>
    <x:row r="4547">
      <x:c r="A4547" t="str" s="2">
        <x:f>="Sherren Washington"</x:f>
      </x:c>
      <x:c r="B4547" t="str" s="2">
        <x:v>Heritage Housing of Asheboro</x:v>
      </x:c>
      <x:c r="C4547" t="str" s="2">
        <x:v/>
      </x:c>
      <x:c r="D4547" t="str" s="2">
        <x:v>47221092.7</x:v>
      </x:c>
      <x:c r="E4547" t="str" s="2">
        <x:v>torreswashington612@gmail.com</x:v>
      </x:c>
      <x:c r="F4547" t="str" s="2">
        <x:v>Youtube</x:v>
      </x:c>
      <x:c r="G4547" t="str" s="2">
        <x:v>Maria Lopez</x:v>
      </x:c>
      <x:c r="H4547" s="6">
        <x:v>46279.56741458333</x:v>
      </x:c>
      <x:c r="I4547" s="0"/>
      <x:c r="J4547" s="0"/>
      <x:c r="K4547" s="6">
        <x:v>46279</x:v>
      </x:c>
      <x:c r="L4547" t="str" s="2">
        <x:v>Message Sent</x:v>
      </x:c>
    </x:row>
    <x:row r="4548">
      <x:c r="A4548" t="str" s="2">
        <x:f>="Karen Matthews"</x:f>
      </x:c>
      <x:c r="B4548" t="str" s="2">
        <x:v>Heritage Housing Gainesville</x:v>
      </x:c>
      <x:c r="C4548" t="str" s="2">
        <x:v/>
      </x:c>
      <x:c r="D4548" t="str" s="2">
        <x:v>7705844852</x:v>
      </x:c>
      <x:c r="E4548" t="str" s="2">
        <x:v>karenjean92@yahoo.com</x:v>
      </x:c>
      <x:c r="F4548" t="str" s="2">
        <x:v>Bing - Search</x:v>
      </x:c>
      <x:c r="G4548" t="str" s="2">
        <x:v>Kelly Ford</x:v>
      </x:c>
      <x:c r="H4548" s="6">
        <x:v>46279.56764390046</x:v>
      </x:c>
      <x:c r="I4548" s="0"/>
      <x:c r="J4548" s="0"/>
      <x:c r="K4548" s="6">
        <x:v>46290</x:v>
      </x:c>
      <x:c r="L4548" t="str" s="2">
        <x:v>Message Sent</x:v>
      </x:c>
    </x:row>
    <x:row r="4549">
      <x:c r="A4549" t="str" s="2">
        <x:f>="Nsonji Sessoms"</x:f>
      </x:c>
      <x:c r="B4549" t="str" s="2">
        <x:v>Heritage Housing of Asheboro</x:v>
      </x:c>
      <x:c r="C4549" t="str" s="2">
        <x:v/>
      </x:c>
      <x:c r="D4549" t="str" s="2">
        <x:v>7043872398</x:v>
      </x:c>
      <x:c r="E4549" t="str" s="2">
        <x:v>nsonji0809@gmail.com</x:v>
      </x:c>
      <x:c r="F4549" t="str" s="2">
        <x:v>Youtube</x:v>
      </x:c>
      <x:c r="G4549" t="str" s="2">
        <x:v>Maria Lopez</x:v>
      </x:c>
      <x:c r="H4549" s="6">
        <x:v>46279.57755177083</x:v>
      </x:c>
      <x:c r="I4549" s="0"/>
      <x:c r="J4549" s="0"/>
      <x:c r="K4549" s="6">
        <x:v>46288</x:v>
      </x:c>
      <x:c r="L4549" t="str" s="2">
        <x:v>Message Sent</x:v>
      </x:c>
    </x:row>
    <x:row r="4550">
      <x:c r="A4550" t="str" s="2">
        <x:f>="Shelby Vance"</x:f>
      </x:c>
      <x:c r="B4550" t="str" s="2">
        <x:v>Heritage Housing of Tulsa</x:v>
      </x:c>
      <x:c r="C4550" t="str" s="2">
        <x:v/>
      </x:c>
      <x:c r="D4550" t="str" s="2">
        <x:v>5803769110</x:v>
      </x:c>
      <x:c r="E4550" t="str" s="2">
        <x:v>shelbyvance05@gmail.com</x:v>
      </x:c>
      <x:c r="F4550" t="str" s="2">
        <x:v>Landing_BPM</x:v>
      </x:c>
      <x:c r="G4550" t="str" s="2">
        <x:v>Jenna Fransisco</x:v>
      </x:c>
      <x:c r="H4550" s="6">
        <x:v>46279.57766721065</x:v>
      </x:c>
      <x:c r="I4550" s="0"/>
      <x:c r="J4550" s="0"/>
      <x:c r="K4550" s="6">
        <x:v>46302</x:v>
      </x:c>
      <x:c r="L4550" t="str" s="2">
        <x:v>Message Sent</x:v>
      </x:c>
    </x:row>
    <x:row r="4551">
      <x:c r="A4551" t="str" s="2">
        <x:f>="Kierra Kirkland"</x:f>
      </x:c>
      <x:c r="B4551" t="str" s="2">
        <x:v>Heritage Housing of Asheboro</x:v>
      </x:c>
      <x:c r="C4551" t="str" s="2">
        <x:v/>
      </x:c>
      <x:c r="D4551" t="str" s="2">
        <x:v>3364592454</x:v>
      </x:c>
      <x:c r="E4551" t="str" s="2">
        <x:v>Trumademe@gmail.com</x:v>
      </x:c>
      <x:c r="F4551" t="str" s="2">
        <x:v>Financing Form</x:v>
      </x:c>
      <x:c r="G4551" t="str" s="2">
        <x:v>Kate Gutierrez</x:v>
      </x:c>
      <x:c r="H4551" s="6">
        <x:v>46279.59027994213</x:v>
      </x:c>
      <x:c r="I4551" s="0"/>
      <x:c r="J4551" s="0"/>
      <x:c r="K4551" s="6">
        <x:v>46280</x:v>
      </x:c>
      <x:c r="L4551" t="str" s="2">
        <x:v>Message Sent</x:v>
      </x:c>
    </x:row>
    <x:row r="4552">
      <x:c r="A4552" t="str" s="2">
        <x:f>="BRIGITTE WOODARD"</x:f>
      </x:c>
      <x:c r="B4552" t="str" s="2">
        <x:v>Legacy Housing Corp. DBA Americasa</x:v>
      </x:c>
      <x:c r="C4552" t="str" s="2">
        <x:v/>
      </x:c>
      <x:c r="D4552" t="str" s="2">
        <x:v>7623582229</x:v>
      </x:c>
      <x:c r="E4552" t="str" s="2">
        <x:v>COLLEGEBEE1@GMAIL.COM</x:v>
      </x:c>
      <x:c r="F4552" t="str" s="2">
        <x:v>Website</x:v>
      </x:c>
      <x:c r="G4552" t="str" s="2">
        <x:v>Nathan Bishop</x:v>
      </x:c>
      <x:c r="H4552" s="6">
        <x:v>46279.59051304398</x:v>
      </x:c>
      <x:c r="I4552" s="0"/>
      <x:c r="J4552" s="0"/>
      <x:c r="K4552" s="6">
        <x:v>46282</x:v>
      </x:c>
      <x:c r="L4552" t="str" s="2">
        <x:v>Message Sent</x:v>
      </x:c>
    </x:row>
    <x:row r="4553">
      <x:c r="A4553" t="str" s="2">
        <x:f>="shenandoah zelis"</x:f>
      </x:c>
      <x:c r="B4553" t="str" s="2">
        <x:v>Heritage Housing of Canton</x:v>
      </x:c>
      <x:c r="C4553" t="str" s="2">
        <x:v/>
      </x:c>
      <x:c r="D4553" t="str" s="2">
        <x:v>6823441929</x:v>
      </x:c>
      <x:c r="E4553" t="str" s="2">
        <x:v>Shenandoah4472@outlook.com</x:v>
      </x:c>
      <x:c r="F4553" t="str" s="2">
        <x:v>Youtube</x:v>
      </x:c>
      <x:c r="G4553" t="str" s="2">
        <x:v>Jacob Hatten</x:v>
      </x:c>
      <x:c r="H4553" s="6">
        <x:v>46279.64082881944</x:v>
      </x:c>
      <x:c r="I4553" s="0"/>
      <x:c r="J4553" s="0"/>
      <x:c r="K4553" s="6">
        <x:v>46302</x:v>
      </x:c>
      <x:c r="L4553" t="str" s="2">
        <x:v>Message Sent</x:v>
      </x:c>
    </x:row>
    <x:row r="4554">
      <x:c r="A4554" t="str" s="2">
        <x:f>="Emily Reed"</x:f>
      </x:c>
      <x:c r="B4554" t="str" s="2">
        <x:v>Heritage Housing of Tulsa</x:v>
      </x:c>
      <x:c r="C4554" t="str" s="2">
        <x:v/>
      </x:c>
      <x:c r="D4554" t="str" s="2">
        <x:v>9188082479</x:v>
      </x:c>
      <x:c r="E4554" t="str" s="2">
        <x:v>emilyreed587@gmail.com</x:v>
      </x:c>
      <x:c r="F4554" t="str" s="2">
        <x:v>Landing_BPM</x:v>
      </x:c>
      <x:c r="G4554" t="str" s="2">
        <x:v>Jenna Fransisco</x:v>
      </x:c>
      <x:c r="H4554" s="6">
        <x:v>46279.64089780093</x:v>
      </x:c>
      <x:c r="I4554" s="0"/>
      <x:c r="J4554" s="0"/>
      <x:c r="K4554" s="6">
        <x:v>46279</x:v>
      </x:c>
      <x:c r="L4554" t="str" s="2">
        <x:v>Message Sent</x:v>
      </x:c>
    </x:row>
    <x:row r="4555">
      <x:c r="A4555" t="str" s="2">
        <x:f>="Sophia Harris Harris"</x:f>
      </x:c>
      <x:c r="B4555" t="str" s="2">
        <x:v>Heritage Housing of Albany</x:v>
      </x:c>
      <x:c r="C4555" t="str" s="2">
        <x:v/>
      </x:c>
      <x:c r="D4555" t="str" s="2">
        <x:v>2025553357</x:v>
      </x:c>
      <x:c r="E4555" t="str" s="2">
        <x:v>schajka@hotmail.com</x:v>
      </x:c>
      <x:c r="F4555" t="str" s="2">
        <x:v>Website</x:v>
      </x:c>
      <x:c r="G4555" t="str" s="2">
        <x:v>Yanet Alvarez</x:v>
      </x:c>
      <x:c r="H4555" s="6">
        <x:v>46279.66007028935</x:v>
      </x:c>
      <x:c r="I4555" s="0"/>
      <x:c r="J4555" s="0"/>
      <x:c r="K4555" s="6">
        <x:v>46280</x:v>
      </x:c>
      <x:c r="L4555" t="str" s="2">
        <x:v>Message Sent</x:v>
      </x:c>
    </x:row>
    <x:row r="4556">
      <x:c r="A4556" t="str" s="2">
        <x:f>=HYPERLINK("https://rsms.futurehomex.com/lead/39985", "MIKE Pinson Dougherty County")</x:f>
      </x:c>
      <x:c r="B4556" t="str" s="2">
        <x:v>Heritage Housing of Albany</x:v>
      </x:c>
      <x:c r="C4556" t="str" s="2">
        <x:v/>
      </x:c>
      <x:c r="D4556" t="str" s="2">
        <x:v>2293023904</x:v>
      </x:c>
      <x:c r="E4556" t="str" s="2">
        <x:v>mipinson@dougherty.ga.us</x:v>
      </x:c>
      <x:c r="F4556" t="str" s="2">
        <x:v>Other</x:v>
      </x:c>
      <x:c r="G4556" t="str" s="2">
        <x:v>Yanet Alvarez</x:v>
      </x:c>
      <x:c r="H4556" s="6">
        <x:v>46279.67382199074</x:v>
      </x:c>
      <x:c r="I4556" t="str" s="2">
        <x:v>Alexander Bryant</x:v>
      </x:c>
      <x:c r="J4556" s="0"/>
      <x:c r="K4556" s="6">
        <x:v>46293</x:v>
      </x:c>
      <x:c r="L4556" t="str" s="2">
        <x:v>Message Sent</x:v>
      </x:c>
    </x:row>
    <x:row r="4557">
      <x:c r="A4557" t="str" s="2">
        <x:f>="Accer Solorzano Solorzano"</x:f>
      </x:c>
      <x:c r="B4557" t="str" s="2">
        <x:v>Heritage Housing of Athens</x:v>
      </x:c>
      <x:c r="C4557" t="str" s="2">
        <x:v/>
      </x:c>
      <x:c r="D4557" t="str" s="2">
        <x:v>7623158518</x:v>
      </x:c>
      <x:c r="E4557" t="str" s="2">
        <x:v>axelbermudez96@gmail.com</x:v>
      </x:c>
      <x:c r="F4557" t="str" s="2">
        <x:v>Landing_BPM</x:v>
      </x:c>
      <x:c r="G4557" t="str" s="2">
        <x:v>Nathan Bishop</x:v>
      </x:c>
      <x:c r="H4557" s="6">
        <x:v>46279.68283553241</x:v>
      </x:c>
      <x:c r="I4557" s="0"/>
      <x:c r="J4557" s="0"/>
      <x:c r="K4557" s="6">
        <x:v>46280</x:v>
      </x:c>
      <x:c r="L4557" t="str" s="2">
        <x:v>Message Sent</x:v>
      </x:c>
    </x:row>
    <x:row r="4558">
      <x:c r="A4558" t="str" s="2">
        <x:f>="Trebias Waller"</x:f>
      </x:c>
      <x:c r="B4558" t="str" s="2">
        <x:v>Heritage Housing of Augusta</x:v>
      </x:c>
      <x:c r="C4558" t="str" s="2">
        <x:v/>
      </x:c>
      <x:c r="D4558" t="str" s="2">
        <x:v>4049894518</x:v>
      </x:c>
      <x:c r="E4558" t="str" s="2">
        <x:v>trebiaswaller4@gmail.com</x:v>
      </x:c>
      <x:c r="F4558" t="str" s="2">
        <x:v>Landing_BPM</x:v>
      </x:c>
      <x:c r="G4558" t="str" s="2">
        <x:v>Jose Chavez</x:v>
      </x:c>
      <x:c r="H4558" s="6">
        <x:v>46279.70521519676</x:v>
      </x:c>
      <x:c r="I4558" s="0"/>
      <x:c r="J4558" s="0"/>
      <x:c r="K4558" s="6">
        <x:v>46281</x:v>
      </x:c>
      <x:c r="L4558" t="str" s="2">
        <x:v>Message Sent</x:v>
      </x:c>
    </x:row>
    <x:row r="4559">
      <x:c r="A4559" t="str" s="2">
        <x:f>="Michelle Holloway"</x:f>
      </x:c>
      <x:c r="B4559" t="str" s="2">
        <x:v>Heritage Housing of Jennings</x:v>
      </x:c>
      <x:c r="C4559" t="str" s="2">
        <x:v/>
      </x:c>
      <x:c r="D4559" t="str" s="2">
        <x:v>3375120707</x:v>
      </x:c>
      <x:c r="E4559" t="str" s="2">
        <x:v>michelleh2354@gmail.com</x:v>
      </x:c>
      <x:c r="F4559" t="str" s="2">
        <x:v>Landing_BPM</x:v>
      </x:c>
      <x:c r="G4559" t="str" s="2">
        <x:v>Clint O'Neal</x:v>
      </x:c>
      <x:c r="H4559" s="6">
        <x:v>46279.71548677083</x:v>
      </x:c>
      <x:c r="I4559" s="0"/>
      <x:c r="J4559" s="0"/>
      <x:c r="K4559" s="6">
        <x:v>46302.72865204861</x:v>
      </x:c>
      <x:c r="L4559" t="str" s="2">
        <x:v>Message Sent</x:v>
      </x:c>
    </x:row>
    <x:row r="4560">
      <x:c r="A4560" t="str" s="2">
        <x:f>="lori bernal"</x:f>
      </x:c>
      <x:c r="B4560" t="str" s="2">
        <x:v>Legacy Housing Corp. DBA Americasa</x:v>
      </x:c>
      <x:c r="C4560" t="str" s="2">
        <x:v/>
      </x:c>
      <x:c r="D4560" t="str" s="2">
        <x:v>4699288913</x:v>
      </x:c>
      <x:c r="E4560" t="str" s="2">
        <x:v>Bernallori84@hotmail.com</x:v>
      </x:c>
      <x:c r="F4560" t="str" s="2">
        <x:v>Youtube</x:v>
      </x:c>
      <x:c r="G4560" t="str" s="2">
        <x:v>Jose Parada</x:v>
      </x:c>
      <x:c r="H4560" s="6">
        <x:v>46279.77486600694</x:v>
      </x:c>
      <x:c r="I4560" s="0"/>
      <x:c r="J4560" s="0"/>
      <x:c r="K4560" s="6">
        <x:v>46279</x:v>
      </x:c>
      <x:c r="L4560" t="str" s="2">
        <x:v>Message Sent</x:v>
      </x:c>
    </x:row>
    <x:row r="4561">
      <x:c r="A4561" t="str" s="2">
        <x:f>="Carly Bahm Bahm"</x:f>
      </x:c>
      <x:c r="B4561" t="str" s="2">
        <x:v>Heritage Housing of Canton</x:v>
      </x:c>
      <x:c r="C4561" t="str" s="2">
        <x:v/>
      </x:c>
      <x:c r="D4561" t="str" s="2">
        <x:v>4695057655</x:v>
      </x:c>
      <x:c r="E4561" t="str" s="2">
        <x:v>carly.bahm200@gmail.com</x:v>
      </x:c>
      <x:c r="F4561" t="str" s="2">
        <x:v>Landing_BPM</x:v>
      </x:c>
      <x:c r="G4561" t="str" s="2">
        <x:v>Maira Garcia</x:v>
      </x:c>
      <x:c r="H4561" s="6">
        <x:v>46279.78160806713</x:v>
      </x:c>
      <x:c r="I4561" s="0"/>
      <x:c r="J4561" s="0"/>
      <x:c r="K4561" s="6">
        <x:v>46279</x:v>
      </x:c>
      <x:c r="L4561" t="str" s="2">
        <x:v>Message Sent</x:v>
      </x:c>
    </x:row>
    <x:row r="4562">
      <x:c r="A4562" t="str" s="2">
        <x:f>="Ashley Howell"</x:f>
      </x:c>
      <x:c r="B4562" t="str" s="2">
        <x:v>Heritage Housing of Asheboro</x:v>
      </x:c>
      <x:c r="C4562" t="str" s="2">
        <x:v/>
      </x:c>
      <x:c r="D4562" t="str" s="2">
        <x:v>3366392303</x:v>
      </x:c>
      <x:c r="E4562" t="str" s="2">
        <x:v>ashleynhowell6@gmail.com</x:v>
      </x:c>
      <x:c r="F4562" t="str" s="2">
        <x:v>Youtube</x:v>
      </x:c>
      <x:c r="G4562" t="str" s="2">
        <x:v>Maria Lopez</x:v>
      </x:c>
      <x:c r="H4562" s="6">
        <x:v>46279.78175767361</x:v>
      </x:c>
      <x:c r="I4562" s="0"/>
      <x:c r="J4562" s="0"/>
      <x:c r="K4562" s="6">
        <x:v>46288</x:v>
      </x:c>
      <x:c r="L4562" t="str" s="2">
        <x:v>Message Sent</x:v>
      </x:c>
    </x:row>
    <x:row r="4563">
      <x:c r="A4563" t="str" s="2">
        <x:f>="Kesha Collier"</x:f>
      </x:c>
      <x:c r="B4563" t="str" s="2">
        <x:v>Heritage Housing of Canton</x:v>
      </x:c>
      <x:c r="C4563" t="str" s="2">
        <x:v/>
      </x:c>
      <x:c r="D4563" t="str" s="2">
        <x:v>7139220310</x:v>
      </x:c>
      <x:c r="E4563" t="str" s="2">
        <x:v>mcollier000@yahoo.com</x:v>
      </x:c>
      <x:c r="F4563" t="str" s="2">
        <x:v>Landing_BPM</x:v>
      </x:c>
      <x:c r="G4563" t="str" s="2">
        <x:v>Jacob Hatten</x:v>
      </x:c>
      <x:c r="H4563" s="6">
        <x:v>46279.793614849536</x:v>
      </x:c>
      <x:c r="I4563" s="0"/>
      <x:c r="J4563" s="0"/>
      <x:c r="K4563" s="6">
        <x:v>46302</x:v>
      </x:c>
      <x:c r="L4563" t="str" s="2">
        <x:v>Message Sent</x:v>
      </x:c>
    </x:row>
    <x:row r="4564">
      <x:c r="A4564" t="str" s="2">
        <x:f>="Kaitlin Johnson"</x:f>
      </x:c>
      <x:c r="B4564" t="str" s="2">
        <x:v>Heritage Housing of Tulsa</x:v>
      </x:c>
      <x:c r="C4564" t="str" s="2">
        <x:v/>
      </x:c>
      <x:c r="D4564" t="str" s="2">
        <x:v>9185306946</x:v>
      </x:c>
      <x:c r="E4564" t="str" s="2">
        <x:v>kaitlinjohnson311@gmail.com</x:v>
      </x:c>
      <x:c r="F4564" t="str" s="2">
        <x:v>Landing_BPM</x:v>
      </x:c>
      <x:c r="G4564" t="str" s="2">
        <x:v>Jenna Fransisco</x:v>
      </x:c>
      <x:c r="H4564" s="6">
        <x:v>46279.836660532404</x:v>
      </x:c>
      <x:c r="I4564" s="0"/>
      <x:c r="J4564" s="0"/>
      <x:c r="K4564" s="6">
        <x:v>46279</x:v>
      </x:c>
      <x:c r="L4564" t="str" s="2">
        <x:v>Message Sent</x:v>
      </x:c>
    </x:row>
    <x:row r="4565">
      <x:c r="A4565" t="str" s="2">
        <x:f>="garrett treadway"</x:f>
      </x:c>
      <x:c r="B4565" t="str" s="2">
        <x:v>Heritage Housing of Canton</x:v>
      </x:c>
      <x:c r="C4565" t="str" s="2">
        <x:v/>
      </x:c>
      <x:c r="D4565" t="str" s="2">
        <x:v>9032757301</x:v>
      </x:c>
      <x:c r="E4565" t="str" s="2">
        <x:v>treadway15@yahoo.com</x:v>
      </x:c>
      <x:c r="F4565" t="str" s="2">
        <x:v>Landing_BPM</x:v>
      </x:c>
      <x:c r="G4565" t="str" s="2">
        <x:v>Maira Garcia</x:v>
      </x:c>
      <x:c r="H4565" s="6">
        <x:v>46279.852166585646</x:v>
      </x:c>
      <x:c r="I4565" s="0"/>
      <x:c r="J4565" s="0"/>
      <x:c r="K4565" s="6">
        <x:v>46279</x:v>
      </x:c>
      <x:c r="L4565" t="str" s="2">
        <x:v>Message Sent</x:v>
      </x:c>
    </x:row>
    <x:row r="4566">
      <x:c r="A4566" t="str" s="2">
        <x:f>="Traidaisha Thomas"</x:f>
      </x:c>
      <x:c r="B4566" t="str" s="2">
        <x:v>Heritage Housing of Jennings</x:v>
      </x:c>
      <x:c r="C4566" t="str" s="2">
        <x:v/>
      </x:c>
      <x:c r="D4566" t="str" s="2">
        <x:v>3466247379</x:v>
      </x:c>
      <x:c r="E4566" t="str" s="2">
        <x:v>tdaisha711@gmail.com</x:v>
      </x:c>
      <x:c r="F4566" t="str" s="2">
        <x:v>Financing Form</x:v>
      </x:c>
      <x:c r="G4566" t="str" s="2">
        <x:v>Mervin Leslie Smith</x:v>
      </x:c>
      <x:c r="H4566" s="6">
        <x:v>46279.85461527778</x:v>
      </x:c>
      <x:c r="I4566" s="0"/>
      <x:c r="J4566" s="6">
        <x:v>46287.791666666664</x:v>
      </x:c>
      <x:c r="K4566" s="6">
        <x:v>46284.934239699076</x:v>
      </x:c>
      <x:c r="L4566" t="str" s="2">
        <x:v>Message Sent</x:v>
      </x:c>
    </x:row>
    <x:row r="4567">
      <x:c r="A4567" t="str" s="2">
        <x:f>="Macariose Smith"</x:f>
      </x:c>
      <x:c r="B4567" t="str" s="2">
        <x:v>Legacy Housing Corp. DBA Americasa</x:v>
      </x:c>
      <x:c r="C4567" t="str" s="2">
        <x:v/>
      </x:c>
      <x:c r="D4567" t="str" s="2">
        <x:v>3466303375</x:v>
      </x:c>
      <x:c r="E4567" t="str" s="2">
        <x:v>sanchez77smith@gmail.com</x:v>
      </x:c>
      <x:c r="F4567" t="str" s="2">
        <x:v>Youtube</x:v>
      </x:c>
      <x:c r="G4567" t="str" s="2">
        <x:v>Rodrigo Ramirez</x:v>
      </x:c>
      <x:c r="H4567" s="6">
        <x:v>46279.855155324076</x:v>
      </x:c>
      <x:c r="I4567" s="0"/>
      <x:c r="J4567" s="0"/>
      <x:c r="K4567" s="6">
        <x:v>46279</x:v>
      </x:c>
      <x:c r="L4567" t="str" s="2">
        <x:v>Message Sent</x:v>
      </x:c>
    </x:row>
    <x:row r="4568">
      <x:c r="A4568" t="str" s="2">
        <x:f>="Antoinetta Scott"</x:f>
      </x:c>
      <x:c r="B4568" t="str" s="2">
        <x:v>Heritage Housing of Albany</x:v>
      </x:c>
      <x:c r="C4568" t="str" s="2">
        <x:v/>
      </x:c>
      <x:c r="D4568" t="str" s="2">
        <x:v>7063513181</x:v>
      </x:c>
      <x:c r="E4568" t="str" s="2">
        <x:v>netscott2016@gmail.com</x:v>
      </x:c>
      <x:c r="F4568" t="str" s="2">
        <x:v>Website</x:v>
      </x:c>
      <x:c r="G4568" t="str" s="2">
        <x:v>Yanet Alvarez</x:v>
      </x:c>
      <x:c r="H4568" s="6">
        <x:v>46279.88423900463</x:v>
      </x:c>
      <x:c r="I4568" s="0"/>
      <x:c r="J4568" s="0"/>
      <x:c r="K4568" s="6">
        <x:v>46307</x:v>
      </x:c>
      <x:c r="L4568" t="str" s="2">
        <x:v>Message Sent</x:v>
      </x:c>
    </x:row>
    <x:row r="4569">
      <x:c r="A4569" t="str" s="2">
        <x:f>="Donna Angelle"</x:f>
      </x:c>
      <x:c r="B4569" t="str" s="2">
        <x:v>Heritage Housing of Jennings</x:v>
      </x:c>
      <x:c r="C4569" t="str" s="2">
        <x:v/>
      </x:c>
      <x:c r="D4569" t="str" s="2">
        <x:v>3375615108</x:v>
      </x:c>
      <x:c r="E4569" t="str" s="2">
        <x:v>dmfa2315@gmail.com</x:v>
      </x:c>
      <x:c r="F4569" t="str" s="2">
        <x:v>Landing_BPM</x:v>
      </x:c>
      <x:c r="G4569" t="str" s="2">
        <x:v>Mervin Leslie Smith</x:v>
      </x:c>
      <x:c r="H4569" s="6">
        <x:v>46279.88447106481</x:v>
      </x:c>
      <x:c r="I4569" s="0"/>
      <x:c r="J4569" s="0"/>
      <x:c r="K4569" s="6">
        <x:v>46302.656697418985</x:v>
      </x:c>
      <x:c r="L4569" t="str" s="2">
        <x:v>Message Sent</x:v>
      </x:c>
    </x:row>
    <x:row r="4570">
      <x:c r="A4570" t="str" s="2">
        <x:f>="Daquain Jordan Jordan"</x:f>
      </x:c>
      <x:c r="B4570" t="str" s="2">
        <x:v>Heritage Housing of Asheboro</x:v>
      </x:c>
      <x:c r="C4570" t="str" s="2">
        <x:v/>
      </x:c>
      <x:c r="D4570" t="str" s="2">
        <x:v>9122781003</x:v>
      </x:c>
      <x:c r="E4570" t="str" s="2">
        <x:v>daquain21@icloud.com</x:v>
      </x:c>
      <x:c r="F4570" t="str" s="2">
        <x:v>Landing_BPM</x:v>
      </x:c>
      <x:c r="G4570" t="str" s="2">
        <x:v>Kate Gutierrez</x:v>
      </x:c>
      <x:c r="H4570" s="6">
        <x:v>46279.885428043985</x:v>
      </x:c>
      <x:c r="I4570" s="0"/>
      <x:c r="J4570" s="0"/>
      <x:c r="K4570" s="6">
        <x:v>46280</x:v>
      </x:c>
      <x:c r="L4570" t="str" s="2">
        <x:v>Message Sent</x:v>
      </x:c>
    </x:row>
    <x:row r="4571">
      <x:c r="A4571" t="str" s="2">
        <x:f>="Shari Means"</x:f>
      </x:c>
      <x:c r="B4571" t="str" s="2">
        <x:v>Heritage Housing of Albany</x:v>
      </x:c>
      <x:c r="C4571" t="str" s="2">
        <x:v/>
      </x:c>
      <x:c r="D4571" t="str" s="2">
        <x:v>6786988732</x:v>
      </x:c>
      <x:c r="E4571" t="str" s="2">
        <x:v>sharimeans@gmail.com</x:v>
      </x:c>
      <x:c r="F4571" t="str" s="2">
        <x:v>Youtube</x:v>
      </x:c>
      <x:c r="G4571" t="str" s="2">
        <x:v>Yanet Alvarez</x:v>
      </x:c>
      <x:c r="H4571" s="6">
        <x:v>46279.89424163195</x:v>
      </x:c>
      <x:c r="I4571" s="0"/>
      <x:c r="J4571" s="0"/>
      <x:c r="K4571" s="6">
        <x:v>46293</x:v>
      </x:c>
      <x:c r="L4571" t="str" s="2">
        <x:v>Message Sent</x:v>
      </x:c>
    </x:row>
    <x:row r="4572">
      <x:c r="A4572" t="str" s="2">
        <x:f>="Rico McSwain"</x:f>
      </x:c>
      <x:c r="B4572" t="str" s="2">
        <x:v>Heritage Housing of Asheboro</x:v>
      </x:c>
      <x:c r="C4572" t="str" s="2">
        <x:v/>
      </x:c>
      <x:c r="D4572" t="str" s="2">
        <x:v>3362578580</x:v>
      </x:c>
      <x:c r="E4572" t="str" s="2">
        <x:v>mcswainrico91@gmail.com</x:v>
      </x:c>
      <x:c r="F4572" t="str" s="2">
        <x:v>Landing_BPM</x:v>
      </x:c>
      <x:c r="G4572" t="str" s="2">
        <x:v>Maria Lopez</x:v>
      </x:c>
      <x:c r="H4572" s="6">
        <x:v>46279.902145023145</x:v>
      </x:c>
      <x:c r="I4572" s="0"/>
      <x:c r="J4572" s="0"/>
      <x:c r="K4572" s="6">
        <x:v>46307</x:v>
      </x:c>
      <x:c r="L4572" t="str" s="2">
        <x:v>Message Sent</x:v>
      </x:c>
    </x:row>
    <x:row r="4573">
      <x:c r="A4573" t="str" s="2">
        <x:f>="Veronica Mclean"</x:f>
      </x:c>
      <x:c r="B4573" t="str" s="2">
        <x:v>Heritage Housing of Asheboro</x:v>
      </x:c>
      <x:c r="C4573" t="str" s="2">
        <x:v/>
      </x:c>
      <x:c r="D4573" t="str" s="2">
        <x:v>3369292569</x:v>
      </x:c>
      <x:c r="E4573" t="str" s="2">
        <x:v>veronicamclean809@yahoo.com</x:v>
      </x:c>
      <x:c r="F4573" t="str" s="2">
        <x:v>Youtube</x:v>
      </x:c>
      <x:c r="G4573" t="str" s="2">
        <x:v>Maria Lopez</x:v>
      </x:c>
      <x:c r="H4573" s="6">
        <x:v>46279.933093831016</x:v>
      </x:c>
      <x:c r="I4573" s="0"/>
      <x:c r="J4573" s="0"/>
      <x:c r="K4573" s="6">
        <x:v>46288</x:v>
      </x:c>
      <x:c r="L4573" t="str" s="2">
        <x:v>Message Sent</x:v>
      </x:c>
    </x:row>
    <x:row r="4574">
      <x:c r="A4574" t="str" s="2">
        <x:f>="Melissa Miller Miller"</x:f>
      </x:c>
      <x:c r="B4574" t="str" s="2">
        <x:v>Heritage Housing of Albany</x:v>
      </x:c>
      <x:c r="C4574" t="str" s="2">
        <x:v/>
      </x:c>
      <x:c r="D4574" t="str" s="2">
        <x:v>2025555274</x:v>
      </x:c>
      <x:c r="E4574" t="str" s="2">
        <x:v>jacobs.elena@gmail.com</x:v>
      </x:c>
      <x:c r="F4574" t="str" s="2">
        <x:v>Website</x:v>
      </x:c>
      <x:c r="G4574" t="str" s="2">
        <x:v>Yanet Alvarez</x:v>
      </x:c>
      <x:c r="H4574" s="6">
        <x:v>46279.94894903935</x:v>
      </x:c>
      <x:c r="I4574" s="0"/>
      <x:c r="J4574" s="0"/>
      <x:c r="K4574" s="6">
        <x:v>46307</x:v>
      </x:c>
      <x:c r="L4574" t="str" s="2">
        <x:v>Message Sent</x:v>
      </x:c>
    </x:row>
    <x:row r="4575">
      <x:c r="A4575" t="str" s="2">
        <x:f>="Latoria Mearite"</x:f>
      </x:c>
      <x:c r="B4575" t="str" s="2">
        <x:v>Heritage Housing of Asheboro</x:v>
      </x:c>
      <x:c r="C4575" t="str" s="2">
        <x:v/>
      </x:c>
      <x:c r="D4575" t="str" s="2">
        <x:v>9106993727</x:v>
      </x:c>
      <x:c r="E4575" t="str" s="2">
        <x:v>mearitelatoria27@gmail.com</x:v>
      </x:c>
      <x:c r="F4575" t="str" s="2">
        <x:v>Youtube</x:v>
      </x:c>
      <x:c r="G4575" t="str" s="2">
        <x:v>Kate Gutierrez</x:v>
      </x:c>
      <x:c r="H4575" s="6">
        <x:v>46279.950736493054</x:v>
      </x:c>
      <x:c r="I4575" s="0"/>
      <x:c r="J4575" s="0"/>
      <x:c r="K4575" s="6">
        <x:v>46280</x:v>
      </x:c>
      <x:c r="L4575" t="str" s="2">
        <x:v>Message Sent</x:v>
      </x:c>
    </x:row>
    <x:row r="4576">
      <x:c r="A4576" t="str" s="2">
        <x:f>="Serifat Ajilogba"</x:f>
      </x:c>
      <x:c r="B4576" t="str" s="2">
        <x:v>Legacy Housing Corp. DBA Americasa</x:v>
      </x:c>
      <x:c r="C4576" t="str" s="2">
        <x:v/>
      </x:c>
      <x:c r="D4576" t="str" s="2">
        <x:v>6467076594</x:v>
      </x:c>
      <x:c r="E4576" t="str" s="2">
        <x:v>ajilogbae@gmail.com</x:v>
      </x:c>
      <x:c r="F4576" t="str" s="2">
        <x:v>Youtube</x:v>
      </x:c>
      <x:c r="G4576" t="str" s="2">
        <x:v>Rodrigo Ramirez</x:v>
      </x:c>
      <x:c r="H4576" s="6">
        <x:v>46279.95597866898</x:v>
      </x:c>
      <x:c r="I4576" s="0"/>
      <x:c r="J4576" s="0"/>
      <x:c r="K4576" s="6">
        <x:v>46279</x:v>
      </x:c>
      <x:c r="L4576" t="str" s="2">
        <x:v>Message Sent</x:v>
      </x:c>
    </x:row>
    <x:row r="4577">
      <x:c r="A4577" t="str" s="2">
        <x:f>="Chad Williams"</x:f>
      </x:c>
      <x:c r="B4577" t="str" s="2">
        <x:v>Heritage Housing of Canton</x:v>
      </x:c>
      <x:c r="C4577" t="str" s="2">
        <x:v/>
      </x:c>
      <x:c r="D4577" t="str" s="2">
        <x:v>9032898187</x:v>
      </x:c>
      <x:c r="E4577" t="str" s="2">
        <x:v>chadwickwilliams688@gmail.com</x:v>
      </x:c>
      <x:c r="F4577" t="str" s="2">
        <x:v>Youtube</x:v>
      </x:c>
      <x:c r="G4577" t="str" s="2">
        <x:v>Jacob Hatten</x:v>
      </x:c>
      <x:c r="H4577" s="6">
        <x:v>46279.97100987269</x:v>
      </x:c>
      <x:c r="I4577" s="0"/>
      <x:c r="J4577" s="0"/>
      <x:c r="K4577" s="6">
        <x:v>46302</x:v>
      </x:c>
      <x:c r="L4577" t="str" s="2">
        <x:v>Message Sent</x:v>
      </x:c>
    </x:row>
    <x:row r="4578">
      <x:c r="A4578" t="str" s="2">
        <x:f>="Erik Lynch"</x:f>
      </x:c>
      <x:c r="B4578" t="str" s="2">
        <x:v>Heritage Housing of Canton</x:v>
      </x:c>
      <x:c r="C4578" t="str" s="2">
        <x:v/>
      </x:c>
      <x:c r="D4578" t="str" s="2">
        <x:v>8172056070</x:v>
      </x:c>
      <x:c r="E4578" t="str" s="2">
        <x:v>douglas1972lynch@gmail.com</x:v>
      </x:c>
      <x:c r="F4578" t="str" s="2">
        <x:v>Youtube</x:v>
      </x:c>
      <x:c r="G4578" t="str" s="2">
        <x:v>Maira Garcia</x:v>
      </x:c>
      <x:c r="H4578" s="6">
        <x:v>46279.97135092592</x:v>
      </x:c>
      <x:c r="I4578" s="0"/>
      <x:c r="J4578" s="0"/>
      <x:c r="K4578" s="6">
        <x:v>46280</x:v>
      </x:c>
      <x:c r="L4578" t="str" s="2">
        <x:v>Message Sent</x:v>
      </x:c>
    </x:row>
    <x:row r="4579">
      <x:c r="A4579" t="str" s="2">
        <x:f>="Deandrea Hayes"</x:f>
      </x:c>
      <x:c r="B4579" t="str" s="2">
        <x:v>Legacy Housing Corp. DBA Americasa</x:v>
      </x:c>
      <x:c r="C4579" t="str" s="2">
        <x:v/>
      </x:c>
      <x:c r="D4579" t="str" s="2">
        <x:v>9792674921</x:v>
      </x:c>
      <x:c r="E4579" t="str" s="2">
        <x:v>hayesdeandrea216@gmail.com</x:v>
      </x:c>
      <x:c r="F4579" t="str" s="2">
        <x:v>Workforce - Meta</x:v>
      </x:c>
      <x:c r="G4579" t="str" s="2">
        <x:v>Jose Parada</x:v>
      </x:c>
      <x:c r="H4579" s="6">
        <x:v>46279.9779653588</x:v>
      </x:c>
      <x:c r="I4579" s="0"/>
      <x:c r="J4579" s="0"/>
      <x:c r="K4579" s="6">
        <x:v>46280</x:v>
      </x:c>
      <x:c r="L4579" t="str" s="2">
        <x:v>Message Sent</x:v>
      </x:c>
    </x:row>
    <x:row r="4580">
      <x:c r="A4580" t="str" s="2">
        <x:f>="Deanna Toomer"</x:f>
      </x:c>
      <x:c r="B4580" t="str" s="2">
        <x:v>Heritage Housing of Albany</x:v>
      </x:c>
      <x:c r="C4580" t="str" s="2">
        <x:v/>
      </x:c>
      <x:c r="D4580" t="str" s="2">
        <x:v>2295135832</x:v>
      </x:c>
      <x:c r="E4580" t="str" s="2">
        <x:v>dtoomer81@gmail.com</x:v>
      </x:c>
      <x:c r="F4580" t="str" s="2">
        <x:v>Financing Form</x:v>
      </x:c>
      <x:c r="G4580" t="str" s="2">
        <x:v>Yanet Alvarez</x:v>
      </x:c>
      <x:c r="H4580" s="6">
        <x:v>46279.99956524306</x:v>
      </x:c>
      <x:c r="I4580" s="0"/>
      <x:c r="J4580" s="0"/>
      <x:c r="K4580" s="6">
        <x:v>46307</x:v>
      </x:c>
      <x:c r="L4580" t="str" s="2">
        <x:v>Message Sent</x:v>
      </x:c>
    </x:row>
    <x:row r="4581">
      <x:c r="A4581" t="str" s="2">
        <x:f>="Sabrina Simmons"</x:f>
      </x:c>
      <x:c r="B4581" t="str" s="2">
        <x:v>Heritage Housing of Tulsa</x:v>
      </x:c>
      <x:c r="C4581" t="str" s="2">
        <x:v/>
      </x:c>
      <x:c r="D4581" t="str" s="2">
        <x:v>9187158544</x:v>
      </x:c>
      <x:c r="E4581" t="str" s="2">
        <x:v>babygirlbree2000@yahoo.com</x:v>
      </x:c>
      <x:c r="F4581" t="str" s="2">
        <x:v>Youtube</x:v>
      </x:c>
      <x:c r="G4581" t="str" s="2">
        <x:v>Jenna Fransisco</x:v>
      </x:c>
      <x:c r="H4581" s="6">
        <x:v>46280.00940540509</x:v>
      </x:c>
      <x:c r="I4581" s="0"/>
      <x:c r="J4581" s="0"/>
      <x:c r="K4581" s="6">
        <x:v>46280</x:v>
      </x:c>
      <x:c r="L4581" t="str" s="2">
        <x:v>Message Sent</x:v>
      </x:c>
    </x:row>
    <x:row r="4582">
      <x:c r="A4582" t="str" s="2">
        <x:f>="Aaron Davis"</x:f>
      </x:c>
      <x:c r="B4582" t="str" s="2">
        <x:v>Heritage Housing of Canton</x:v>
      </x:c>
      <x:c r="C4582" t="str" s="2">
        <x:v/>
      </x:c>
      <x:c r="D4582" t="str" s="2">
        <x:v>4697457299</x:v>
      </x:c>
      <x:c r="E4582" t="str" s="2">
        <x:v>ad3666711@gmail.com</x:v>
      </x:c>
      <x:c r="F4582" t="str" s="2">
        <x:v>Youtube</x:v>
      </x:c>
      <x:c r="G4582" t="str" s="2">
        <x:v>Jacob Hatten</x:v>
      </x:c>
      <x:c r="H4582" s="6">
        <x:v>46280.02532079861</x:v>
      </x:c>
      <x:c r="I4582" s="0"/>
      <x:c r="J4582" s="0"/>
      <x:c r="K4582" s="6">
        <x:v>46302</x:v>
      </x:c>
      <x:c r="L4582" t="str" s="2">
        <x:v>Message Sent</x:v>
      </x:c>
    </x:row>
    <x:row r="4583">
      <x:c r="A4583" t="str" s="2">
        <x:f>="Amber Schmitz"</x:f>
      </x:c>
      <x:c r="B4583" t="str" s="2">
        <x:v>Heritage Housing of Greenville</x:v>
      </x:c>
      <x:c r="C4583" t="str" s="2">
        <x:v/>
      </x:c>
      <x:c r="D4583" t="str" s="2">
        <x:v>4695373885</x:v>
      </x:c>
      <x:c r="E4583" t="str" s="2">
        <x:v>amberschmitz57@gmail.com</x:v>
      </x:c>
      <x:c r="F4583" t="str" s="2">
        <x:v>Landing_BPM</x:v>
      </x:c>
      <x:c r="G4583" t="str" s="2">
        <x:v>Brooklynn Allen</x:v>
      </x:c>
      <x:c r="H4583" s="6">
        <x:v>46280.04181033565</x:v>
      </x:c>
      <x:c r="I4583" s="0"/>
      <x:c r="J4583" s="0"/>
      <x:c r="K4583" s="6">
        <x:v>46288</x:v>
      </x:c>
      <x:c r="L4583" t="str" s="2">
        <x:v>Message Sent</x:v>
      </x:c>
    </x:row>
    <x:row r="4584">
      <x:c r="A4584" t="str" s="2">
        <x:f>="Sara Vaughn"</x:f>
      </x:c>
      <x:c r="B4584" t="str" s="2">
        <x:v>Heritage Housing of Asheboro</x:v>
      </x:c>
      <x:c r="C4584" t="str" s="2">
        <x:v/>
      </x:c>
      <x:c r="D4584" t="str" s="2">
        <x:v>9197217031</x:v>
      </x:c>
      <x:c r="E4584" t="str" s="2">
        <x:v>Sarversara4@gmail.com</x:v>
      </x:c>
      <x:c r="F4584" t="str" s="2">
        <x:v>Landing_BPM</x:v>
      </x:c>
      <x:c r="G4584" t="str" s="2">
        <x:v>Maria Lopez</x:v>
      </x:c>
      <x:c r="H4584" s="6">
        <x:v>46280.05349332176</x:v>
      </x:c>
      <x:c r="I4584" s="0"/>
      <x:c r="J4584" s="0"/>
      <x:c r="K4584" s="6">
        <x:v>46280</x:v>
      </x:c>
      <x:c r="L4584" t="str" s="2">
        <x:v>Message Sent</x:v>
      </x:c>
    </x:row>
    <x:row r="4585">
      <x:c r="A4585" t="str" s="2">
        <x:f>="Bryan Emmerling"</x:f>
      </x:c>
      <x:c r="B4585" t="str" s="2">
        <x:v>Heritage Housing of Jennings</x:v>
      </x:c>
      <x:c r="C4585" t="str" s="2">
        <x:v/>
      </x:c>
      <x:c r="D4585" t="str" s="2">
        <x:v>5017660269</x:v>
      </x:c>
      <x:c r="E4585" t="str" s="2">
        <x:v>bsemmerling21984@yahoo.com</x:v>
      </x:c>
      <x:c r="F4585" t="str" s="2">
        <x:v>Youtube</x:v>
      </x:c>
      <x:c r="G4585" t="str" s="2">
        <x:v>Mervin Leslie Smith</x:v>
      </x:c>
      <x:c r="H4585" s="6">
        <x:v>46280.06475813658</x:v>
      </x:c>
      <x:c r="I4585" s="0"/>
      <x:c r="J4585" s="0"/>
      <x:c r="K4585" s="6">
        <x:v>46302.72909822917</x:v>
      </x:c>
      <x:c r="L4585" t="str" s="2">
        <x:v>Message Sent</x:v>
      </x:c>
    </x:row>
    <x:row r="4586">
      <x:c r="A4586" t="str" s="2">
        <x:f>="Cheryli Jack"</x:f>
      </x:c>
      <x:c r="B4586" t="str" s="2">
        <x:v>Heritage Housing of Canton</x:v>
      </x:c>
      <x:c r="C4586" t="str" s="2">
        <x:v/>
      </x:c>
      <x:c r="D4586" t="str" s="2">
        <x:v>3468697902</x:v>
      </x:c>
      <x:c r="E4586" t="str" s="2">
        <x:v>cheryldugas8@gmail.com</x:v>
      </x:c>
      <x:c r="F4586" t="str" s="2">
        <x:v>Youtube</x:v>
      </x:c>
      <x:c r="G4586" t="str" s="2">
        <x:v>Maira Garcia</x:v>
      </x:c>
      <x:c r="H4586" s="6">
        <x:v>46280.102855439814</x:v>
      </x:c>
      <x:c r="I4586" s="0"/>
      <x:c r="J4586" s="0"/>
      <x:c r="K4586" s="6">
        <x:v>46280</x:v>
      </x:c>
      <x:c r="L4586" t="str" s="2">
        <x:v>Message Sent</x:v>
      </x:c>
    </x:row>
    <x:row r="4587">
      <x:c r="A4587" t="str" s="2">
        <x:f>="Carla R Galloway"</x:f>
      </x:c>
      <x:c r="B4587" t="str" s="2">
        <x:v>Heritage Housing of Jennings</x:v>
      </x:c>
      <x:c r="C4587" t="str" s="2">
        <x:v/>
      </x:c>
      <x:c r="D4587" t="str" s="2">
        <x:v>3186244146</x:v>
      </x:c>
      <x:c r="E4587" t="str" s="2">
        <x:v>carlarome61@gmail.com</x:v>
      </x:c>
      <x:c r="F4587" t="str" s="2">
        <x:v>Landing_BPM</x:v>
      </x:c>
      <x:c r="G4587" t="str" s="2">
        <x:v>Clint O'Neal</x:v>
      </x:c>
      <x:c r="H4587" s="6">
        <x:v>46280.10564042824</x:v>
      </x:c>
      <x:c r="I4587" s="0"/>
      <x:c r="J4587" s="0"/>
      <x:c r="K4587" s="6">
        <x:v>46302.72959390046</x:v>
      </x:c>
      <x:c r="L4587" t="str" s="2">
        <x:v>Message Sent</x:v>
      </x:c>
    </x:row>
    <x:row r="4588">
      <x:c r="A4588" t="str" s="2">
        <x:f>="Mark schunatz"</x:f>
      </x:c>
      <x:c r="B4588" t="str" s="2">
        <x:v>Heritage Housing of Greenville</x:v>
      </x:c>
      <x:c r="C4588" t="str" s="2">
        <x:v/>
      </x:c>
      <x:c r="D4588" t="str" s="2">
        <x:v>9032686086</x:v>
      </x:c>
      <x:c r="E4588" t="str" s="2">
        <x:v>schunatzmark@gmail.com</x:v>
      </x:c>
      <x:c r="F4588" t="str" s="2">
        <x:v>Landing_BPM</x:v>
      </x:c>
      <x:c r="G4588" t="str" s="2">
        <x:v>Brooklynn Allen</x:v>
      </x:c>
      <x:c r="H4588" s="6">
        <x:v>46280.11293923611</x:v>
      </x:c>
      <x:c r="I4588" s="0"/>
      <x:c r="J4588" s="0"/>
      <x:c r="K4588" s="6">
        <x:v>46288</x:v>
      </x:c>
      <x:c r="L4588" t="str" s="2">
        <x:v>Message Sent</x:v>
      </x:c>
    </x:row>
    <x:row r="4589">
      <x:c r="A4589" t="str" s="2">
        <x:f>="Janet Faulkner"</x:f>
      </x:c>
      <x:c r="B4589" t="str" s="2">
        <x:v>Heritage Housing of Asheboro</x:v>
      </x:c>
      <x:c r="C4589" t="str" s="2">
        <x:v/>
      </x:c>
      <x:c r="D4589" t="str" s="2">
        <x:v>7042298480</x:v>
      </x:c>
      <x:c r="E4589" t="str" s="2">
        <x:v>jhfaulkner43@gmail.com</x:v>
      </x:c>
      <x:c r="F4589" t="str" s="2">
        <x:v>Youtube</x:v>
      </x:c>
      <x:c r="G4589" t="str" s="2">
        <x:v>Maria Lopez</x:v>
      </x:c>
      <x:c r="H4589" s="6">
        <x:v>46280.135839814815</x:v>
      </x:c>
      <x:c r="I4589" s="0"/>
      <x:c r="J4589" s="0"/>
      <x:c r="K4589" s="6">
        <x:v>46288</x:v>
      </x:c>
      <x:c r="L4589" t="str" s="2">
        <x:v>Message Sent</x:v>
      </x:c>
    </x:row>
    <x:row r="4590">
      <x:c r="A4590" t="str" s="2">
        <x:f>="Nikisha Williams"</x:f>
      </x:c>
      <x:c r="B4590" t="str" s="2">
        <x:v>Heritage Housing of Jennings</x:v>
      </x:c>
      <x:c r="C4590" t="str" s="2">
        <x:v/>
      </x:c>
      <x:c r="D4590" t="str" s="2">
        <x:v>9854022992</x:v>
      </x:c>
      <x:c r="E4590" t="str" s="2">
        <x:v>nikishawilliams777@outlook.com</x:v>
      </x:c>
      <x:c r="F4590" t="str" s="2">
        <x:v>Financing Form</x:v>
      </x:c>
      <x:c r="G4590" t="str" s="2">
        <x:v>Mervin Leslie Smith</x:v>
      </x:c>
      <x:c r="H4590" s="6">
        <x:v>46280.147069479164</x:v>
      </x:c>
      <x:c r="I4590" s="0"/>
      <x:c r="J4590" s="0"/>
      <x:c r="K4590" s="6">
        <x:v>46302.7299340625</x:v>
      </x:c>
      <x:c r="L4590" t="str" s="2">
        <x:v>Message Sent</x:v>
      </x:c>
    </x:row>
    <x:row r="4591">
      <x:c r="A4591" t="str" s="2">
        <x:f>="Arron Herring"</x:f>
      </x:c>
      <x:c r="B4591" t="str" s="2">
        <x:v>Heritage Housing of Tulsa</x:v>
      </x:c>
      <x:c r="C4591" t="str" s="2">
        <x:v/>
      </x:c>
      <x:c r="D4591" t="str" s="2">
        <x:v>9185049279</x:v>
      </x:c>
      <x:c r="E4591" t="str" s="2">
        <x:v>arronherring1@gmail.com</x:v>
      </x:c>
      <x:c r="F4591" t="str" s="2">
        <x:v>Landing_BPM</x:v>
      </x:c>
      <x:c r="G4591" t="str" s="2">
        <x:v>Jenna Fransisco</x:v>
      </x:c>
      <x:c r="H4591" s="6">
        <x:v>46280.155196377316</x:v>
      </x:c>
      <x:c r="I4591" s="0"/>
      <x:c r="J4591" s="0"/>
      <x:c r="K4591" s="6">
        <x:v>46280</x:v>
      </x:c>
      <x:c r="L4591" t="str" s="2">
        <x:v>Message Sent</x:v>
      </x:c>
    </x:row>
    <x:row r="4592">
      <x:c r="A4592" t="str" s="2">
        <x:f>="Alison Escobar"</x:f>
      </x:c>
      <x:c r="B4592" t="str" s="2">
        <x:v>Heritage Housing of Jennings</x:v>
      </x:c>
      <x:c r="C4592" t="str" s="2">
        <x:v/>
      </x:c>
      <x:c r="D4592" t="str" s="2">
        <x:v>7276574665</x:v>
      </x:c>
      <x:c r="E4592" t="str" s="2">
        <x:v>alisonescobar1979@gmail.com</x:v>
      </x:c>
      <x:c r="F4592" t="str" s="2">
        <x:v>Landing_BPM</x:v>
      </x:c>
      <x:c r="G4592" t="str" s="2">
        <x:v>Clint O'Neal</x:v>
      </x:c>
      <x:c r="H4592" s="6">
        <x:v>46280.157276122685</x:v>
      </x:c>
      <x:c r="I4592" s="0"/>
      <x:c r="J4592" s="0"/>
      <x:c r="K4592" s="6">
        <x:v>46302.73026380787</x:v>
      </x:c>
      <x:c r="L4592" t="str" s="2">
        <x:v>Message Sent</x:v>
      </x:c>
    </x:row>
    <x:row r="4593">
      <x:c r="A4593" t="str" s="2">
        <x:f>="Johnna Kay Kindred"</x:f>
      </x:c>
      <x:c r="B4593" t="str" s="2">
        <x:v>Heritage Housing of Greenville</x:v>
      </x:c>
      <x:c r="C4593" t="str" s="2">
        <x:v/>
      </x:c>
      <x:c r="D4593" t="str" s="2">
        <x:v>9035195008</x:v>
      </x:c>
      <x:c r="E4593" t="str" s="2">
        <x:v>tklemons17@yahoo.com</x:v>
      </x:c>
      <x:c r="F4593" t="str" s="2">
        <x:v>Landing_BPM</x:v>
      </x:c>
      <x:c r="G4593" t="str" s="2">
        <x:v>Brooklynn Allen</x:v>
      </x:c>
      <x:c r="H4593" s="6">
        <x:v>46280.181865011575</x:v>
      </x:c>
      <x:c r="I4593" s="0"/>
      <x:c r="J4593" s="0"/>
      <x:c r="K4593" s="6">
        <x:v>46288</x:v>
      </x:c>
      <x:c r="L4593" t="str" s="2">
        <x:v>Message Sent</x:v>
      </x:c>
    </x:row>
    <x:row r="4594">
      <x:c r="A4594" t="str" s="2">
        <x:f>="IEISHA ADAMS"</x:f>
      </x:c>
      <x:c r="B4594" t="str" s="2">
        <x:v>Heritage Housing of Augusta</x:v>
      </x:c>
      <x:c r="C4594" t="str" s="2">
        <x:v/>
      </x:c>
      <x:c r="D4594" t="str" s="2">
        <x:v>7068174651</x:v>
      </x:c>
      <x:c r="E4594" t="str" s="2">
        <x:v>ieishaadams8@gmail.com</x:v>
      </x:c>
      <x:c r="F4594" t="str" s="2">
        <x:v>Financing Form</x:v>
      </x:c>
      <x:c r="G4594" t="str" s="2">
        <x:v>Jose Chavez</x:v>
      </x:c>
      <x:c r="H4594" s="6">
        <x:v>46280.193562037035</x:v>
      </x:c>
      <x:c r="I4594" s="0"/>
      <x:c r="J4594" s="0"/>
      <x:c r="K4594" s="6">
        <x:v>46280.62171068287</x:v>
      </x:c>
      <x:c r="L4594" t="str" s="2">
        <x:v>Message Sent</x:v>
      </x:c>
    </x:row>
    <x:row r="4595">
      <x:c r="A4595" t="str" s="2">
        <x:f>="Jeffery Berry"</x:f>
      </x:c>
      <x:c r="B4595" t="str" s="2">
        <x:v>Heritage Housing Mt Pleasant</x:v>
      </x:c>
      <x:c r="C4595" t="str" s="2">
        <x:v/>
      </x:c>
      <x:c r="D4595" t="str" s="2">
        <x:v>9036503774</x:v>
      </x:c>
      <x:c r="E4595" t="str" s="2">
        <x:v>rebeccamcmillon65@gmail.com</x:v>
      </x:c>
      <x:c r="F4595" t="str" s="2">
        <x:v>Landing_BPM</x:v>
      </x:c>
      <x:c r="G4595" t="str" s="2">
        <x:v>Sandra Saldana</x:v>
      </x:c>
      <x:c r="H4595" s="6">
        <x:v>46280.20284953704</x:v>
      </x:c>
      <x:c r="I4595" s="0"/>
      <x:c r="J4595" s="0"/>
      <x:c r="K4595" s="6">
        <x:v>46280</x:v>
      </x:c>
      <x:c r="L4595" t="str" s="2">
        <x:v>Message Sent</x:v>
      </x:c>
    </x:row>
    <x:row r="4596">
      <x:c r="A4596" t="str" s="2">
        <x:f>="Natasha Sikes"</x:f>
      </x:c>
      <x:c r="B4596" t="str" s="2">
        <x:v>Heritage Housing of Tulsa</x:v>
      </x:c>
      <x:c r="C4596" t="str" s="2">
        <x:v/>
      </x:c>
      <x:c r="D4596" t="str" s="2">
        <x:v>9189668245</x:v>
      </x:c>
      <x:c r="E4596" t="str" s="2">
        <x:v>natashasikes7@gmail.com</x:v>
      </x:c>
      <x:c r="F4596" t="str" s="2">
        <x:v>Landing_BPM</x:v>
      </x:c>
      <x:c r="G4596" t="str" s="2">
        <x:v>Jenna Fransisco</x:v>
      </x:c>
      <x:c r="H4596" s="6">
        <x:v>46280.21084684028</x:v>
      </x:c>
      <x:c r="I4596" s="0"/>
      <x:c r="J4596" s="0"/>
      <x:c r="K4596" s="6">
        <x:v>46280</x:v>
      </x:c>
      <x:c r="L4596" t="str" s="2">
        <x:v>Message Sent</x:v>
      </x:c>
    </x:row>
    <x:row r="4597">
      <x:c r="A4597" t="str" s="2">
        <x:f>="Laykihsa Manning"</x:f>
      </x:c>
      <x:c r="B4597" t="str" s="2">
        <x:v>Heritage Housing of Augusta</x:v>
      </x:c>
      <x:c r="C4597" t="str" s="2">
        <x:v/>
      </x:c>
      <x:c r="D4597" t="str" s="2">
        <x:v>8509801377</x:v>
      </x:c>
      <x:c r="E4597" t="str" s="2">
        <x:v>manninglaykihsa@gmail.com</x:v>
      </x:c>
      <x:c r="F4597" t="str" s="2">
        <x:v>Landing_BPM</x:v>
      </x:c>
      <x:c r="G4597" t="str" s="2">
        <x:v>Jennifer Johnson</x:v>
      </x:c>
      <x:c r="H4597" s="6">
        <x:v>46280.24724186343</x:v>
      </x:c>
      <x:c r="I4597" s="0"/>
      <x:c r="J4597" s="0"/>
      <x:c r="K4597" s="6">
        <x:v>46289</x:v>
      </x:c>
      <x:c r="L4597" t="str" s="2">
        <x:v>Message Sent</x:v>
      </x:c>
    </x:row>
    <x:row r="4598">
      <x:c r="A4598" t="str" s="2">
        <x:f>="Elise oldfield"</x:f>
      </x:c>
      <x:c r="B4598" t="str" s="2">
        <x:v>Heritage Housing of Tulsa</x:v>
      </x:c>
      <x:c r="C4598" t="str" s="2">
        <x:v/>
      </x:c>
      <x:c r="D4598" t="str" s="2">
        <x:v>5396290202</x:v>
      </x:c>
      <x:c r="E4598" t="str" s="2">
        <x:v>oldfieldelise@gmail.com</x:v>
      </x:c>
      <x:c r="F4598" t="str" s="2">
        <x:v>Youtube</x:v>
      </x:c>
      <x:c r="G4598" t="str" s="2">
        <x:v>Jenna Fransisco</x:v>
      </x:c>
      <x:c r="H4598" s="6">
        <x:v>46280.33343012731</x:v>
      </x:c>
      <x:c r="I4598" s="0"/>
      <x:c r="J4598" s="0"/>
      <x:c r="K4598" s="6">
        <x:v>46280</x:v>
      </x:c>
      <x:c r="L4598" t="str" s="2">
        <x:v>Message Sent</x:v>
      </x:c>
    </x:row>
    <x:row r="4599">
      <x:c r="A4599" t="str" s="2">
        <x:f>="Marquise Edwards"</x:f>
      </x:c>
      <x:c r="B4599" t="str" s="2">
        <x:v>Heritage Housing of Tulsa</x:v>
      </x:c>
      <x:c r="C4599" t="str" s="2">
        <x:v/>
      </x:c>
      <x:c r="D4599" t="str" s="2">
        <x:v>9189608820</x:v>
      </x:c>
      <x:c r="E4599" t="str" s="2">
        <x:v>zoneouttsales@gmail.com</x:v>
      </x:c>
      <x:c r="F4599" t="str" s="2">
        <x:v>Landing_BPM</x:v>
      </x:c>
      <x:c r="G4599" t="str" s="2">
        <x:v>Jenna Fransisco</x:v>
      </x:c>
      <x:c r="H4599" s="6">
        <x:v>46280.35900285879</x:v>
      </x:c>
      <x:c r="I4599" s="0"/>
      <x:c r="J4599" s="0"/>
      <x:c r="K4599" s="6">
        <x:v>46280</x:v>
      </x:c>
      <x:c r="L4599" t="str" s="2">
        <x:v>Message Sent</x:v>
      </x:c>
    </x:row>
    <x:row r="4600">
      <x:c r="A4600" t="str" s="2">
        <x:f>="Shantel Neal"</x:f>
      </x:c>
      <x:c r="B4600" t="str" s="2">
        <x:v>Legacy Housing Corp. DBA Americasa</x:v>
      </x:c>
      <x:c r="C4600" t="str" s="2">
        <x:v/>
      </x:c>
      <x:c r="D4600" t="str" s="2">
        <x:v>8329495679</x:v>
      </x:c>
      <x:c r="E4600" t="str" s="2">
        <x:v>nealshantel503@gmail.com</x:v>
      </x:c>
      <x:c r="F4600" t="str" s="2">
        <x:v>Landing_BPM</x:v>
      </x:c>
      <x:c r="G4600" t="str" s="2">
        <x:v>Rodrigo Ramirez</x:v>
      </x:c>
      <x:c r="H4600" s="6">
        <x:v>46280.39267584491</x:v>
      </x:c>
      <x:c r="I4600" s="0"/>
      <x:c r="J4600" s="0"/>
      <x:c r="K4600" s="6">
        <x:v>46280</x:v>
      </x:c>
      <x:c r="L4600" t="str" s="2">
        <x:v>Message Sent</x:v>
      </x:c>
    </x:row>
    <x:row r="4601">
      <x:c r="A4601" t="str" s="2">
        <x:f>="Duke Hight"</x:f>
      </x:c>
      <x:c r="B4601" t="str" s="2">
        <x:v>Heritage Housing of Jennings</x:v>
      </x:c>
      <x:c r="C4601" t="str" s="2">
        <x:v/>
      </x:c>
      <x:c r="D4601" t="str" s="2">
        <x:v>3618150243</x:v>
      </x:c>
      <x:c r="E4601" t="str" s="2">
        <x:v>dhight@elevation-rs.com</x:v>
      </x:c>
      <x:c r="F4601" t="str" s="2">
        <x:v>Workforce - Meta</x:v>
      </x:c>
      <x:c r="G4601" t="str" s="2">
        <x:v>Clint O'Neal</x:v>
      </x:c>
      <x:c r="H4601" s="6">
        <x:v>46280.498304479166</x:v>
      </x:c>
      <x:c r="I4601" s="0"/>
      <x:c r="J4601" s="0"/>
      <x:c r="K4601" s="6">
        <x:v>46302.731277743056</x:v>
      </x:c>
      <x:c r="L4601" t="str" s="2">
        <x:v>Message Sent</x:v>
      </x:c>
    </x:row>
    <x:row r="4602">
      <x:c r="A4602" t="str" s="2">
        <x:f>="Walker Turnage"</x:f>
      </x:c>
      <x:c r="B4602" t="str" s="2">
        <x:v>Heritage Housing of Jennings</x:v>
      </x:c>
      <x:c r="C4602" t="str" s="2">
        <x:v/>
      </x:c>
      <x:c r="D4602" t="str" s="2">
        <x:v>3186232004</x:v>
      </x:c>
      <x:c r="E4602" t="str" s="2">
        <x:v>walker072607@gmail.com</x:v>
      </x:c>
      <x:c r="F4602" t="str" s="2">
        <x:v>Landing_BPM</x:v>
      </x:c>
      <x:c r="G4602" t="str" s="2">
        <x:v>Clint O'Neal</x:v>
      </x:c>
      <x:c r="H4602" s="6">
        <x:v>46280.52346226852</x:v>
      </x:c>
      <x:c r="I4602" s="0"/>
      <x:c r="J4602" s="0"/>
      <x:c r="K4602" s="6">
        <x:v>46302.65719741898</x:v>
      </x:c>
      <x:c r="L4602" t="str" s="2">
        <x:v>Message Sent</x:v>
      </x:c>
    </x:row>
    <x:row r="4603">
      <x:c r="A4603" t="str" s="2">
        <x:f>="Nkyra Johnson"</x:f>
      </x:c>
      <x:c r="B4603" t="str" s="2">
        <x:v>Heritage Housing of Asheboro</x:v>
      </x:c>
      <x:c r="C4603" t="str" s="2">
        <x:v/>
      </x:c>
      <x:c r="D4603" t="str" s="2">
        <x:v>2523330544</x:v>
      </x:c>
      <x:c r="E4603" t="str" s="2">
        <x:v>nkyrajohnson21@icloud.com</x:v>
      </x:c>
      <x:c r="F4603" t="str" s="2">
        <x:v>Landing_BPM</x:v>
      </x:c>
      <x:c r="G4603" t="str" s="2">
        <x:v>Maria Lopez</x:v>
      </x:c>
      <x:c r="H4603" s="6">
        <x:v>46280.5605628125</x:v>
      </x:c>
      <x:c r="I4603" s="0"/>
      <x:c r="J4603" s="0"/>
      <x:c r="K4603" s="6">
        <x:v>46280</x:v>
      </x:c>
      <x:c r="L4603" t="str" s="2">
        <x:v>Message Sent</x:v>
      </x:c>
    </x:row>
    <x:row r="4604">
      <x:c r="A4604" t="str" s="2">
        <x:f>="Judy Murray"</x:f>
      </x:c>
      <x:c r="B4604" t="str" s="2">
        <x:v>Heritage Housing of Asheboro</x:v>
      </x:c>
      <x:c r="C4604" t="str" s="2">
        <x:v/>
      </x:c>
      <x:c r="D4604" t="str" s="2">
        <x:v>7044335961</x:v>
      </x:c>
      <x:c r="E4604" t="str" s="2">
        <x:v>jflicka1963@gmail.com</x:v>
      </x:c>
      <x:c r="F4604" t="str" s="2">
        <x:v>Youtube</x:v>
      </x:c>
      <x:c r="G4604" t="str" s="2">
        <x:v>Maria Lopez</x:v>
      </x:c>
      <x:c r="H4604" s="6">
        <x:v>46280.57492746528</x:v>
      </x:c>
      <x:c r="I4604" s="0"/>
      <x:c r="J4604" s="0"/>
      <x:c r="K4604" s="6">
        <x:v>46288</x:v>
      </x:c>
      <x:c r="L4604" t="str" s="2">
        <x:v>Message Sent</x:v>
      </x:c>
    </x:row>
    <x:row r="4605">
      <x:c r="A4605" t="str" s="2">
        <x:f>="Carolyn Martin"</x:f>
      </x:c>
      <x:c r="B4605" t="str" s="2">
        <x:v>Heritage Housing of Asheboro</x:v>
      </x:c>
      <x:c r="C4605" t="str" s="2">
        <x:v/>
      </x:c>
      <x:c r="D4605" t="str" s="2">
        <x:v>9104896281</x:v>
      </x:c>
      <x:c r="E4605" t="str" s="2">
        <x:v>carolynmartin403@gmail.com</x:v>
      </x:c>
      <x:c r="F4605" t="str" s="2">
        <x:v>Youtube</x:v>
      </x:c>
      <x:c r="G4605" t="str" s="2">
        <x:v>Kate Gutierrez</x:v>
      </x:c>
      <x:c r="H4605" s="6">
        <x:v>46280.58413121528</x:v>
      </x:c>
      <x:c r="I4605" s="0"/>
      <x:c r="J4605" s="0"/>
      <x:c r="K4605" s="6">
        <x:v>46280</x:v>
      </x:c>
      <x:c r="L4605" t="str" s="2">
        <x:v>Message Sent</x:v>
      </x:c>
    </x:row>
    <x:row r="4606">
      <x:c r="A4606" t="str" s="2">
        <x:f>="Kassy Schweizer"</x:f>
      </x:c>
      <x:c r="B4606" t="str" s="2">
        <x:v>Heritage Housing of Asheboro</x:v>
      </x:c>
      <x:c r="C4606" t="str" s="2">
        <x:v/>
      </x:c>
      <x:c r="D4606" t="str" s="2">
        <x:v>9284449853</x:v>
      </x:c>
      <x:c r="E4606" t="str" s="2">
        <x:v>Kassy_Schweizer@yahoo.com</x:v>
      </x:c>
      <x:c r="F4606" t="str" s="2">
        <x:v>Landing_BPM</x:v>
      </x:c>
      <x:c r="G4606" t="str" s="2">
        <x:v>Maria Lopez</x:v>
      </x:c>
      <x:c r="H4606" s="6">
        <x:v>46280.604005127316</x:v>
      </x:c>
      <x:c r="I4606" s="0"/>
      <x:c r="J4606" s="0"/>
      <x:c r="K4606" s="6">
        <x:v>46307</x:v>
      </x:c>
      <x:c r="L4606" t="str" s="2">
        <x:v>Message Sent</x:v>
      </x:c>
    </x:row>
    <x:row r="4607">
      <x:c r="A4607" t="str" s="2">
        <x:f>="Orlando Rosario"</x:f>
      </x:c>
      <x:c r="B4607" t="str" s="2">
        <x:v>Heritage Housing of Albany</x:v>
      </x:c>
      <x:c r="C4607" t="str" s="2">
        <x:v/>
      </x:c>
      <x:c r="D4607" t="str" s="2">
        <x:v>4848776975</x:v>
      </x:c>
      <x:c r="E4607" t="str" s="2">
        <x:v>rosariolando049@gmail.com</x:v>
      </x:c>
      <x:c r="F4607" t="str" s="2">
        <x:v>Youtube</x:v>
      </x:c>
      <x:c r="G4607" t="str" s="2">
        <x:v>Yanet Alvarez</x:v>
      </x:c>
      <x:c r="H4607" s="6">
        <x:v>46280.649985219905</x:v>
      </x:c>
      <x:c r="I4607" s="0"/>
      <x:c r="J4607" s="0"/>
      <x:c r="K4607" s="6">
        <x:v>46286.66825787037</x:v>
      </x:c>
      <x:c r="L4607" t="str" s="2">
        <x:v>Message Sent</x:v>
      </x:c>
    </x:row>
    <x:row r="4608">
      <x:c r="A4608" t="str" s="2">
        <x:f>="Stephanie Riddle"</x:f>
      </x:c>
      <x:c r="B4608" t="str" s="2">
        <x:v>Heritage Housing of Canton</x:v>
      </x:c>
      <x:c r="C4608" t="str" s="2">
        <x:v/>
      </x:c>
      <x:c r="D4608" t="str" s="2">
        <x:v>9033766378</x:v>
      </x:c>
      <x:c r="E4608" t="str" s="2">
        <x:v>Stephanierenie88@gmail.com</x:v>
      </x:c>
      <x:c r="F4608" t="str" s="2">
        <x:v>Landing_BPM</x:v>
      </x:c>
      <x:c r="G4608" t="str" s="2">
        <x:v>Jacob Hatten</x:v>
      </x:c>
      <x:c r="H4608" s="6">
        <x:v>46280.65841635417</x:v>
      </x:c>
      <x:c r="I4608" s="0"/>
      <x:c r="J4608" s="0"/>
      <x:c r="K4608" s="6">
        <x:v>46302</x:v>
      </x:c>
      <x:c r="L4608" t="str" s="2">
        <x:v>Message Sent</x:v>
      </x:c>
    </x:row>
    <x:row r="4609">
      <x:c r="A4609" t="str" s="2">
        <x:f>="Kassidy Curley-Thompson"</x:f>
      </x:c>
      <x:c r="B4609" t="str" s="2">
        <x:v>Legacy Housing Corp. DBA Americasa</x:v>
      </x:c>
      <x:c r="C4609" t="str" s="2">
        <x:v/>
      </x:c>
      <x:c r="D4609" t="str" s="2">
        <x:v>2817592349</x:v>
      </x:c>
      <x:c r="E4609" t="str" s="2">
        <x:v>kcurleythompson@gmail.com</x:v>
      </x:c>
      <x:c r="F4609" t="str" s="2">
        <x:v>Landing_BPM</x:v>
      </x:c>
      <x:c r="G4609" t="str" s="2">
        <x:v>Jose Parada</x:v>
      </x:c>
      <x:c r="H4609" s="6">
        <x:v>46280.66330266204</x:v>
      </x:c>
      <x:c r="I4609" s="0"/>
      <x:c r="J4609" s="0"/>
      <x:c r="K4609" s="6">
        <x:v>46280</x:v>
      </x:c>
      <x:c r="L4609" t="str" s="2">
        <x:v>Message Sent</x:v>
      </x:c>
    </x:row>
    <x:row r="4610">
      <x:c r="A4610" t="str" s="2">
        <x:f>="Crystal Marshall"</x:f>
      </x:c>
      <x:c r="B4610" t="str" s="2">
        <x:v>Legacy Housing Corp. DBA Americasa</x:v>
      </x:c>
      <x:c r="C4610" t="str" s="2">
        <x:v/>
      </x:c>
      <x:c r="D4610" t="str" s="2">
        <x:v>8328707069</x:v>
      </x:c>
      <x:c r="E4610" t="str" s="2">
        <x:v>crystalmarshall931@gmail.com</x:v>
      </x:c>
      <x:c r="F4610" t="str" s="2">
        <x:v>Youtube</x:v>
      </x:c>
      <x:c r="G4610" t="str" s="2">
        <x:v>Rodrigo Ramirez</x:v>
      </x:c>
      <x:c r="H4610" s="6">
        <x:v>46280.67723730324</x:v>
      </x:c>
      <x:c r="I4610" s="0"/>
      <x:c r="J4610" s="0"/>
      <x:c r="K4610" s="6">
        <x:v>46280</x:v>
      </x:c>
      <x:c r="L4610" t="str" s="2">
        <x:v>Message Sent</x:v>
      </x:c>
    </x:row>
    <x:row r="4611">
      <x:c r="A4611" t="str" s="2">
        <x:f>="Tenisha Walker"</x:f>
      </x:c>
      <x:c r="B4611" t="str" s="2">
        <x:v>Heritage Housing of Asheboro</x:v>
      </x:c>
      <x:c r="C4611" t="str" s="2">
        <x:v/>
      </x:c>
      <x:c r="D4611" t="str" s="2">
        <x:v>7049252536</x:v>
      </x:c>
      <x:c r="E4611" t="str" s="2">
        <x:v>wTenisha72@gmail.com</x:v>
      </x:c>
      <x:c r="F4611" t="str" s="2">
        <x:v>Youtube</x:v>
      </x:c>
      <x:c r="G4611" t="str" s="2">
        <x:v>Maria Lopez</x:v>
      </x:c>
      <x:c r="H4611" s="6">
        <x:v>46280.71823599537</x:v>
      </x:c>
      <x:c r="I4611" s="0"/>
      <x:c r="J4611" s="0"/>
      <x:c r="K4611" s="6">
        <x:v>46288</x:v>
      </x:c>
      <x:c r="L4611" t="str" s="2">
        <x:v>Message Sent</x:v>
      </x:c>
    </x:row>
    <x:row r="4612">
      <x:c r="A4612" t="str" s="2">
        <x:f>="angelica koziol"</x:f>
      </x:c>
      <x:c r="B4612" t="str" s="2">
        <x:v>Heritage Housing Mt Pleasant</x:v>
      </x:c>
      <x:c r="C4612" t="str" s="2">
        <x:v/>
      </x:c>
      <x:c r="D4612" t="str" s="2">
        <x:v>9033368246</x:v>
      </x:c>
      <x:c r="E4612" t="str" s="2">
        <x:v>angelicakoziol@gmail.com</x:v>
      </x:c>
      <x:c r="F4612" t="str" s="2">
        <x:v>Landing_BPM</x:v>
      </x:c>
      <x:c r="G4612" t="str" s="2">
        <x:v>Yarelis Torres</x:v>
      </x:c>
      <x:c r="H4612" s="6">
        <x:v>46280.71970243056</x:v>
      </x:c>
      <x:c r="I4612" s="0"/>
      <x:c r="J4612" s="0"/>
      <x:c r="K4612" s="6">
        <x:v>46280</x:v>
      </x:c>
      <x:c r="L4612" t="str" s="2">
        <x:v>Message Sent</x:v>
      </x:c>
    </x:row>
    <x:row r="4613">
      <x:c r="A4613" t="str" s="2">
        <x:f>="Eric Brown"</x:f>
      </x:c>
      <x:c r="B4613" t="str" s="2">
        <x:v>Heritage Housing of Augusta</x:v>
      </x:c>
      <x:c r="C4613" t="str" s="2">
        <x:v/>
      </x:c>
      <x:c r="D4613" t="str" s="2">
        <x:v>8038499345</x:v>
      </x:c>
      <x:c r="E4613" t="str" s="2">
        <x:v>gakuseikobudo@yahoo.com</x:v>
      </x:c>
      <x:c r="F4613" t="str" s="2">
        <x:v>Landing_BPM</x:v>
      </x:c>
      <x:c r="G4613" t="str" s="2">
        <x:v>Jose Chavez</x:v>
      </x:c>
      <x:c r="H4613" s="6">
        <x:v>46280.73915512732</x:v>
      </x:c>
      <x:c r="I4613" s="0"/>
      <x:c r="J4613" s="0"/>
      <x:c r="K4613" s="6">
        <x:v>46281</x:v>
      </x:c>
      <x:c r="L4613" t="str" s="2">
        <x:v>Message Sent</x:v>
      </x:c>
    </x:row>
    <x:row r="4614">
      <x:c r="A4614" t="str" s="2">
        <x:f>="Sandra Conley"</x:f>
      </x:c>
      <x:c r="B4614" t="str" s="2">
        <x:v>Heritage Housing of Albany</x:v>
      </x:c>
      <x:c r="C4614" t="str" s="2">
        <x:v/>
      </x:c>
      <x:c r="D4614" t="str" s="2">
        <x:v>7622410355</x:v>
      </x:c>
      <x:c r="E4614" t="str" s="2">
        <x:v>conleysandra86@gmail.com</x:v>
      </x:c>
      <x:c r="F4614" t="str" s="2">
        <x:v>Youtube</x:v>
      </x:c>
      <x:c r="G4614" t="str" s="2">
        <x:v>Yanet Alvarez</x:v>
      </x:c>
      <x:c r="H4614" s="6">
        <x:v>46280.748562534725</x:v>
      </x:c>
      <x:c r="I4614" s="0"/>
      <x:c r="J4614" s="0"/>
      <x:c r="K4614" s="6">
        <x:v>46308</x:v>
      </x:c>
      <x:c r="L4614" t="str" s="2">
        <x:v>Message Sent</x:v>
      </x:c>
    </x:row>
    <x:row r="4615">
      <x:c r="A4615" t="str" s="2">
        <x:f>="Christina Adams"</x:f>
      </x:c>
      <x:c r="B4615" t="str" s="2">
        <x:v>Heritage Housing of Asheboro</x:v>
      </x:c>
      <x:c r="C4615" t="str" s="2">
        <x:v/>
      </x:c>
      <x:c r="D4615" t="str" s="2">
        <x:v>8642510553</x:v>
      </x:c>
      <x:c r="E4615" t="str" s="2">
        <x:v>hopeadams08161984@gmail.com</x:v>
      </x:c>
      <x:c r="F4615" t="str" s="2">
        <x:v>Landing_BPM</x:v>
      </x:c>
      <x:c r="G4615" t="str" s="2">
        <x:v>Kate Gutierrez</x:v>
      </x:c>
      <x:c r="H4615" s="6">
        <x:v>46280.75314621528</x:v>
      </x:c>
      <x:c r="I4615" s="0"/>
      <x:c r="J4615" s="0"/>
      <x:c r="K4615" s="6">
        <x:v>46280</x:v>
      </x:c>
      <x:c r="L4615" t="str" s="2">
        <x:v>Message Sent</x:v>
      </x:c>
    </x:row>
    <x:row r="4616">
      <x:c r="A4616" t="str" s="2">
        <x:f>="Fredelldrick Johnson"</x:f>
      </x:c>
      <x:c r="B4616" t="str" s="2">
        <x:v>Heritage Housing Mt Pleasant</x:v>
      </x:c>
      <x:c r="C4616" t="str" s="2">
        <x:v/>
      </x:c>
      <x:c r="D4616" t="str" s="2">
        <x:v>9034242034</x:v>
      </x:c>
      <x:c r="E4616" t="str" s="2">
        <x:v>biggc90@gmail.com</x:v>
      </x:c>
      <x:c r="F4616" t="str" s="2">
        <x:v>Landing_BPM</x:v>
      </x:c>
      <x:c r="G4616" t="str" s="2">
        <x:v>Sandra Saldana</x:v>
      </x:c>
      <x:c r="H4616" s="6">
        <x:v>46280.76172797454</x:v>
      </x:c>
      <x:c r="I4616" s="0"/>
      <x:c r="J4616" s="0"/>
      <x:c r="K4616" s="6">
        <x:v>46281</x:v>
      </x:c>
      <x:c r="L4616" t="str" s="2">
        <x:v>Message Sent</x:v>
      </x:c>
    </x:row>
    <x:row r="4617">
      <x:c r="A4617" t="str" s="2">
        <x:f>="Tashawna Bryant"</x:f>
      </x:c>
      <x:c r="B4617" t="str" s="2">
        <x:v>Heritage Housing of Albany</x:v>
      </x:c>
      <x:c r="C4617" t="str" s="2">
        <x:v/>
      </x:c>
      <x:c r="D4617" t="str" s="2">
        <x:v>4047031804</x:v>
      </x:c>
      <x:c r="E4617" t="str" s="2">
        <x:v>tashawna365@gmail.com</x:v>
      </x:c>
      <x:c r="F4617" t="str" s="2">
        <x:v>Youtube</x:v>
      </x:c>
      <x:c r="G4617" t="str" s="2">
        <x:v>Yanet Alvarez</x:v>
      </x:c>
      <x:c r="H4617" s="6">
        <x:v>46280.76805582176</x:v>
      </x:c>
      <x:c r="I4617" s="0"/>
      <x:c r="J4617" s="0"/>
      <x:c r="K4617" s="6">
        <x:v>46307</x:v>
      </x:c>
      <x:c r="L4617" t="str" s="2">
        <x:v>Message Sent</x:v>
      </x:c>
    </x:row>
    <x:row r="4618">
      <x:c r="A4618" t="str" s="2">
        <x:f>="Mayeal Turner"</x:f>
      </x:c>
      <x:c r="B4618" t="str" s="2">
        <x:v>Heritage Housing Mt Pleasant</x:v>
      </x:c>
      <x:c r="C4618" t="str" s="2">
        <x:v/>
      </x:c>
      <x:c r="D4618" t="str" s="2">
        <x:v>4802177984</x:v>
      </x:c>
      <x:c r="E4618" t="str" s="2">
        <x:v>matealturner@yahoo.com</x:v>
      </x:c>
      <x:c r="F4618" t="str" s="2">
        <x:v>Youtube</x:v>
      </x:c>
      <x:c r="G4618" t="str" s="2">
        <x:v>Yarelis Torres</x:v>
      </x:c>
      <x:c r="H4618" s="6">
        <x:v>46280.77022777778</x:v>
      </x:c>
      <x:c r="I4618" s="0"/>
      <x:c r="J4618" s="0"/>
      <x:c r="K4618" s="6">
        <x:v>46280</x:v>
      </x:c>
      <x:c r="L4618" t="str" s="2">
        <x:v>Message Sent</x:v>
      </x:c>
    </x:row>
    <x:row r="4619">
      <x:c r="A4619" t="str" s="2">
        <x:f>="Michael McMullen"</x:f>
      </x:c>
      <x:c r="B4619" t="str" s="2">
        <x:v>Heritage Housing of Asheboro</x:v>
      </x:c>
      <x:c r="C4619" t="str" s="2">
        <x:v/>
      </x:c>
      <x:c r="D4619" t="str" s="2">
        <x:v>3365256463</x:v>
      </x:c>
      <x:c r="E4619" t="str" s="2">
        <x:v>ivm.prod@gmail.com</x:v>
      </x:c>
      <x:c r="F4619" t="str" s="2">
        <x:v>Youtube</x:v>
      </x:c>
      <x:c r="G4619" t="str" s="2">
        <x:v>Maria Lopez</x:v>
      </x:c>
      <x:c r="H4619" s="6">
        <x:v>46280.77150292824</x:v>
      </x:c>
      <x:c r="I4619" s="0"/>
      <x:c r="J4619" s="0"/>
      <x:c r="K4619" s="6">
        <x:v>46307</x:v>
      </x:c>
      <x:c r="L4619" t="str" s="2">
        <x:v>Message Sent</x:v>
      </x:c>
    </x:row>
    <x:row r="4620">
      <x:c r="A4620" t="str" s="2">
        <x:f>="Palmet Munoz"</x:f>
      </x:c>
      <x:c r="B4620" t="str" s="2">
        <x:v>Heritage Housing of Albany</x:v>
      </x:c>
      <x:c r="C4620" t="str" s="2">
        <x:v/>
      </x:c>
      <x:c r="D4620" t="str" s="2">
        <x:v>2295000943</x:v>
      </x:c>
      <x:c r="E4620" t="str" s="2">
        <x:v>pallynbr124@yahoo.com</x:v>
      </x:c>
      <x:c r="F4620" t="str" s="2">
        <x:v>Bing - Search</x:v>
      </x:c>
      <x:c r="G4620" t="str" s="2">
        <x:v>Yanet Alvarez</x:v>
      </x:c>
      <x:c r="H4620" s="6">
        <x:v>46280.791363275464</x:v>
      </x:c>
      <x:c r="I4620" s="0"/>
      <x:c r="J4620" s="0"/>
      <x:c r="K4620" s="6">
        <x:v>46282</x:v>
      </x:c>
      <x:c r="L4620" t="str" s="2">
        <x:v>Message Sent</x:v>
      </x:c>
    </x:row>
    <x:row r="4621">
      <x:c r="A4621" t="str" s="2">
        <x:f>="Amanda Allport"</x:f>
      </x:c>
      <x:c r="B4621" t="str" s="2">
        <x:v>Heritage Housing of Asheboro</x:v>
      </x:c>
      <x:c r="C4621" t="str" s="2">
        <x:v/>
      </x:c>
      <x:c r="D4621" t="str" s="2">
        <x:v>3368074804</x:v>
      </x:c>
      <x:c r="E4621" t="str" s="2">
        <x:v>amanda.gemme0417@gmail.com</x:v>
      </x:c>
      <x:c r="F4621" t="str" s="2">
        <x:v>Landing_BPM</x:v>
      </x:c>
      <x:c r="G4621" t="str" s="2">
        <x:v>Maria Lopez</x:v>
      </x:c>
      <x:c r="H4621" s="6">
        <x:v>46280.79502326389</x:v>
      </x:c>
      <x:c r="I4621" s="0"/>
      <x:c r="J4621" s="0"/>
      <x:c r="K4621" s="6">
        <x:v>46288</x:v>
      </x:c>
      <x:c r="L4621" t="str" s="2">
        <x:v>Message Sent</x:v>
      </x:c>
    </x:row>
    <x:row r="4622">
      <x:c r="A4622" t="str" s="2">
        <x:f>="Wendy Johnson"</x:f>
      </x:c>
      <x:c r="B4622" t="str" s="2">
        <x:v>Heritage Housing of Greenville</x:v>
      </x:c>
      <x:c r="C4622" t="str" s="2">
        <x:v>0/1</x:v>
      </x:c>
      <x:c r="D4622" t="str" s="2">
        <x:v>8702606560</x:v>
      </x:c>
      <x:c r="E4622" t="str" s="2">
        <x:v>wj26102@gmail.com</x:v>
      </x:c>
      <x:c r="F4622" t="str" s="2">
        <x:v>Landing_BPM</x:v>
      </x:c>
      <x:c r="G4622" t="str" s="2">
        <x:v>Greg Christman</x:v>
      </x:c>
      <x:c r="H4622" s="6">
        <x:v>46280.803390775465</x:v>
      </x:c>
      <x:c r="I4622" s="0"/>
      <x:c r="J4622" s="0"/>
      <x:c r="K4622" s="6">
        <x:v>46295</x:v>
      </x:c>
      <x:c r="L4622" t="str" s="2">
        <x:v>Message Sent</x:v>
      </x:c>
    </x:row>
    <x:row r="4623">
      <x:c r="A4623" t="str" s="2">
        <x:f>="montana knight"</x:f>
      </x:c>
      <x:c r="B4623" t="str" s="2">
        <x:v>Heritage Housing of Athens</x:v>
      </x:c>
      <x:c r="C4623" t="str" s="2">
        <x:v/>
      </x:c>
      <x:c r="D4623" t="str" s="2">
        <x:v>8173203116</x:v>
      </x:c>
      <x:c r="E4623" t="str" s="2">
        <x:v>montanaknight123@gmail.com</x:v>
      </x:c>
      <x:c r="F4623" t="str" s="2">
        <x:v>Landing_BPM</x:v>
      </x:c>
      <x:c r="G4623" t="str" s="2">
        <x:v>Nathan Bishop</x:v>
      </x:c>
      <x:c r="H4623" s="6">
        <x:v>46280.80582855324</x:v>
      </x:c>
      <x:c r="I4623" s="0"/>
      <x:c r="J4623" s="0"/>
      <x:c r="K4623" s="6">
        <x:v>46280</x:v>
      </x:c>
      <x:c r="L4623" t="str" s="2">
        <x:v>Message Sent</x:v>
      </x:c>
    </x:row>
    <x:row r="4624">
      <x:c r="A4624" t="str" s="2">
        <x:f>="Bernardo Merino Wicab"</x:f>
      </x:c>
      <x:c r="B4624" t="str" s="2">
        <x:v>Heritage Housing Marble Falls</x:v>
      </x:c>
      <x:c r="C4624" t="str" s="2">
        <x:v/>
      </x:c>
      <x:c r="D4624" t="str" s="2">
        <x:v>7372806012</x:v>
      </x:c>
      <x:c r="E4624" t="str" s="2">
        <x:v>wicabbernard@gmail.com</x:v>
      </x:c>
      <x:c r="F4624" t="str" s="2">
        <x:v>Youtube</x:v>
      </x:c>
      <x:c r="G4624" t="str" s="2">
        <x:v>Stephen Sanders</x:v>
      </x:c>
      <x:c r="H4624" s="6">
        <x:v>46280.80726446759</x:v>
      </x:c>
      <x:c r="I4624" s="0"/>
      <x:c r="J4624" s="0"/>
      <x:c r="K4624" s="6">
        <x:v>46286</x:v>
      </x:c>
      <x:c r="L4624" t="str" s="2">
        <x:v>Message Sent</x:v>
      </x:c>
    </x:row>
    <x:row r="4625">
      <x:c r="A4625" t="str" s="2">
        <x:f>="Kristina Kemp"</x:f>
      </x:c>
      <x:c r="B4625" t="str" s="2">
        <x:v>Heritage Housing of Greenville</x:v>
      </x:c>
      <x:c r="C4625" t="str" s="2">
        <x:v/>
      </x:c>
      <x:c r="D4625" t="str" s="2">
        <x:v>4303462693</x:v>
      </x:c>
      <x:c r="E4625" t="str" s="2">
        <x:v>kristinak1224@gmail.com</x:v>
      </x:c>
      <x:c r="F4625" t="str" s="2">
        <x:v>Landing_BPM</x:v>
      </x:c>
      <x:c r="G4625" t="str" s="2">
        <x:v>Brooklynn Allen</x:v>
      </x:c>
      <x:c r="H4625" s="6">
        <x:v>46280.81184390046</x:v>
      </x:c>
      <x:c r="I4625" s="0"/>
      <x:c r="J4625" s="0"/>
      <x:c r="K4625" s="6">
        <x:v>46288</x:v>
      </x:c>
      <x:c r="L4625" t="str" s="2">
        <x:v>Message Sent</x:v>
      </x:c>
    </x:row>
    <x:row r="4626">
      <x:c r="A4626" t="str" s="2">
        <x:f>="Flor Louis"</x:f>
      </x:c>
      <x:c r="B4626" t="str" s="2">
        <x:v>Heritage Housing of Greenville</x:v>
      </x:c>
      <x:c r="C4626" t="str" s="2">
        <x:v/>
      </x:c>
      <x:c r="D4626" t="str" s="2">
        <x:v>4698597172</x:v>
      </x:c>
      <x:c r="E4626" t="str" s="2">
        <x:v>flouis213@icloud.com</x:v>
      </x:c>
      <x:c r="F4626" t="str" s="2">
        <x:v>Financing Form</x:v>
      </x:c>
      <x:c r="G4626" t="str" s="2">
        <x:v>Brooklynn Allen</x:v>
      </x:c>
      <x:c r="H4626" s="6">
        <x:v>46280.82514918981</x:v>
      </x:c>
      <x:c r="I4626" s="0"/>
      <x:c r="J4626" s="0"/>
      <x:c r="K4626" s="6">
        <x:v>46288</x:v>
      </x:c>
      <x:c r="L4626" t="str" s="2">
        <x:v>Message Sent</x:v>
      </x:c>
    </x:row>
    <x:row r="4627">
      <x:c r="A4627" t="str" s="2">
        <x:f>=HYPERLINK("https://rsms.futurehomex.com/lead/40035", "Sintia Vinden")</x:f>
      </x:c>
      <x:c r="B4627" t="str" s="2">
        <x:v>Legacy Housing Corp. DBA Americasa</x:v>
      </x:c>
      <x:c r="C4627" t="str" s="2">
        <x:v>0/1</x:v>
      </x:c>
      <x:c r="D4627" t="str" s="2">
        <x:v>2818184487</x:v>
      </x:c>
      <x:c r="E4627" t="str" s="2">
        <x:v>2818184487</x:v>
      </x:c>
      <x:c r="F4627" t="str" s="2">
        <x:v>Referrals</x:v>
      </x:c>
      <x:c r="G4627" t="str" s="2">
        <x:v>Jose Parada</x:v>
      </x:c>
      <x:c r="H4627" s="6">
        <x:v>46280.84817670139</x:v>
      </x:c>
      <x:c r="I4627" t="str" s="2">
        <x:v>Jose Parada</x:v>
      </x:c>
      <x:c r="J4627" s="0"/>
      <x:c r="K4627" s="6">
        <x:v>46308</x:v>
      </x:c>
      <x:c r="L4627" t="str" s="2">
        <x:v>Message Sent</x:v>
      </x:c>
    </x:row>
    <x:row r="4628">
      <x:c r="A4628" t="str" s="2">
        <x:f>="Vatara Lee"</x:f>
      </x:c>
      <x:c r="B4628" t="str" s="2">
        <x:v>Heritage Housing of Asheboro</x:v>
      </x:c>
      <x:c r="C4628" t="str" s="2">
        <x:v/>
      </x:c>
      <x:c r="D4628" t="str" s="2">
        <x:v>9803898700</x:v>
      </x:c>
      <x:c r="E4628" t="str" s="2">
        <x:v>leevatara0129@gmail.com</x:v>
      </x:c>
      <x:c r="F4628" t="str" s="2">
        <x:v>Youtube</x:v>
      </x:c>
      <x:c r="G4628" t="str" s="2">
        <x:v>Kate Gutierrez</x:v>
      </x:c>
      <x:c r="H4628" s="6">
        <x:v>46280.85368807871</x:v>
      </x:c>
      <x:c r="I4628" s="0"/>
      <x:c r="J4628" s="0"/>
      <x:c r="K4628" s="6">
        <x:v>46283</x:v>
      </x:c>
      <x:c r="L4628" t="str" s="2">
        <x:v>Message Sent</x:v>
      </x:c>
    </x:row>
    <x:row r="4629">
      <x:c r="A4629" t="str" s="2">
        <x:f>="Matthew Peterson"</x:f>
      </x:c>
      <x:c r="B4629" t="str" s="2">
        <x:v>Heritage Housing of Canton</x:v>
      </x:c>
      <x:c r="C4629" t="str" s="2">
        <x:v/>
      </x:c>
      <x:c r="D4629" t="str" s="2">
        <x:v>3099483700</x:v>
      </x:c>
      <x:c r="E4629" t="str" s="2">
        <x:v>petes61244@gmail.com</x:v>
      </x:c>
      <x:c r="F4629" t="str" s="2">
        <x:v>Financing Form</x:v>
      </x:c>
      <x:c r="G4629" t="str" s="2">
        <x:v>Maira Garcia</x:v>
      </x:c>
      <x:c r="H4629" s="6">
        <x:v>46280.85748591435</x:v>
      </x:c>
      <x:c r="I4629" s="0"/>
      <x:c r="J4629" s="0"/>
      <x:c r="K4629" s="6">
        <x:v>46280</x:v>
      </x:c>
      <x:c r="L4629" t="str" s="2">
        <x:v>Message Sent</x:v>
      </x:c>
    </x:row>
    <x:row r="4630">
      <x:c r="A4630" t="str" s="2">
        <x:f>="Bonnie Nelson"</x:f>
      </x:c>
      <x:c r="B4630" t="str" s="2">
        <x:v>Heritage Housing of Asheboro</x:v>
      </x:c>
      <x:c r="C4630" t="str" s="2">
        <x:v/>
      </x:c>
      <x:c r="D4630" t="str" s="2">
        <x:v>9206583601</x:v>
      </x:c>
      <x:c r="E4630" t="str" s="2">
        <x:v>wolfey1053@gmail.com</x:v>
      </x:c>
      <x:c r="F4630" t="str" s="2">
        <x:v>LandingPage</x:v>
      </x:c>
      <x:c r="G4630" t="str" s="2">
        <x:v>Maria Lopez</x:v>
      </x:c>
      <x:c r="H4630" s="6">
        <x:v>46280.87631585648</x:v>
      </x:c>
      <x:c r="I4630" s="0"/>
      <x:c r="J4630" s="0"/>
      <x:c r="K4630" s="6">
        <x:v>46281</x:v>
      </x:c>
      <x:c r="L4630" t="str" s="2">
        <x:v>Message Sent</x:v>
      </x:c>
    </x:row>
    <x:row r="4631">
      <x:c r="A4631" t="str" s="2">
        <x:f>="Nicole Lynch"</x:f>
      </x:c>
      <x:c r="B4631" t="str" s="2">
        <x:v>Heritage Housing of Asheboro</x:v>
      </x:c>
      <x:c r="C4631" t="str" s="2">
        <x:v/>
      </x:c>
      <x:c r="D4631" t="str" s="2">
        <x:v>8708401322</x:v>
      </x:c>
      <x:c r="E4631" t="str" s="2">
        <x:v>nmlynch27@gmail.com</x:v>
      </x:c>
      <x:c r="F4631" t="str" s="2">
        <x:v>Landing_BPM</x:v>
      </x:c>
      <x:c r="G4631" t="str" s="2">
        <x:v>Maria Lopez</x:v>
      </x:c>
      <x:c r="H4631" s="6">
        <x:v>46280.92296015046</x:v>
      </x:c>
      <x:c r="I4631" s="0"/>
      <x:c r="J4631" s="0"/>
      <x:c r="K4631" s="6">
        <x:v>46288</x:v>
      </x:c>
      <x:c r="L4631" t="str" s="2">
        <x:v>Message Sent</x:v>
      </x:c>
    </x:row>
    <x:row r="4632">
      <x:c r="A4632" t="str" s="2">
        <x:f>="Patty Craven"</x:f>
      </x:c>
      <x:c r="B4632" t="str" s="2">
        <x:v>Heritage Housing of Asheboro</x:v>
      </x:c>
      <x:c r="C4632" t="str" s="2">
        <x:v/>
      </x:c>
      <x:c r="D4632" t="str" s="2">
        <x:v>3366986978</x:v>
      </x:c>
      <x:c r="E4632" t="str" s="2">
        <x:v>plcraven73@gmail.com</x:v>
      </x:c>
      <x:c r="F4632" t="str" s="2">
        <x:v>Youtube</x:v>
      </x:c>
      <x:c r="G4632" t="str" s="2">
        <x:v>Kate Gutierrez</x:v>
      </x:c>
      <x:c r="H4632" s="6">
        <x:v>46280.93719070602</x:v>
      </x:c>
      <x:c r="I4632" s="0"/>
      <x:c r="J4632" s="0"/>
      <x:c r="K4632" s="6">
        <x:v>46283</x:v>
      </x:c>
      <x:c r="L4632" t="str" s="2">
        <x:v>Message Sent</x:v>
      </x:c>
    </x:row>
    <x:row r="4633">
      <x:c r="A4633" t="str" s="2">
        <x:f>="Kelley Hopper"</x:f>
      </x:c>
      <x:c r="B4633" t="str" s="2">
        <x:v>Heritage Housing of Jennings</x:v>
      </x:c>
      <x:c r="C4633" t="str" s="2">
        <x:v/>
      </x:c>
      <x:c r="D4633" t="str" s="2">
        <x:v>2259600250</x:v>
      </x:c>
      <x:c r="E4633" t="str" s="2">
        <x:v>kelleyhopper80@gmail.com</x:v>
      </x:c>
      <x:c r="F4633" t="str" s="2">
        <x:v>Youtube</x:v>
      </x:c>
      <x:c r="G4633" t="str" s="2">
        <x:v>Clint O'Neal</x:v>
      </x:c>
      <x:c r="H4633" s="6">
        <x:v>46280.9374875</x:v>
      </x:c>
      <x:c r="I4633" s="0"/>
      <x:c r="J4633" s="0"/>
      <x:c r="K4633" s="6">
        <x:v>46302.73063190972</x:v>
      </x:c>
      <x:c r="L4633" t="str" s="2">
        <x:v>Message Sent</x:v>
      </x:c>
    </x:row>
    <x:row r="4634">
      <x:c r="A4634" t="str" s="2">
        <x:f>="Latisha Ricks"</x:f>
      </x:c>
      <x:c r="B4634" t="str" s="2">
        <x:v>Heritage Housing of Jennings</x:v>
      </x:c>
      <x:c r="C4634" t="str" s="2">
        <x:v/>
      </x:c>
      <x:c r="D4634" t="str" s="2">
        <x:v>2255385362</x:v>
      </x:c>
      <x:c r="E4634" t="str" s="2">
        <x:v>rickslatisha367@gmail.com</x:v>
      </x:c>
      <x:c r="F4634" t="str" s="2">
        <x:v>Youtube</x:v>
      </x:c>
      <x:c r="G4634" t="str" s="2">
        <x:v>Clint O'Neal</x:v>
      </x:c>
      <x:c r="H4634" s="6">
        <x:v>46280.944122719906</x:v>
      </x:c>
      <x:c r="I4634" s="0"/>
      <x:c r="J4634" s="0"/>
      <x:c r="K4634" s="6">
        <x:v>46302.73164197917</x:v>
      </x:c>
      <x:c r="L4634" t="str" s="2">
        <x:v>Message Sent</x:v>
      </x:c>
    </x:row>
    <x:row r="4635">
      <x:c r="A4635" t="str" s="2">
        <x:f>="Coletta McMikel McMikel"</x:f>
      </x:c>
      <x:c r="B4635" t="str" s="2">
        <x:v>Heritage Housing Mt Pleasant</x:v>
      </x:c>
      <x:c r="C4635" t="str" s="2">
        <x:v/>
      </x:c>
      <x:c r="D4635" t="str" s="2">
        <x:v>9037037401</x:v>
      </x:c>
      <x:c r="E4635" t="str" s="2">
        <x:v>colettam2848@gmail.com</x:v>
      </x:c>
      <x:c r="F4635" t="str" s="2">
        <x:v>Landing_BPM</x:v>
      </x:c>
      <x:c r="G4635" t="str" s="2">
        <x:v>Sandra Saldana</x:v>
      </x:c>
      <x:c r="H4635" s="6">
        <x:v>46280.95357372685</x:v>
      </x:c>
      <x:c r="I4635" s="0"/>
      <x:c r="J4635" s="0"/>
      <x:c r="K4635" s="6">
        <x:v>46308</x:v>
      </x:c>
      <x:c r="L4635" t="str" s="2">
        <x:v>Message Sent</x:v>
      </x:c>
    </x:row>
    <x:row r="4636">
      <x:c r="A4636" t="str" s="2">
        <x:f>="Kiah Arteaga"</x:f>
      </x:c>
      <x:c r="B4636" t="str" s="2">
        <x:v>Heritage Housing of Canton</x:v>
      </x:c>
      <x:c r="C4636" t="str" s="2">
        <x:v/>
      </x:c>
      <x:c r="D4636" t="str" s="2">
        <x:v>4303830873</x:v>
      </x:c>
      <x:c r="E4636" t="str" s="2">
        <x:v>Emily.Killian97@hotmail.com</x:v>
      </x:c>
      <x:c r="F4636" t="str" s="2">
        <x:v>Landing_BPM</x:v>
      </x:c>
      <x:c r="G4636" t="str" s="2">
        <x:v>Jacob Hatten</x:v>
      </x:c>
      <x:c r="H4636" s="6">
        <x:v>46280.9598378125</x:v>
      </x:c>
      <x:c r="I4636" s="0"/>
      <x:c r="J4636" s="0"/>
      <x:c r="K4636" s="6">
        <x:v>46302</x:v>
      </x:c>
      <x:c r="L4636" t="str" s="2">
        <x:v>Message Sent</x:v>
      </x:c>
    </x:row>
    <x:row r="4637">
      <x:c r="A4637" t="str" s="2">
        <x:f>="Misty Kimble"</x:f>
      </x:c>
      <x:c r="B4637" t="str" s="2">
        <x:v>Legacy Housing Corp. DBA Americasa</x:v>
      </x:c>
      <x:c r="C4637" t="str" s="2">
        <x:v/>
      </x:c>
      <x:c r="D4637" t="str" s="2">
        <x:v>3468075766</x:v>
      </x:c>
      <x:c r="E4637" t="str" s="2">
        <x:v>mistikimble281@gmail.com</x:v>
      </x:c>
      <x:c r="F4637" t="str" s="2">
        <x:v>Landing_BPM</x:v>
      </x:c>
      <x:c r="G4637" t="str" s="2">
        <x:v>Jose Parada</x:v>
      </x:c>
      <x:c r="H4637" s="6">
        <x:v>46280.964481979165</x:v>
      </x:c>
      <x:c r="I4637" s="0"/>
      <x:c r="J4637" s="0"/>
      <x:c r="K4637" s="6">
        <x:v>46281</x:v>
      </x:c>
      <x:c r="L4637" t="str" s="2">
        <x:v>Message Sent</x:v>
      </x:c>
    </x:row>
    <x:row r="4638">
      <x:c r="A4638" t="str" s="2">
        <x:f>="Carolyn Adams"</x:f>
      </x:c>
      <x:c r="B4638" t="str" s="2">
        <x:v>Heritage Housing of Tulsa</x:v>
      </x:c>
      <x:c r="C4638" t="str" s="2">
        <x:v/>
      </x:c>
      <x:c r="D4638" t="str" s="2">
        <x:v>9189081533</x:v>
      </x:c>
      <x:c r="E4638" t="str" s="2">
        <x:v>caroline72adams@gmail.com</x:v>
      </x:c>
      <x:c r="F4638" t="str" s="2">
        <x:v>Landing_BPM</x:v>
      </x:c>
      <x:c r="G4638" t="str" s="2">
        <x:v>Jenna Fransisco</x:v>
      </x:c>
      <x:c r="H4638" s="6">
        <x:v>46280.9707165162</x:v>
      </x:c>
      <x:c r="I4638" s="0"/>
      <x:c r="J4638" s="0"/>
      <x:c r="K4638" s="6">
        <x:v>46281</x:v>
      </x:c>
      <x:c r="L4638" t="str" s="2">
        <x:v>Message Sent</x:v>
      </x:c>
    </x:row>
    <x:row r="4639">
      <x:c r="A4639" t="str" s="2">
        <x:f>="Makaela-Jewel Barnes-Harris"</x:f>
      </x:c>
      <x:c r="B4639" t="str" s="2">
        <x:v>Heritage Housing of Augusta</x:v>
      </x:c>
      <x:c r="C4639" t="str" s="2">
        <x:v/>
      </x:c>
      <x:c r="D4639" t="str" s="2">
        <x:v>4049928753</x:v>
      </x:c>
      <x:c r="E4639" t="str" s="2">
        <x:v>makaelabarnes9@gmail.com</x:v>
      </x:c>
      <x:c r="F4639" t="str" s="2">
        <x:v>Landing_BPM</x:v>
      </x:c>
      <x:c r="G4639" t="str" s="2">
        <x:v>Faye Lively</x:v>
      </x:c>
      <x:c r="H4639" s="6">
        <x:v>46280.99482179398</x:v>
      </x:c>
      <x:c r="I4639" s="0"/>
      <x:c r="J4639" s="0"/>
      <x:c r="K4639" s="6">
        <x:v>46281</x:v>
      </x:c>
      <x:c r="L4639" t="str" s="2">
        <x:v>Message Sent</x:v>
      </x:c>
    </x:row>
    <x:row r="4640">
      <x:c r="A4640" t="str" s="2">
        <x:f>="Carla Brooks"</x:f>
      </x:c>
      <x:c r="B4640" t="str" s="2">
        <x:v>Legacy Housing Corp. DBA Americasa</x:v>
      </x:c>
      <x:c r="C4640" t="str" s="2">
        <x:v/>
      </x:c>
      <x:c r="D4640" t="str" s="2">
        <x:v>8329358359</x:v>
      </x:c>
      <x:c r="E4640" t="str" s="2">
        <x:v>jz_place@yahoo.com</x:v>
      </x:c>
      <x:c r="F4640" t="str" s="2">
        <x:v>Youtube</x:v>
      </x:c>
      <x:c r="G4640" t="str" s="2">
        <x:v>Rodrigo Ramirez</x:v>
      </x:c>
      <x:c r="H4640" s="6">
        <x:v>46280.995077314816</x:v>
      </x:c>
      <x:c r="I4640" s="0"/>
      <x:c r="J4640" s="0"/>
      <x:c r="K4640" s="6">
        <x:v>46281</x:v>
      </x:c>
      <x:c r="L4640" t="str" s="2">
        <x:v>Message Sent</x:v>
      </x:c>
    </x:row>
    <x:row r="4641">
      <x:c r="A4641" t="str" s="2">
        <x:f>="Nicole Farmer"</x:f>
      </x:c>
      <x:c r="B4641" t="str" s="2">
        <x:v>Heritage Housing of Augusta</x:v>
      </x:c>
      <x:c r="C4641" t="str" s="2">
        <x:v>0/1</x:v>
      </x:c>
      <x:c r="D4641" t="str" s="2">
        <x:v>4046256531</x:v>
      </x:c>
      <x:c r="E4641" t="str" s="2">
        <x:v>latricea27@gmail.com</x:v>
      </x:c>
      <x:c r="F4641" t="str" s="2">
        <x:v>Youtube</x:v>
      </x:c>
      <x:c r="G4641" t="str" s="2">
        <x:v>Jennifer Johnson</x:v>
      </x:c>
      <x:c r="H4641" s="6">
        <x:v>46281.00827746528</x:v>
      </x:c>
      <x:c r="I4641" s="0"/>
      <x:c r="J4641" s="0"/>
      <x:c r="K4641" s="6">
        <x:v>46294</x:v>
      </x:c>
      <x:c r="L4641" t="str" s="2">
        <x:v>Message Sent</x:v>
      </x:c>
    </x:row>
    <x:row r="4642">
      <x:c r="A4642" t="str" s="2">
        <x:f>="MICHELLE SADLER"</x:f>
      </x:c>
      <x:c r="B4642" t="str" s="2">
        <x:v>Heritage Housing of Asheboro</x:v>
      </x:c>
      <x:c r="C4642" t="str" s="2">
        <x:v/>
      </x:c>
      <x:c r="D4642" t="str" s="2">
        <x:v>9802214029</x:v>
      </x:c>
      <x:c r="E4642" t="str" s="2">
        <x:v>candlesbyinstyles@gmail.com</x:v>
      </x:c>
      <x:c r="F4642" t="str" s="2">
        <x:v>Youtube</x:v>
      </x:c>
      <x:c r="G4642" t="str" s="2">
        <x:v>Maria Lopez</x:v>
      </x:c>
      <x:c r="H4642" s="6">
        <x:v>46281.029694363424</x:v>
      </x:c>
      <x:c r="I4642" s="0"/>
      <x:c r="J4642" s="0"/>
      <x:c r="K4642" s="6">
        <x:v>46281</x:v>
      </x:c>
      <x:c r="L4642" t="str" s="2">
        <x:v>Message Sent</x:v>
      </x:c>
    </x:row>
    <x:row r="4643">
      <x:c r="A4643" t="str" s="2">
        <x:f>="Teneeshia Dunn"</x:f>
      </x:c>
      <x:c r="B4643" t="str" s="2">
        <x:v>Heritage Housing of Asheboro</x:v>
      </x:c>
      <x:c r="C4643" t="str" s="2">
        <x:v/>
      </x:c>
      <x:c r="D4643" t="str" s="2">
        <x:v>9199969841</x:v>
      </x:c>
      <x:c r="E4643" t="str" s="2">
        <x:v>msteneeshia@gmail.com</x:v>
      </x:c>
      <x:c r="F4643" t="str" s="2">
        <x:v>LandingPage</x:v>
      </x:c>
      <x:c r="G4643" t="str" s="2">
        <x:v>Maria Lopez</x:v>
      </x:c>
      <x:c r="H4643" s="6">
        <x:v>46281.060673645836</x:v>
      </x:c>
      <x:c r="I4643" s="0"/>
      <x:c r="J4643" s="0"/>
      <x:c r="K4643" s="6">
        <x:v>46288</x:v>
      </x:c>
      <x:c r="L4643" t="str" s="2">
        <x:v>Message Sent</x:v>
      </x:c>
    </x:row>
    <x:row r="4644">
      <x:c r="A4644" t="str" s="2">
        <x:f>="Cameron Whitaker"</x:f>
      </x:c>
      <x:c r="B4644" t="str" s="2">
        <x:v>Heritage Housing of Augusta</x:v>
      </x:c>
      <x:c r="C4644" t="str" s="2">
        <x:v/>
      </x:c>
      <x:c r="D4644" t="str" s="2">
        <x:v>7623288118</x:v>
      </x:c>
      <x:c r="E4644" t="str" s="2">
        <x:v>cameronwhitaker68@gmail.com</x:v>
      </x:c>
      <x:c r="F4644" t="str" s="2">
        <x:v>Landing_BPM</x:v>
      </x:c>
      <x:c r="G4644" t="str" s="2">
        <x:v>Jose Chavez</x:v>
      </x:c>
      <x:c r="H4644" s="6">
        <x:v>46281.09212415509</x:v>
      </x:c>
      <x:c r="I4644" s="0"/>
      <x:c r="J4644" s="0"/>
      <x:c r="K4644" s="6">
        <x:v>46281.622938506946</x:v>
      </x:c>
      <x:c r="L4644" t="str" s="2">
        <x:v>Message Sent</x:v>
      </x:c>
    </x:row>
    <x:row r="4645">
      <x:c r="A4645" t="str" s="2">
        <x:f>="BRENDA BERRY"</x:f>
      </x:c>
      <x:c r="B4645" t="str" s="2">
        <x:v>Heritage Housing of Tulsa</x:v>
      </x:c>
      <x:c r="C4645" t="str" s="2">
        <x:v/>
      </x:c>
      <x:c r="D4645" t="str" s="2">
        <x:v>8703105633</x:v>
      </x:c>
      <x:c r="E4645" t="str" s="2">
        <x:v>berrylicious1978@gmail.com</x:v>
      </x:c>
      <x:c r="F4645" t="str" s="2">
        <x:v>Website</x:v>
      </x:c>
      <x:c r="G4645" t="str" s="2">
        <x:v>Jenna Fransisco</x:v>
      </x:c>
      <x:c r="H4645" s="6">
        <x:v>46281.11298457176</x:v>
      </x:c>
      <x:c r="I4645" s="0"/>
      <x:c r="J4645" s="0"/>
      <x:c r="K4645" s="6">
        <x:v>46281</x:v>
      </x:c>
      <x:c r="L4645" t="str" s="2">
        <x:v>Message Sent</x:v>
      </x:c>
    </x:row>
    <x:row r="4646">
      <x:c r="A4646" t="str" s="2">
        <x:f>="Adrian Fountain Fountain"</x:f>
      </x:c>
      <x:c r="B4646" t="str" s="2">
        <x:v>Heritage Housing of Tulsa</x:v>
      </x:c>
      <x:c r="C4646" t="str" s="2">
        <x:v/>
      </x:c>
      <x:c r="D4646" t="str" s="2">
        <x:v>9188499395</x:v>
      </x:c>
      <x:c r="E4646" t="str" s="2">
        <x:v>ajfountain1@gmail.com</x:v>
      </x:c>
      <x:c r="F4646" t="str" s="2">
        <x:v>Landing_BPM</x:v>
      </x:c>
      <x:c r="G4646" t="str" s="2">
        <x:v>Jenna Fransisco</x:v>
      </x:c>
      <x:c r="H4646" s="6">
        <x:v>46281.11645806713</x:v>
      </x:c>
      <x:c r="I4646" s="0"/>
      <x:c r="J4646" s="0"/>
      <x:c r="K4646" s="6">
        <x:v>46281</x:v>
      </x:c>
      <x:c r="L4646" t="str" s="2">
        <x:v>Message Sent</x:v>
      </x:c>
    </x:row>
    <x:row r="4647">
      <x:c r="A4647" t="str" s="2">
        <x:f>="Reshella Parton-Wright"</x:f>
      </x:c>
      <x:c r="B4647" t="str" s="2">
        <x:v>Heritage Housing of Asheboro</x:v>
      </x:c>
      <x:c r="C4647" t="str" s="2">
        <x:v/>
      </x:c>
      <x:c r="D4647" t="str" s="2">
        <x:v>8286395689</x:v>
      </x:c>
      <x:c r="E4647" t="str" s="2">
        <x:v>mrs.rpartonwright@gmail.com</x:v>
      </x:c>
      <x:c r="F4647" t="str" s="2">
        <x:v>Youtube</x:v>
      </x:c>
      <x:c r="G4647" t="str" s="2">
        <x:v>Kate Gutierrez</x:v>
      </x:c>
      <x:c r="H4647" s="6">
        <x:v>46281.12446924768</x:v>
      </x:c>
      <x:c r="I4647" s="0"/>
      <x:c r="J4647" s="0"/>
      <x:c r="K4647" s="6">
        <x:v>46283</x:v>
      </x:c>
      <x:c r="L4647" t="str" s="2">
        <x:v>Message Sent</x:v>
      </x:c>
    </x:row>
    <x:row r="4648">
      <x:c r="A4648" t="str" s="2">
        <x:f>="Celina Rojas"</x:f>
      </x:c>
      <x:c r="B4648" t="str" s="2">
        <x:v>Heritage Housing of Canton</x:v>
      </x:c>
      <x:c r="C4648" t="str" s="2">
        <x:v/>
      </x:c>
      <x:c r="D4648" t="str" s="2">
        <x:v>9729173882</x:v>
      </x:c>
      <x:c r="E4648" t="str" s="2">
        <x:v>mchenrydean22@gmail.com</x:v>
      </x:c>
      <x:c r="F4648" t="str" s="2">
        <x:v>Landing_BPM</x:v>
      </x:c>
      <x:c r="G4648" t="str" s="2">
        <x:v>Maira Garcia</x:v>
      </x:c>
      <x:c r="H4648" s="6">
        <x:v>46281.1352193287</x:v>
      </x:c>
      <x:c r="I4648" s="0"/>
      <x:c r="J4648" s="0"/>
      <x:c r="K4648" s="6">
        <x:v>46281</x:v>
      </x:c>
      <x:c r="L4648" t="str" s="2">
        <x:v>Message Sent</x:v>
      </x:c>
    </x:row>
    <x:row r="4649">
      <x:c r="A4649" t="str" s="2">
        <x:f>="Valencia Pierce"</x:f>
      </x:c>
      <x:c r="B4649" t="str" s="2">
        <x:v>Heritage Housing of Jennings</x:v>
      </x:c>
      <x:c r="C4649" t="str" s="2">
        <x:v/>
      </x:c>
      <x:c r="D4649" t="str" s="2">
        <x:v>5043229179</x:v>
      </x:c>
      <x:c r="E4649" t="str" s="2">
        <x:v>vpierce20234@gmail.com</x:v>
      </x:c>
      <x:c r="F4649" t="str" s="2">
        <x:v>Youtube</x:v>
      </x:c>
      <x:c r="G4649" t="str" s="2">
        <x:v>Clint O'Neal</x:v>
      </x:c>
      <x:c r="H4649" s="6">
        <x:v>46281.14110810185</x:v>
      </x:c>
      <x:c r="I4649" s="0"/>
      <x:c r="J4649" s="0"/>
      <x:c r="K4649" s="6">
        <x:v>46302.73198186343</x:v>
      </x:c>
      <x:c r="L4649" t="str" s="2">
        <x:v>Message Sent</x:v>
      </x:c>
    </x:row>
    <x:row r="4650">
      <x:c r="A4650" t="str" s="2">
        <x:f>="Duke Askew"</x:f>
      </x:c>
      <x:c r="B4650" t="str" s="2">
        <x:v>Heritage Housing of Augusta</x:v>
      </x:c>
      <x:c r="C4650" t="str" s="2">
        <x:v>0/1</x:v>
      </x:c>
      <x:c r="D4650" t="str" s="2">
        <x:v>7069628208</x:v>
      </x:c>
      <x:c r="E4650" t="str" s="2">
        <x:v>dkskw43@gmail.com</x:v>
      </x:c>
      <x:c r="F4650" t="str" s="2">
        <x:v>Landing_BPM</x:v>
      </x:c>
      <x:c r="G4650" t="str" s="2">
        <x:v>Jennifer Johnson</x:v>
      </x:c>
      <x:c r="H4650" s="6">
        <x:v>46281.14593769676</x:v>
      </x:c>
      <x:c r="I4650" s="0"/>
      <x:c r="J4650" s="0"/>
      <x:c r="K4650" s="6">
        <x:v>46289</x:v>
      </x:c>
      <x:c r="L4650" t="str" s="2">
        <x:v>Message Sent</x:v>
      </x:c>
    </x:row>
    <x:row r="4651">
      <x:c r="A4651" t="str" s="2">
        <x:f>="Michael Crater"</x:f>
      </x:c>
      <x:c r="B4651" t="str" s="2">
        <x:v>Heritage Housing of Greenville</x:v>
      </x:c>
      <x:c r="C4651" t="str" s="2">
        <x:v/>
      </x:c>
      <x:c r="D4651" t="str" s="2">
        <x:v>9033098611</x:v>
      </x:c>
      <x:c r="E4651" t="str" s="2">
        <x:v>mikecrater@gmail.com</x:v>
      </x:c>
      <x:c r="F4651" t="str" s="2">
        <x:v>Financing Form</x:v>
      </x:c>
      <x:c r="G4651" t="str" s="2">
        <x:v>Brooklynn Allen</x:v>
      </x:c>
      <x:c r="H4651" s="6">
        <x:v>46281.161947106484</x:v>
      </x:c>
      <x:c r="I4651" s="0"/>
      <x:c r="J4651" s="0"/>
      <x:c r="K4651" s="6">
        <x:v>46288</x:v>
      </x:c>
      <x:c r="L4651" t="str" s="2">
        <x:v>Message Sent</x:v>
      </x:c>
    </x:row>
    <x:row r="4652">
      <x:c r="A4652" t="str" s="2">
        <x:f>="Dena Garcia Garcia"</x:f>
      </x:c>
      <x:c r="B4652" t="str" s="2">
        <x:v>Heritage Housing of Athens</x:v>
      </x:c>
      <x:c r="C4652" t="str" s="2">
        <x:v/>
      </x:c>
      <x:c r="D4652" t="str" s="2">
        <x:v>7702074578</x:v>
      </x:c>
      <x:c r="E4652" t="str" s="2">
        <x:v>denamalcomgarciaxo@gmail.com</x:v>
      </x:c>
      <x:c r="F4652" t="str" s="2">
        <x:v>Landing_BPM</x:v>
      </x:c>
      <x:c r="G4652" t="str" s="2">
        <x:v>Nathan Bishop</x:v>
      </x:c>
      <x:c r="H4652" s="6">
        <x:v>46281.17739158565</x:v>
      </x:c>
      <x:c r="I4652" s="0"/>
      <x:c r="J4652" s="0"/>
      <x:c r="K4652" s="6">
        <x:v>46281</x:v>
      </x:c>
      <x:c r="L4652" t="str" s="2">
        <x:v>Message Sent</x:v>
      </x:c>
    </x:row>
    <x:row r="4653">
      <x:c r="A4653" t="str" s="2">
        <x:f>="Beonkia Rumph"</x:f>
      </x:c>
      <x:c r="B4653" t="str" s="2">
        <x:v>Heritage Housing of Albany</x:v>
      </x:c>
      <x:c r="C4653" t="str" s="2">
        <x:v/>
      </x:c>
      <x:c r="D4653" t="str" s="2">
        <x:v>4782970292</x:v>
      </x:c>
      <x:c r="E4653" t="str" s="2">
        <x:v>missberum29@gmail.com</x:v>
      </x:c>
      <x:c r="F4653" t="str" s="2">
        <x:v>Landing_BPM</x:v>
      </x:c>
      <x:c r="G4653" t="str" s="2">
        <x:v>Yanet Alvarez</x:v>
      </x:c>
      <x:c r="H4653" s="6">
        <x:v>46281.3197196412</x:v>
      </x:c>
      <x:c r="I4653" s="0"/>
      <x:c r="J4653" s="0"/>
      <x:c r="K4653" s="6">
        <x:v>46307</x:v>
      </x:c>
      <x:c r="L4653" t="str" s="2">
        <x:v>Message Sent</x:v>
      </x:c>
    </x:row>
    <x:row r="4654">
      <x:c r="A4654" t="str" s="2">
        <x:f>="Antionette Poteat"</x:f>
      </x:c>
      <x:c r="B4654" t="str" s="2">
        <x:v>Heritage Housing of Asheboro</x:v>
      </x:c>
      <x:c r="C4654" t="str" s="2">
        <x:v/>
      </x:c>
      <x:c r="D4654" t="str" s="2">
        <x:v>3365672257</x:v>
      </x:c>
      <x:c r="E4654" t="str" s="2">
        <x:v>missantionette53@gmail.com</x:v>
      </x:c>
      <x:c r="F4654" t="str" s="2">
        <x:v>Landing_BPM</x:v>
      </x:c>
      <x:c r="G4654" t="str" s="2">
        <x:v>Maria Lopez</x:v>
      </x:c>
      <x:c r="H4654" s="6">
        <x:v>46281.383732835646</x:v>
      </x:c>
      <x:c r="I4654" s="0"/>
      <x:c r="J4654" s="0"/>
      <x:c r="K4654" s="6">
        <x:v>46281</x:v>
      </x:c>
      <x:c r="L4654" t="str" s="2">
        <x:v>Message Sent</x:v>
      </x:c>
    </x:row>
    <x:row r="4655">
      <x:c r="A4655" t="str" s="2">
        <x:f>="Russell Redd"</x:f>
      </x:c>
      <x:c r="B4655" t="str" s="2">
        <x:v>Heritage Housing of Augusta</x:v>
      </x:c>
      <x:c r="C4655" t="str" s="2">
        <x:v/>
      </x:c>
      <x:c r="D4655" t="str" s="2">
        <x:v>8036460250</x:v>
      </x:c>
      <x:c r="E4655" t="str" s="2">
        <x:v>redd.russell@gmail.com</x:v>
      </x:c>
      <x:c r="F4655" t="str" s="2">
        <x:v>Landing_BPM</x:v>
      </x:c>
      <x:c r="G4655" t="str" s="2">
        <x:v>Faye Lively</x:v>
      </x:c>
      <x:c r="H4655" s="6">
        <x:v>46281.498454016204</x:v>
      </x:c>
      <x:c r="I4655" s="0"/>
      <x:c r="J4655" s="0"/>
      <x:c r="K4655" s="6">
        <x:v>46281.620066979165</x:v>
      </x:c>
      <x:c r="L4655" t="str" s="2">
        <x:v>Message Sent</x:v>
      </x:c>
    </x:row>
    <x:row r="4656">
      <x:c r="A4656" t="str" s="2">
        <x:f>="TONY SCHLOMER"</x:f>
      </x:c>
      <x:c r="B4656" t="str" s="2">
        <x:v>Heritage Housing of Albany</x:v>
      </x:c>
      <x:c r="C4656" t="str" s="2">
        <x:v/>
      </x:c>
      <x:c r="D4656" t="str" s="2">
        <x:v>7062496402</x:v>
      </x:c>
      <x:c r="E4656" t="str" s="2">
        <x:v>joybug60@yahoo.com</x:v>
      </x:c>
      <x:c r="F4656" t="str" s="2">
        <x:v>Bing - Search</x:v>
      </x:c>
      <x:c r="G4656" t="str" s="2">
        <x:v>Yanet Alvarez</x:v>
      </x:c>
      <x:c r="H4656" s="6">
        <x:v>46281.513385300925</x:v>
      </x:c>
      <x:c r="I4656" s="0"/>
      <x:c r="J4656" s="0"/>
      <x:c r="K4656" s="6">
        <x:v>46293</x:v>
      </x:c>
      <x:c r="L4656" t="str" s="2">
        <x:v>Message Sent</x:v>
      </x:c>
    </x:row>
    <x:row r="4657">
      <x:c r="A4657" t="str" s="2">
        <x:f>="Jose Rubio Rubio"</x:f>
      </x:c>
      <x:c r="B4657" t="str" s="2">
        <x:v>Heritage Housing of Canton</x:v>
      </x:c>
      <x:c r="C4657" t="str" s="2">
        <x:v/>
      </x:c>
      <x:c r="D4657" t="str" s="2">
        <x:v>9037441236</x:v>
      </x:c>
      <x:c r="E4657" t="str" s="2">
        <x:v>josejesusrubiorangel@gmail.com</x:v>
      </x:c>
      <x:c r="F4657" t="str" s="2">
        <x:v>Landing_BPM</x:v>
      </x:c>
      <x:c r="G4657" t="str" s="2">
        <x:v>Maira Garcia</x:v>
      </x:c>
      <x:c r="H4657" s="6">
        <x:v>46281.52144733796</x:v>
      </x:c>
      <x:c r="I4657" s="0"/>
      <x:c r="J4657" s="0"/>
      <x:c r="K4657" s="6">
        <x:v>46281</x:v>
      </x:c>
      <x:c r="L4657" t="str" s="2">
        <x:v>Message Sent</x:v>
      </x:c>
    </x:row>
    <x:row r="4658">
      <x:c r="A4658" t="str" s="2">
        <x:f>="Leamon Richardson"</x:f>
      </x:c>
      <x:c r="B4658" t="str" s="2">
        <x:v>Legacy Housing Corp. DBA Americasa</x:v>
      </x:c>
      <x:c r="C4658" t="str" s="2">
        <x:v/>
      </x:c>
      <x:c r="D4658" t="str" s="2">
        <x:v>9366975562</x:v>
      </x:c>
      <x:c r="E4658" t="str" s="2">
        <x:v>rich.roy63@gmail.com</x:v>
      </x:c>
      <x:c r="F4658" t="str" s="2">
        <x:v>Bing - Search</x:v>
      </x:c>
      <x:c r="G4658" t="str" s="2">
        <x:v>Jose Parada</x:v>
      </x:c>
      <x:c r="H4658" s="6">
        <x:v>46281.565930358796</x:v>
      </x:c>
      <x:c r="I4658" s="0"/>
      <x:c r="J4658" s="0"/>
      <x:c r="K4658" s="6">
        <x:v>46281</x:v>
      </x:c>
      <x:c r="L4658" t="str" s="2">
        <x:v>Message Sent</x:v>
      </x:c>
    </x:row>
    <x:row r="4659">
      <x:c r="A4659" t="str" s="2">
        <x:f>="Paree Latiejira"</x:f>
      </x:c>
      <x:c r="B4659" t="str" s="2">
        <x:v>Legacy Housing Corp. DBA Americasa</x:v>
      </x:c>
      <x:c r="C4659" t="str" s="2">
        <x:v/>
      </x:c>
      <x:c r="D4659" t="str" s="2">
        <x:v>3469097518</x:v>
      </x:c>
      <x:c r="E4659" t="str" s="2">
        <x:v>fromallmychildren@gmail.com</x:v>
      </x:c>
      <x:c r="F4659" t="str" s="2">
        <x:v>Youtube</x:v>
      </x:c>
      <x:c r="G4659" t="str" s="2">
        <x:v>Jose Parada</x:v>
      </x:c>
      <x:c r="H4659" s="6">
        <x:v>46281.580858877314</x:v>
      </x:c>
      <x:c r="I4659" s="0"/>
      <x:c r="J4659" s="0"/>
      <x:c r="K4659" s="6">
        <x:v>46281</x:v>
      </x:c>
      <x:c r="L4659" t="str" s="2">
        <x:v>Message Sent</x:v>
      </x:c>
    </x:row>
    <x:row r="4660">
      <x:c r="A4660" t="str" s="2">
        <x:f>="Charels Settle"</x:f>
      </x:c>
      <x:c r="B4660" t="str" s="2">
        <x:v>Heritage Housing of Asheboro</x:v>
      </x:c>
      <x:c r="C4660" t="str" s="2">
        <x:v/>
      </x:c>
      <x:c r="D4660" t="str" s="2">
        <x:v>7044024015</x:v>
      </x:c>
      <x:c r="E4660" t="str" s="2">
        <x:v>settlecharles4@gmail.com</x:v>
      </x:c>
      <x:c r="F4660" t="str" s="2">
        <x:v>Landing_BPM</x:v>
      </x:c>
      <x:c r="G4660" t="str" s="2">
        <x:v>Maria Lopez</x:v>
      </x:c>
      <x:c r="H4660" s="6">
        <x:v>46281.58740370371</x:v>
      </x:c>
      <x:c r="I4660" s="0"/>
      <x:c r="J4660" s="0"/>
      <x:c r="K4660" s="6">
        <x:v>46288</x:v>
      </x:c>
      <x:c r="L4660" t="str" s="2">
        <x:v>Message Sent</x:v>
      </x:c>
    </x:row>
    <x:row r="4661">
      <x:c r="A4661" t="str" s="2">
        <x:f>="Danielle Smith"</x:f>
      </x:c>
      <x:c r="B4661" t="str" s="2">
        <x:v>Heritage Housing of Tulsa</x:v>
      </x:c>
      <x:c r="C4661" t="str" s="2">
        <x:v/>
      </x:c>
      <x:c r="D4661" t="str" s="2">
        <x:v>9187273670</x:v>
      </x:c>
      <x:c r="E4661" t="str" s="2">
        <x:v>danyay9135@gmail.com</x:v>
      </x:c>
      <x:c r="F4661" t="str" s="2">
        <x:v>Youtube</x:v>
      </x:c>
      <x:c r="G4661" t="str" s="2">
        <x:v>Jenna Fransisco</x:v>
      </x:c>
      <x:c r="H4661" s="6">
        <x:v>46281.63466362269</x:v>
      </x:c>
      <x:c r="I4661" s="0"/>
      <x:c r="J4661" s="0"/>
      <x:c r="K4661" s="6">
        <x:v>46281</x:v>
      </x:c>
      <x:c r="L4661" t="str" s="2">
        <x:v>Message Sent</x:v>
      </x:c>
    </x:row>
    <x:row r="4662">
      <x:c r="A4662" t="str" s="2">
        <x:f>="Larryguict LarryguictPA"</x:f>
      </x:c>
      <x:c r="B4662" t="str" s="2">
        <x:v>Heritage Housing of Greenville</x:v>
      </x:c>
      <x:c r="C4662" t="str" s="2">
        <x:v/>
      </x:c>
      <x:c r="D4662" t="str" s="2">
        <x:v>84569423598</x:v>
      </x:c>
      <x:c r="E4662" t="str" s="2">
        <x:v>stowuva@fipweme.bad</x:v>
      </x:c>
      <x:c r="F4662" t="str" s="2">
        <x:v>Website</x:v>
      </x:c>
      <x:c r="G4662" t="str" s="2">
        <x:v>Brooklynn Allen</x:v>
      </x:c>
      <x:c r="H4662" s="6">
        <x:v>46281.6599653588</x:v>
      </x:c>
      <x:c r="I4662" s="0"/>
      <x:c r="J4662" s="0"/>
      <x:c r="K4662" s="6">
        <x:v>46288</x:v>
      </x:c>
      <x:c r="L4662" t="str" s="2">
        <x:v>Message Sent</x:v>
      </x:c>
    </x:row>
    <x:row r="4663">
      <x:c r="A4663" t="str" s="2">
        <x:f>="Pamela Schuler"</x:f>
      </x:c>
      <x:c r="B4663" t="str" s="2">
        <x:v>Heritage Housing of Jennings</x:v>
      </x:c>
      <x:c r="C4663" t="str" s="2">
        <x:v/>
      </x:c>
      <x:c r="D4663" t="str" s="2">
        <x:v>2253711602</x:v>
      </x:c>
      <x:c r="E4663" t="str" s="2">
        <x:v>schulerpamela62@gmail.com</x:v>
      </x:c>
      <x:c r="F4663" t="str" s="2">
        <x:v>Youtube</x:v>
      </x:c>
      <x:c r="G4663" t="str" s="2">
        <x:v>Clint O'Neal</x:v>
      </x:c>
      <x:c r="H4663" s="6">
        <x:v>46281.6622928588</x:v>
      </x:c>
      <x:c r="I4663" s="0"/>
      <x:c r="J4663" s="0"/>
      <x:c r="K4663" s="6">
        <x:v>46302.73231519676</x:v>
      </x:c>
      <x:c r="L4663" t="str" s="2">
        <x:v>Message Sent</x:v>
      </x:c>
    </x:row>
    <x:row r="4664">
      <x:c r="A4664" t="str" s="2">
        <x:f>="Carolynn Whetstone"</x:f>
      </x:c>
      <x:c r="B4664" t="str" s="2">
        <x:v>Heritage Housing of Augusta</x:v>
      </x:c>
      <x:c r="C4664" t="str" s="2">
        <x:v/>
      </x:c>
      <x:c r="D4664" t="str" s="2">
        <x:v>7062885255</x:v>
      </x:c>
      <x:c r="E4664" t="str" s="2">
        <x:v>7062885255</x:v>
      </x:c>
      <x:c r="F4664" t="str" s="2">
        <x:v>Office Hot Calls</x:v>
      </x:c>
      <x:c r="G4664" t="str" s="2">
        <x:v>Jennifer Johnson</x:v>
      </x:c>
      <x:c r="H4664" s="6">
        <x:v>46281.723995949076</x:v>
      </x:c>
      <x:c r="I4664" s="0"/>
      <x:c r="J4664" s="6">
        <x:v>46282.791666666664</x:v>
      </x:c>
      <x:c r="K4664" s="6">
        <x:v>46282</x:v>
      </x:c>
      <x:c r="L4664" t="str" s="2">
        <x:v>Message Sent</x:v>
      </x:c>
    </x:row>
    <x:row r="4665">
      <x:c r="A4665" t="str" s="2">
        <x:f>="Jimmy Francis"</x:f>
      </x:c>
      <x:c r="B4665" t="str" s="2">
        <x:v>Heritage Housing of Tulsa</x:v>
      </x:c>
      <x:c r="C4665" t="str" s="2">
        <x:v/>
      </x:c>
      <x:c r="D4665" t="str" s="2">
        <x:v>5394446932</x:v>
      </x:c>
      <x:c r="E4665" t="str" s="2">
        <x:v>jimmyafrancis1234@gmail.com</x:v>
      </x:c>
      <x:c r="F4665" t="str" s="2">
        <x:v>Website</x:v>
      </x:c>
      <x:c r="G4665" t="str" s="2">
        <x:v>Jenna Fransisco</x:v>
      </x:c>
      <x:c r="H4665" s="6">
        <x:v>46281.72621825231</x:v>
      </x:c>
      <x:c r="I4665" s="0"/>
      <x:c r="J4665" s="0"/>
      <x:c r="K4665" s="6">
        <x:v>46281</x:v>
      </x:c>
      <x:c r="L4665" t="str" s="2">
        <x:v>Message Sent</x:v>
      </x:c>
    </x:row>
    <x:row r="4666">
      <x:c r="A4666" t="str" s="2">
        <x:f>="Derick Smith"</x:f>
      </x:c>
      <x:c r="B4666" t="str" s="2">
        <x:v>Heritage Housing of Canton</x:v>
      </x:c>
      <x:c r="C4666" t="str" s="2">
        <x:v/>
      </x:c>
      <x:c r="D4666" t="str" s="2">
        <x:v>8177224923</x:v>
      </x:c>
      <x:c r="E4666" t="str" s="2">
        <x:v>smittyderick@gmail.com</x:v>
      </x:c>
      <x:c r="F4666" t="str" s="2">
        <x:v>Youtube</x:v>
      </x:c>
      <x:c r="G4666" t="str" s="2">
        <x:v>Jacob Hatten</x:v>
      </x:c>
      <x:c r="H4666" s="6">
        <x:v>46281.726511608795</x:v>
      </x:c>
      <x:c r="I4666" s="0"/>
      <x:c r="J4666" s="0"/>
      <x:c r="K4666" s="6">
        <x:v>46302</x:v>
      </x:c>
      <x:c r="L4666" t="str" s="2">
        <x:v>Message Sent</x:v>
      </x:c>
    </x:row>
    <x:row r="4667">
      <x:c r="A4667" t="str" s="2">
        <x:f>="Kenzie Inks"</x:f>
      </x:c>
      <x:c r="B4667" t="str" s="2">
        <x:v>Heritage Housing of Tulsa</x:v>
      </x:c>
      <x:c r="C4667" t="str" s="2">
        <x:v/>
      </x:c>
      <x:c r="D4667" t="str" s="2">
        <x:v>9189448280</x:v>
      </x:c>
      <x:c r="E4667" t="str" s="2">
        <x:v>kenzieinks9@gamil.com</x:v>
      </x:c>
      <x:c r="F4667" t="str" s="2">
        <x:v>Landing_BPM</x:v>
      </x:c>
      <x:c r="G4667" t="str" s="2">
        <x:v>Jenna Fransisco</x:v>
      </x:c>
      <x:c r="H4667" s="6">
        <x:v>46281.74871778935</x:v>
      </x:c>
      <x:c r="I4667" s="0"/>
      <x:c r="J4667" s="0"/>
      <x:c r="K4667" s="6">
        <x:v>46281</x:v>
      </x:c>
      <x:c r="L4667" t="str" s="2">
        <x:v>Message Sent</x:v>
      </x:c>
    </x:row>
    <x:row r="4668">
      <x:c r="A4668" t="str" s="2">
        <x:f>="Anna James"</x:f>
      </x:c>
      <x:c r="B4668" t="str" s="2">
        <x:v>Heritage Housing of Greenville</x:v>
      </x:c>
      <x:c r="C4668" t="str" s="2">
        <x:v/>
      </x:c>
      <x:c r="D4668" t="str" s="2">
        <x:v>5754159832</x:v>
      </x:c>
      <x:c r="E4668" t="str" s="2">
        <x:v>lxduran420@gmail.com</x:v>
      </x:c>
      <x:c r="F4668" t="str" s="2">
        <x:v>Bing - Search</x:v>
      </x:c>
      <x:c r="G4668" t="str" s="2">
        <x:v>Brooklynn Allen</x:v>
      </x:c>
      <x:c r="H4668" s="6">
        <x:v>46281.76110697917</x:v>
      </x:c>
      <x:c r="I4668" s="0"/>
      <x:c r="J4668" s="0"/>
      <x:c r="K4668" s="6">
        <x:v>46288</x:v>
      </x:c>
      <x:c r="L4668" t="str" s="2">
        <x:v>Message Sent</x:v>
      </x:c>
    </x:row>
    <x:row r="4669">
      <x:c r="A4669" t="str" s="2">
        <x:f>="Ceeny Lewis"</x:f>
      </x:c>
      <x:c r="B4669" t="str" s="2">
        <x:v>Heritage Housing of Canton</x:v>
      </x:c>
      <x:c r="C4669" t="str" s="2">
        <x:v/>
      </x:c>
      <x:c r="D4669" t="str" s="2">
        <x:v>3134694628</x:v>
      </x:c>
      <x:c r="E4669" t="str" s="2">
        <x:v>lovemeforlife135@gmail.com</x:v>
      </x:c>
      <x:c r="F4669" t="str" s="2">
        <x:v>Youtube</x:v>
      </x:c>
      <x:c r="G4669" t="str" s="2">
        <x:v>Maira Garcia</x:v>
      </x:c>
      <x:c r="H4669" s="6">
        <x:v>46281.76459684028</x:v>
      </x:c>
      <x:c r="I4669" s="0"/>
      <x:c r="J4669" s="0"/>
      <x:c r="K4669" s="6">
        <x:v>46281</x:v>
      </x:c>
      <x:c r="L4669" t="str" s="2">
        <x:v>Message Sent</x:v>
      </x:c>
    </x:row>
    <x:row r="4670">
      <x:c r="A4670" t="str" s="2">
        <x:f>="Colleen Gilliland"</x:f>
      </x:c>
      <x:c r="B4670" t="str" s="2">
        <x:v>Heritage Housing of Canton</x:v>
      </x:c>
      <x:c r="C4670" t="str" s="2">
        <x:v/>
      </x:c>
      <x:c r="D4670" t="str" s="2">
        <x:v>8157084785</x:v>
      </x:c>
      <x:c r="E4670" t="str" s="2">
        <x:v>kyreco8504@gmail.com</x:v>
      </x:c>
      <x:c r="F4670" t="str" s="2">
        <x:v>Financing Form</x:v>
      </x:c>
      <x:c r="G4670" t="str" s="2">
        <x:v>Jacob Hatten</x:v>
      </x:c>
      <x:c r="H4670" s="6">
        <x:v>46281.80157847222</x:v>
      </x:c>
      <x:c r="I4670" s="0"/>
      <x:c r="J4670" s="0"/>
      <x:c r="K4670" s="6">
        <x:v>46288</x:v>
      </x:c>
      <x:c r="L4670" t="str" s="2">
        <x:v>Message Sent</x:v>
      </x:c>
    </x:row>
    <x:row r="4671">
      <x:c r="A4671" t="str" s="2">
        <x:f>="Justin Reid"</x:f>
      </x:c>
      <x:c r="B4671" t="str" s="2">
        <x:v>Heritage Housing of Augusta</x:v>
      </x:c>
      <x:c r="C4671" t="str" s="2">
        <x:v>0/1</x:v>
      </x:c>
      <x:c r="D4671" t="str" s="2">
        <x:v>8038071196</x:v>
      </x:c>
      <x:c r="E4671" t="str" s="2">
        <x:v>jeriahreid08@gmail.com</x:v>
      </x:c>
      <x:c r="F4671" t="str" s="2">
        <x:v>Financing Form</x:v>
      </x:c>
      <x:c r="G4671" t="str" s="2">
        <x:v>Jennifer Johnson</x:v>
      </x:c>
      <x:c r="H4671" s="6">
        <x:v>46281.81307820602</x:v>
      </x:c>
      <x:c r="I4671" s="0"/>
      <x:c r="J4671" s="0"/>
      <x:c r="K4671" s="6">
        <x:v>46281</x:v>
      </x:c>
      <x:c r="L4671" t="str" s="2">
        <x:v>Message Sent</x:v>
      </x:c>
    </x:row>
    <x:row r="4672">
      <x:c r="A4672" t="str" s="2">
        <x:f>="Lovetta Smith"</x:f>
      </x:c>
      <x:c r="B4672" t="str" s="2">
        <x:v>Heritage Housing of Asheboro</x:v>
      </x:c>
      <x:c r="C4672" t="str" s="2">
        <x:v/>
      </x:c>
      <x:c r="D4672" t="str" s="2">
        <x:v>8262295079</x:v>
      </x:c>
      <x:c r="E4672" t="str" s="2">
        <x:v>Lovettalewis@myyahoo.com</x:v>
      </x:c>
      <x:c r="F4672" t="str" s="2">
        <x:v>Youtube</x:v>
      </x:c>
      <x:c r="G4672" t="str" s="2">
        <x:v>Maria Lopez</x:v>
      </x:c>
      <x:c r="H4672" s="6">
        <x:v>46281.8333462963</x:v>
      </x:c>
      <x:c r="I4672" s="0"/>
      <x:c r="J4672" s="0"/>
      <x:c r="K4672" s="6">
        <x:v>46281</x:v>
      </x:c>
      <x:c r="L4672" t="str" s="2">
        <x:v>Message Sent</x:v>
      </x:c>
    </x:row>
    <x:row r="4673">
      <x:c r="A4673" t="str" s="2">
        <x:f>="Jayden Jones Jones"</x:f>
      </x:c>
      <x:c r="B4673" t="str" s="2">
        <x:v>Heritage Housing of Greenville</x:v>
      </x:c>
      <x:c r="C4673" t="str" s="2">
        <x:v/>
      </x:c>
      <x:c r="D4673" t="str" s="2">
        <x:v>9035135101</x:v>
      </x:c>
      <x:c r="E4673" t="str" s="2">
        <x:v>jaydenlynae@gmail.com</x:v>
      </x:c>
      <x:c r="F4673" t="str" s="2">
        <x:v>Landing_BPM</x:v>
      </x:c>
      <x:c r="G4673" t="str" s="2">
        <x:v>Brooklynn Allen</x:v>
      </x:c>
      <x:c r="H4673" s="6">
        <x:v>46281.84658387731</x:v>
      </x:c>
      <x:c r="I4673" s="0"/>
      <x:c r="J4673" s="0"/>
      <x:c r="K4673" s="6">
        <x:v>46288</x:v>
      </x:c>
      <x:c r="L4673" t="str" s="2">
        <x:v>Message Sent</x:v>
      </x:c>
    </x:row>
    <x:row r="4674">
      <x:c r="A4674" t="str" s="2">
        <x:f>="Dakota Spurgeon"</x:f>
      </x:c>
      <x:c r="B4674" t="str" s="2">
        <x:v>Heritage Housing of Tulsa</x:v>
      </x:c>
      <x:c r="C4674" t="str" s="2">
        <x:v/>
      </x:c>
      <x:c r="D4674" t="str" s="2">
        <x:v>9183235542</x:v>
      </x:c>
      <x:c r="E4674" t="str" s="2">
        <x:v>capybara1251990@yahoo.com</x:v>
      </x:c>
      <x:c r="F4674" t="str" s="2">
        <x:v>Landing_BPM</x:v>
      </x:c>
      <x:c r="G4674" t="str" s="2">
        <x:v>Jenna Fransisco</x:v>
      </x:c>
      <x:c r="H4674" s="6">
        <x:v>46281.86026003472</x:v>
      </x:c>
      <x:c r="I4674" s="0"/>
      <x:c r="J4674" s="0"/>
      <x:c r="K4674" s="6">
        <x:v>46281</x:v>
      </x:c>
      <x:c r="L4674" t="str" s="2">
        <x:v>Message Sent</x:v>
      </x:c>
    </x:row>
    <x:row r="4675">
      <x:c r="A4675" t="str" s="2">
        <x:f>="Derek Harris"</x:f>
      </x:c>
      <x:c r="B4675" t="str" s="2">
        <x:v>Heritage Housing of Albany</x:v>
      </x:c>
      <x:c r="C4675" t="str" s="2">
        <x:v>0/2</x:v>
      </x:c>
      <x:c r="D4675" t="str" s="2">
        <x:v>9432329346</x:v>
      </x:c>
      <x:c r="E4675" t="str" s="2">
        <x:v>hderek972@gmail.com</x:v>
      </x:c>
      <x:c r="F4675" t="str" s="2">
        <x:v>Youtube</x:v>
      </x:c>
      <x:c r="G4675" t="str" s="2">
        <x:v>Yanet Alvarez</x:v>
      </x:c>
      <x:c r="H4675" s="6">
        <x:v>46281.89224537037</x:v>
      </x:c>
      <x:c r="I4675" s="0"/>
      <x:c r="J4675" s="0"/>
      <x:c r="K4675" s="6">
        <x:v>46286</x:v>
      </x:c>
      <x:c r="L4675" t="str" s="2">
        <x:v>Message Sent</x:v>
      </x:c>
    </x:row>
    <x:row r="4676">
      <x:c r="A4676" t="str" s="2">
        <x:f>="Digna Castañeda"</x:f>
      </x:c>
      <x:c r="B4676" t="str" s="2">
        <x:v>Heritage Housing of Canton</x:v>
      </x:c>
      <x:c r="C4676" t="str" s="2">
        <x:v/>
      </x:c>
      <x:c r="D4676" t="str" s="2">
        <x:v>7137912780</x:v>
      </x:c>
      <x:c r="E4676" t="str" s="2">
        <x:v>iriscastaneda75@gmail.com</x:v>
      </x:c>
      <x:c r="F4676" t="str" s="2">
        <x:v>Youtube</x:v>
      </x:c>
      <x:c r="G4676" t="str" s="2">
        <x:v>Maira Garcia</x:v>
      </x:c>
      <x:c r="H4676" s="6">
        <x:v>46281.90965385416</x:v>
      </x:c>
      <x:c r="I4676" s="0"/>
      <x:c r="J4676" s="0"/>
      <x:c r="K4676" s="6">
        <x:v>46281</x:v>
      </x:c>
      <x:c r="L4676" t="str" s="2">
        <x:v>Message Sent</x:v>
      </x:c>
    </x:row>
    <x:row r="4677">
      <x:c r="A4677" t="str" s="2">
        <x:f>="Lawrence Argenbright"</x:f>
      </x:c>
      <x:c r="B4677" t="str" s="2">
        <x:v>Heritage Housing of Canton</x:v>
      </x:c>
      <x:c r="C4677" t="str" s="2">
        <x:v/>
      </x:c>
      <x:c r="D4677" t="str" s="2">
        <x:v>5128000128</x:v>
      </x:c>
      <x:c r="E4677" t="str" s="2">
        <x:v>lwargenbright51@gmail.com</x:v>
      </x:c>
      <x:c r="F4677" t="str" s="2">
        <x:v>Youtube</x:v>
      </x:c>
      <x:c r="G4677" t="str" s="2">
        <x:v>Jacob Hatten</x:v>
      </x:c>
      <x:c r="H4677" s="6">
        <x:v>46281.92165304398</x:v>
      </x:c>
      <x:c r="I4677" s="0"/>
      <x:c r="J4677" s="0"/>
      <x:c r="K4677" s="6">
        <x:v>46302</x:v>
      </x:c>
      <x:c r="L4677" t="str" s="2">
        <x:v>Message Sent</x:v>
      </x:c>
    </x:row>
    <x:row r="4678">
      <x:c r="A4678" t="str" s="2">
        <x:f>="Celia Jones"</x:f>
      </x:c>
      <x:c r="B4678" t="str" s="2">
        <x:v>Heritage Housing of Minden</x:v>
      </x:c>
      <x:c r="C4678" t="str" s="2">
        <x:v>0/1</x:v>
      </x:c>
      <x:c r="D4678" t="str" s="2">
        <x:v>8067819825</x:v>
      </x:c>
      <x:c r="E4678" t="str" s="2">
        <x:v>celiaedom1972@gmail.com</x:v>
      </x:c>
      <x:c r="F4678" t="str" s="2">
        <x:v>Website</x:v>
      </x:c>
      <x:c r="G4678" t="str" s="2">
        <x:v>Brooklynn Allen</x:v>
      </x:c>
      <x:c r="H4678" s="6">
        <x:v>46281.92708541667</x:v>
      </x:c>
      <x:c r="I4678" s="0"/>
      <x:c r="J4678" s="0"/>
      <x:c r="K4678" s="6">
        <x:v>46289</x:v>
      </x:c>
      <x:c r="L4678" t="str" s="2">
        <x:v>Message Sent</x:v>
      </x:c>
    </x:row>
    <x:row r="4679">
      <x:c r="A4679" t="str" s="2">
        <x:f>="Wilner Stcyr"</x:f>
      </x:c>
      <x:c r="B4679" t="str" s="2">
        <x:v>Heritage Housing of Augusta</x:v>
      </x:c>
      <x:c r="C4679" t="str" s="2">
        <x:v/>
      </x:c>
      <x:c r="D4679" t="str" s="2">
        <x:v>8502745839</x:v>
      </x:c>
      <x:c r="E4679" t="str" s="2">
        <x:v>w28328703@gmail.com</x:v>
      </x:c>
      <x:c r="F4679" t="str" s="2">
        <x:v>Landing_BPM</x:v>
      </x:c>
      <x:c r="G4679" t="str" s="2">
        <x:v>Jose Chavez</x:v>
      </x:c>
      <x:c r="H4679" s="6">
        <x:v>46281.928551655095</x:v>
      </x:c>
      <x:c r="I4679" s="0"/>
      <x:c r="J4679" s="0"/>
      <x:c r="K4679" s="6">
        <x:v>46282</x:v>
      </x:c>
      <x:c r="L4679" t="str" s="2">
        <x:v>Message Sent</x:v>
      </x:c>
    </x:row>
    <x:row r="4680">
      <x:c r="A4680" t="str" s="2">
        <x:f>="Kendra Reed"</x:f>
      </x:c>
      <x:c r="B4680" t="str" s="2">
        <x:v>Heritage Housing of Jennings</x:v>
      </x:c>
      <x:c r="C4680" t="str" s="2">
        <x:v/>
      </x:c>
      <x:c r="D4680" t="str" s="2">
        <x:v>5042966181</x:v>
      </x:c>
      <x:c r="E4680" t="str" s="2">
        <x:v>reedpeggy368@gmail.com</x:v>
      </x:c>
      <x:c r="F4680" t="str" s="2">
        <x:v>Youtube</x:v>
      </x:c>
      <x:c r="G4680" t="str" s="2">
        <x:v>Mervin Leslie Smith</x:v>
      </x:c>
      <x:c r="H4680" s="6">
        <x:v>46281.935641435186</x:v>
      </x:c>
      <x:c r="I4680" s="0"/>
      <x:c r="J4680" s="0"/>
      <x:c r="K4680" s="6">
        <x:v>46302.73269482639</x:v>
      </x:c>
      <x:c r="L4680" t="str" s="2">
        <x:v>Message Sent</x:v>
      </x:c>
    </x:row>
    <x:row r="4681">
      <x:c r="A4681" t="str" s="2">
        <x:f>="Jaden Braudaway"</x:f>
      </x:c>
      <x:c r="B4681" t="str" s="2">
        <x:v>Legacy Housing Corp. DBA Americasa</x:v>
      </x:c>
      <x:c r="C4681" t="str" s="2">
        <x:v/>
      </x:c>
      <x:c r="D4681" t="str" s="2">
        <x:v>6824214512</x:v>
      </x:c>
      <x:c r="E4681" t="str" s="2">
        <x:v>jadelovesjjba@gmail.com</x:v>
      </x:c>
      <x:c r="F4681" t="str" s="2">
        <x:v>Landing_BPM</x:v>
      </x:c>
      <x:c r="G4681" t="str" s="2">
        <x:v>Jose Parada</x:v>
      </x:c>
      <x:c r="H4681" s="6">
        <x:v>46281.93782982639</x:v>
      </x:c>
      <x:c r="I4681" s="0"/>
      <x:c r="J4681" s="0"/>
      <x:c r="K4681" s="6">
        <x:v>46282</x:v>
      </x:c>
      <x:c r="L4681" t="str" s="2">
        <x:v>Message Sent</x:v>
      </x:c>
    </x:row>
    <x:row r="4682">
      <x:c r="A4682" t="str" s="2">
        <x:f>="Patrick Praylor"</x:f>
      </x:c>
      <x:c r="B4682" t="str" s="2">
        <x:v>Legacy Housing Corp. DBA Americasa</x:v>
      </x:c>
      <x:c r="C4682" t="str" s="2">
        <x:v/>
      </x:c>
      <x:c r="D4682" t="str" s="2">
        <x:v>8323408982</x:v>
      </x:c>
      <x:c r="E4682" t="str" s="2">
        <x:v>samsonmatre@gmail.com</x:v>
      </x:c>
      <x:c r="F4682" t="str" s="2">
        <x:v>Financing Form</x:v>
      </x:c>
      <x:c r="G4682" t="str" s="2">
        <x:v>Jose Parada</x:v>
      </x:c>
      <x:c r="H4682" s="6">
        <x:v>46281.945732025466</x:v>
      </x:c>
      <x:c r="I4682" s="0"/>
      <x:c r="J4682" s="0"/>
      <x:c r="K4682" s="6">
        <x:v>46281</x:v>
      </x:c>
      <x:c r="L4682" t="str" s="2">
        <x:v>Message Sent</x:v>
      </x:c>
    </x:row>
    <x:row r="4683">
      <x:c r="A4683" t="str" s="2">
        <x:f>="Donald Talbot"</x:f>
      </x:c>
      <x:c r="B4683" t="str" s="2">
        <x:v>Heritage Housing of Canton</x:v>
      </x:c>
      <x:c r="C4683" t="str" s="2">
        <x:v/>
      </x:c>
      <x:c r="D4683" t="str" s="2">
        <x:v>9729747462</x:v>
      </x:c>
      <x:c r="E4683" t="str" s="2">
        <x:v>donaldtalbot13@gmail.com</x:v>
      </x:c>
      <x:c r="F4683" t="str" s="2">
        <x:v>Youtube</x:v>
      </x:c>
      <x:c r="G4683" t="str" s="2">
        <x:v>Maira Garcia</x:v>
      </x:c>
      <x:c r="H4683" s="6">
        <x:v>46281.96240015046</x:v>
      </x:c>
      <x:c r="I4683" s="0"/>
      <x:c r="J4683" s="0"/>
      <x:c r="K4683" s="6">
        <x:v>46283</x:v>
      </x:c>
      <x:c r="L4683" t="str" s="2">
        <x:v>Message Sent</x:v>
      </x:c>
    </x:row>
    <x:row r="4684">
      <x:c r="A4684" t="str" s="2">
        <x:f>="Pacha Yang"</x:f>
      </x:c>
      <x:c r="B4684" t="str" s="2">
        <x:v>Heritage Housing of Asheboro</x:v>
      </x:c>
      <x:c r="C4684" t="str" s="2">
        <x:v/>
      </x:c>
      <x:c r="D4684" t="str" s="2">
        <x:v>3369418899</x:v>
      </x:c>
      <x:c r="E4684" t="str" s="2">
        <x:v>pachayang1986@gmail.com</x:v>
      </x:c>
      <x:c r="F4684" t="str" s="2">
        <x:v>Landing_BPM</x:v>
      </x:c>
      <x:c r="G4684" t="str" s="2">
        <x:v>Kate Gutierrez</x:v>
      </x:c>
      <x:c r="H4684" s="6">
        <x:v>46281.967847569445</x:v>
      </x:c>
      <x:c r="I4684" s="0"/>
      <x:c r="J4684" s="0"/>
      <x:c r="K4684" s="6">
        <x:v>46283</x:v>
      </x:c>
      <x:c r="L4684" t="str" s="2">
        <x:v>Message Sent</x:v>
      </x:c>
    </x:row>
    <x:row r="4685">
      <x:c r="A4685" t="str" s="2">
        <x:f>="PAIGE SHERMAN"</x:f>
      </x:c>
      <x:c r="B4685" t="str" s="2">
        <x:v>Legacy Housing Corp. DBA Americasa</x:v>
      </x:c>
      <x:c r="C4685" t="str" s="2">
        <x:v/>
      </x:c>
      <x:c r="D4685" t="str" s="2">
        <x:v>4092671509</x:v>
      </x:c>
      <x:c r="E4685" t="str" s="2">
        <x:v>paige_sherman@yahoo.com</x:v>
      </x:c>
      <x:c r="F4685" t="str" s="2">
        <x:v>Website</x:v>
      </x:c>
      <x:c r="G4685" t="str" s="2">
        <x:v>Jose Parada</x:v>
      </x:c>
      <x:c r="H4685" s="6">
        <x:v>46281.990073263885</x:v>
      </x:c>
      <x:c r="I4685" s="0"/>
      <x:c r="J4685" s="0"/>
      <x:c r="K4685" s="6">
        <x:v>46282</x:v>
      </x:c>
      <x:c r="L4685" t="str" s="2">
        <x:v>Message Sent</x:v>
      </x:c>
    </x:row>
    <x:row r="4686">
      <x:c r="A4686" t="str" s="2">
        <x:f>="Roberto Pineiro"</x:f>
      </x:c>
      <x:c r="B4686" t="str" s="2">
        <x:v>Heritage Housing of Asheboro</x:v>
      </x:c>
      <x:c r="C4686" t="str" s="2">
        <x:v/>
      </x:c>
      <x:c r="D4686" t="str" s="2">
        <x:v>9072307198</x:v>
      </x:c>
      <x:c r="E4686" t="str" s="2">
        <x:v>robertonavyg6@gmail.com</x:v>
      </x:c>
      <x:c r="F4686" t="str" s="2">
        <x:v>Landing_BPM</x:v>
      </x:c>
      <x:c r="G4686" t="str" s="2">
        <x:v>Maria Lopez</x:v>
      </x:c>
      <x:c r="H4686" s="6">
        <x:v>46281.994788888886</x:v>
      </x:c>
      <x:c r="I4686" s="0"/>
      <x:c r="J4686" s="0"/>
      <x:c r="K4686" s="6">
        <x:v>46307</x:v>
      </x:c>
      <x:c r="L4686" t="str" s="2">
        <x:v>Message Sent</x:v>
      </x:c>
    </x:row>
    <x:row r="4687">
      <x:c r="A4687" t="str" s="2">
        <x:f>="Chanel Noncant"</x:f>
      </x:c>
      <x:c r="B4687" t="str" s="2">
        <x:v>Heritage Housing of Asheboro</x:v>
      </x:c>
      <x:c r="C4687" t="str" s="2">
        <x:v/>
      </x:c>
      <x:c r="D4687" t="str" s="2">
        <x:v>9804054860</x:v>
      </x:c>
      <x:c r="E4687" t="str" s="2">
        <x:v>chanel.noncant@gmail.com</x:v>
      </x:c>
      <x:c r="F4687" t="str" s="2">
        <x:v>Youtube</x:v>
      </x:c>
      <x:c r="G4687" t="str" s="2">
        <x:v>Kate Gutierrez</x:v>
      </x:c>
      <x:c r="H4687" s="6">
        <x:v>46282.00243784722</x:v>
      </x:c>
      <x:c r="I4687" s="0"/>
      <x:c r="J4687" s="0"/>
      <x:c r="K4687" s="6">
        <x:v>46283</x:v>
      </x:c>
      <x:c r="L4687" t="str" s="2">
        <x:v>Message Sent</x:v>
      </x:c>
    </x:row>
    <x:row r="4688">
      <x:c r="A4688" t="str" s="2">
        <x:f>="Erica Bolder"</x:f>
      </x:c>
      <x:c r="B4688" t="str" s="2">
        <x:v>Heritage Housing of Asheboro</x:v>
      </x:c>
      <x:c r="C4688" t="str" s="2">
        <x:v/>
      </x:c>
      <x:c r="D4688" t="str" s="2">
        <x:v>7047639193</x:v>
      </x:c>
      <x:c r="E4688" t="str" s="2">
        <x:v>embolder1986@gmail.com</x:v>
      </x:c>
      <x:c r="F4688" t="str" s="2">
        <x:v>Youtube</x:v>
      </x:c>
      <x:c r="G4688" t="str" s="2">
        <x:v>Maria Lopez</x:v>
      </x:c>
      <x:c r="H4688" s="6">
        <x:v>46282.02297265046</x:v>
      </x:c>
      <x:c r="I4688" s="0"/>
      <x:c r="J4688" s="0"/>
      <x:c r="K4688" s="6">
        <x:v>46283</x:v>
      </x:c>
      <x:c r="L4688" t="str" s="2">
        <x:v>Message Sent</x:v>
      </x:c>
    </x:row>
    <x:row r="4689">
      <x:c r="A4689" t="str" s="2">
        <x:f>="Darrell Martin"</x:f>
      </x:c>
      <x:c r="B4689" t="str" s="2">
        <x:v>Heritage Housing of Jennings</x:v>
      </x:c>
      <x:c r="C4689" t="str" s="2">
        <x:v/>
      </x:c>
      <x:c r="D4689" t="str" s="2">
        <x:v>3373022798</x:v>
      </x:c>
      <x:c r="E4689" t="str" s="2">
        <x:v>vincentgayla33@gmail.com</x:v>
      </x:c>
      <x:c r="F4689" t="str" s="2">
        <x:v>Financing Form</x:v>
      </x:c>
      <x:c r="G4689" t="str" s="2">
        <x:v>Clint O'Neal</x:v>
      </x:c>
      <x:c r="H4689" s="6">
        <x:v>46282.04380648148</x:v>
      </x:c>
      <x:c r="I4689" s="0"/>
      <x:c r="J4689" s="0"/>
      <x:c r="K4689" s="6">
        <x:v>46302.68706519676</x:v>
      </x:c>
      <x:c r="L4689" t="str" s="2">
        <x:v>Message Sent</x:v>
      </x:c>
    </x:row>
    <x:row r="4690">
      <x:c r="A4690" t="str" s="2">
        <x:f>="Jazmine Horne"</x:f>
      </x:c>
      <x:c r="B4690" t="str" s="2">
        <x:v>Heritage Housing of Tulsa</x:v>
      </x:c>
      <x:c r="C4690" t="str" s="2">
        <x:v/>
      </x:c>
      <x:c r="D4690" t="str" s="2">
        <x:v>971284575</x:v>
      </x:c>
      <x:c r="E4690" t="str" s="2">
        <x:v>robertdesantos84@gmail.com</x:v>
      </x:c>
      <x:c r="F4690" t="str" s="2">
        <x:v>Youtube</x:v>
      </x:c>
      <x:c r="G4690" t="str" s="2">
        <x:v>Jenna Fransisco</x:v>
      </x:c>
      <x:c r="H4690" s="6">
        <x:v>46282.05596805555</x:v>
      </x:c>
      <x:c r="I4690" s="0"/>
      <x:c r="J4690" s="0"/>
      <x:c r="K4690" s="6">
        <x:v>46282</x:v>
      </x:c>
      <x:c r="L4690" t="str" s="2">
        <x:v>Message Sent</x:v>
      </x:c>
    </x:row>
    <x:row r="4691">
      <x:c r="A4691" t="str" s="2">
        <x:f>="Amy Robinson"</x:f>
      </x:c>
      <x:c r="B4691" t="str" s="2">
        <x:v>Heritage Housing of Tulsa</x:v>
      </x:c>
      <x:c r="C4691" t="str" s="2">
        <x:v/>
      </x:c>
      <x:c r="D4691" t="str" s="2">
        <x:v>9189824387</x:v>
      </x:c>
      <x:c r="E4691" t="str" s="2">
        <x:v>ar5650070@gmail.com</x:v>
      </x:c>
      <x:c r="F4691" t="str" s="2">
        <x:v>Youtube</x:v>
      </x:c>
      <x:c r="G4691" t="str" s="2">
        <x:v>Jenna Fransisco</x:v>
      </x:c>
      <x:c r="H4691" s="6">
        <x:v>46282.056262384256</x:v>
      </x:c>
      <x:c r="I4691" s="0"/>
      <x:c r="J4691" s="0"/>
      <x:c r="K4691" s="6">
        <x:v>46282</x:v>
      </x:c>
      <x:c r="L4691" t="str" s="2">
        <x:v>Message Sent</x:v>
      </x:c>
    </x:row>
    <x:row r="4692">
      <x:c r="A4692" t="str" s="2">
        <x:f>="Mashaunda Pointer"</x:f>
      </x:c>
      <x:c r="B4692" t="str" s="2">
        <x:v>Heritage Housing of Canton</x:v>
      </x:c>
      <x:c r="C4692" t="str" s="2">
        <x:v/>
      </x:c>
      <x:c r="D4692" t="str" s="2">
        <x:v>9406475503</x:v>
      </x:c>
      <x:c r="E4692" t="str" s="2">
        <x:v>shaunpeezie@gmail.com</x:v>
      </x:c>
      <x:c r="F4692" t="str" s="2">
        <x:v>Website</x:v>
      </x:c>
      <x:c r="G4692" t="str" s="2">
        <x:v>Jacob Hatten</x:v>
      </x:c>
      <x:c r="H4692" s="6">
        <x:v>46282.06368521991</x:v>
      </x:c>
      <x:c r="I4692" s="0"/>
      <x:c r="J4692" s="0"/>
      <x:c r="K4692" s="6">
        <x:v>46302</x:v>
      </x:c>
      <x:c r="L4692" t="str" s="2">
        <x:v>Message Sent</x:v>
      </x:c>
    </x:row>
    <x:row r="4693">
      <x:c r="A4693" t="str" s="2">
        <x:f>="Shakina PHILLIPS"</x:f>
      </x:c>
      <x:c r="B4693" t="str" s="2">
        <x:v>Heritage Housing of Athens</x:v>
      </x:c>
      <x:c r="C4693" t="str" s="2">
        <x:v/>
      </x:c>
      <x:c r="D4693" t="str" s="2">
        <x:v>6788988090</x:v>
      </x:c>
      <x:c r="E4693" t="str" s="2">
        <x:v>pricelesskina@gmail.com</x:v>
      </x:c>
      <x:c r="F4693" t="str" s="2">
        <x:v>Landing_BPM</x:v>
      </x:c>
      <x:c r="G4693" t="str" s="2">
        <x:v>Nathan Bishop</x:v>
      </x:c>
      <x:c r="H4693" s="6">
        <x:v>46282.07729204861</x:v>
      </x:c>
      <x:c r="I4693" s="0"/>
      <x:c r="J4693" s="0"/>
      <x:c r="K4693" s="6">
        <x:v>46282</x:v>
      </x:c>
      <x:c r="L4693" t="str" s="2">
        <x:v>Message Sent</x:v>
      </x:c>
    </x:row>
    <x:row r="4694">
      <x:c r="A4694" t="str" s="2">
        <x:f>="John Robinson"</x:f>
      </x:c>
      <x:c r="B4694" t="str" s="2">
        <x:v>Heritage Housing Mt Pleasant</x:v>
      </x:c>
      <x:c r="C4694" t="str" s="2">
        <x:v/>
      </x:c>
      <x:c r="D4694" t="str" s="2">
        <x:v>6282649494</x:v>
      </x:c>
      <x:c r="E4694" t="str" s="2">
        <x:v>johnrobinson.int@gmail.com</x:v>
      </x:c>
      <x:c r="F4694" t="str" s="2">
        <x:v>Website</x:v>
      </x:c>
      <x:c r="G4694" t="str" s="2">
        <x:v>Yarelis Torres</x:v>
      </x:c>
      <x:c r="H4694" s="6">
        <x:v>46282.08966049769</x:v>
      </x:c>
      <x:c r="I4694" s="0"/>
      <x:c r="J4694" s="0"/>
      <x:c r="K4694" s="6">
        <x:v>46288</x:v>
      </x:c>
      <x:c r="L4694" t="str" s="2">
        <x:v>Message Sent</x:v>
      </x:c>
    </x:row>
    <x:row r="4695">
      <x:c r="A4695" t="str" s="2">
        <x:f>="John Smith"</x:f>
      </x:c>
      <x:c r="B4695" t="str" s="2">
        <x:v>Legacy Housing Corp. DBA Americasa</x:v>
      </x:c>
      <x:c r="C4695" t="str" s="2">
        <x:v/>
      </x:c>
      <x:c r="D4695" t="str" s="2">
        <x:v>832-892-0737</x:v>
      </x:c>
      <x:c r="E4695" t="str" s="2">
        <x:v>jrsmitty1949@gmail.com</x:v>
      </x:c>
      <x:c r="F4695" t="str" s="2">
        <x:v>Landing_BPM</x:v>
      </x:c>
      <x:c r="G4695" t="str" s="2">
        <x:v>Jose Parada</x:v>
      </x:c>
      <x:c r="H4695" s="6">
        <x:v>46282.27131423611</x:v>
      </x:c>
      <x:c r="I4695" s="0"/>
      <x:c r="J4695" s="0"/>
      <x:c r="K4695" s="6">
        <x:v>46282</x:v>
      </x:c>
      <x:c r="L4695" t="str" s="2">
        <x:v>Message Sent</x:v>
      </x:c>
    </x:row>
    <x:row r="4696">
      <x:c r="A4696" t="str" s="2">
        <x:f>="Shanti Shicksnider"</x:f>
      </x:c>
      <x:c r="B4696" t="str" s="2">
        <x:v>Heritage Housing of Jennings</x:v>
      </x:c>
      <x:c r="C4696" t="str" s="2">
        <x:v/>
      </x:c>
      <x:c r="D4696" t="str" s="2">
        <x:v>9852588541</x:v>
      </x:c>
      <x:c r="E4696" t="str" s="2">
        <x:v>shantishicksnider1@icloud.com</x:v>
      </x:c>
      <x:c r="F4696" t="str" s="2">
        <x:v>Landing_BPM</x:v>
      </x:c>
      <x:c r="G4696" t="str" s="2">
        <x:v>Mervin Leslie Smith</x:v>
      </x:c>
      <x:c r="H4696" s="6">
        <x:v>46282.4067008912</x:v>
      </x:c>
      <x:c r="I4696" s="0"/>
      <x:c r="J4696" s="0"/>
      <x:c r="K4696" s="6">
        <x:v>46302.733072222225</x:v>
      </x:c>
      <x:c r="L4696" t="str" s="2">
        <x:v>Message Sent</x:v>
      </x:c>
    </x:row>
    <x:row r="4697">
      <x:c r="A4697" t="str" s="2">
        <x:f>="Cat_qcMl C_blMlO"</x:f>
      </x:c>
      <x:c r="B4697" t="str" s="2">
        <x:v>Heritage Housing of Greenville</x:v>
      </x:c>
      <x:c r="C4697" t="str" s="2">
        <x:v/>
      </x:c>
      <x:c r="D4697" t="str" s="2">
        <x:v>6593472</x:v>
      </x:c>
      <x:c r="E4697" t="str" s="2">
        <x:v>ovxpkql@eamrdjv.qmc</x:v>
      </x:c>
      <x:c r="F4697" t="str" s="2">
        <x:v>Website</x:v>
      </x:c>
      <x:c r="G4697" t="str" s="2">
        <x:v>Brooklynn Allen</x:v>
      </x:c>
      <x:c r="H4697" s="6">
        <x:v>46282.44057615741</x:v>
      </x:c>
      <x:c r="I4697" s="0"/>
      <x:c r="J4697" s="0"/>
      <x:c r="K4697" s="6">
        <x:v>46288</x:v>
      </x:c>
      <x:c r="L4697" t="str" s="2">
        <x:v>Message Sent</x:v>
      </x:c>
    </x:row>
    <x:row r="4698">
      <x:c r="A4698" t="str" s="2">
        <x:f>="Alfredo Henriquez"</x:f>
      </x:c>
      <x:c r="B4698" t="str" s="2">
        <x:v>Heritage Housing of Asheboro</x:v>
      </x:c>
      <x:c r="C4698" t="str" s="2">
        <x:v/>
      </x:c>
      <x:c r="D4698" t="str" s="2">
        <x:v>4074015602</x:v>
      </x:c>
      <x:c r="E4698" t="str" s="2">
        <x:v>alfhen73@gmail.com</x:v>
      </x:c>
      <x:c r="F4698" t="str" s="2">
        <x:v>Landing_BPM</x:v>
      </x:c>
      <x:c r="G4698" t="str" s="2">
        <x:v>Maria Lopez</x:v>
      </x:c>
      <x:c r="H4698" s="6">
        <x:v>46282.53102465278</x:v>
      </x:c>
      <x:c r="I4698" s="0"/>
      <x:c r="J4698" s="0"/>
      <x:c r="K4698" s="6">
        <x:v>46288</x:v>
      </x:c>
      <x:c r="L4698" t="str" s="2">
        <x:v>Message Sent</x:v>
      </x:c>
    </x:row>
    <x:row r="4699">
      <x:c r="A4699" t="str" s="2">
        <x:f>="Deborah Sanchez"</x:f>
      </x:c>
      <x:c r="B4699" t="str" s="2">
        <x:v>Heritage Housing of Augusta</x:v>
      </x:c>
      <x:c r="C4699" t="str" s="2">
        <x:v>0/1</x:v>
      </x:c>
      <x:c r="D4699" t="str" s="2">
        <x:v>7064141031</x:v>
      </x:c>
      <x:c r="E4699" t="str" s="2">
        <x:v>missbri1993@yahoo.com</x:v>
      </x:c>
      <x:c r="F4699" t="str" s="2">
        <x:v>Youtube</x:v>
      </x:c>
      <x:c r="G4699" t="str" s="2">
        <x:v>Jennifer Johnson</x:v>
      </x:c>
      <x:c r="H4699" s="6">
        <x:v>46282.57261793981</x:v>
      </x:c>
      <x:c r="I4699" s="0"/>
      <x:c r="J4699" s="0"/>
      <x:c r="K4699" s="6">
        <x:v>46294</x:v>
      </x:c>
      <x:c r="L4699" t="str" s="2">
        <x:v>Message Sent</x:v>
      </x:c>
    </x:row>
    <x:row r="4700">
      <x:c r="A4700" t="str" s="2">
        <x:f>="Justin Potts"</x:f>
      </x:c>
      <x:c r="B4700" t="str" s="2">
        <x:v>Heritage Housing of Asheboro</x:v>
      </x:c>
      <x:c r="C4700" t="str" s="2">
        <x:v/>
      </x:c>
      <x:c r="D4700" t="str" s="2">
        <x:v>4722031332</x:v>
      </x:c>
      <x:c r="E4700" t="str" s="2">
        <x:v>justindpotts1986@gmail.com</x:v>
      </x:c>
      <x:c r="F4700" t="str" s="2">
        <x:v>Financing Form</x:v>
      </x:c>
      <x:c r="G4700" t="str" s="2">
        <x:v>Maria Lopez</x:v>
      </x:c>
      <x:c r="H4700" s="6">
        <x:v>46282.642400034725</x:v>
      </x:c>
      <x:c r="I4700" s="0"/>
      <x:c r="J4700" s="0"/>
      <x:c r="K4700" s="6">
        <x:v>46283</x:v>
      </x:c>
      <x:c r="L4700" t="str" s="2">
        <x:v>Message Sent</x:v>
      </x:c>
    </x:row>
    <x:row r="4701">
      <x:c r="A4701" t="str" s="2">
        <x:f>="Edward James"</x:f>
      </x:c>
      <x:c r="B4701" t="str" s="2">
        <x:v>Heritage Housing of Greenville</x:v>
      </x:c>
      <x:c r="C4701" t="str" s="2">
        <x:v/>
      </x:c>
      <x:c r="D4701" t="str" s="2">
        <x:v>8174233634</x:v>
      </x:c>
      <x:c r="E4701" t="str" s="2">
        <x:v>edwardlavaljames@yahoo.com</x:v>
      </x:c>
      <x:c r="F4701" t="str" s="2">
        <x:v>Bing - Search</x:v>
      </x:c>
      <x:c r="G4701" t="str" s="2">
        <x:v>Brooklynn Allen</x:v>
      </x:c>
      <x:c r="H4701" s="6">
        <x:v>46282.68807855324</x:v>
      </x:c>
      <x:c r="I4701" s="0"/>
      <x:c r="J4701" s="0"/>
      <x:c r="K4701" s="6">
        <x:v>46288</x:v>
      </x:c>
      <x:c r="L4701" t="str" s="2">
        <x:v>Message Sent</x:v>
      </x:c>
    </x:row>
    <x:row r="4702">
      <x:c r="A4702" t="str" s="2">
        <x:f>="Sharon Theriot"</x:f>
      </x:c>
      <x:c r="B4702" t="str" s="2">
        <x:v>Heritage Housing of Jennings</x:v>
      </x:c>
      <x:c r="C4702" t="str" s="2">
        <x:v/>
      </x:c>
      <x:c r="D4702" t="str" s="2">
        <x:v>3138090541</x:v>
      </x:c>
      <x:c r="E4702" t="str" s="2">
        <x:v>sharontheriot50@gmail.com</x:v>
      </x:c>
      <x:c r="F4702" t="str" s="2">
        <x:v>Youtube</x:v>
      </x:c>
      <x:c r="G4702" t="str" s="2">
        <x:v>Clint O'Neal</x:v>
      </x:c>
      <x:c r="H4702" s="6">
        <x:v>46282.70648221065</x:v>
      </x:c>
      <x:c r="I4702" s="0"/>
      <x:c r="J4702" s="0"/>
      <x:c r="K4702" s="6">
        <x:v>46302.68740552083</x:v>
      </x:c>
      <x:c r="L4702" t="str" s="2">
        <x:v>Message Sent</x:v>
      </x:c>
    </x:row>
    <x:row r="4703">
      <x:c r="A4703" t="str" s="2">
        <x:f>="Lonique Travis"</x:f>
      </x:c>
      <x:c r="B4703" t="str" s="2">
        <x:v>Heritage Housing of Jennings</x:v>
      </x:c>
      <x:c r="C4703" t="str" s="2">
        <x:v/>
      </x:c>
      <x:c r="D4703" t="str" s="2">
        <x:v>2254243100</x:v>
      </x:c>
      <x:c r="E4703" t="str" s="2">
        <x:v>Neekielanae@gmail.com</x:v>
      </x:c>
      <x:c r="F4703" t="str" s="2">
        <x:v>LandingPage</x:v>
      </x:c>
      <x:c r="G4703" t="str" s="2">
        <x:v>Mervin Leslie Smith</x:v>
      </x:c>
      <x:c r="H4703" s="6">
        <x:v>46282.710260416665</x:v>
      </x:c>
      <x:c r="I4703" s="0"/>
      <x:c r="J4703" s="0"/>
      <x:c r="K4703" s="6">
        <x:v>46302.73346998842</x:v>
      </x:c>
      <x:c r="L4703" t="str" s="2">
        <x:v>Message Sent</x:v>
      </x:c>
    </x:row>
    <x:row r="4704">
      <x:c r="A4704" t="str" s="2">
        <x:f>="Cristo Hernandez"</x:f>
      </x:c>
      <x:c r="B4704" t="str" s="2">
        <x:v>Legacy Housing Corp. DBA Americasa</x:v>
      </x:c>
      <x:c r="C4704" t="str" s="2">
        <x:v/>
      </x:c>
      <x:c r="D4704" t="str" s="2">
        <x:v>8329558428</x:v>
      </x:c>
      <x:c r="E4704" t="str" s="2">
        <x:v>cristohernandez1992@gmail.com</x:v>
      </x:c>
      <x:c r="F4704" t="str" s="2">
        <x:v>Youtube</x:v>
      </x:c>
      <x:c r="G4704" t="str" s="2">
        <x:v>Jose Parada</x:v>
      </x:c>
      <x:c r="H4704" s="6">
        <x:v>46282.71324710648</x:v>
      </x:c>
      <x:c r="I4704" s="0"/>
      <x:c r="J4704" s="0"/>
      <x:c r="K4704" s="6">
        <x:v>46282</x:v>
      </x:c>
      <x:c r="L4704" t="str" s="2">
        <x:v>Message Sent</x:v>
      </x:c>
    </x:row>
    <x:row r="4705">
      <x:c r="A4705" t="str" s="2">
        <x:f>="Guadalupe Subias"</x:f>
      </x:c>
      <x:c r="B4705" t="str" s="2">
        <x:v>Heritage Housing of Asheboro</x:v>
      </x:c>
      <x:c r="C4705" t="str" s="2">
        <x:v/>
      </x:c>
      <x:c r="D4705" t="str" s="2">
        <x:v>19103797601</x:v>
      </x:c>
      <x:c r="E4705" t="str" s="2">
        <x:v>gsubias1971@gmail.com</x:v>
      </x:c>
      <x:c r="F4705" t="str" s="2">
        <x:v>Landing_BPM</x:v>
      </x:c>
      <x:c r="G4705" t="str" s="2">
        <x:v>Maria Lopez</x:v>
      </x:c>
      <x:c r="H4705" s="6">
        <x:v>46282.717277662035</x:v>
      </x:c>
      <x:c r="I4705" s="0"/>
      <x:c r="J4705" s="0"/>
      <x:c r="K4705" s="6">
        <x:v>46288</x:v>
      </x:c>
      <x:c r="L4705" t="str" s="2">
        <x:v>Message Sent</x:v>
      </x:c>
    </x:row>
    <x:row r="4706">
      <x:c r="A4706" t="str" s="2">
        <x:f>="Ashley Lyons"</x:f>
      </x:c>
      <x:c r="B4706" t="str" s="2">
        <x:v>Heritage Housing of Jennings</x:v>
      </x:c>
      <x:c r="C4706" t="str" s="2">
        <x:v/>
      </x:c>
      <x:c r="D4706" t="str" s="2">
        <x:v>3376617674</x:v>
      </x:c>
      <x:c r="E4706" t="str" s="2">
        <x:v>candalyons2017@gmail.com</x:v>
      </x:c>
      <x:c r="F4706" t="str" s="2">
        <x:v>Landing_BPM</x:v>
      </x:c>
      <x:c r="G4706" t="str" s="2">
        <x:v>Clint O'Neal</x:v>
      </x:c>
      <x:c r="H4706" s="6">
        <x:v>46282.74036091435</x:v>
      </x:c>
      <x:c r="I4706" s="0"/>
      <x:c r="J4706" s="0"/>
      <x:c r="K4706" s="6">
        <x:v>46302.67836331019</x:v>
      </x:c>
      <x:c r="L4706" t="str" s="2">
        <x:v>Message Sent</x:v>
      </x:c>
    </x:row>
    <x:row r="4707">
      <x:c r="A4707" t="str" s="2">
        <x:f>="Michelle Byers"</x:f>
      </x:c>
      <x:c r="B4707" t="str" s="2">
        <x:v>Heritage Housing of Athens</x:v>
      </x:c>
      <x:c r="C4707" t="str" s="2">
        <x:v/>
      </x:c>
      <x:c r="D4707" t="str" s="2">
        <x:v>7063407826</x:v>
      </x:c>
      <x:c r="E4707" t="str" s="2">
        <x:v>shelly086066@gmail.com</x:v>
      </x:c>
      <x:c r="F4707" t="str" s="2">
        <x:v>Landing_BPM</x:v>
      </x:c>
      <x:c r="G4707" t="str" s="2">
        <x:v>Nathan Bishop</x:v>
      </x:c>
      <x:c r="H4707" s="6">
        <x:v>46282.74683325231</x:v>
      </x:c>
      <x:c r="I4707" s="0"/>
      <x:c r="J4707" s="0"/>
      <x:c r="K4707" s="6">
        <x:v>46282</x:v>
      </x:c>
      <x:c r="L4707" t="str" s="2">
        <x:v>Message Sent</x:v>
      </x:c>
    </x:row>
    <x:row r="4708">
      <x:c r="A4708" t="str" s="2">
        <x:f>="Iris IngramHopgood"</x:f>
      </x:c>
      <x:c r="B4708" t="str" s="2">
        <x:v>Heritage Housing of Albany</x:v>
      </x:c>
      <x:c r="C4708" t="str" s="2">
        <x:v/>
      </x:c>
      <x:c r="D4708" t="str" s="2">
        <x:v>6783538032</x:v>
      </x:c>
      <x:c r="E4708" t="str" s="2">
        <x:v>irisllook@gmail.com</x:v>
      </x:c>
      <x:c r="F4708" t="str" s="2">
        <x:v>Youtube</x:v>
      </x:c>
      <x:c r="G4708" t="str" s="2">
        <x:v>Yanet Alvarez</x:v>
      </x:c>
      <x:c r="H4708" s="6">
        <x:v>46282.76392013889</x:v>
      </x:c>
      <x:c r="I4708" s="0"/>
      <x:c r="J4708" s="0"/>
      <x:c r="K4708" s="6">
        <x:v>46286</x:v>
      </x:c>
      <x:c r="L4708" t="str" s="2">
        <x:v>Message Sent</x:v>
      </x:c>
    </x:row>
    <x:row r="4709">
      <x:c r="A4709" t="str" s="2">
        <x:f>="Alyssa Scholl"</x:f>
      </x:c>
      <x:c r="B4709" t="str" s="2">
        <x:v>Heritage Housing of Greenville</x:v>
      </x:c>
      <x:c r="C4709" t="str" s="2">
        <x:v/>
      </x:c>
      <x:c r="D4709" t="str" s="2">
        <x:v>9037679310</x:v>
      </x:c>
      <x:c r="E4709" t="str" s="2">
        <x:v>alyssa.p.scholl@icloud.com</x:v>
      </x:c>
      <x:c r="F4709" t="str" s="2">
        <x:v>Landing_BPM</x:v>
      </x:c>
      <x:c r="G4709" t="str" s="2">
        <x:v>Brooklynn Allen</x:v>
      </x:c>
      <x:c r="H4709" s="6">
        <x:v>46282.80357056713</x:v>
      </x:c>
      <x:c r="I4709" s="0"/>
      <x:c r="J4709" s="0"/>
      <x:c r="K4709" s="6">
        <x:v>46288</x:v>
      </x:c>
      <x:c r="L4709" t="str" s="2">
        <x:v>Message Sent</x:v>
      </x:c>
    </x:row>
    <x:row r="4710">
      <x:c r="A4710" t="str" s="2">
        <x:f>="Jordan Dirck"</x:f>
      </x:c>
      <x:c r="B4710" t="str" s="2">
        <x:v>Heritage Housing of Tulsa</x:v>
      </x:c>
      <x:c r="C4710" t="str" s="2">
        <x:v/>
      </x:c>
      <x:c r="D4710" t="str" s="2">
        <x:v>5393690399</x:v>
      </x:c>
      <x:c r="E4710" t="str" s="2">
        <x:v>jordan.dirck05@gmail.com</x:v>
      </x:c>
      <x:c r="F4710" t="str" s="2">
        <x:v>Landing_BPM</x:v>
      </x:c>
      <x:c r="G4710" t="str" s="2">
        <x:v>Jenna Fransisco</x:v>
      </x:c>
      <x:c r="H4710" s="6">
        <x:v>46282.814752314815</x:v>
      </x:c>
      <x:c r="I4710" s="0"/>
      <x:c r="J4710" s="0"/>
      <x:c r="K4710" s="6">
        <x:v>46286</x:v>
      </x:c>
      <x:c r="L4710" t="str" s="2">
        <x:v>Message Sent</x:v>
      </x:c>
    </x:row>
    <x:row r="4711">
      <x:c r="A4711" t="str" s="2">
        <x:f>="Robertrer ChristopherrerGM"</x:f>
      </x:c>
      <x:c r="B4711" t="str" s="2">
        <x:v>Heritage Housing of Greenville</x:v>
      </x:c>
      <x:c r="C4711" t="str" s="2">
        <x:v/>
      </x:c>
      <x:c r="D4711" t="str" s="2">
        <x:v>87951485759</x:v>
      </x:c>
      <x:c r="E4711" t="str" s="2">
        <x:v>lrhskkq@otnjxke.tes</x:v>
      </x:c>
      <x:c r="F4711" t="str" s="2">
        <x:v>Website</x:v>
      </x:c>
      <x:c r="G4711" t="str" s="2">
        <x:v>Brooklynn Allen</x:v>
      </x:c>
      <x:c r="H4711" s="6">
        <x:v>46282.82076959491</x:v>
      </x:c>
      <x:c r="I4711" s="0"/>
      <x:c r="J4711" s="0"/>
      <x:c r="K4711" s="6">
        <x:v>46288</x:v>
      </x:c>
      <x:c r="L4711" t="str" s="2">
        <x:v>Message Sent</x:v>
      </x:c>
    </x:row>
    <x:row r="4712">
      <x:c r="A4712" t="str" s="2">
        <x:f>="Mack Cameron"</x:f>
      </x:c>
      <x:c r="B4712" t="str" s="2">
        <x:v>Heritage Housing of Asheboro</x:v>
      </x:c>
      <x:c r="C4712" t="str" s="2">
        <x:v/>
      </x:c>
      <x:c r="D4712" t="str" s="2">
        <x:v>9192592579</x:v>
      </x:c>
      <x:c r="E4712" t="str" s="2">
        <x:v>mackcameron10@gmail.com</x:v>
      </x:c>
      <x:c r="F4712" t="str" s="2">
        <x:v>Landing_BPM</x:v>
      </x:c>
      <x:c r="G4712" t="str" s="2">
        <x:v>Kate Gutierrez</x:v>
      </x:c>
      <x:c r="H4712" s="6">
        <x:v>46282.83330517361</x:v>
      </x:c>
      <x:c r="I4712" s="0"/>
      <x:c r="J4712" s="0"/>
      <x:c r="K4712" s="6">
        <x:v>46283</x:v>
      </x:c>
      <x:c r="L4712" t="str" s="2">
        <x:v>Message Sent</x:v>
      </x:c>
    </x:row>
    <x:row r="4713">
      <x:c r="A4713" t="str" s="2">
        <x:f>="Leigha Miller"</x:f>
      </x:c>
      <x:c r="B4713" t="str" s="2">
        <x:v>Heritage Housing of Asheboro</x:v>
      </x:c>
      <x:c r="C4713" t="str" s="2">
        <x:v/>
      </x:c>
      <x:c r="D4713" t="str" s="2">
        <x:v>8032424964</x:v>
      </x:c>
      <x:c r="E4713" t="str" s="2">
        <x:v>leighamom927@gmail.com</x:v>
      </x:c>
      <x:c r="F4713" t="str" s="2">
        <x:v>Youtube</x:v>
      </x:c>
      <x:c r="G4713" t="str" s="2">
        <x:v>Maria Lopez</x:v>
      </x:c>
      <x:c r="H4713" s="6">
        <x:v>46282.83778695602</x:v>
      </x:c>
      <x:c r="I4713" s="0"/>
      <x:c r="J4713" s="0"/>
      <x:c r="K4713" s="6">
        <x:v>46283</x:v>
      </x:c>
      <x:c r="L4713" t="str" s="2">
        <x:v>Message Sent</x:v>
      </x:c>
    </x:row>
    <x:row r="4714">
      <x:c r="A4714" t="str" s="2">
        <x:f>="Henry Lester"</x:f>
      </x:c>
      <x:c r="B4714" t="str" s="2">
        <x:v>Heritage Housing of Asheboro</x:v>
      </x:c>
      <x:c r="C4714" t="str" s="2">
        <x:v/>
      </x:c>
      <x:c r="D4714" t="str" s="2">
        <x:v>9193582134</x:v>
      </x:c>
      <x:c r="E4714" t="str" s="2">
        <x:v>jazlynnrudd@gmail.com</x:v>
      </x:c>
      <x:c r="F4714" t="str" s="2">
        <x:v>Landing_BPM</x:v>
      </x:c>
      <x:c r="G4714" t="str" s="2">
        <x:v>Maria Lopez</x:v>
      </x:c>
      <x:c r="H4714" s="6">
        <x:v>46282.87384270833</x:v>
      </x:c>
      <x:c r="I4714" s="0"/>
      <x:c r="J4714" s="0"/>
      <x:c r="K4714" s="6">
        <x:v>46288</x:v>
      </x:c>
      <x:c r="L4714" t="str" s="2">
        <x:v>Message Sent</x:v>
      </x:c>
    </x:row>
    <x:row r="4715">
      <x:c r="A4715" t="str" s="2">
        <x:f>="Calvin Dyches"</x:f>
      </x:c>
      <x:c r="B4715" t="str" s="2">
        <x:v>Heritage Housing of Albany</x:v>
      </x:c>
      <x:c r="C4715" t="str" s="2">
        <x:v>0/2</x:v>
      </x:c>
      <x:c r="D4715" t="str" s="2">
        <x:v>8035712449</x:v>
      </x:c>
      <x:c r="E4715" t="str" s="2">
        <x:v>harseyannsherryallen@gmail.com</x:v>
      </x:c>
      <x:c r="F4715" t="str" s="2">
        <x:v>Youtube</x:v>
      </x:c>
      <x:c r="G4715" t="str" s="2">
        <x:v>Yanet Alvarez</x:v>
      </x:c>
      <x:c r="H4715" s="6">
        <x:v>46282.87735396991</x:v>
      </x:c>
      <x:c r="I4715" s="0"/>
      <x:c r="J4715" s="0"/>
      <x:c r="K4715" s="6">
        <x:v>46289.62619938658</x:v>
      </x:c>
      <x:c r="L4715" t="str" s="2">
        <x:v>Message Sent</x:v>
      </x:c>
    </x:row>
    <x:row r="4716">
      <x:c r="A4716" t="str" s="2">
        <x:f>="Marty East"</x:f>
      </x:c>
      <x:c r="B4716" t="str" s="2">
        <x:v>Heritage Housing of Albany</x:v>
      </x:c>
      <x:c r="C4716" t="str" s="2">
        <x:v/>
      </x:c>
      <x:c r="D4716" t="str" s="2">
        <x:v>3364651860</x:v>
      </x:c>
      <x:c r="E4716" t="str" s="2">
        <x:v>martyeast68@gmail.com</x:v>
      </x:c>
      <x:c r="F4716" t="str" s="2">
        <x:v>Financing Form</x:v>
      </x:c>
      <x:c r="G4716" t="str" s="2">
        <x:v>Yanet Alvarez</x:v>
      </x:c>
      <x:c r="H4716" s="6">
        <x:v>46282.88733402778</x:v>
      </x:c>
      <x:c r="I4716" s="0"/>
      <x:c r="J4716" s="0"/>
      <x:c r="K4716" s="6">
        <x:v>46307</x:v>
      </x:c>
      <x:c r="L4716" t="str" s="2">
        <x:v>Message Sent</x:v>
      </x:c>
    </x:row>
    <x:row r="4717">
      <x:c r="A4717" t="str" s="2">
        <x:f>="Katrina Smith"</x:f>
      </x:c>
      <x:c r="B4717" t="str" s="2">
        <x:v>Heritage Housing of Augusta</x:v>
      </x:c>
      <x:c r="C4717" t="str" s="2">
        <x:v/>
      </x:c>
      <x:c r="D4717" t="str" s="2">
        <x:v>4703155895</x:v>
      </x:c>
      <x:c r="E4717" t="str" s="2">
        <x:v>katrinasmith2u4u@gmail.com</x:v>
      </x:c>
      <x:c r="F4717" t="str" s="2">
        <x:v>Youtube</x:v>
      </x:c>
      <x:c r="G4717" t="str" s="2">
        <x:v>Jennifer Johnson</x:v>
      </x:c>
      <x:c r="H4717" s="6">
        <x:v>46282.89544328704</x:v>
      </x:c>
      <x:c r="I4717" s="0"/>
      <x:c r="J4717" s="0"/>
      <x:c r="K4717" s="6">
        <x:v>46289</x:v>
      </x:c>
      <x:c r="L4717" t="str" s="2">
        <x:v>Message Sent</x:v>
      </x:c>
    </x:row>
    <x:row r="4718">
      <x:c r="A4718" t="str" s="2">
        <x:f>="Antoinette Jaynes"</x:f>
      </x:c>
      <x:c r="B4718" t="str" s="2">
        <x:v>Heritage Housing of Albany</x:v>
      </x:c>
      <x:c r="C4718" t="str" s="2">
        <x:v/>
      </x:c>
      <x:c r="D4718" t="str" s="2">
        <x:v>4045074844</x:v>
      </x:c>
      <x:c r="E4718" t="str" s="2">
        <x:v>antoinettejaynes@rocketmail.com</x:v>
      </x:c>
      <x:c r="F4718" t="str" s="2">
        <x:v>Youtube</x:v>
      </x:c>
      <x:c r="G4718" t="str" s="2">
        <x:v>Yanet Alvarez</x:v>
      </x:c>
      <x:c r="H4718" s="6">
        <x:v>46282.92487195602</x:v>
      </x:c>
      <x:c r="I4718" s="0"/>
      <x:c r="J4718" s="0"/>
      <x:c r="K4718" s="6">
        <x:v>46286</x:v>
      </x:c>
      <x:c r="L4718" t="str" s="2">
        <x:v>Message Sent</x:v>
      </x:c>
    </x:row>
    <x:row r="4719">
      <x:c r="A4719" t="str" s="2">
        <x:f>="Jessica Briggs"</x:f>
      </x:c>
      <x:c r="B4719" t="str" s="2">
        <x:v>Heritage Housing of Tulsa</x:v>
      </x:c>
      <x:c r="C4719" t="str" s="2">
        <x:v/>
      </x:c>
      <x:c r="D4719" t="str" s="2">
        <x:v>9189015695</x:v>
      </x:c>
      <x:c r="E4719" t="str" s="2">
        <x:v>gollygreengiant24@gmail.com</x:v>
      </x:c>
      <x:c r="F4719" t="str" s="2">
        <x:v>Youtube</x:v>
      </x:c>
      <x:c r="G4719" t="str" s="2">
        <x:v>Jenna Fransisco</x:v>
      </x:c>
      <x:c r="H4719" s="6">
        <x:v>46282.95218040509</x:v>
      </x:c>
      <x:c r="I4719" s="0"/>
      <x:c r="J4719" s="0"/>
      <x:c r="K4719" s="6">
        <x:v>46286</x:v>
      </x:c>
      <x:c r="L4719" t="str" s="2">
        <x:v>Message Sent</x:v>
      </x:c>
    </x:row>
    <x:row r="4720">
      <x:c r="A4720" t="str" s="2">
        <x:f>="Kenneth Ashmore"</x:f>
      </x:c>
      <x:c r="B4720" t="str" s="2">
        <x:v>Heritage Housing of Canton</x:v>
      </x:c>
      <x:c r="C4720" t="str" s="2">
        <x:v/>
      </x:c>
      <x:c r="D4720" t="str" s="2">
        <x:v>4302526512</x:v>
      </x:c>
      <x:c r="E4720" t="str" s="2">
        <x:v>k67ashmore@gmail.com</x:v>
      </x:c>
      <x:c r="F4720" t="str" s="2">
        <x:v>Youtube</x:v>
      </x:c>
      <x:c r="G4720" t="str" s="2">
        <x:v>Maira Garcia</x:v>
      </x:c>
      <x:c r="H4720" s="6">
        <x:v>46282.966674386575</x:v>
      </x:c>
      <x:c r="I4720" s="0"/>
      <x:c r="J4720" s="0"/>
      <x:c r="K4720" s="6">
        <x:v>46283</x:v>
      </x:c>
      <x:c r="L4720" t="str" s="2">
        <x:v>Message Sent</x:v>
      </x:c>
    </x:row>
    <x:row r="4721">
      <x:c r="A4721" t="str" s="2">
        <x:f>="Taylor Holcomb"</x:f>
      </x:c>
      <x:c r="B4721" t="str" s="2">
        <x:v>Heritage Housing of Canton</x:v>
      </x:c>
      <x:c r="C4721" t="str" s="2">
        <x:v/>
      </x:c>
      <x:c r="D4721" t="str" s="2">
        <x:v>9032632121</x:v>
      </x:c>
      <x:c r="E4721" t="str" s="2">
        <x:v>kaydynsmom@gmail.com</x:v>
      </x:c>
      <x:c r="F4721" t="str" s="2">
        <x:v>Financing Form</x:v>
      </x:c>
      <x:c r="G4721" t="str" s="2">
        <x:v>Jacob Hatten</x:v>
      </x:c>
      <x:c r="H4721" s="6">
        <x:v>46282.98948912037</x:v>
      </x:c>
      <x:c r="I4721" s="0"/>
      <x:c r="J4721" s="0"/>
      <x:c r="K4721" s="6">
        <x:v>46283</x:v>
      </x:c>
      <x:c r="L4721" t="str" s="2">
        <x:v>Message Sent</x:v>
      </x:c>
    </x:row>
    <x:row r="4722">
      <x:c r="A4722" t="str" s="2">
        <x:f>="Wendy Dressler"</x:f>
      </x:c>
      <x:c r="B4722" t="str" s="2">
        <x:v>Heritage Housing of Tulsa</x:v>
      </x:c>
      <x:c r="C4722" t="str" s="2">
        <x:v/>
      </x:c>
      <x:c r="D4722" t="str" s="2">
        <x:v>9188998339</x:v>
      </x:c>
      <x:c r="E4722" t="str" s="2">
        <x:v>Wdressler3@gmail.com</x:v>
      </x:c>
      <x:c r="F4722" t="str" s="2">
        <x:v>Website</x:v>
      </x:c>
      <x:c r="G4722" t="str" s="2">
        <x:v>Jenna Fransisco</x:v>
      </x:c>
      <x:c r="H4722" s="6">
        <x:v>46282.99409918982</x:v>
      </x:c>
      <x:c r="I4722" s="0"/>
      <x:c r="J4722" s="0"/>
      <x:c r="K4722" s="6">
        <x:v>46286</x:v>
      </x:c>
      <x:c r="L4722" t="str" s="2">
        <x:v>Message Sent</x:v>
      </x:c>
    </x:row>
    <x:row r="4723">
      <x:c r="A4723" t="str" s="2">
        <x:f>="Belinda Frye"</x:f>
      </x:c>
      <x:c r="B4723" t="str" s="2">
        <x:v>Heritage Housing of Greenville</x:v>
      </x:c>
      <x:c r="C4723" t="str" s="2">
        <x:v>0/1</x:v>
      </x:c>
      <x:c r="D4723" t="str" s="2">
        <x:v>9453417043</x:v>
      </x:c>
      <x:c r="E4723" t="str" s="2">
        <x:v>belindafrye11@gmail.com</x:v>
      </x:c>
      <x:c r="F4723" t="str" s="2">
        <x:v>Landing_BPM</x:v>
      </x:c>
      <x:c r="G4723" t="str" s="2">
        <x:v>Greg Christman</x:v>
      </x:c>
      <x:c r="H4723" s="6">
        <x:v>46283.03166855324</x:v>
      </x:c>
      <x:c r="I4723" s="0"/>
      <x:c r="J4723" s="0"/>
      <x:c r="K4723" s="6">
        <x:v>46295</x:v>
      </x:c>
      <x:c r="L4723" t="str" s="2">
        <x:v>Message Sent</x:v>
      </x:c>
    </x:row>
    <x:row r="4724">
      <x:c r="A4724" t="str" s="2">
        <x:f>="Dean Roberts"</x:f>
      </x:c>
      <x:c r="B4724" t="str" s="2">
        <x:v>Heritage Housing of Asheboro</x:v>
      </x:c>
      <x:c r="C4724" t="str" s="2">
        <x:v/>
      </x:c>
      <x:c r="D4724" t="str" s="2">
        <x:v>9804977732</x:v>
      </x:c>
      <x:c r="E4724" t="str" s="2">
        <x:v>robertsdiona0@gmail.com</x:v>
      </x:c>
      <x:c r="F4724" t="str" s="2">
        <x:v>Youtube</x:v>
      </x:c>
      <x:c r="G4724" t="str" s="2">
        <x:v>Kate Gutierrez</x:v>
      </x:c>
      <x:c r="H4724" s="6">
        <x:v>46283.03747971065</x:v>
      </x:c>
      <x:c r="I4724" s="0"/>
      <x:c r="J4724" s="0"/>
      <x:c r="K4724" s="6">
        <x:v>46283</x:v>
      </x:c>
      <x:c r="L4724" t="str" s="2">
        <x:v>Message Sent</x:v>
      </x:c>
    </x:row>
    <x:row r="4725">
      <x:c r="A4725" t="str" s="2">
        <x:f>="Myles Morgan"</x:f>
      </x:c>
      <x:c r="B4725" t="str" s="2">
        <x:v>Legacy Housing Corp. DBA Americasa</x:v>
      </x:c>
      <x:c r="C4725" t="str" s="2">
        <x:v/>
      </x:c>
      <x:c r="D4725" t="str" s="2">
        <x:v>3373238532</x:v>
      </x:c>
      <x:c r="E4725" t="str" s="2">
        <x:v>mmyles1213@gmail.com</x:v>
      </x:c>
      <x:c r="F4725" t="str" s="2">
        <x:v>Landing_BPM</x:v>
      </x:c>
      <x:c r="G4725" t="str" s="2">
        <x:v>Rodrigo Ramirez</x:v>
      </x:c>
      <x:c r="H4725" s="6">
        <x:v>46283.03942291666</x:v>
      </x:c>
      <x:c r="I4725" s="0"/>
      <x:c r="J4725" s="0"/>
      <x:c r="K4725" s="6">
        <x:v>46283</x:v>
      </x:c>
      <x:c r="L4725" t="str" s="2">
        <x:v>Message Sent</x:v>
      </x:c>
    </x:row>
    <x:row r="4726">
      <x:c r="A4726" t="str" s="2">
        <x:f>="Aimee Moore"</x:f>
      </x:c>
      <x:c r="B4726" t="str" s="2">
        <x:v>Heritage Housing of Tulsa</x:v>
      </x:c>
      <x:c r="C4726" t="str" s="2">
        <x:v/>
      </x:c>
      <x:c r="D4726" t="str" s="2">
        <x:v>9184364156</x:v>
      </x:c>
      <x:c r="E4726" t="str" s="2">
        <x:v>aimeelmoore51@gmail.com</x:v>
      </x:c>
      <x:c r="F4726" t="str" s="2">
        <x:v>Youtube</x:v>
      </x:c>
      <x:c r="G4726" t="str" s="2">
        <x:v>Jenna Fransisco</x:v>
      </x:c>
      <x:c r="H4726" s="6">
        <x:v>46283.03982734954</x:v>
      </x:c>
      <x:c r="I4726" s="0"/>
      <x:c r="J4726" s="0"/>
      <x:c r="K4726" s="6">
        <x:v>46286</x:v>
      </x:c>
      <x:c r="L4726" t="str" s="2">
        <x:v>Message Sent</x:v>
      </x:c>
    </x:row>
    <x:row r="4727">
      <x:c r="A4727" t="str" s="2">
        <x:f>="Keenan Robinson"</x:f>
      </x:c>
      <x:c r="B4727" t="str" s="2">
        <x:v>Heritage Housing of Asheboro</x:v>
      </x:c>
      <x:c r="C4727" t="str" s="2">
        <x:v/>
      </x:c>
      <x:c r="D4727" t="str" s="2">
        <x:v>3364978257</x:v>
      </x:c>
      <x:c r="E4727" t="str" s="2">
        <x:v>antonking76@gmail.com</x:v>
      </x:c>
      <x:c r="F4727" t="str" s="2">
        <x:v>Youtube</x:v>
      </x:c>
      <x:c r="G4727" t="str" s="2">
        <x:v>Maria Lopez</x:v>
      </x:c>
      <x:c r="H4727" s="6">
        <x:v>46283.04860239584</x:v>
      </x:c>
      <x:c r="I4727" s="0"/>
      <x:c r="J4727" s="0"/>
      <x:c r="K4727" s="6">
        <x:v>46283</x:v>
      </x:c>
      <x:c r="L4727" t="str" s="2">
        <x:v>Message Sent</x:v>
      </x:c>
    </x:row>
    <x:row r="4728">
      <x:c r="A4728" t="str" s="2">
        <x:f>="Betty Carter"</x:f>
      </x:c>
      <x:c r="B4728" t="str" s="2">
        <x:v>Heritage Housing of Asheboro</x:v>
      </x:c>
      <x:c r="C4728" t="str" s="2">
        <x:v/>
      </x:c>
      <x:c r="D4728" t="str" s="2">
        <x:v>9803467569</x:v>
      </x:c>
      <x:c r="E4728" t="str" s="2">
        <x:v>carterb5012@gmail.com</x:v>
      </x:c>
      <x:c r="F4728" t="str" s="2">
        <x:v>Youtube</x:v>
      </x:c>
      <x:c r="G4728" t="str" s="2">
        <x:v>Maria Lopez</x:v>
      </x:c>
      <x:c r="H4728" s="6">
        <x:v>46283.051425150465</x:v>
      </x:c>
      <x:c r="I4728" s="0"/>
      <x:c r="J4728" s="0"/>
      <x:c r="K4728" s="6">
        <x:v>46288</x:v>
      </x:c>
      <x:c r="L4728" t="str" s="2">
        <x:v>Message Sent</x:v>
      </x:c>
    </x:row>
    <x:row r="4729">
      <x:c r="A4729" t="str" s="2">
        <x:f>="Charles Ford"</x:f>
      </x:c>
      <x:c r="B4729" t="str" s="2">
        <x:v>Heritage Housing of Albany</x:v>
      </x:c>
      <x:c r="C4729" t="str" s="2">
        <x:v>0/1</x:v>
      </x:c>
      <x:c r="D4729" t="str" s="2">
        <x:v>2294395742</x:v>
      </x:c>
      <x:c r="E4729" t="str" s="2">
        <x:v>cford4351@gmail.com</x:v>
      </x:c>
      <x:c r="F4729" t="str" s="2">
        <x:v>Landing_BPM</x:v>
      </x:c>
      <x:c r="G4729" t="str" s="2">
        <x:v>Yanet Alvarez</x:v>
      </x:c>
      <x:c r="H4729" s="6">
        <x:v>46283.05499065972</x:v>
      </x:c>
      <x:c r="I4729" s="0"/>
      <x:c r="J4729" s="0"/>
      <x:c r="K4729" s="6">
        <x:v>46298</x:v>
      </x:c>
      <x:c r="L4729" t="str" s="2">
        <x:v>Message Sent</x:v>
      </x:c>
    </x:row>
    <x:row r="4730">
      <x:c r="A4730" t="str" s="2">
        <x:f>=HYPERLINK("https://rsms.futurehomex.com/lead/40222", "Dustin Moline")</x:f>
      </x:c>
      <x:c r="B4730" t="str" s="2">
        <x:v>Heritage Housing of Canton</x:v>
      </x:c>
      <x:c r="C4730" t="str" s="2">
        <x:v/>
      </x:c>
      <x:c r="D4730" t="str" s="2">
        <x:v>9035765557</x:v>
      </x:c>
      <x:c r="E4730" t="str" s="2">
        <x:v>shorthood78@gmail.com</x:v>
      </x:c>
      <x:c r="F4730" t="str" s="2">
        <x:v>LandingPage</x:v>
      </x:c>
      <x:c r="G4730" t="str" s="2">
        <x:v>Maira Garcia</x:v>
      </x:c>
      <x:c r="H4730" s="6">
        <x:v>46283.091095219905</x:v>
      </x:c>
      <x:c r="I4730" t="str" s="2">
        <x:v>Jacob Hatten</x:v>
      </x:c>
      <x:c r="J4730" s="0"/>
      <x:c r="K4730" s="6">
        <x:v>46283</x:v>
      </x:c>
      <x:c r="L4730" t="str" s="2">
        <x:v>Message Sent</x:v>
      </x:c>
    </x:row>
    <x:row r="4731">
      <x:c r="A4731" t="str" s="2">
        <x:f>="Joseph Brooks"</x:f>
      </x:c>
      <x:c r="B4731" t="str" s="2">
        <x:v>Heritage Housing of Albany</x:v>
      </x:c>
      <x:c r="C4731" t="str" s="2">
        <x:v/>
      </x:c>
      <x:c r="D4731" t="str" s="2">
        <x:v>7064434869</x:v>
      </x:c>
      <x:c r="E4731" t="str" s="2">
        <x:v>harrelljoseph407@gmail.com</x:v>
      </x:c>
      <x:c r="F4731" t="str" s="2">
        <x:v>Youtube</x:v>
      </x:c>
      <x:c r="G4731" t="str" s="2">
        <x:v>Yanet Alvarez</x:v>
      </x:c>
      <x:c r="H4731" s="6">
        <x:v>46283.09463943287</x:v>
      </x:c>
      <x:c r="I4731" s="0"/>
      <x:c r="J4731" s="0"/>
      <x:c r="K4731" s="6">
        <x:v>46307</x:v>
      </x:c>
      <x:c r="L4731" t="str" s="2">
        <x:v>Message Sent</x:v>
      </x:c>
    </x:row>
    <x:row r="4732">
      <x:c r="A4732" t="str" s="2">
        <x:f>="Tracy White"</x:f>
      </x:c>
      <x:c r="B4732" t="str" s="2">
        <x:v>Heritage Housing of Canton</x:v>
      </x:c>
      <x:c r="C4732" t="str" s="2">
        <x:v/>
      </x:c>
      <x:c r="D4732" t="str" s="2">
        <x:v>9037201301</x:v>
      </x:c>
      <x:c r="E4732" t="str" s="2">
        <x:v>tracyandrj2017@gmail.com</x:v>
      </x:c>
      <x:c r="F4732" t="str" s="2">
        <x:v>Website</x:v>
      </x:c>
      <x:c r="G4732" t="str" s="2">
        <x:v>Jacob Hatten</x:v>
      </x:c>
      <x:c r="H4732" s="6">
        <x:v>46283.154482488426</x:v>
      </x:c>
      <x:c r="I4732" s="0"/>
      <x:c r="J4732" s="0"/>
      <x:c r="K4732" s="6">
        <x:v>46283</x:v>
      </x:c>
      <x:c r="L4732" t="str" s="2">
        <x:v>Message Sent</x:v>
      </x:c>
    </x:row>
    <x:row r="4733">
      <x:c r="A4733" t="str" s="2">
        <x:f>="Katrina Mitchell"</x:f>
      </x:c>
      <x:c r="B4733" t="str" s="2">
        <x:v>Heritage Housing of Canton</x:v>
      </x:c>
      <x:c r="C4733" t="str" s="2">
        <x:v/>
      </x:c>
      <x:c r="D4733" t="str" s="2">
        <x:v>4302074671</x:v>
      </x:c>
      <x:c r="E4733" t="str" s="2">
        <x:v>katrinamitchell22316@gmail.com</x:v>
      </x:c>
      <x:c r="F4733" t="str" s="2">
        <x:v>Website</x:v>
      </x:c>
      <x:c r="G4733" t="str" s="2">
        <x:v>Jacob Hatten</x:v>
      </x:c>
      <x:c r="H4733" s="6">
        <x:v>46283.183264467596</x:v>
      </x:c>
      <x:c r="I4733" s="0"/>
      <x:c r="J4733" s="0"/>
      <x:c r="K4733" s="6">
        <x:v>46283</x:v>
      </x:c>
      <x:c r="L4733" t="str" s="2">
        <x:v>Message Sent</x:v>
      </x:c>
    </x:row>
    <x:row r="4734">
      <x:c r="A4734" t="str" s="2">
        <x:f>="Marcus Frederick"</x:f>
      </x:c>
      <x:c r="B4734" t="str" s="2">
        <x:v>Heritage Housing of Athens</x:v>
      </x:c>
      <x:c r="C4734" t="str" s="2">
        <x:v/>
      </x:c>
      <x:c r="D4734" t="str" s="2">
        <x:v>7063813679</x:v>
      </x:c>
      <x:c r="E4734" t="str" s="2">
        <x:v>bigdawg545@gmail.com</x:v>
      </x:c>
      <x:c r="F4734" t="str" s="2">
        <x:v>Landing_BPM</x:v>
      </x:c>
      <x:c r="G4734" t="str" s="2">
        <x:v>Nathan Bishop</x:v>
      </x:c>
      <x:c r="H4734" s="6">
        <x:v>46283.21923012732</x:v>
      </x:c>
      <x:c r="I4734" s="0"/>
      <x:c r="J4734" s="0"/>
      <x:c r="K4734" s="6">
        <x:v>46283</x:v>
      </x:c>
      <x:c r="L4734" t="str" s="2">
        <x:v>Message Sent</x:v>
      </x:c>
    </x:row>
    <x:row r="4735">
      <x:c r="A4735" t="str" s="2">
        <x:f>="stephen flynn"</x:f>
      </x:c>
      <x:c r="B4735" t="str" s="2">
        <x:v>Heritage Housing of Tulsa</x:v>
      </x:c>
      <x:c r="C4735" t="str" s="2">
        <x:v/>
      </x:c>
      <x:c r="D4735" t="str" s="2">
        <x:v>6312589318</x:v>
      </x:c>
      <x:c r="E4735" t="str" s="2">
        <x:v>sjf239@cornell.edu</x:v>
      </x:c>
      <x:c r="F4735" t="str" s="2">
        <x:v>Landing_BPM</x:v>
      </x:c>
      <x:c r="G4735" t="str" s="2">
        <x:v>Jenna Fransisco</x:v>
      </x:c>
      <x:c r="H4735" s="6">
        <x:v>46283.601973460645</x:v>
      </x:c>
      <x:c r="I4735" s="0"/>
      <x:c r="J4735" s="0"/>
      <x:c r="K4735" s="6">
        <x:v>46286</x:v>
      </x:c>
      <x:c r="L4735" t="str" s="2">
        <x:v>Message Sent</x:v>
      </x:c>
    </x:row>
    <x:row r="4736">
      <x:c r="A4736" t="str" s="2">
        <x:f>="Donella Gray"</x:f>
      </x:c>
      <x:c r="B4736" t="str" s="2">
        <x:v>Heritage Housing of Asheboro</x:v>
      </x:c>
      <x:c r="C4736" t="str" s="2">
        <x:v/>
      </x:c>
      <x:c r="D4736" t="str" s="2">
        <x:v>3369918531</x:v>
      </x:c>
      <x:c r="E4736" t="str" s="2">
        <x:v>donellagray31@gmail.com</x:v>
      </x:c>
      <x:c r="F4736" t="str" s="2">
        <x:v>Landing_BPM</x:v>
      </x:c>
      <x:c r="G4736" t="str" s="2">
        <x:v>Maria Lopez</x:v>
      </x:c>
      <x:c r="H4736" s="6">
        <x:v>46283.657014502314</x:v>
      </x:c>
      <x:c r="I4736" s="0"/>
      <x:c r="J4736" s="0"/>
      <x:c r="K4736" s="6">
        <x:v>46288</x:v>
      </x:c>
      <x:c r="L4736" t="str" s="2">
        <x:v>Message Sent</x:v>
      </x:c>
    </x:row>
    <x:row r="4737">
      <x:c r="A4737" t="str" s="2">
        <x:f>="Gina Nash"</x:f>
      </x:c>
      <x:c r="B4737" t="str" s="2">
        <x:v>Heritage Housing of Canton</x:v>
      </x:c>
      <x:c r="C4737" t="str" s="2">
        <x:v/>
      </x:c>
      <x:c r="D4737" t="str" s="2">
        <x:v>6823304759</x:v>
      </x:c>
      <x:c r="E4737" t="str" s="2">
        <x:v>ginamadnash@gmail.com</x:v>
      </x:c>
      <x:c r="F4737" t="str" s="2">
        <x:v>Youtube</x:v>
      </x:c>
      <x:c r="G4737" t="str" s="2">
        <x:v>Maira Garcia</x:v>
      </x:c>
      <x:c r="H4737" s="6">
        <x:v>46283.70168877315</x:v>
      </x:c>
      <x:c r="I4737" s="0"/>
      <x:c r="J4737" s="0"/>
      <x:c r="K4737" s="6">
        <x:v>46285</x:v>
      </x:c>
      <x:c r="L4737" t="str" s="2">
        <x:v>Message Sent</x:v>
      </x:c>
    </x:row>
    <x:row r="4738">
      <x:c r="A4738" t="str" s="2">
        <x:f>="Alfredo Olivas"</x:f>
      </x:c>
      <x:c r="B4738" t="str" s="2">
        <x:v>Heritage Housing of Asheboro</x:v>
      </x:c>
      <x:c r="C4738" t="str" s="2">
        <x:v/>
      </x:c>
      <x:c r="D4738" t="str" s="2">
        <x:v>9802831595</x:v>
      </x:c>
      <x:c r="E4738" t="str" s="2">
        <x:v>olivasc552@gmail.com</x:v>
      </x:c>
      <x:c r="F4738" t="str" s="2">
        <x:v>Website</x:v>
      </x:c>
      <x:c r="G4738" t="str" s="2">
        <x:v>Kate Gutierrez</x:v>
      </x:c>
      <x:c r="H4738" s="6">
        <x:v>46283.71426959491</x:v>
      </x:c>
      <x:c r="I4738" s="0"/>
      <x:c r="J4738" s="0"/>
      <x:c r="K4738" s="6">
        <x:v>46283</x:v>
      </x:c>
      <x:c r="L4738" t="str" s="2">
        <x:v>Message Sent</x:v>
      </x:c>
    </x:row>
    <x:row r="4739">
      <x:c r="A4739" t="str" s="2">
        <x:f>="Tamara Guther"</x:f>
      </x:c>
      <x:c r="B4739" t="str" s="2">
        <x:v>Heritage Housing of Tulsa</x:v>
      </x:c>
      <x:c r="C4739" t="str" s="2">
        <x:v/>
      </x:c>
      <x:c r="D4739" t="str" s="2">
        <x:v>4058562023</x:v>
      </x:c>
      <x:c r="E4739" t="str" s="2">
        <x:v>tamaraguther3259@gmail.com</x:v>
      </x:c>
      <x:c r="F4739" t="str" s="2">
        <x:v>Bing - Search</x:v>
      </x:c>
      <x:c r="G4739" t="str" s="2">
        <x:v>Jenna Fransisco</x:v>
      </x:c>
      <x:c r="H4739" s="6">
        <x:v>46283.74465019676</x:v>
      </x:c>
      <x:c r="I4739" s="0"/>
      <x:c r="J4739" s="0"/>
      <x:c r="K4739" s="6">
        <x:v>46286</x:v>
      </x:c>
      <x:c r="L4739" t="str" s="2">
        <x:v>Message Sent</x:v>
      </x:c>
    </x:row>
    <x:row r="4740">
      <x:c r="A4740" t="str" s="2">
        <x:f>="Paul Lewis"</x:f>
      </x:c>
      <x:c r="B4740" t="str" s="2">
        <x:v>Heritage Housing of Augusta</x:v>
      </x:c>
      <x:c r="C4740" t="str" s="2">
        <x:v/>
      </x:c>
      <x:c r="D4740" t="str" s="2">
        <x:v>8034433935</x:v>
      </x:c>
      <x:c r="E4740" t="str" s="2">
        <x:v>lewipaul63@gmail.com</x:v>
      </x:c>
      <x:c r="F4740" t="str" s="2">
        <x:v>LandingPage</x:v>
      </x:c>
      <x:c r="G4740" t="str" s="2">
        <x:v>Jennifer Johnson</x:v>
      </x:c>
      <x:c r="H4740" s="6">
        <x:v>46283.770447835646</x:v>
      </x:c>
      <x:c r="I4740" s="0"/>
      <x:c r="J4740" s="0"/>
      <x:c r="K4740" s="6">
        <x:v>46284</x:v>
      </x:c>
      <x:c r="L4740" t="str" s="2">
        <x:v>Message Sent</x:v>
      </x:c>
    </x:row>
    <x:row r="4741">
      <x:c r="A4741" t="str" s="2">
        <x:f>="Shawna French"</x:f>
      </x:c>
      <x:c r="B4741" t="str" s="2">
        <x:v>Heritage Housing of Jennings</x:v>
      </x:c>
      <x:c r="C4741" t="str" s="2">
        <x:v/>
      </x:c>
      <x:c r="D4741" t="str" s="2">
        <x:v>8104947985</x:v>
      </x:c>
      <x:c r="E4741" t="str" s="2">
        <x:v>shawnafrench26@gmail.com</x:v>
      </x:c>
      <x:c r="F4741" t="str" s="2">
        <x:v>Financing Form</x:v>
      </x:c>
      <x:c r="G4741" t="str" s="2">
        <x:v>Clint O'Neal</x:v>
      </x:c>
      <x:c r="H4741" s="6">
        <x:v>46283.77620015046</x:v>
      </x:c>
      <x:c r="I4741" s="0"/>
      <x:c r="J4741" s="0"/>
      <x:c r="K4741" s="6">
        <x:v>46302.65776180555</x:v>
      </x:c>
      <x:c r="L4741" t="str" s="2">
        <x:v>Message Sent</x:v>
      </x:c>
    </x:row>
    <x:row r="4742">
      <x:c r="A4742" t="str" s="2">
        <x:f>="Jonathan Salazar"</x:f>
      </x:c>
      <x:c r="B4742" t="str" s="2">
        <x:v>Legacy Housing Corp. DBA Americasa</x:v>
      </x:c>
      <x:c r="C4742" t="str" s="2">
        <x:v/>
      </x:c>
      <x:c r="D4742" t="str" s="2">
        <x:v>8327193933</x:v>
      </x:c>
      <x:c r="E4742" t="str" s="2">
        <x:v>jonathansalazar429@gmail.com</x:v>
      </x:c>
      <x:c r="F4742" t="str" s="2">
        <x:v>Landing_BPM</x:v>
      </x:c>
      <x:c r="G4742" t="str" s="2">
        <x:v>Jose Parada</x:v>
      </x:c>
      <x:c r="H4742" s="6">
        <x:v>46283.77833298611</x:v>
      </x:c>
      <x:c r="I4742" s="0"/>
      <x:c r="J4742" s="0"/>
      <x:c r="K4742" s="6">
        <x:v>46284</x:v>
      </x:c>
      <x:c r="L4742" t="str" s="2">
        <x:v>Message Sent</x:v>
      </x:c>
    </x:row>
    <x:row r="4743">
      <x:c r="A4743" t="str" s="2">
        <x:f>="Dana Moultrie"</x:f>
      </x:c>
      <x:c r="B4743" t="str" s="2">
        <x:v>Heritage Housing of Augusta</x:v>
      </x:c>
      <x:c r="C4743" t="str" s="2">
        <x:v>1/6</x:v>
      </x:c>
      <x:c r="D4743" t="str" s="2">
        <x:v>3522296582</x:v>
      </x:c>
      <x:c r="E4743" t="str" s="2">
        <x:v>anubianqueen79@gmail.com</x:v>
      </x:c>
      <x:c r="F4743" t="str" s="2">
        <x:v>Landing_BPM</x:v>
      </x:c>
      <x:c r="G4743" t="str" s="2">
        <x:v>Jennifer Johnson</x:v>
      </x:c>
      <x:c r="H4743" s="6">
        <x:v>46283.80470505787</x:v>
      </x:c>
      <x:c r="I4743" s="0"/>
      <x:c r="J4743" s="0"/>
      <x:c r="K4743" s="6">
        <x:v>46304</x:v>
      </x:c>
      <x:c r="L4743" t="str" s="2">
        <x:v>Message Sent</x:v>
      </x:c>
    </x:row>
    <x:row r="4744">
      <x:c r="A4744" t="str" s="2">
        <x:f>="Cindy Campo"</x:f>
      </x:c>
      <x:c r="B4744" t="str" s="2">
        <x:v>Heritage Housing of Greenville</x:v>
      </x:c>
      <x:c r="C4744" t="str" s="2">
        <x:v/>
      </x:c>
      <x:c r="D4744" t="str" s="2">
        <x:v>5802793835</x:v>
      </x:c>
      <x:c r="E4744" t="str" s="2">
        <x:v>cindycampo264@gmail.com</x:v>
      </x:c>
      <x:c r="F4744" t="str" s="2">
        <x:v>Website</x:v>
      </x:c>
      <x:c r="G4744" t="str" s="2">
        <x:v>Brooklynn Allen</x:v>
      </x:c>
      <x:c r="H4744" s="6">
        <x:v>46283.81412809028</x:v>
      </x:c>
      <x:c r="I4744" s="0"/>
      <x:c r="J4744" s="0"/>
      <x:c r="K4744" s="6">
        <x:v>46284</x:v>
      </x:c>
      <x:c r="L4744" t="str" s="2">
        <x:v>Message Sent</x:v>
      </x:c>
    </x:row>
    <x:row r="4745">
      <x:c r="A4745" t="str" s="2">
        <x:f>="Fannie Jones"</x:f>
      </x:c>
      <x:c r="B4745" t="str" s="2">
        <x:v>Heritage Housing of Asheboro</x:v>
      </x:c>
      <x:c r="C4745" t="str" s="2">
        <x:v/>
      </x:c>
      <x:c r="D4745" t="str" s="2">
        <x:v>3368588212</x:v>
      </x:c>
      <x:c r="E4745" t="str" s="2">
        <x:v>fannyjones2024@gmail.com</x:v>
      </x:c>
      <x:c r="F4745" t="str" s="2">
        <x:v>Youtube</x:v>
      </x:c>
      <x:c r="G4745" t="str" s="2">
        <x:v>Maria Lopez</x:v>
      </x:c>
      <x:c r="H4745" s="6">
        <x:v>46283.82619571759</x:v>
      </x:c>
      <x:c r="I4745" s="0"/>
      <x:c r="J4745" s="0"/>
      <x:c r="K4745" s="6">
        <x:v>46283</x:v>
      </x:c>
      <x:c r="L4745" t="str" s="2">
        <x:v>Message Sent</x:v>
      </x:c>
    </x:row>
    <x:row r="4746">
      <x:c r="A4746" t="str" s="2">
        <x:f>="James Augusta"</x:f>
      </x:c>
      <x:c r="B4746" t="str" s="2">
        <x:v>Heritage Housing of Albany</x:v>
      </x:c>
      <x:c r="C4746" t="str" s="2">
        <x:v/>
      </x:c>
      <x:c r="D4746" t="str" s="2">
        <x:v>7028443733</x:v>
      </x:c>
      <x:c r="E4746" t="str" s="2">
        <x:v>jamesalexander233391@gmail.com</x:v>
      </x:c>
      <x:c r="F4746" t="str" s="2">
        <x:v>Financing Form</x:v>
      </x:c>
      <x:c r="G4746" t="str" s="2">
        <x:v>Yanet Alvarez</x:v>
      </x:c>
      <x:c r="H4746" s="6">
        <x:v>46283.82992106482</x:v>
      </x:c>
      <x:c r="I4746" s="0"/>
      <x:c r="J4746" s="0"/>
      <x:c r="K4746" s="6">
        <x:v>46283</x:v>
      </x:c>
      <x:c r="L4746" t="str" s="2">
        <x:v>Message Sent</x:v>
      </x:c>
    </x:row>
    <x:row r="4747">
      <x:c r="A4747" t="str" s="2">
        <x:f>="Jennifer Umbarger"</x:f>
      </x:c>
      <x:c r="B4747" t="str" s="2">
        <x:v>Heritage Housing of Tulsa</x:v>
      </x:c>
      <x:c r="C4747" t="str" s="2">
        <x:v/>
      </x:c>
      <x:c r="D4747" t="str" s="2">
        <x:v>9185598145</x:v>
      </x:c>
      <x:c r="E4747" t="str" s="2">
        <x:v>jenltatum1983@gmail.com</x:v>
      </x:c>
      <x:c r="F4747" t="str" s="2">
        <x:v>Website</x:v>
      </x:c>
      <x:c r="G4747" t="str" s="2">
        <x:v>Jenna Fransisco</x:v>
      </x:c>
      <x:c r="H4747" s="6">
        <x:v>46283.84740795139</x:v>
      </x:c>
      <x:c r="I4747" s="0"/>
      <x:c r="J4747" s="0"/>
      <x:c r="K4747" s="6">
        <x:v>46287</x:v>
      </x:c>
      <x:c r="L4747" t="str" s="2">
        <x:v>Message Sent</x:v>
      </x:c>
    </x:row>
    <x:row r="4748">
      <x:c r="A4748" t="str" s="2">
        <x:f>="Jonathan Stringfellow"</x:f>
      </x:c>
      <x:c r="B4748" t="str" s="2">
        <x:v>Heritage Housing of Asheboro</x:v>
      </x:c>
      <x:c r="C4748" t="str" s="2">
        <x:v/>
      </x:c>
      <x:c r="D4748" t="str" s="2">
        <x:v>9103037269</x:v>
      </x:c>
      <x:c r="E4748" t="str" s="2">
        <x:v>HHCLEANING90@GMAIL.COM</x:v>
      </x:c>
      <x:c r="F4748" t="str" s="2">
        <x:v>Youtube</x:v>
      </x:c>
      <x:c r="G4748" t="str" s="2">
        <x:v>Maria Lopez</x:v>
      </x:c>
      <x:c r="H4748" s="6">
        <x:v>46283.864522800926</x:v>
      </x:c>
      <x:c r="I4748" s="0"/>
      <x:c r="J4748" s="0"/>
      <x:c r="K4748" s="6">
        <x:v>46288</x:v>
      </x:c>
      <x:c r="L4748" t="str" s="2">
        <x:v>Message Sent</x:v>
      </x:c>
    </x:row>
    <x:row r="4749">
      <x:c r="A4749" t="str" s="2">
        <x:f>="Rosie m McClendon284@gmail.com"</x:f>
      </x:c>
      <x:c r="B4749" t="str" s="2">
        <x:v>Heritage Housing of Jennings</x:v>
      </x:c>
      <x:c r="C4749" t="str" s="2">
        <x:v/>
      </x:c>
      <x:c r="D4749" t="str" s="2">
        <x:v>6012535865</x:v>
      </x:c>
      <x:c r="E4749" t="str" s="2">
        <x:v>mrs.rosiemariemcclendon@gmail.com</x:v>
      </x:c>
      <x:c r="F4749" t="str" s="2">
        <x:v>Youtube</x:v>
      </x:c>
      <x:c r="G4749" t="str" s="2">
        <x:v>Mervin Leslie Smith</x:v>
      </x:c>
      <x:c r="H4749" s="6">
        <x:v>46283.91635748842</x:v>
      </x:c>
      <x:c r="I4749" s="0"/>
      <x:c r="J4749" s="0"/>
      <x:c r="K4749" s="6">
        <x:v>46302.73833113426</x:v>
      </x:c>
      <x:c r="L4749" t="str" s="2">
        <x:v>Message Sent</x:v>
      </x:c>
    </x:row>
    <x:row r="4750">
      <x:c r="A4750" t="str" s="2">
        <x:f>="Brenda Reid"</x:f>
      </x:c>
      <x:c r="B4750" t="str" s="2">
        <x:v>Heritage Housing of Albany</x:v>
      </x:c>
      <x:c r="C4750" t="str" s="2">
        <x:v/>
      </x:c>
      <x:c r="D4750" t="str" s="2">
        <x:v>6782452942</x:v>
      </x:c>
      <x:c r="E4750" t="str" s="2">
        <x:v>beeshayquon1993@gmail.com</x:v>
      </x:c>
      <x:c r="F4750" t="str" s="2">
        <x:v>Youtube</x:v>
      </x:c>
      <x:c r="G4750" t="str" s="2">
        <x:v>Yanet Alvarez</x:v>
      </x:c>
      <x:c r="H4750" s="6">
        <x:v>46283.94160621528</x:v>
      </x:c>
      <x:c r="I4750" s="0"/>
      <x:c r="J4750" s="0"/>
      <x:c r="K4750" s="6">
        <x:v>46307</x:v>
      </x:c>
      <x:c r="L4750" t="str" s="2">
        <x:v>Message Sent</x:v>
      </x:c>
    </x:row>
    <x:row r="4751">
      <x:c r="A4751" t="str" s="2">
        <x:f>="jessica george"</x:f>
      </x:c>
      <x:c r="B4751" t="str" s="2">
        <x:v>Legacy Housing Corp. DBA Americasa</x:v>
      </x:c>
      <x:c r="C4751" t="str" s="2">
        <x:v/>
      </x:c>
      <x:c r="D4751" t="str" s="2">
        <x:v>3462775275</x:v>
      </x:c>
      <x:c r="E4751" t="str" s="2">
        <x:v>jasgeorge42@gmail.com</x:v>
      </x:c>
      <x:c r="F4751" t="str" s="2">
        <x:v>Landing_BPM</x:v>
      </x:c>
      <x:c r="G4751" t="str" s="2">
        <x:v>Jose Parada</x:v>
      </x:c>
      <x:c r="H4751" s="6">
        <x:v>46283.95835995371</x:v>
      </x:c>
      <x:c r="I4751" s="0"/>
      <x:c r="J4751" s="0"/>
      <x:c r="K4751" s="6">
        <x:v>46284</x:v>
      </x:c>
      <x:c r="L4751" t="str" s="2">
        <x:v>Message Sent</x:v>
      </x:c>
    </x:row>
    <x:row r="4752">
      <x:c r="A4752" t="str" s="2">
        <x:f>=HYPERLINK("https://rsms.futurehomex.com/lead/40259", "Christopher Stephens")</x:f>
      </x:c>
      <x:c r="B4752" t="str" s="2">
        <x:v>Heritage Housing of Albany</x:v>
      </x:c>
      <x:c r="C4752" t="str" s="2">
        <x:v/>
      </x:c>
      <x:c r="D4752" t="str" s="2">
        <x:v>4046712401</x:v>
      </x:c>
      <x:c r="E4752" t="str" s="2">
        <x:v>redhotboy1986@gmail.com</x:v>
      </x:c>
      <x:c r="F4752" t="str" s="2">
        <x:v>Youtube</x:v>
      </x:c>
      <x:c r="G4752" t="str" s="2">
        <x:v>Yanet Alvarez</x:v>
      </x:c>
      <x:c r="H4752" s="6">
        <x:v>46283.97454452546</x:v>
      </x:c>
      <x:c r="I4752" t="str" s="2">
        <x:v>Nathan Bishop</x:v>
      </x:c>
      <x:c r="J4752" s="0"/>
      <x:c r="K4752" s="6">
        <x:v>46288</x:v>
      </x:c>
      <x:c r="L4752" t="str" s="2">
        <x:v>Message Sent</x:v>
      </x:c>
    </x:row>
    <x:row r="4753">
      <x:c r="A4753" t="str" s="2">
        <x:f>="Deanna Moore"</x:f>
      </x:c>
      <x:c r="B4753" t="str" s="2">
        <x:v>Heritage Housing of Canton</x:v>
      </x:c>
      <x:c r="C4753" t="str" s="2">
        <x:v/>
      </x:c>
      <x:c r="D4753" t="str" s="2">
        <x:v>19319983068</x:v>
      </x:c>
      <x:c r="E4753" t="str" s="2">
        <x:v>deborahkevin0818@gmail.com</x:v>
      </x:c>
      <x:c r="F4753" t="str" s="2">
        <x:v>Youtube</x:v>
      </x:c>
      <x:c r="G4753" t="str" s="2">
        <x:v>Maira Garcia</x:v>
      </x:c>
      <x:c r="H4753" s="6">
        <x:v>46283.990022488426</x:v>
      </x:c>
      <x:c r="I4753" s="0"/>
      <x:c r="J4753" s="0"/>
      <x:c r="K4753" s="6">
        <x:v>46285</x:v>
      </x:c>
      <x:c r="L4753" t="str" s="2">
        <x:v>Message Sent</x:v>
      </x:c>
    </x:row>
    <x:row r="4754">
      <x:c r="A4754" t="str" s="2">
        <x:f>="Barbara Smith"</x:f>
      </x:c>
      <x:c r="B4754" t="str" s="2">
        <x:v>Heritage Housing of Tulsa</x:v>
      </x:c>
      <x:c r="C4754" t="str" s="2">
        <x:v/>
      </x:c>
      <x:c r="D4754" t="str" s="2">
        <x:v>9183806524</x:v>
      </x:c>
      <x:c r="E4754" t="str" s="2">
        <x:v>barbarapattyjean@gmail.com</x:v>
      </x:c>
      <x:c r="F4754" t="str" s="2">
        <x:v>Youtube</x:v>
      </x:c>
      <x:c r="G4754" t="str" s="2">
        <x:v>Jenna Fransisco</x:v>
      </x:c>
      <x:c r="H4754" s="6">
        <x:v>46284.027680439816</x:v>
      </x:c>
      <x:c r="I4754" s="0"/>
      <x:c r="J4754" s="0"/>
      <x:c r="K4754" s="6">
        <x:v>46287</x:v>
      </x:c>
      <x:c r="L4754" t="str" s="2">
        <x:v>Message Sent</x:v>
      </x:c>
    </x:row>
    <x:row r="4755">
      <x:c r="A4755" t="str" s="2">
        <x:f>="Raul Mendoza Jr"</x:f>
      </x:c>
      <x:c r="B4755" t="str" s="2">
        <x:v>Heritage Housing Marble Falls</x:v>
      </x:c>
      <x:c r="C4755" t="str" s="2">
        <x:v/>
      </x:c>
      <x:c r="D4755" t="str" s="2">
        <x:v>2107890479</x:v>
      </x:c>
      <x:c r="E4755" t="str" s="2">
        <x:v>mend26@live.com</x:v>
      </x:c>
      <x:c r="F4755" t="str" s="2">
        <x:v>Website</x:v>
      </x:c>
      <x:c r="G4755" t="str" s="2">
        <x:v>Garrett Riedesel</x:v>
      </x:c>
      <x:c r="H4755" s="6">
        <x:v>46284.029716550926</x:v>
      </x:c>
      <x:c r="I4755" s="0"/>
      <x:c r="J4755" s="0"/>
      <x:c r="K4755" s="6">
        <x:v>46289</x:v>
      </x:c>
      <x:c r="L4755" t="str" s="2">
        <x:v>Message Sent</x:v>
      </x:c>
    </x:row>
    <x:row r="4756">
      <x:c r="A4756" t="str" s="2">
        <x:f>="Samantha Sanders Sanders"</x:f>
      </x:c>
      <x:c r="B4756" t="str" s="2">
        <x:v>Heritage Housing of Jennings</x:v>
      </x:c>
      <x:c r="C4756" t="str" s="2">
        <x:v/>
      </x:c>
      <x:c r="D4756" t="str" s="2">
        <x:v>3376077779</x:v>
      </x:c>
      <x:c r="E4756" t="str" s="2">
        <x:v>sammyrichard1991@gmail.com</x:v>
      </x:c>
      <x:c r="F4756" t="str" s="2">
        <x:v>Landing_BPM</x:v>
      </x:c>
      <x:c r="G4756" t="str" s="2">
        <x:v>Clint O'Neal</x:v>
      </x:c>
      <x:c r="H4756" s="6">
        <x:v>46284.05217835648</x:v>
      </x:c>
      <x:c r="I4756" s="0"/>
      <x:c r="J4756" s="0"/>
      <x:c r="K4756" s="6">
        <x:v>46302.65825489583</x:v>
      </x:c>
      <x:c r="L4756" t="str" s="2">
        <x:v>Message Sent</x:v>
      </x:c>
    </x:row>
    <x:row r="4757">
      <x:c r="A4757" t="str" s="2">
        <x:f>="Kelvin Bush"</x:f>
      </x:c>
      <x:c r="B4757" t="str" s="2">
        <x:v>Heritage Housing of Albany</x:v>
      </x:c>
      <x:c r="C4757" t="str" s="2">
        <x:v/>
      </x:c>
      <x:c r="D4757" t="str" s="2">
        <x:v>2294021506</x:v>
      </x:c>
      <x:c r="E4757" t="str" s="2">
        <x:v>mr.bush2910@gmail.com</x:v>
      </x:c>
      <x:c r="F4757" t="str" s="2">
        <x:v>Landing_BPM</x:v>
      </x:c>
      <x:c r="G4757" t="str" s="2">
        <x:v>Yanet Alvarez</x:v>
      </x:c>
      <x:c r="H4757" s="6">
        <x:v>46284.05383935185</x:v>
      </x:c>
      <x:c r="I4757" s="0"/>
      <x:c r="J4757" s="0"/>
      <x:c r="K4757" s="6">
        <x:v>46307</x:v>
      </x:c>
      <x:c r="L4757" t="str" s="2">
        <x:v>Message Sent</x:v>
      </x:c>
    </x:row>
    <x:row r="4758">
      <x:c r="A4758" t="str" s="2">
        <x:f>="Lindsey Smith"</x:f>
      </x:c>
      <x:c r="B4758" t="str" s="2">
        <x:v>Heritage Housing of Tulsa</x:v>
      </x:c>
      <x:c r="C4758" t="str" s="2">
        <x:v/>
      </x:c>
      <x:c r="D4758" t="str" s="2">
        <x:v>9185150463</x:v>
      </x:c>
      <x:c r="E4758" t="str" s="2">
        <x:v>smithlindseysmith8@gmail.com</x:v>
      </x:c>
      <x:c r="F4758" t="str" s="2">
        <x:v>Youtube</x:v>
      </x:c>
      <x:c r="G4758" t="str" s="2">
        <x:v>Jenna Fransisco</x:v>
      </x:c>
      <x:c r="H4758" s="6">
        <x:v>46284.05724394676</x:v>
      </x:c>
      <x:c r="I4758" s="0"/>
      <x:c r="J4758" s="0"/>
      <x:c r="K4758" s="6">
        <x:v>46287</x:v>
      </x:c>
      <x:c r="L4758" t="str" s="2">
        <x:v>Message Sent</x:v>
      </x:c>
    </x:row>
    <x:row r="4759">
      <x:c r="A4759" t="str" s="2">
        <x:f>="Ronald Mortimer Jr"</x:f>
      </x:c>
      <x:c r="B4759" t="str" s="2">
        <x:v>Heritage Housing of Asheboro</x:v>
      </x:c>
      <x:c r="C4759" t="str" s="2">
        <x:v/>
      </x:c>
      <x:c r="D4759" t="str" s="2">
        <x:v>9102202310</x:v>
      </x:c>
      <x:c r="E4759" t="str" s="2">
        <x:v>maximohipp@yahoo.com</x:v>
      </x:c>
      <x:c r="F4759" t="str" s="2">
        <x:v>Landing_BPM</x:v>
      </x:c>
      <x:c r="G4759" t="str" s="2">
        <x:v>Maria Lopez</x:v>
      </x:c>
      <x:c r="H4759" s="6">
        <x:v>46284.06270563658</x:v>
      </x:c>
      <x:c r="I4759" s="0"/>
      <x:c r="J4759" s="0"/>
      <x:c r="K4759" s="6">
        <x:v>46284</x:v>
      </x:c>
      <x:c r="L4759" t="str" s="2">
        <x:v>Message Sent</x:v>
      </x:c>
    </x:row>
    <x:row r="4760">
      <x:c r="A4760" t="str" s="2">
        <x:f>="Margaret M Hubbard"</x:f>
      </x:c>
      <x:c r="B4760" t="str" s="2">
        <x:v>Heritage Housing of Athens</x:v>
      </x:c>
      <x:c r="C4760" t="str" s="2">
        <x:v/>
      </x:c>
      <x:c r="D4760" t="str" s="2">
        <x:v>4789335355</x:v>
      </x:c>
      <x:c r="E4760" t="str" s="2">
        <x:v>Hubbardmargie99@gmail.com</x:v>
      </x:c>
      <x:c r="F4760" t="str" s="2">
        <x:v>Youtube</x:v>
      </x:c>
      <x:c r="G4760" t="str" s="2">
        <x:v>Nathan Bishop</x:v>
      </x:c>
      <x:c r="H4760" s="6">
        <x:v>46284.07240616898</x:v>
      </x:c>
      <x:c r="I4760" s="0"/>
      <x:c r="J4760" s="0"/>
      <x:c r="K4760" s="6">
        <x:v>46303</x:v>
      </x:c>
      <x:c r="L4760" t="str" s="2">
        <x:v>Message Sent</x:v>
      </x:c>
    </x:row>
    <x:row r="4761">
      <x:c r="A4761" t="str" s="2">
        <x:f>="Curtis Poole"</x:f>
      </x:c>
      <x:c r="B4761" t="str" s="2">
        <x:v>Heritage Housing of Asheboro</x:v>
      </x:c>
      <x:c r="C4761" t="str" s="2">
        <x:v/>
      </x:c>
      <x:c r="D4761" t="str" s="2">
        <x:v>3368673046</x:v>
      </x:c>
      <x:c r="E4761" t="str" s="2">
        <x:v>poolecurtis92@gmail.com</x:v>
      </x:c>
      <x:c r="F4761" t="str" s="2">
        <x:v>Youtube</x:v>
      </x:c>
      <x:c r="G4761" t="str" s="2">
        <x:v>Maria Lopez</x:v>
      </x:c>
      <x:c r="H4761" s="6">
        <x:v>46284.08526215278</x:v>
      </x:c>
      <x:c r="I4761" s="0"/>
      <x:c r="J4761" s="0"/>
      <x:c r="K4761" s="6">
        <x:v>46288</x:v>
      </x:c>
      <x:c r="L4761" t="str" s="2">
        <x:v>Message Sent</x:v>
      </x:c>
    </x:row>
    <x:row r="4762">
      <x:c r="A4762" t="str" s="2">
        <x:f>="Wendy Sampson"</x:f>
      </x:c>
      <x:c r="B4762" t="str" s="2">
        <x:v>Heritage Housing of Asheboro</x:v>
      </x:c>
      <x:c r="C4762" t="str" s="2">
        <x:v/>
      </x:c>
      <x:c r="D4762" t="str" s="2">
        <x:v>14722402919</x:v>
      </x:c>
      <x:c r="E4762" t="str" s="2">
        <x:v>sampsonwendy775@gmail.com</x:v>
      </x:c>
      <x:c r="F4762" t="str" s="2">
        <x:v>Youtube</x:v>
      </x:c>
      <x:c r="G4762" t="str" s="2">
        <x:v>Maria Lopez</x:v>
      </x:c>
      <x:c r="H4762" s="6">
        <x:v>46284.13083923611</x:v>
      </x:c>
      <x:c r="I4762" s="0"/>
      <x:c r="J4762" s="0"/>
      <x:c r="K4762" s="6">
        <x:v>46284</x:v>
      </x:c>
      <x:c r="L4762" t="str" s="2">
        <x:v>Message Sent</x:v>
      </x:c>
    </x:row>
    <x:row r="4763">
      <x:c r="A4763" t="str" s="2">
        <x:f>="Angelique Barraza"</x:f>
      </x:c>
      <x:c r="B4763" t="str" s="2">
        <x:v>Heritage Housing of Canton</x:v>
      </x:c>
      <x:c r="C4763" t="str" s="2">
        <x:v/>
      </x:c>
      <x:c r="D4763" t="str" s="2">
        <x:v>2105960448</x:v>
      </x:c>
      <x:c r="E4763" t="str" s="2">
        <x:v>angelvictoriamarquez@gmail.com</x:v>
      </x:c>
      <x:c r="F4763" t="str" s="2">
        <x:v>Youtube</x:v>
      </x:c>
      <x:c r="G4763" t="str" s="2">
        <x:v>Maira Garcia</x:v>
      </x:c>
      <x:c r="H4763" s="6">
        <x:v>46284.13905100695</x:v>
      </x:c>
      <x:c r="I4763" s="0"/>
      <x:c r="J4763" s="0"/>
      <x:c r="K4763" s="6">
        <x:v>46285</x:v>
      </x:c>
      <x:c r="L4763" t="str" s="2">
        <x:v>Message Sent</x:v>
      </x:c>
    </x:row>
    <x:row r="4764">
      <x:c r="A4764" t="str" s="2">
        <x:f>="Robertrer TerryrerGM"</x:f>
      </x:c>
      <x:c r="B4764" t="str" s="2">
        <x:v>Heritage Housing of Greenville</x:v>
      </x:c>
      <x:c r="C4764" t="str" s="2">
        <x:v/>
      </x:c>
      <x:c r="D4764" t="str" s="2">
        <x:v>89579652689</x:v>
      </x:c>
      <x:c r="E4764" t="str" s="2">
        <x:v>fwoopmi@ccgluis.agr</x:v>
      </x:c>
      <x:c r="F4764" t="str" s="2">
        <x:v>Website</x:v>
      </x:c>
      <x:c r="G4764" t="str" s="2">
        <x:v>Brooklynn Allen</x:v>
      </x:c>
      <x:c r="H4764" s="6">
        <x:v>46284.188107870374</x:v>
      </x:c>
      <x:c r="I4764" s="0"/>
      <x:c r="J4764" s="0"/>
      <x:c r="K4764" s="6">
        <x:v>46288</x:v>
      </x:c>
      <x:c r="L4764" t="str" s="2">
        <x:v>Message Sent</x:v>
      </x:c>
    </x:row>
    <x:row r="4765">
      <x:c r="A4765" t="str" s="2">
        <x:f>="Robertrer JacobrerGM"</x:f>
      </x:c>
      <x:c r="B4765" t="str" s="2">
        <x:v>Heritage Housing of Greenville</x:v>
      </x:c>
      <x:c r="C4765" t="str" s="2">
        <x:v/>
      </x:c>
      <x:c r="D4765" t="str" s="2">
        <x:v>82144114243</x:v>
      </x:c>
      <x:c r="E4765" t="str" s="2">
        <x:v>hvfbwab@hluewnj.spv</x:v>
      </x:c>
      <x:c r="F4765" t="str" s="2">
        <x:v>Website</x:v>
      </x:c>
      <x:c r="G4765" t="str" s="2">
        <x:v>Brooklynn Allen</x:v>
      </x:c>
      <x:c r="H4765" s="6">
        <x:v>46284.199775925925</x:v>
      </x:c>
      <x:c r="I4765" s="0"/>
      <x:c r="J4765" s="0"/>
      <x:c r="K4765" s="6">
        <x:v>46288</x:v>
      </x:c>
      <x:c r="L4765" t="str" s="2">
        <x:v>Message Sent</x:v>
      </x:c>
    </x:row>
    <x:row r="4766">
      <x:c r="A4766" t="str" s="2">
        <x:f>="William Rivers"</x:f>
      </x:c>
      <x:c r="B4766" t="str" s="2">
        <x:v>Heritage Housing of Asheboro</x:v>
      </x:c>
      <x:c r="C4766" t="str" s="2">
        <x:v/>
      </x:c>
      <x:c r="D4766" t="str" s="2">
        <x:v>4047708012</x:v>
      </x:c>
      <x:c r="E4766" t="str" s="2">
        <x:v>williamrivers94@gmail.com</x:v>
      </x:c>
      <x:c r="F4766" t="str" s="2">
        <x:v>Website</x:v>
      </x:c>
      <x:c r="G4766" t="str" s="2">
        <x:v>Maria Lopez</x:v>
      </x:c>
      <x:c r="H4766" s="6">
        <x:v>46284.27674533565</x:v>
      </x:c>
      <x:c r="I4766" s="0"/>
      <x:c r="J4766" s="0"/>
      <x:c r="K4766" s="6">
        <x:v>46288</x:v>
      </x:c>
      <x:c r="L4766" t="str" s="2">
        <x:v>Message Sent</x:v>
      </x:c>
    </x:row>
    <x:row r="4767">
      <x:c r="A4767" t="str" s="2">
        <x:f>="Margie Beltran"</x:f>
      </x:c>
      <x:c r="B4767" t="str" s="2">
        <x:v>Heritage Housing Mt Pleasant</x:v>
      </x:c>
      <x:c r="C4767" t="str" s="2">
        <x:v/>
      </x:c>
      <x:c r="D4767" t="str" s="2">
        <x:v>9032614267</x:v>
      </x:c>
      <x:c r="E4767" t="str" s="2">
        <x:v>met1amor@yahoo.com</x:v>
      </x:c>
      <x:c r="F4767" t="str" s="2">
        <x:v>Landing_BPM</x:v>
      </x:c>
      <x:c r="G4767" t="str" s="2">
        <x:v>Elias Gallardo</x:v>
      </x:c>
      <x:c r="H4767" s="6">
        <x:v>46284.301220636575</x:v>
      </x:c>
      <x:c r="I4767" s="0"/>
      <x:c r="J4767" s="0"/>
      <x:c r="K4767" s="6">
        <x:v>46286</x:v>
      </x:c>
      <x:c r="L4767" t="str" s="2">
        <x:v>Message Sent</x:v>
      </x:c>
    </x:row>
    <x:row r="4768">
      <x:c r="A4768" t="str" s="2">
        <x:f>="Michelle Perez"</x:f>
      </x:c>
      <x:c r="B4768" t="str" s="2">
        <x:v>Heritage Housing of Tulsa</x:v>
      </x:c>
      <x:c r="C4768" t="str" s="2">
        <x:v/>
      </x:c>
      <x:c r="D4768" t="str" s="2">
        <x:v>2107305652</x:v>
      </x:c>
      <x:c r="E4768" t="str" s="2">
        <x:v>greencard5252@gmail.com</x:v>
      </x:c>
      <x:c r="F4768" t="str" s="2">
        <x:v>Bing - Search</x:v>
      </x:c>
      <x:c r="G4768" t="str" s="2">
        <x:v>Jenna Fransisco</x:v>
      </x:c>
      <x:c r="H4768" s="6">
        <x:v>46284.30555158565</x:v>
      </x:c>
      <x:c r="I4768" s="0"/>
      <x:c r="J4768" s="0"/>
      <x:c r="K4768" s="6">
        <x:v>46287</x:v>
      </x:c>
      <x:c r="L4768" t="str" s="2">
        <x:v>Message Sent</x:v>
      </x:c>
    </x:row>
    <x:row r="4769">
      <x:c r="A4769" t="str" s="2">
        <x:f>="Labreda Conner"</x:f>
      </x:c>
      <x:c r="B4769" t="str" s="2">
        <x:v>Heritage Housing Mt Pleasant</x:v>
      </x:c>
      <x:c r="C4769" t="str" s="2">
        <x:v/>
      </x:c>
      <x:c r="D4769" t="str" s="2">
        <x:v>3149839854</x:v>
      </x:c>
      <x:c r="E4769" t="str" s="2">
        <x:v>Serenitybreda7@gmail.com</x:v>
      </x:c>
      <x:c r="F4769" t="str" s="2">
        <x:v>Landing_BPM</x:v>
      </x:c>
      <x:c r="G4769" t="str" s="2">
        <x:v>Sandra Saldana</x:v>
      </x:c>
      <x:c r="H4769" s="6">
        <x:v>46284.32481258102</x:v>
      </x:c>
      <x:c r="I4769" s="0"/>
      <x:c r="J4769" s="0"/>
      <x:c r="K4769" s="6">
        <x:v>46284</x:v>
      </x:c>
      <x:c r="L4769" t="str" s="2">
        <x:v>Message Sent</x:v>
      </x:c>
    </x:row>
    <x:row r="4770">
      <x:c r="A4770" t="str" s="2">
        <x:f>="Jadyn Ware"</x:f>
      </x:c>
      <x:c r="B4770" t="str" s="2">
        <x:v>Heritage Housing of Tulsa</x:v>
      </x:c>
      <x:c r="C4770" t="str" s="2">
        <x:v/>
      </x:c>
      <x:c r="D4770" t="str" s="2">
        <x:v>9182183056</x:v>
      </x:c>
      <x:c r="E4770" t="str" s="2">
        <x:v>jbree45@gmail.com</x:v>
      </x:c>
      <x:c r="F4770" t="str" s="2">
        <x:v>Website</x:v>
      </x:c>
      <x:c r="G4770" t="str" s="2">
        <x:v>Jenna Fransisco</x:v>
      </x:c>
      <x:c r="H4770" s="6">
        <x:v>46284.34181809028</x:v>
      </x:c>
      <x:c r="I4770" s="0"/>
      <x:c r="J4770" s="0"/>
      <x:c r="K4770" s="6">
        <x:v>46287</x:v>
      </x:c>
      <x:c r="L4770" t="str" s="2">
        <x:v>Message Sent</x:v>
      </x:c>
    </x:row>
    <x:row r="4771">
      <x:c r="A4771" t="str" s="2">
        <x:f>="Tosha Cureton Cureton"</x:f>
      </x:c>
      <x:c r="B4771" t="str" s="2">
        <x:v>Heritage Housing of Athens</x:v>
      </x:c>
      <x:c r="C4771" t="str" s="2">
        <x:v/>
      </x:c>
      <x:c r="D4771" t="str" s="2">
        <x:v>7063717733</x:v>
      </x:c>
      <x:c r="E4771" t="str" s="2">
        <x:v>curetontosha@yahoo.com</x:v>
      </x:c>
      <x:c r="F4771" t="str" s="2">
        <x:v>Landing_BPM</x:v>
      </x:c>
      <x:c r="G4771" t="str" s="2">
        <x:v>Nathan Bishop</x:v>
      </x:c>
      <x:c r="H4771" s="6">
        <x:v>46284.352414664354</x:v>
      </x:c>
      <x:c r="I4771" s="0"/>
      <x:c r="J4771" s="0"/>
      <x:c r="K4771" s="6">
        <x:v>46284</x:v>
      </x:c>
      <x:c r="L4771" t="str" s="2">
        <x:v>Message Sent</x:v>
      </x:c>
    </x:row>
    <x:row r="4772">
      <x:c r="A4772" t="str" s="2">
        <x:f>=HYPERLINK("https://rsms.futurehomex.com/lead/40185", "Casey Smith")</x:f>
      </x:c>
      <x:c r="B4772" t="str" s="2">
        <x:v>Heritage Housing of Albany</x:v>
      </x:c>
      <x:c r="C4772" t="str" s="2">
        <x:v/>
      </x:c>
      <x:c r="D4772" t="str" s="2">
        <x:v>8646149202</x:v>
      </x:c>
      <x:c r="E4772" t="str" s="2">
        <x:v>trwmom14@yahoo.com</x:v>
      </x:c>
      <x:c r="F4772" t="str" s="2">
        <x:v>Landing_BPM</x:v>
      </x:c>
      <x:c r="G4772" t="str" s="2">
        <x:v>Yanet Alvarez</x:v>
      </x:c>
      <x:c r="H4772" s="6">
        <x:v>46284.46595165509</x:v>
      </x:c>
      <x:c r="I4772" t="str" s="2">
        <x:v>Nathan Bishop</x:v>
      </x:c>
      <x:c r="J4772" s="0"/>
      <x:c r="K4772" s="6">
        <x:v>46284</x:v>
      </x:c>
      <x:c r="L4772" t="str" s="2">
        <x:v>Message Sent</x:v>
      </x:c>
    </x:row>
    <x:row r="4773">
      <x:c r="A4773" t="str" s="2">
        <x:f>="Sonny Okpalobi"</x:f>
      </x:c>
      <x:c r="B4773" t="str" s="2">
        <x:v>Heritage Housing of Canton</x:v>
      </x:c>
      <x:c r="C4773" t="str" s="2">
        <x:v/>
      </x:c>
      <x:c r="D4773" t="str" s="2">
        <x:v>5048744141</x:v>
      </x:c>
      <x:c r="E4773" t="str" s="2">
        <x:v>sonnyokpalobi@bellsouth.net</x:v>
      </x:c>
      <x:c r="F4773" t="str" s="2">
        <x:v>Bing - Search</x:v>
      </x:c>
      <x:c r="G4773" t="str" s="2">
        <x:v>Maira Garcia</x:v>
      </x:c>
      <x:c r="H4773" s="6">
        <x:v>46284.47128950231</x:v>
      </x:c>
      <x:c r="I4773" s="0"/>
      <x:c r="J4773" s="0"/>
      <x:c r="K4773" s="6">
        <x:v>46285</x:v>
      </x:c>
      <x:c r="L4773" t="str" s="2">
        <x:v>Message Sent</x:v>
      </x:c>
    </x:row>
    <x:row r="4774">
      <x:c r="A4774" t="str" s="2">
        <x:f>="Patricia White"</x:f>
      </x:c>
      <x:c r="B4774" t="str" s="2">
        <x:v>Heritage Housing of Albany</x:v>
      </x:c>
      <x:c r="C4774" t="str" s="2">
        <x:v/>
      </x:c>
      <x:c r="D4774" t="str" s="2">
        <x:v>4044534052</x:v>
      </x:c>
      <x:c r="E4774" t="str" s="2">
        <x:v>trishwhite764@gmail.com</x:v>
      </x:c>
      <x:c r="F4774" t="str" s="2">
        <x:v>Youtube</x:v>
      </x:c>
      <x:c r="G4774" t="str" s="2">
        <x:v>Yanet Alvarez</x:v>
      </x:c>
      <x:c r="H4774" s="6">
        <x:v>46284.537602349534</x:v>
      </x:c>
      <x:c r="I4774" s="0"/>
      <x:c r="J4774" s="0"/>
      <x:c r="K4774" s="6">
        <x:v>46307</x:v>
      </x:c>
      <x:c r="L4774" t="str" s="2">
        <x:v>Message Sent</x:v>
      </x:c>
    </x:row>
    <x:row r="4775">
      <x:c r="A4775" t="str" s="2">
        <x:f>="Catherine ClarkPatterson"</x:f>
      </x:c>
      <x:c r="B4775" t="str" s="2">
        <x:v>Legacy Housing Corp. DBA Americasa</x:v>
      </x:c>
      <x:c r="C4775" t="str" s="2">
        <x:v/>
      </x:c>
      <x:c r="D4775" t="str" s="2">
        <x:v>2817975073</x:v>
      </x:c>
      <x:c r="E4775" t="str" s="2">
        <x:v>inksterlove@gmail.com</x:v>
      </x:c>
      <x:c r="F4775" t="str" s="2">
        <x:v>Financing Form</x:v>
      </x:c>
      <x:c r="G4775" t="str" s="2">
        <x:v>Jose Parada</x:v>
      </x:c>
      <x:c r="H4775" s="6">
        <x:v>46284.543689467595</x:v>
      </x:c>
      <x:c r="I4775" s="0"/>
      <x:c r="J4775" s="0"/>
      <x:c r="K4775" s="6">
        <x:v>46284</x:v>
      </x:c>
      <x:c r="L4775" t="str" s="2">
        <x:v>Message Sent</x:v>
      </x:c>
    </x:row>
    <x:row r="4776">
      <x:c r="A4776" t="str" s="2">
        <x:f>="Claudette Celestin"</x:f>
      </x:c>
      <x:c r="B4776" t="str" s="2">
        <x:v>Heritage Housing of Jennings</x:v>
      </x:c>
      <x:c r="C4776" t="str" s="2">
        <x:v/>
      </x:c>
      <x:c r="D4776" t="str" s="2">
        <x:v>2257187639</x:v>
      </x:c>
      <x:c r="E4776" t="str" s="2">
        <x:v>celestinclaudette984@gmail.com</x:v>
      </x:c>
      <x:c r="F4776" t="str" s="2">
        <x:v>Youtube</x:v>
      </x:c>
      <x:c r="G4776" t="str" s="2">
        <x:v>Clint O'Neal</x:v>
      </x:c>
      <x:c r="H4776" s="6">
        <x:v>46284.56812438658</x:v>
      </x:c>
      <x:c r="I4776" s="0"/>
      <x:c r="J4776" s="0"/>
      <x:c r="K4776" s="6">
        <x:v>46302.65883017361</x:v>
      </x:c>
      <x:c r="L4776" t="str" s="2">
        <x:v>Message Sent</x:v>
      </x:c>
    </x:row>
    <x:row r="4777">
      <x:c r="A4777" t="str" s="2">
        <x:f>="Carlton Monceaux"</x:f>
      </x:c>
      <x:c r="B4777" t="str" s="2">
        <x:v>Heritage Housing of Jennings</x:v>
      </x:c>
      <x:c r="C4777" t="str" s="2">
        <x:v/>
      </x:c>
      <x:c r="D4777" t="str" s="2">
        <x:v>3372449666</x:v>
      </x:c>
      <x:c r="E4777" t="str" s="2">
        <x:v>carl.monceaux67@yahoo.com</x:v>
      </x:c>
      <x:c r="F4777" t="str" s="2">
        <x:v>Financing Form</x:v>
      </x:c>
      <x:c r="G4777" t="str" s="2">
        <x:v>Clint O'Neal</x:v>
      </x:c>
      <x:c r="H4777" s="6">
        <x:v>46284.56975787037</x:v>
      </x:c>
      <x:c r="I4777" s="0"/>
      <x:c r="J4777" s="0"/>
      <x:c r="K4777" s="6">
        <x:v>46302.733926967594</x:v>
      </x:c>
      <x:c r="L4777" t="str" s="2">
        <x:v>Message Sent</x:v>
      </x:c>
    </x:row>
    <x:row r="4778">
      <x:c r="A4778" t="str" s="2">
        <x:f>="Dawn Dezern"</x:f>
      </x:c>
      <x:c r="B4778" t="str" s="2">
        <x:v>Heritage Housing of Asheboro</x:v>
      </x:c>
      <x:c r="C4778" t="str" s="2">
        <x:v/>
      </x:c>
      <x:c r="D4778" t="str" s="2">
        <x:v>3364197499</x:v>
      </x:c>
      <x:c r="E4778" t="str" s="2">
        <x:v>metaltearz@hotmail.com</x:v>
      </x:c>
      <x:c r="F4778" t="str" s="2">
        <x:v>Landing_BPM</x:v>
      </x:c>
      <x:c r="G4778" t="str" s="2">
        <x:v>Kate Gutierrez</x:v>
      </x:c>
      <x:c r="H4778" s="6">
        <x:v>46284.57645528935</x:v>
      </x:c>
      <x:c r="I4778" s="0"/>
      <x:c r="J4778" s="0"/>
      <x:c r="K4778" s="6">
        <x:v>46284</x:v>
      </x:c>
      <x:c r="L4778" t="str" s="2">
        <x:v>Message Sent</x:v>
      </x:c>
    </x:row>
    <x:row r="4779">
      <x:c r="A4779" t="str" s="2">
        <x:f>="Edwin Thompson"</x:f>
      </x:c>
      <x:c r="B4779" t="str" s="2">
        <x:v>Heritage Housing of Tulsa</x:v>
      </x:c>
      <x:c r="C4779" t="str" s="2">
        <x:v/>
      </x:c>
      <x:c r="D4779" t="str" s="2">
        <x:v>4582517978</x:v>
      </x:c>
      <x:c r="E4779" t="str" s="2">
        <x:v>edwinthompson302@gmail.com</x:v>
      </x:c>
      <x:c r="F4779" t="str" s="2">
        <x:v>Youtube</x:v>
      </x:c>
      <x:c r="G4779" t="str" s="2">
        <x:v>Jenna Fransisco</x:v>
      </x:c>
      <x:c r="H4779" s="6">
        <x:v>46284.57696200231</x:v>
      </x:c>
      <x:c r="I4779" s="0"/>
      <x:c r="J4779" s="0"/>
      <x:c r="K4779" s="6">
        <x:v>46287</x:v>
      </x:c>
      <x:c r="L4779" t="str" s="2">
        <x:v>Message Sent</x:v>
      </x:c>
    </x:row>
    <x:row r="4780">
      <x:c r="A4780" t="str" s="2">
        <x:f>="Stephen Herndon"</x:f>
      </x:c>
      <x:c r="B4780" t="str" s="2">
        <x:v>Heritage Housing of Augusta</x:v>
      </x:c>
      <x:c r="C4780" t="str" s="2">
        <x:v/>
      </x:c>
      <x:c r="D4780" t="str" s="2">
        <x:v>18035070494</x:v>
      </x:c>
      <x:c r="E4780" t="str" s="2">
        <x:v>stephenherndon47@gmail.com</x:v>
      </x:c>
      <x:c r="F4780" t="str" s="2">
        <x:v>Landing_BPM</x:v>
      </x:c>
      <x:c r="G4780" t="str" s="2">
        <x:v>Jennifer Johnson</x:v>
      </x:c>
      <x:c r="H4780" s="6">
        <x:v>46284.60530269676</x:v>
      </x:c>
      <x:c r="I4780" s="0"/>
      <x:c r="J4780" s="0"/>
      <x:c r="K4780" s="6">
        <x:v>46284</x:v>
      </x:c>
      <x:c r="L4780" t="str" s="2">
        <x:v>Message Sent</x:v>
      </x:c>
    </x:row>
    <x:row r="4781">
      <x:c r="A4781" t="str" s="2">
        <x:f>="James Wolfe"</x:f>
      </x:c>
      <x:c r="B4781" t="str" s="2">
        <x:v>Heritage Housing of Canton</x:v>
      </x:c>
      <x:c r="C4781" t="str" s="2">
        <x:v/>
      </x:c>
      <x:c r="D4781" t="str" s="2">
        <x:v>9032884552</x:v>
      </x:c>
      <x:c r="E4781" t="str" s="2">
        <x:v>jwolfe751@gmail.com</x:v>
      </x:c>
      <x:c r="F4781" t="str" s="2">
        <x:v>Landing_BPM</x:v>
      </x:c>
      <x:c r="G4781" t="str" s="2">
        <x:v>Jacob Hatten</x:v>
      </x:c>
      <x:c r="H4781" s="6">
        <x:v>46284.64135810185</x:v>
      </x:c>
      <x:c r="I4781" s="0"/>
      <x:c r="J4781" s="0"/>
      <x:c r="K4781" s="6">
        <x:v>46302</x:v>
      </x:c>
      <x:c r="L4781" t="str" s="2">
        <x:v>Message Sent</x:v>
      </x:c>
    </x:row>
    <x:row r="4782">
      <x:c r="A4782" t="str" s="2">
        <x:f>="Nancy ramirez"</x:f>
      </x:c>
      <x:c r="B4782" t="str" s="2">
        <x:v>Heritage Housing of Canton</x:v>
      </x:c>
      <x:c r="C4782" t="str" s="2">
        <x:v/>
      </x:c>
      <x:c r="D4782" t="str" s="2">
        <x:v>2105146823</x:v>
      </x:c>
      <x:c r="E4782" t="str" s="2">
        <x:v>ramireznancyfamily6@gmail.com</x:v>
      </x:c>
      <x:c r="F4782" t="str" s="2">
        <x:v>Youtube</x:v>
      </x:c>
      <x:c r="G4782" t="str" s="2">
        <x:v>Maira Garcia</x:v>
      </x:c>
      <x:c r="H4782" s="6">
        <x:v>46284.66102103009</x:v>
      </x:c>
      <x:c r="I4782" s="0"/>
      <x:c r="J4782" s="0"/>
      <x:c r="K4782" s="6">
        <x:v>46285</x:v>
      </x:c>
      <x:c r="L4782" t="str" s="2">
        <x:v>Message Sent</x:v>
      </x:c>
    </x:row>
    <x:row r="4783">
      <x:c r="A4783" t="str" s="2">
        <x:f>="Leigh Miller"</x:f>
      </x:c>
      <x:c r="B4783" t="str" s="2">
        <x:v>Heritage Housing of Tulsa</x:v>
      </x:c>
      <x:c r="C4783" t="str" s="2">
        <x:v/>
      </x:c>
      <x:c r="D4783" t="str" s="2">
        <x:v>5394304974</x:v>
      </x:c>
      <x:c r="E4783" t="str" s="2">
        <x:v>leighangelamiller@gmail.com</x:v>
      </x:c>
      <x:c r="F4783" t="str" s="2">
        <x:v>Website</x:v>
      </x:c>
      <x:c r="G4783" t="str" s="2">
        <x:v>Jenna Fransisco</x:v>
      </x:c>
      <x:c r="H4783" s="6">
        <x:v>46284.66151886574</x:v>
      </x:c>
      <x:c r="I4783" s="0"/>
      <x:c r="J4783" s="0"/>
      <x:c r="K4783" s="6">
        <x:v>46287</x:v>
      </x:c>
      <x:c r="L4783" t="str" s="2">
        <x:v>Message Sent</x:v>
      </x:c>
    </x:row>
    <x:row r="4784">
      <x:c r="A4784" t="str" s="2">
        <x:f>=HYPERLINK("https://rsms.futurehomex.com/lead/40237", "Avery Noffsinger")</x:f>
      </x:c>
      <x:c r="B4784" t="str" s="2">
        <x:v>Heritage Housing of Albany</x:v>
      </x:c>
      <x:c r="C4784" t="str" s="2">
        <x:v/>
      </x:c>
      <x:c r="D4784" t="str" s="2">
        <x:v>4046063361</x:v>
      </x:c>
      <x:c r="E4784" t="str" s="2">
        <x:v>averyn1105@gmail.com</x:v>
      </x:c>
      <x:c r="F4784" t="str" s="2">
        <x:v>Financing Form</x:v>
      </x:c>
      <x:c r="G4784" t="str" s="2">
        <x:v>Yanet Alvarez</x:v>
      </x:c>
      <x:c r="H4784" s="6">
        <x:v>46284.681024537036</x:v>
      </x:c>
      <x:c r="I4784" t="str" s="2">
        <x:v>Nathan Bishop</x:v>
      </x:c>
      <x:c r="J4784" s="0"/>
      <x:c r="K4784" s="6">
        <x:v>46287</x:v>
      </x:c>
      <x:c r="L4784" t="str" s="2">
        <x:v>Message Sent</x:v>
      </x:c>
    </x:row>
    <x:row r="4785">
      <x:c r="A4785" t="str" s="2">
        <x:f>="Frankie Williams"</x:f>
      </x:c>
      <x:c r="B4785" t="str" s="2">
        <x:v>Heritage Housing of Jennings</x:v>
      </x:c>
      <x:c r="C4785" t="str" s="2">
        <x:v/>
      </x:c>
      <x:c r="D4785" t="str" s="2">
        <x:v>3182582764</x:v>
      </x:c>
      <x:c r="E4785" t="str" s="2">
        <x:v>frankiewilliams697@gmail.com</x:v>
      </x:c>
      <x:c r="F4785" t="str" s="2">
        <x:v>Youtube</x:v>
      </x:c>
      <x:c r="G4785" t="str" s="2">
        <x:v>Clint O'Neal</x:v>
      </x:c>
      <x:c r="H4785" s="6">
        <x:v>46284.683765856484</x:v>
      </x:c>
      <x:c r="I4785" s="0"/>
      <x:c r="J4785" s="0"/>
      <x:c r="K4785" s="6">
        <x:v>46302.735535266205</x:v>
      </x:c>
      <x:c r="L4785" t="str" s="2">
        <x:v>Message Sent</x:v>
      </x:c>
    </x:row>
    <x:row r="4786">
      <x:c r="A4786" t="str" s="2">
        <x:f>="Kenny Linfield"</x:f>
      </x:c>
      <x:c r="B4786" t="str" s="2">
        <x:v>Heritage Housing of Asheboro</x:v>
      </x:c>
      <x:c r="C4786" t="str" s="2">
        <x:v/>
      </x:c>
      <x:c r="D4786" t="str" s="2">
        <x:v>7042020010</x:v>
      </x:c>
      <x:c r="E4786" t="str" s="2">
        <x:v>kennylinfield@myyahoo.com</x:v>
      </x:c>
      <x:c r="F4786" t="str" s="2">
        <x:v>Youtube</x:v>
      </x:c>
      <x:c r="G4786" t="str" s="2">
        <x:v>Maria Lopez</x:v>
      </x:c>
      <x:c r="H4786" s="6">
        <x:v>46284.69453568287</x:v>
      </x:c>
      <x:c r="I4786" s="0"/>
      <x:c r="J4786" s="0"/>
      <x:c r="K4786" s="6">
        <x:v>46284</x:v>
      </x:c>
      <x:c r="L4786" t="str" s="2">
        <x:v>Message Sent</x:v>
      </x:c>
    </x:row>
    <x:row r="4787">
      <x:c r="A4787" t="str" s="2">
        <x:f>="Damba Takassi"</x:f>
      </x:c>
      <x:c r="B4787" t="str" s="2">
        <x:v>Heritage Housing of Asheboro</x:v>
      </x:c>
      <x:c r="C4787" t="str" s="2">
        <x:v/>
      </x:c>
      <x:c r="D4787" t="str" s="2">
        <x:v>9804208718</x:v>
      </x:c>
      <x:c r="E4787" t="str" s="2">
        <x:v>dambatakassi45@gmail.com</x:v>
      </x:c>
      <x:c r="F4787" t="str" s="2">
        <x:v>Youtube</x:v>
      </x:c>
      <x:c r="G4787" t="str" s="2">
        <x:v>Maria Lopez</x:v>
      </x:c>
      <x:c r="H4787" s="6">
        <x:v>46284.70166145833</x:v>
      </x:c>
      <x:c r="I4787" s="0"/>
      <x:c r="J4787" s="0"/>
      <x:c r="K4787" s="6">
        <x:v>46307</x:v>
      </x:c>
      <x:c r="L4787" t="str" s="2">
        <x:v>Message Sent</x:v>
      </x:c>
    </x:row>
    <x:row r="4788">
      <x:c r="A4788" t="str" s="2">
        <x:f>="Ezretta Singleton"</x:f>
      </x:c>
      <x:c r="B4788" t="str" s="2">
        <x:v>Legacy Housing Corp. DBA Americasa</x:v>
      </x:c>
      <x:c r="C4788" t="str" s="2">
        <x:v/>
      </x:c>
      <x:c r="D4788" t="str" s="2">
        <x:v>7139318051</x:v>
      </x:c>
      <x:c r="E4788" t="str" s="2">
        <x:v>ezretta@yahoo.com</x:v>
      </x:c>
      <x:c r="F4788" t="str" s="2">
        <x:v>Bing - Search</x:v>
      </x:c>
      <x:c r="G4788" t="str" s="2">
        <x:v>Joey Marquez</x:v>
      </x:c>
      <x:c r="H4788" s="6">
        <x:v>46284.705947800925</x:v>
      </x:c>
      <x:c r="I4788" s="0"/>
      <x:c r="J4788" s="0"/>
      <x:c r="K4788" s="6">
        <x:v>46284</x:v>
      </x:c>
      <x:c r="L4788" t="str" s="2">
        <x:v>Message Sent</x:v>
      </x:c>
    </x:row>
    <x:row r="4789">
      <x:c r="A4789" t="str" s="2">
        <x:f>="Jennifer Sheppard"</x:f>
      </x:c>
      <x:c r="B4789" t="str" s="2">
        <x:v>Heritage Housing of Tulsa</x:v>
      </x:c>
      <x:c r="C4789" t="str" s="2">
        <x:v/>
      </x:c>
      <x:c r="D4789" t="str" s="2">
        <x:v>6615009193</x:v>
      </x:c>
      <x:c r="E4789" t="str" s="2">
        <x:v>livelovesmile.7274@gmail.com</x:v>
      </x:c>
      <x:c r="F4789" t="str" s="2">
        <x:v>Bing - Search</x:v>
      </x:c>
      <x:c r="G4789" t="str" s="2">
        <x:v>Jenna Fransisco</x:v>
      </x:c>
      <x:c r="H4789" s="6">
        <x:v>46284.73465524305</x:v>
      </x:c>
      <x:c r="I4789" s="0"/>
      <x:c r="J4789" s="0"/>
      <x:c r="K4789" s="6">
        <x:v>46287</x:v>
      </x:c>
      <x:c r="L4789" t="str" s="2">
        <x:v>Message Sent</x:v>
      </x:c>
    </x:row>
    <x:row r="4790">
      <x:c r="A4790" t="str" s="2">
        <x:f>="CAROLYN PENN"</x:f>
      </x:c>
      <x:c r="B4790" t="str" s="2">
        <x:v>Heritage Housing of Asheboro</x:v>
      </x:c>
      <x:c r="C4790" t="str" s="2">
        <x:v/>
      </x:c>
      <x:c r="D4790" t="str" s="2">
        <x:v>8647689066</x:v>
      </x:c>
      <x:c r="E4790" t="str" s="2">
        <x:v>cpenn334@gmail.com</x:v>
      </x:c>
      <x:c r="F4790" t="str" s="2">
        <x:v>Landing_BPM</x:v>
      </x:c>
      <x:c r="G4790" t="str" s="2">
        <x:v>Kate Gutierrez</x:v>
      </x:c>
      <x:c r="H4790" s="6">
        <x:v>46284.741983796295</x:v>
      </x:c>
      <x:c r="I4790" s="0"/>
      <x:c r="J4790" s="0"/>
      <x:c r="K4790" s="6">
        <x:v>46286</x:v>
      </x:c>
      <x:c r="L4790" t="str" s="2">
        <x:v>Message Sent</x:v>
      </x:c>
    </x:row>
    <x:row r="4791">
      <x:c r="A4791" t="str" s="2">
        <x:f>="JAMES Mcvay"</x:f>
      </x:c>
      <x:c r="B4791" t="str" s="2">
        <x:v>Heritage Housing Gainesville</x:v>
      </x:c>
      <x:c r="C4791" t="str" s="2">
        <x:v/>
      </x:c>
      <x:c r="D4791" t="str" s="2">
        <x:v>9034226561</x:v>
      </x:c>
      <x:c r="E4791" t="str" s="2">
        <x:v>mcvay.james@hotmail.com</x:v>
      </x:c>
      <x:c r="F4791" t="str" s="2">
        <x:v>Landing_BPM</x:v>
      </x:c>
      <x:c r="G4791" t="str" s="2">
        <x:v>Kelly Ford</x:v>
      </x:c>
      <x:c r="H4791" s="6">
        <x:v>46284.74781079861</x:v>
      </x:c>
      <x:c r="I4791" s="0"/>
      <x:c r="J4791" s="0"/>
      <x:c r="K4791" s="6">
        <x:v>46289</x:v>
      </x:c>
      <x:c r="L4791" t="str" s="2">
        <x:v>Message Sent</x:v>
      </x:c>
    </x:row>
    <x:row r="4792">
      <x:c r="A4792" t="str" s="2">
        <x:f>="Nathaniel Rigsby"</x:f>
      </x:c>
      <x:c r="B4792" t="str" s="2">
        <x:v>Heritage Housing of Asheboro</x:v>
      </x:c>
      <x:c r="C4792" t="str" s="2">
        <x:v/>
      </x:c>
      <x:c r="D4792" t="str" s="2">
        <x:v>8285774592</x:v>
      </x:c>
      <x:c r="E4792" t="str" s="2">
        <x:v>nathanielrigsby52@gmail.com</x:v>
      </x:c>
      <x:c r="F4792" t="str" s="2">
        <x:v>LandingPage</x:v>
      </x:c>
      <x:c r="G4792" t="str" s="2">
        <x:v>Maria Lopez</x:v>
      </x:c>
      <x:c r="H4792" s="6">
        <x:v>46284.74968341435</x:v>
      </x:c>
      <x:c r="I4792" s="0"/>
      <x:c r="J4792" s="0"/>
      <x:c r="K4792" s="6">
        <x:v>46284</x:v>
      </x:c>
      <x:c r="L4792" t="str" s="2">
        <x:v>Message Sent</x:v>
      </x:c>
    </x:row>
    <x:row r="4793">
      <x:c r="A4793" t="str" s="2">
        <x:f>="Trina Mccellon"</x:f>
      </x:c>
      <x:c r="B4793" t="str" s="2">
        <x:v>Heritage Housing Mt Pleasant</x:v>
      </x:c>
      <x:c r="C4793" t="str" s="2">
        <x:v/>
      </x:c>
      <x:c r="D4793" t="str" s="2">
        <x:v>9032159082</x:v>
      </x:c>
      <x:c r="E4793" t="str" s="2">
        <x:v>trinaboonemccellon@gmail.com</x:v>
      </x:c>
      <x:c r="F4793" t="str" s="2">
        <x:v>Youtube</x:v>
      </x:c>
      <x:c r="G4793" t="str" s="2">
        <x:v>Yarelis Torres</x:v>
      </x:c>
      <x:c r="H4793" s="6">
        <x:v>46284.76570069444</x:v>
      </x:c>
      <x:c r="I4793" s="0"/>
      <x:c r="J4793" s="0"/>
      <x:c r="K4793" s="6">
        <x:v>46286</x:v>
      </x:c>
      <x:c r="L4793" t="str" s="2">
        <x:v>Message Sent</x:v>
      </x:c>
    </x:row>
    <x:row r="4794">
      <x:c r="A4794" t="str" s="2">
        <x:f>="Alexia Tolbert"</x:f>
      </x:c>
      <x:c r="B4794" t="str" s="2">
        <x:v>Heritage Housing of Asheboro</x:v>
      </x:c>
      <x:c r="C4794" t="str" s="2">
        <x:v/>
      </x:c>
      <x:c r="D4794" t="str" s="2">
        <x:v>7049297586</x:v>
      </x:c>
      <x:c r="E4794" t="str" s="2">
        <x:v>alexiatolbert23@gmail.com</x:v>
      </x:c>
      <x:c r="F4794" t="str" s="2">
        <x:v>Landing_BPM</x:v>
      </x:c>
      <x:c r="G4794" t="str" s="2">
        <x:v>Maria Lopez</x:v>
      </x:c>
      <x:c r="H4794" s="6">
        <x:v>46284.768980057874</x:v>
      </x:c>
      <x:c r="I4794" s="0"/>
      <x:c r="J4794" s="0"/>
      <x:c r="K4794" s="6">
        <x:v>46288</x:v>
      </x:c>
      <x:c r="L4794" t="str" s="2">
        <x:v>Message Sent</x:v>
      </x:c>
    </x:row>
    <x:row r="4795">
      <x:c r="A4795" t="str" s="2">
        <x:f>="jamie Simpson"</x:f>
      </x:c>
      <x:c r="B4795" t="str" s="2">
        <x:v>Heritage Housing of Albany</x:v>
      </x:c>
      <x:c r="C4795" t="str" s="2">
        <x:v/>
      </x:c>
      <x:c r="D4795" t="str" s="2">
        <x:v>2295798713</x:v>
      </x:c>
      <x:c r="E4795" t="str" s="2">
        <x:v>jamielynnsimp1313@GMAIL.COM</x:v>
      </x:c>
      <x:c r="F4795" t="str" s="2">
        <x:v>Landing_BPM</x:v>
      </x:c>
      <x:c r="G4795" t="str" s="2">
        <x:v>Yanet Alvarez</x:v>
      </x:c>
      <x:c r="H4795" s="6">
        <x:v>46284.769382060185</x:v>
      </x:c>
      <x:c r="I4795" s="0"/>
      <x:c r="J4795" s="0"/>
      <x:c r="K4795" s="6">
        <x:v>46289</x:v>
      </x:c>
      <x:c r="L4795" t="str" s="2">
        <x:v>Message Sent</x:v>
      </x:c>
    </x:row>
    <x:row r="4796">
      <x:c r="A4796" t="str" s="2">
        <x:f>="Donna Leide"</x:f>
      </x:c>
      <x:c r="B4796" t="str" s="2">
        <x:v>Heritage Housing of Asheboro</x:v>
      </x:c>
      <x:c r="C4796" t="str" s="2">
        <x:v/>
      </x:c>
      <x:c r="D4796" t="str" s="2">
        <x:v>3365949585</x:v>
      </x:c>
      <x:c r="E4796" t="str" s="2">
        <x:v>leidedonna9@gmail.com</x:v>
      </x:c>
      <x:c r="F4796" t="str" s="2">
        <x:v>Youtube</x:v>
      </x:c>
      <x:c r="G4796" t="str" s="2">
        <x:v>Kate Gutierrez</x:v>
      </x:c>
      <x:c r="H4796" s="6">
        <x:v>46284.77281403935</x:v>
      </x:c>
      <x:c r="I4796" s="0"/>
      <x:c r="J4796" s="0"/>
      <x:c r="K4796" s="6">
        <x:v>46286</x:v>
      </x:c>
      <x:c r="L4796" t="str" s="2">
        <x:v>Message Sent</x:v>
      </x:c>
    </x:row>
    <x:row r="4797">
      <x:c r="A4797" t="str" s="2">
        <x:f>="Tim Thompson"</x:f>
      </x:c>
      <x:c r="B4797" t="str" s="2">
        <x:v>Heritage Housing of Augusta</x:v>
      </x:c>
      <x:c r="C4797" t="str" s="2">
        <x:v/>
      </x:c>
      <x:c r="D4797" t="str" s="2">
        <x:v>8648281791</x:v>
      </x:c>
      <x:c r="E4797" t="str" s="2">
        <x:v>onealt727@gmail.com</x:v>
      </x:c>
      <x:c r="F4797" t="str" s="2">
        <x:v>Bing - Search</x:v>
      </x:c>
      <x:c r="G4797" t="str" s="2">
        <x:v>Jennifer Johnson</x:v>
      </x:c>
      <x:c r="H4797" s="6">
        <x:v>46284.810380208335</x:v>
      </x:c>
      <x:c r="I4797" s="0"/>
      <x:c r="J4797" s="0"/>
      <x:c r="K4797" s="6">
        <x:v>46301</x:v>
      </x:c>
      <x:c r="L4797" t="str" s="2">
        <x:v>Message Sent</x:v>
      </x:c>
    </x:row>
    <x:row r="4798">
      <x:c r="A4798" t="str" s="2">
        <x:f>="Melissa Dauzat"</x:f>
      </x:c>
      <x:c r="B4798" t="str" s="2">
        <x:v>Heritage Housing of Jennings</x:v>
      </x:c>
      <x:c r="C4798" t="str" s="2">
        <x:v/>
      </x:c>
      <x:c r="D4798" t="str" s="2">
        <x:v>3182066432</x:v>
      </x:c>
      <x:c r="E4798" t="str" s="2">
        <x:v>dozarmelissa96@gmail.com</x:v>
      </x:c>
      <x:c r="F4798" t="str" s="2">
        <x:v>Youtube</x:v>
      </x:c>
      <x:c r="G4798" t="str" s="2">
        <x:v>Clint O'Neal</x:v>
      </x:c>
      <x:c r="H4798" s="6">
        <x:v>46284.829397650465</x:v>
      </x:c>
      <x:c r="I4798" s="0"/>
      <x:c r="J4798" s="0"/>
      <x:c r="K4798" s="6">
        <x:v>46302.7352349537</x:v>
      </x:c>
      <x:c r="L4798" t="str" s="2">
        <x:v>Message Sent</x:v>
      </x:c>
    </x:row>
    <x:row r="4799">
      <x:c r="A4799" t="str" s="2">
        <x:f>="Jonathan Harrell"</x:f>
      </x:c>
      <x:c r="B4799" t="str" s="2">
        <x:v>Heritage Housing of Asheboro</x:v>
      </x:c>
      <x:c r="C4799" t="str" s="2">
        <x:v/>
      </x:c>
      <x:c r="D4799" t="str" s="2">
        <x:v>7197310142</x:v>
      </x:c>
      <x:c r="E4799" t="str" s="2">
        <x:v>harrellj1981@gmail.com</x:v>
      </x:c>
      <x:c r="F4799" t="str" s="2">
        <x:v>Landing_BPM</x:v>
      </x:c>
      <x:c r="G4799" t="str" s="2">
        <x:v>Maria Lopez</x:v>
      </x:c>
      <x:c r="H4799" s="6">
        <x:v>46284.83093576389</x:v>
      </x:c>
      <x:c r="I4799" s="0"/>
      <x:c r="J4799" s="0"/>
      <x:c r="K4799" s="6">
        <x:v>46284</x:v>
      </x:c>
      <x:c r="L4799" t="str" s="2">
        <x:v>Message Sent</x:v>
      </x:c>
    </x:row>
    <x:row r="4800">
      <x:c r="A4800" t="str" s="2">
        <x:f>="Shelby Wilson"</x:f>
      </x:c>
      <x:c r="B4800" t="str" s="2">
        <x:v>Heritage Housing of Tulsa</x:v>
      </x:c>
      <x:c r="C4800" t="str" s="2">
        <x:v/>
      </x:c>
      <x:c r="D4800" t="str" s="2">
        <x:v>9188832152</x:v>
      </x:c>
      <x:c r="E4800" t="str" s="2">
        <x:v>jesusfnchrist96@gmail.com</x:v>
      </x:c>
      <x:c r="F4800" t="str" s="2">
        <x:v>Youtube</x:v>
      </x:c>
      <x:c r="G4800" t="str" s="2">
        <x:v>Jenna Fransisco</x:v>
      </x:c>
      <x:c r="H4800" s="6">
        <x:v>46284.860917743055</x:v>
      </x:c>
      <x:c r="I4800" s="0"/>
      <x:c r="J4800" s="0"/>
      <x:c r="K4800" s="6">
        <x:v>46287</x:v>
      </x:c>
      <x:c r="L4800" t="str" s="2">
        <x:v>Message Sent</x:v>
      </x:c>
    </x:row>
    <x:row r="4801">
      <x:c r="A4801" t="str" s="2">
        <x:f>="ericka satcher"</x:f>
      </x:c>
      <x:c r="B4801" t="str" s="2">
        <x:v>Heritage Housing of Albany</x:v>
      </x:c>
      <x:c r="C4801" t="str" s="2">
        <x:v/>
      </x:c>
      <x:c r="D4801" t="str" s="2">
        <x:v>4788329605</x:v>
      </x:c>
      <x:c r="E4801" t="str" s="2">
        <x:v>erickasatcher89@gmail.com</x:v>
      </x:c>
      <x:c r="F4801" t="str" s="2">
        <x:v>Bing - Search</x:v>
      </x:c>
      <x:c r="G4801" t="str" s="2">
        <x:v>Yanet Alvarez</x:v>
      </x:c>
      <x:c r="H4801" s="6">
        <x:v>46284.87852002315</x:v>
      </x:c>
      <x:c r="I4801" s="0"/>
      <x:c r="J4801" s="0"/>
      <x:c r="K4801" s="6">
        <x:v>46307</x:v>
      </x:c>
      <x:c r="L4801" t="str" s="2">
        <x:v>Message Sent</x:v>
      </x:c>
    </x:row>
    <x:row r="4802">
      <x:c r="A4802" t="str" s="2">
        <x:f>="Jason Jones"</x:f>
      </x:c>
      <x:c r="B4802" t="str" s="2">
        <x:v>Heritage Housing of Jennings</x:v>
      </x:c>
      <x:c r="C4802" t="str" s="2">
        <x:v/>
      </x:c>
      <x:c r="D4802" t="str" s="2">
        <x:v>3378187018</x:v>
      </x:c>
      <x:c r="E4802" t="str" s="2">
        <x:v>jrichboi88@gmail.com</x:v>
      </x:c>
      <x:c r="F4802" t="str" s="2">
        <x:v>Youtube</x:v>
      </x:c>
      <x:c r="G4802" t="str" s="2">
        <x:v>Clint O'Neal</x:v>
      </x:c>
      <x:c r="H4802" s="6">
        <x:v>46284.88143645833</x:v>
      </x:c>
      <x:c r="I4802" s="0"/>
      <x:c r="J4802" s="0"/>
      <x:c r="K4802" s="6">
        <x:v>46302.73494429398</x:v>
      </x:c>
      <x:c r="L4802" t="str" s="2">
        <x:v>Message Sent</x:v>
      </x:c>
    </x:row>
    <x:row r="4803">
      <x:c r="A4803" t="str" s="2">
        <x:f>="Netha Trotty"</x:f>
      </x:c>
      <x:c r="B4803" t="str" s="2">
        <x:v>Heritage Housing Mt Pleasant</x:v>
      </x:c>
      <x:c r="C4803" t="str" s="2">
        <x:v/>
      </x:c>
      <x:c r="D4803" t="str" s="2">
        <x:v>4699610904</x:v>
      </x:c>
      <x:c r="E4803" t="str" s="2">
        <x:v>bookietrotty@gmail.com</x:v>
      </x:c>
      <x:c r="F4803" t="str" s="2">
        <x:v>Youtube</x:v>
      </x:c>
      <x:c r="G4803" t="str" s="2">
        <x:v>Elias Gallardo</x:v>
      </x:c>
      <x:c r="H4803" s="6">
        <x:v>46284.900935300924</x:v>
      </x:c>
      <x:c r="I4803" s="0"/>
      <x:c r="J4803" s="0"/>
      <x:c r="K4803" s="6">
        <x:v>46286</x:v>
      </x:c>
      <x:c r="L4803" t="str" s="2">
        <x:v>Message Sent</x:v>
      </x:c>
    </x:row>
    <x:row r="4804">
      <x:c r="A4804" t="str" s="2">
        <x:f>="Chanel Richard"</x:f>
      </x:c>
      <x:c r="B4804" t="str" s="2">
        <x:v>Legacy Housing Corp. DBA Americasa</x:v>
      </x:c>
      <x:c r="C4804" t="str" s="2">
        <x:v/>
      </x:c>
      <x:c r="D4804" t="str" s="2">
        <x:v>3372721132</x:v>
      </x:c>
      <x:c r="E4804" t="str" s="2">
        <x:v>chanelrichard7@yahoo.com</x:v>
      </x:c>
      <x:c r="F4804" t="str" s="2">
        <x:v>Landing_BPM</x:v>
      </x:c>
      <x:c r="G4804" t="str" s="2">
        <x:v>Jose Parada</x:v>
      </x:c>
      <x:c r="H4804" s="6">
        <x:v>46284.91977434028</x:v>
      </x:c>
      <x:c r="I4804" s="0"/>
      <x:c r="J4804" s="0"/>
      <x:c r="K4804" s="6">
        <x:v>46286</x:v>
      </x:c>
      <x:c r="L4804" t="str" s="2">
        <x:v>Message Sent</x:v>
      </x:c>
    </x:row>
    <x:row r="4805">
      <x:c r="A4805" t="str" s="2">
        <x:f>="Byronn Smith"</x:f>
      </x:c>
      <x:c r="B4805" t="str" s="2">
        <x:v>Heritage Housing of Canton</x:v>
      </x:c>
      <x:c r="C4805" t="str" s="2">
        <x:v/>
      </x:c>
      <x:c r="D4805" t="str" s="2">
        <x:v>9035787149</x:v>
      </x:c>
      <x:c r="E4805" t="str" s="2">
        <x:v>Smithbyronn696@gmail.com</x:v>
      </x:c>
      <x:c r="F4805" t="str" s="2">
        <x:v>Landing_BPM</x:v>
      </x:c>
      <x:c r="G4805" t="str" s="2">
        <x:v>Maira Garcia</x:v>
      </x:c>
      <x:c r="H4805" s="6">
        <x:v>46284.940985416666</x:v>
      </x:c>
      <x:c r="I4805" s="0"/>
      <x:c r="J4805" s="0"/>
      <x:c r="K4805" s="6">
        <x:v>46285</x:v>
      </x:c>
      <x:c r="L4805" t="str" s="2">
        <x:v>Message Sent</x:v>
      </x:c>
    </x:row>
    <x:row r="4806">
      <x:c r="A4806" t="str" s="2">
        <x:f>="Jameshia Roseborough"</x:f>
      </x:c>
      <x:c r="B4806" t="str" s="2">
        <x:v>Heritage Housing of Albany</x:v>
      </x:c>
      <x:c r="C4806" t="str" s="2">
        <x:v/>
      </x:c>
      <x:c r="D4806" t="str" s="2">
        <x:v>2293661530</x:v>
      </x:c>
      <x:c r="E4806" t="str" s="2">
        <x:v>roseboroughjameshia21@gmail.com</x:v>
      </x:c>
      <x:c r="F4806" t="str" s="2">
        <x:v>Website</x:v>
      </x:c>
      <x:c r="G4806" t="str" s="2">
        <x:v>Yanet Alvarez</x:v>
      </x:c>
      <x:c r="H4806" s="6">
        <x:v>46284.94692357639</x:v>
      </x:c>
      <x:c r="I4806" s="0"/>
      <x:c r="J4806" s="0"/>
      <x:c r="K4806" s="6">
        <x:v>46303</x:v>
      </x:c>
      <x:c r="L4806" t="str" s="2">
        <x:v>Message Sent</x:v>
      </x:c>
    </x:row>
    <x:row r="4807">
      <x:c r="A4807" t="str" s="2">
        <x:f>="Mumin Sabur"</x:f>
      </x:c>
      <x:c r="B4807" t="str" s="2">
        <x:v>Heritage Housing of Asheboro</x:v>
      </x:c>
      <x:c r="C4807" t="str" s="2">
        <x:v/>
      </x:c>
      <x:c r="D4807" t="str" s="2">
        <x:v>7042001985</x:v>
      </x:c>
      <x:c r="E4807" t="str" s="2">
        <x:v>saburmumin@gmail.com</x:v>
      </x:c>
      <x:c r="F4807" t="str" s="2">
        <x:v>Youtube</x:v>
      </x:c>
      <x:c r="G4807" t="str" s="2">
        <x:v>Kate Gutierrez</x:v>
      </x:c>
      <x:c r="H4807" s="6">
        <x:v>46284.94736875</x:v>
      </x:c>
      <x:c r="I4807" s="0"/>
      <x:c r="J4807" s="0"/>
      <x:c r="K4807" s="6">
        <x:v>46300</x:v>
      </x:c>
      <x:c r="L4807" t="str" s="2">
        <x:v>Message Sent</x:v>
      </x:c>
    </x:row>
    <x:row r="4808">
      <x:c r="A4808" t="str" s="2">
        <x:f>="Nancy Rajner"</x:f>
      </x:c>
      <x:c r="B4808" t="str" s="2">
        <x:v>Heritage Housing of Albany</x:v>
      </x:c>
      <x:c r="C4808" t="str" s="2">
        <x:v/>
      </x:c>
      <x:c r="D4808" t="str" s="2">
        <x:v>7064747416</x:v>
      </x:c>
      <x:c r="E4808" t="str" s="2">
        <x:v>nancyrajner248@gmail.com</x:v>
      </x:c>
      <x:c r="F4808" t="str" s="2">
        <x:v>Youtube</x:v>
      </x:c>
      <x:c r="G4808" t="str" s="2">
        <x:v>Yanet Alvarez</x:v>
      </x:c>
      <x:c r="H4808" s="6">
        <x:v>46285.01332438657</x:v>
      </x:c>
      <x:c r="I4808" s="0"/>
      <x:c r="J4808" s="0"/>
      <x:c r="K4808" s="6">
        <x:v>46285</x:v>
      </x:c>
      <x:c r="L4808" t="str" s="2">
        <x:v>Message Sent</x:v>
      </x:c>
    </x:row>
    <x:row r="4809">
      <x:c r="A4809" t="str" s="2">
        <x:f>="Tonya Singleton"</x:f>
      </x:c>
      <x:c r="B4809" t="str" s="2">
        <x:v>Legacy Housing Corp. DBA Americasa</x:v>
      </x:c>
      <x:c r="C4809" t="str" s="2">
        <x:v/>
      </x:c>
      <x:c r="D4809" t="str" s="2">
        <x:v>2816306545</x:v>
      </x:c>
      <x:c r="E4809" t="str" s="2">
        <x:v>singleton.tonya1982@gmail.com</x:v>
      </x:c>
      <x:c r="F4809" t="str" s="2">
        <x:v>Landing_BPM</x:v>
      </x:c>
      <x:c r="G4809" t="str" s="2">
        <x:v>Joey Marquez</x:v>
      </x:c>
      <x:c r="H4809" s="6">
        <x:v>46285.02419440972</x:v>
      </x:c>
      <x:c r="I4809" s="0"/>
      <x:c r="J4809" s="0"/>
      <x:c r="K4809" s="6">
        <x:v>46286</x:v>
      </x:c>
      <x:c r="L4809" t="str" s="2">
        <x:v>Message Sent</x:v>
      </x:c>
    </x:row>
    <x:row r="4810">
      <x:c r="A4810" t="str" s="2">
        <x:f>="Jacqueline Duncan"</x:f>
      </x:c>
      <x:c r="B4810" t="str" s="2">
        <x:v>Heritage Housing of Asheboro</x:v>
      </x:c>
      <x:c r="C4810" t="str" s="2">
        <x:v/>
      </x:c>
      <x:c r="D4810" t="str" s="2">
        <x:v>7049067308</x:v>
      </x:c>
      <x:c r="E4810" t="str" s="2">
        <x:v>jacq415dunc@gmail.com</x:v>
      </x:c>
      <x:c r="F4810" t="str" s="2">
        <x:v>Youtube</x:v>
      </x:c>
      <x:c r="G4810" t="str" s="2">
        <x:v>Maria Lopez</x:v>
      </x:c>
      <x:c r="H4810" s="6">
        <x:v>46285.03635292824</x:v>
      </x:c>
      <x:c r="I4810" s="0"/>
      <x:c r="J4810" s="0"/>
      <x:c r="K4810" s="6">
        <x:v>46286</x:v>
      </x:c>
      <x:c r="L4810" t="str" s="2">
        <x:v>Message Sent</x:v>
      </x:c>
    </x:row>
    <x:row r="4811">
      <x:c r="A4811" t="str" s="2">
        <x:f>="Randa Smith"</x:f>
      </x:c>
      <x:c r="B4811" t="str" s="2">
        <x:v>Heritage Housing of Tulsa</x:v>
      </x:c>
      <x:c r="C4811" t="str" s="2">
        <x:v/>
      </x:c>
      <x:c r="D4811" t="str" s="2">
        <x:v>9185528052</x:v>
      </x:c>
      <x:c r="E4811" t="str" s="2">
        <x:v>randaroo45@yahoo.com</x:v>
      </x:c>
      <x:c r="F4811" t="str" s="2">
        <x:v>Landing_BPM</x:v>
      </x:c>
      <x:c r="G4811" t="str" s="2">
        <x:v>Jenna Fransisco</x:v>
      </x:c>
      <x:c r="H4811" s="6">
        <x:v>46285.0397471875</x:v>
      </x:c>
      <x:c r="I4811" s="0"/>
      <x:c r="J4811" s="0"/>
      <x:c r="K4811" s="6">
        <x:v>46287</x:v>
      </x:c>
      <x:c r="L4811" t="str" s="2">
        <x:v>Message Sent</x:v>
      </x:c>
    </x:row>
    <x:row r="4812">
      <x:c r="A4812" t="str" s="2">
        <x:f>="Michael Wilson"</x:f>
      </x:c>
      <x:c r="B4812" t="str" s="2">
        <x:v>Heritage Housing of Albany</x:v>
      </x:c>
      <x:c r="C4812" t="str" s="2">
        <x:v>0/2</x:v>
      </x:c>
      <x:c r="D4812" t="str" s="2">
        <x:v>4782992592</x:v>
      </x:c>
      <x:c r="E4812" t="str" s="2">
        <x:v>mikepwilson74@gmail.com</x:v>
      </x:c>
      <x:c r="F4812" t="str" s="2">
        <x:v>Financing Form</x:v>
      </x:c>
      <x:c r="G4812" t="str" s="2">
        <x:v>Yanet Alvarez</x:v>
      </x:c>
      <x:c r="H4812" s="6">
        <x:v>46285.043549918984</x:v>
      </x:c>
      <x:c r="I4812" s="0"/>
      <x:c r="J4812" s="0"/>
      <x:c r="K4812" s="6">
        <x:v>46307</x:v>
      </x:c>
      <x:c r="L4812" t="str" s="2">
        <x:v>Message Sent</x:v>
      </x:c>
    </x:row>
    <x:row r="4813">
      <x:c r="A4813" t="str" s="2">
        <x:f>="Misty Nelson"</x:f>
      </x:c>
      <x:c r="B4813" t="str" s="2">
        <x:v>Heritage Housing of Tulsa</x:v>
      </x:c>
      <x:c r="C4813" t="str" s="2">
        <x:v/>
      </x:c>
      <x:c r="D4813" t="str" s="2">
        <x:v>9184106380</x:v>
      </x:c>
      <x:c r="E4813" t="str" s="2">
        <x:v>mistyandyandrews@gmail.com</x:v>
      </x:c>
      <x:c r="F4813" t="str" s="2">
        <x:v>Youtube</x:v>
      </x:c>
      <x:c r="G4813" t="str" s="2">
        <x:v>Jenna Fransisco</x:v>
      </x:c>
      <x:c r="H4813" s="6">
        <x:v>46285.06917751158</x:v>
      </x:c>
      <x:c r="I4813" s="0"/>
      <x:c r="J4813" s="0"/>
      <x:c r="K4813" s="6">
        <x:v>46287</x:v>
      </x:c>
      <x:c r="L4813" t="str" s="2">
        <x:v>Message Sent</x:v>
      </x:c>
    </x:row>
    <x:row r="4814">
      <x:c r="A4814" t="str" s="2">
        <x:f>="Cody Hubbard"</x:f>
      </x:c>
      <x:c r="B4814" t="str" s="2">
        <x:v>Heritage Housing of Jennings</x:v>
      </x:c>
      <x:c r="C4814" t="str" s="2">
        <x:v/>
      </x:c>
      <x:c r="D4814" t="str" s="2">
        <x:v>3188384489</x:v>
      </x:c>
      <x:c r="E4814" t="str" s="2">
        <x:v>codyhubbard2012@gmail.com</x:v>
      </x:c>
      <x:c r="F4814" t="str" s="2">
        <x:v>Financing Form</x:v>
      </x:c>
      <x:c r="G4814" t="str" s="2">
        <x:v>Mervin Leslie Smith</x:v>
      </x:c>
      <x:c r="H4814" s="6">
        <x:v>46285.08068857639</x:v>
      </x:c>
      <x:c r="I4814" s="0"/>
      <x:c r="J4814" s="0"/>
      <x:c r="K4814" s="6">
        <x:v>46302.68855760417</x:v>
      </x:c>
      <x:c r="L4814" t="str" s="2">
        <x:v>Message Sent</x:v>
      </x:c>
    </x:row>
    <x:row r="4815">
      <x:c r="A4815" t="str" s="2">
        <x:f>="Laraveen Mitchell"</x:f>
      </x:c>
      <x:c r="B4815" t="str" s="2">
        <x:v>Heritage Housing of Albany</x:v>
      </x:c>
      <x:c r="C4815" t="str" s="2">
        <x:v>1/3</x:v>
      </x:c>
      <x:c r="D4815" t="str" s="2">
        <x:v>3347346815</x:v>
      </x:c>
      <x:c r="E4815" t="str" s="2">
        <x:v>laraveenmitchell0@gmail.com</x:v>
      </x:c>
      <x:c r="F4815" t="str" s="2">
        <x:v>Financing Form</x:v>
      </x:c>
      <x:c r="G4815" t="str" s="2">
        <x:v>Yanet Alvarez</x:v>
      </x:c>
      <x:c r="H4815" s="6">
        <x:v>46285.09766982639</x:v>
      </x:c>
      <x:c r="I4815" s="0"/>
      <x:c r="J4815" s="0"/>
      <x:c r="K4815" s="6">
        <x:v>46307</x:v>
      </x:c>
      <x:c r="L4815" t="str" s="2">
        <x:v>Message Sent</x:v>
      </x:c>
    </x:row>
    <x:row r="4816">
      <x:c r="A4816" t="str" s="2">
        <x:f>="French Vereen"</x:f>
      </x:c>
      <x:c r="B4816" t="str" s="2">
        <x:v>Heritage Housing of Athens</x:v>
      </x:c>
      <x:c r="C4816" t="str" s="2">
        <x:v/>
      </x:c>
      <x:c r="D4816" t="str" s="2">
        <x:v>8433312233</x:v>
      </x:c>
      <x:c r="E4816" t="str" s="2">
        <x:v>frenchvereen@yahoo.com</x:v>
      </x:c>
      <x:c r="F4816" t="str" s="2">
        <x:v>Bing - Search</x:v>
      </x:c>
      <x:c r="G4816" t="str" s="2">
        <x:v>Nathan Bishop</x:v>
      </x:c>
      <x:c r="H4816" s="6">
        <x:v>46285.09862858796</x:v>
      </x:c>
      <x:c r="I4816" s="0"/>
      <x:c r="J4816" s="0"/>
      <x:c r="K4816" s="6">
        <x:v>46286</x:v>
      </x:c>
      <x:c r="L4816" t="str" s="2">
        <x:v>Message Sent</x:v>
      </x:c>
    </x:row>
    <x:row r="4817">
      <x:c r="A4817" t="str" s="2">
        <x:f>="Patricia Gorden"</x:f>
      </x:c>
      <x:c r="B4817" t="str" s="2">
        <x:v>Heritage Housing of Augusta</x:v>
      </x:c>
      <x:c r="C4817" t="str" s="2">
        <x:v/>
      </x:c>
      <x:c r="D4817" t="str" s="2">
        <x:v>4702379239</x:v>
      </x:c>
      <x:c r="E4817" t="str" s="2">
        <x:v>Josie.gorden28@gmail.com</x:v>
      </x:c>
      <x:c r="F4817" t="str" s="2">
        <x:v>Youtube</x:v>
      </x:c>
      <x:c r="G4817" t="str" s="2">
        <x:v>Jose Chavez</x:v>
      </x:c>
      <x:c r="H4817" s="6">
        <x:v>46285.110884375</x:v>
      </x:c>
      <x:c r="I4817" s="0"/>
      <x:c r="J4817" s="0"/>
      <x:c r="K4817" s="6">
        <x:v>46286</x:v>
      </x:c>
      <x:c r="L4817" t="str" s="2">
        <x:v>Message Sent</x:v>
      </x:c>
    </x:row>
    <x:row r="4818">
      <x:c r="A4818" t="str" s="2">
        <x:f>="Margaret NOBLES"</x:f>
      </x:c>
      <x:c r="B4818" t="str" s="2">
        <x:v>Heritage Housing of Athens</x:v>
      </x:c>
      <x:c r="C4818" t="str" s="2">
        <x:v/>
      </x:c>
      <x:c r="D4818" t="str" s="2">
        <x:v>4705853373</x:v>
      </x:c>
      <x:c r="E4818" t="str" s="2">
        <x:v>MNOBLES1968@GMAIL.COM</x:v>
      </x:c>
      <x:c r="F4818" t="str" s="2">
        <x:v>Youtube</x:v>
      </x:c>
      <x:c r="G4818" t="str" s="2">
        <x:v>Nathan Bishop</x:v>
      </x:c>
      <x:c r="H4818" s="6">
        <x:v>46285.11852098379</x:v>
      </x:c>
      <x:c r="I4818" s="0"/>
      <x:c r="J4818" s="0"/>
      <x:c r="K4818" s="6">
        <x:v>46286</x:v>
      </x:c>
      <x:c r="L4818" t="str" s="2">
        <x:v>Message Sent</x:v>
      </x:c>
    </x:row>
    <x:row r="4819">
      <x:c r="A4819" t="str" s="2">
        <x:f>="Joseph Martin"</x:f>
      </x:c>
      <x:c r="B4819" t="str" s="2">
        <x:v>Heritage Housing of Tulsa</x:v>
      </x:c>
      <x:c r="C4819" t="str" s="2">
        <x:v/>
      </x:c>
      <x:c r="D4819" t="str" s="2">
        <x:v>4794591695</x:v>
      </x:c>
      <x:c r="E4819" t="str" s="2">
        <x:v>usrj1272@gmail.com</x:v>
      </x:c>
      <x:c r="F4819" t="str" s="2">
        <x:v>Youtube</x:v>
      </x:c>
      <x:c r="G4819" t="str" s="2">
        <x:v>Jenna Fransisco</x:v>
      </x:c>
      <x:c r="H4819" s="6">
        <x:v>46285.155674270834</x:v>
      </x:c>
      <x:c r="I4819" s="0"/>
      <x:c r="J4819" s="0"/>
      <x:c r="K4819" s="6">
        <x:v>46287</x:v>
      </x:c>
      <x:c r="L4819" t="str" s="2">
        <x:v>Message Sent</x:v>
      </x:c>
    </x:row>
    <x:row r="4820">
      <x:c r="A4820" t="str" s="2">
        <x:f>="Cherry Nelms"</x:f>
      </x:c>
      <x:c r="B4820" t="str" s="2">
        <x:v>Heritage Housing of Albany</x:v>
      </x:c>
      <x:c r="C4820" t="str" s="2">
        <x:v>0/2</x:v>
      </x:c>
      <x:c r="D4820" t="str" s="2">
        <x:v>6789276730</x:v>
      </x:c>
      <x:c r="E4820" t="str" s="2">
        <x:v>cherrynelms1961@gmail.com</x:v>
      </x:c>
      <x:c r="F4820" t="str" s="2">
        <x:v>Youtube</x:v>
      </x:c>
      <x:c r="G4820" t="str" s="2">
        <x:v>Yanet Alvarez</x:v>
      </x:c>
      <x:c r="H4820" s="6">
        <x:v>46285.16588811343</x:v>
      </x:c>
      <x:c r="I4820" s="0"/>
      <x:c r="J4820" s="0"/>
      <x:c r="K4820" s="6">
        <x:v>46307</x:v>
      </x:c>
      <x:c r="L4820" t="str" s="2">
        <x:v>Message Sent</x:v>
      </x:c>
    </x:row>
    <x:row r="4821">
      <x:c r="A4821" t="str" s="2">
        <x:f>="Brandie Roberson"</x:f>
      </x:c>
      <x:c r="B4821" t="str" s="2">
        <x:v>Heritage Housing of Canton</x:v>
      </x:c>
      <x:c r="C4821" t="str" s="2">
        <x:v/>
      </x:c>
      <x:c r="D4821" t="str" s="2">
        <x:v>9035190123</x:v>
      </x:c>
      <x:c r="E4821" t="str" s="2">
        <x:v>robersonbrandie83@gmail.com</x:v>
      </x:c>
      <x:c r="F4821" t="str" s="2">
        <x:v>Landing_BPM</x:v>
      </x:c>
      <x:c r="G4821" t="str" s="2">
        <x:v>Maira Garcia</x:v>
      </x:c>
      <x:c r="H4821" s="6">
        <x:v>46285.17585818287</x:v>
      </x:c>
      <x:c r="I4821" s="0"/>
      <x:c r="J4821" s="0"/>
      <x:c r="K4821" s="6">
        <x:v>46285</x:v>
      </x:c>
      <x:c r="L4821" t="str" s="2">
        <x:v>Message Sent</x:v>
      </x:c>
    </x:row>
    <x:row r="4822">
      <x:c r="A4822" t="str" s="2">
        <x:f>="Dorothy Gearheart"</x:f>
      </x:c>
      <x:c r="B4822" t="str" s="2">
        <x:v>Legacy Housing Corp. DBA Americasa</x:v>
      </x:c>
      <x:c r="C4822" t="str" s="2">
        <x:v/>
      </x:c>
      <x:c r="D4822" t="str" s="2">
        <x:v>9363552023</x:v>
      </x:c>
      <x:c r="E4822" t="str" s="2">
        <x:v>gearheartdorothy@yahoo.com</x:v>
      </x:c>
      <x:c r="F4822" t="str" s="2">
        <x:v>Landing_BPM</x:v>
      </x:c>
      <x:c r="G4822" t="str" s="2">
        <x:v>Jose Parada</x:v>
      </x:c>
      <x:c r="H4822" s="6">
        <x:v>46285.18519618056</x:v>
      </x:c>
      <x:c r="I4822" s="0"/>
      <x:c r="J4822" s="0"/>
      <x:c r="K4822" s="6">
        <x:v>46286</x:v>
      </x:c>
      <x:c r="L4822" t="str" s="2">
        <x:v>Message Sent</x:v>
      </x:c>
    </x:row>
    <x:row r="4823">
      <x:c r="A4823" t="str" s="2">
        <x:f>="Garry Small"</x:f>
      </x:c>
      <x:c r="B4823" t="str" s="2">
        <x:v>Heritage Housing of Tulsa</x:v>
      </x:c>
      <x:c r="C4823" t="str" s="2">
        <x:v/>
      </x:c>
      <x:c r="D4823" t="str" s="2">
        <x:v>9184719734</x:v>
      </x:c>
      <x:c r="E4823" t="str" s="2">
        <x:v>Wolfmans1953@gmail.com</x:v>
      </x:c>
      <x:c r="F4823" t="str" s="2">
        <x:v>Website</x:v>
      </x:c>
      <x:c r="G4823" t="str" s="2">
        <x:v>Justin Johnson</x:v>
      </x:c>
      <x:c r="H4823" s="6">
        <x:v>46285.238372604166</x:v>
      </x:c>
      <x:c r="I4823" s="0"/>
      <x:c r="J4823" s="0"/>
      <x:c r="K4823" s="6">
        <x:v>46302.71275644676</x:v>
      </x:c>
      <x:c r="L4823" t="str" s="2">
        <x:v>Message Sent</x:v>
      </x:c>
    </x:row>
    <x:row r="4824">
      <x:c r="A4824" t="str" s="2">
        <x:f>="James Wyles"</x:f>
      </x:c>
      <x:c r="B4824" t="str" s="2">
        <x:v>Heritage Housing Marble Falls</x:v>
      </x:c>
      <x:c r="C4824" t="str" s="2">
        <x:v/>
      </x:c>
      <x:c r="D4824" t="str" s="2">
        <x:v>4793359162</x:v>
      </x:c>
      <x:c r="E4824" t="str" s="2">
        <x:v>jw10350@gmail.com</x:v>
      </x:c>
      <x:c r="F4824" t="str" s="2">
        <x:v>Landing_BPM</x:v>
      </x:c>
      <x:c r="G4824" t="str" s="2">
        <x:v>Stephen Sanders</x:v>
      </x:c>
      <x:c r="H4824" s="6">
        <x:v>46285.285436886574</x:v>
      </x:c>
      <x:c r="I4824" s="0"/>
      <x:c r="J4824" s="0"/>
      <x:c r="K4824" s="6">
        <x:v>46289.57877974537</x:v>
      </x:c>
      <x:c r="L4824" t="str" s="2">
        <x:v>Message Sent</x:v>
      </x:c>
    </x:row>
    <x:row r="4825">
      <x:c r="A4825" t="str" s="2">
        <x:f>="Aaron Waugh"</x:f>
      </x:c>
      <x:c r="B4825" t="str" s="2">
        <x:v>Heritage Housing of Athens</x:v>
      </x:c>
      <x:c r="C4825" t="str" s="2">
        <x:v/>
      </x:c>
      <x:c r="D4825" t="str" s="2">
        <x:v>4047649529</x:v>
      </x:c>
      <x:c r="E4825" t="str" s="2">
        <x:v>aaronwaugh@comcast.net</x:v>
      </x:c>
      <x:c r="F4825" t="str" s="2">
        <x:v>LandingPage</x:v>
      </x:c>
      <x:c r="G4825" t="str" s="2">
        <x:v>Nathan Bishop</x:v>
      </x:c>
      <x:c r="H4825" s="6">
        <x:v>46285.365717939814</x:v>
      </x:c>
      <x:c r="I4825" s="0"/>
      <x:c r="J4825" s="0"/>
      <x:c r="K4825" s="6">
        <x:v>46286</x:v>
      </x:c>
      <x:c r="L4825" t="str" s="2">
        <x:v>Message Sent</x:v>
      </x:c>
    </x:row>
    <x:row r="4826">
      <x:c r="A4826" t="str" s="2">
        <x:f>="Randy Bender"</x:f>
      </x:c>
      <x:c r="B4826" t="str" s="2">
        <x:v>Heritage Housing of Tulsa</x:v>
      </x:c>
      <x:c r="C4826" t="str" s="2">
        <x:v/>
      </x:c>
      <x:c r="D4826" t="str" s="2">
        <x:v>5393042659</x:v>
      </x:c>
      <x:c r="E4826" t="str" s="2">
        <x:v>yogibender74344@gmail.com</x:v>
      </x:c>
      <x:c r="F4826" t="str" s="2">
        <x:v>Website</x:v>
      </x:c>
      <x:c r="G4826" t="str" s="2">
        <x:v>Jenna Fransisco</x:v>
      </x:c>
      <x:c r="H4826" s="6">
        <x:v>46285.39604008102</x:v>
      </x:c>
      <x:c r="I4826" s="0"/>
      <x:c r="J4826" s="0"/>
      <x:c r="K4826" s="6">
        <x:v>46287</x:v>
      </x:c>
      <x:c r="L4826" t="str" s="2">
        <x:v>Message Sent</x:v>
      </x:c>
    </x:row>
    <x:row r="4827">
      <x:c r="A4827" t="str" s="2">
        <x:f>="geoffrey gatttis"</x:f>
      </x:c>
      <x:c r="B4827" t="str" s="2">
        <x:v>Heritage Housing of Asheboro</x:v>
      </x:c>
      <x:c r="C4827" t="str" s="2">
        <x:v/>
      </x:c>
      <x:c r="D4827" t="str" s="2">
        <x:v>9844399690</x:v>
      </x:c>
      <x:c r="E4827" t="str" s="2">
        <x:v>onegus1477@gmail.com</x:v>
      </x:c>
      <x:c r="F4827" t="str" s="2">
        <x:v>Landing_BPM</x:v>
      </x:c>
      <x:c r="G4827" t="str" s="2">
        <x:v>Kate Gutierrez</x:v>
      </x:c>
      <x:c r="H4827" s="6">
        <x:v>46285.40200509259</x:v>
      </x:c>
      <x:c r="I4827" s="0"/>
      <x:c r="J4827" s="0"/>
      <x:c r="K4827" s="6">
        <x:v>46288</x:v>
      </x:c>
      <x:c r="L4827" t="str" s="2">
        <x:v>Message Sent</x:v>
      </x:c>
    </x:row>
    <x:row r="4828">
      <x:c r="A4828" t="str" s="2">
        <x:f>="Carol Menard"</x:f>
      </x:c>
      <x:c r="B4828" t="str" s="2">
        <x:v>Heritage Housing of Jennings</x:v>
      </x:c>
      <x:c r="C4828" t="str" s="2">
        <x:v/>
      </x:c>
      <x:c r="D4828" t="str" s="2">
        <x:v>3375954261</x:v>
      </x:c>
      <x:c r="E4828" t="str" s="2">
        <x:v>carolharrington33@gmail.com</x:v>
      </x:c>
      <x:c r="F4828" t="str" s="2">
        <x:v>Landing_BPM</x:v>
      </x:c>
      <x:c r="G4828" t="str" s="2">
        <x:v>Mervin Leslie Smith</x:v>
      </x:c>
      <x:c r="H4828" s="6">
        <x:v>46285.53319351852</x:v>
      </x:c>
      <x:c r="I4828" s="0"/>
      <x:c r="J4828" s="0"/>
      <x:c r="K4828" s="6">
        <x:v>46302.68822438658</x:v>
      </x:c>
      <x:c r="L4828" t="str" s="2">
        <x:v>Message Sent</x:v>
      </x:c>
    </x:row>
    <x:row r="4829">
      <x:c r="A4829" t="str" s="2">
        <x:f>="Julius Hunt"</x:f>
      </x:c>
      <x:c r="B4829" t="str" s="2">
        <x:v>Heritage Housing of Jennings</x:v>
      </x:c>
      <x:c r="C4829" t="str" s="2">
        <x:v/>
      </x:c>
      <x:c r="D4829" t="str" s="2">
        <x:v>3182376287</x:v>
      </x:c>
      <x:c r="E4829" t="str" s="2">
        <x:v>Julius.3l8.hunt@gmail.com</x:v>
      </x:c>
      <x:c r="F4829" t="str" s="2">
        <x:v>Youtube</x:v>
      </x:c>
      <x:c r="G4829" t="str" s="2">
        <x:v>Mervin Leslie Smith</x:v>
      </x:c>
      <x:c r="H4829" s="6">
        <x:v>46285.55363283565</x:v>
      </x:c>
      <x:c r="I4829" s="0"/>
      <x:c r="J4829" s="0"/>
      <x:c r="K4829" s="6">
        <x:v>46302.687839618055</x:v>
      </x:c>
      <x:c r="L4829" t="str" s="2">
        <x:v>Message Sent</x:v>
      </x:c>
    </x:row>
    <x:row r="4830">
      <x:c r="A4830" t="str" s="2">
        <x:f>="MELISSA Mayo"</x:f>
      </x:c>
      <x:c r="B4830" t="str" s="2">
        <x:v>Heritage Housing of Tulsa</x:v>
      </x:c>
      <x:c r="C4830" t="str" s="2">
        <x:v/>
      </x:c>
      <x:c r="D4830" t="str" s="2">
        <x:v>9183515488</x:v>
      </x:c>
      <x:c r="E4830" t="str" s="2">
        <x:v>MELISSAJDM90@GMAIL.COM</x:v>
      </x:c>
      <x:c r="F4830" t="str" s="2">
        <x:v>Youtube</x:v>
      </x:c>
      <x:c r="G4830" t="str" s="2">
        <x:v>Jenna Fransisco</x:v>
      </x:c>
      <x:c r="H4830" s="6">
        <x:v>46285.589596956015</x:v>
      </x:c>
      <x:c r="I4830" s="0"/>
      <x:c r="J4830" s="0"/>
      <x:c r="K4830" s="6">
        <x:v>46287</x:v>
      </x:c>
      <x:c r="L4830" t="str" s="2">
        <x:v>Message Sent</x:v>
      </x:c>
    </x:row>
    <x:row r="4831">
      <x:c r="A4831" t="str" s="2">
        <x:f>="Tommy Martin"</x:f>
      </x:c>
      <x:c r="B4831" t="str" s="2">
        <x:v>Heritage Housing of Asheboro</x:v>
      </x:c>
      <x:c r="C4831" t="str" s="2">
        <x:v/>
      </x:c>
      <x:c r="D4831" t="str" s="2">
        <x:v>9108705678</x:v>
      </x:c>
      <x:c r="E4831" t="str" s="2">
        <x:v>martintommy992@gmail.com</x:v>
      </x:c>
      <x:c r="F4831" t="str" s="2">
        <x:v>Landing_BPM</x:v>
      </x:c>
      <x:c r="G4831" t="str" s="2">
        <x:v>Maria Lopez</x:v>
      </x:c>
      <x:c r="H4831" s="6">
        <x:v>46285.595670636576</x:v>
      </x:c>
      <x:c r="I4831" s="0"/>
      <x:c r="J4831" s="0"/>
      <x:c r="K4831" s="6">
        <x:v>46286</x:v>
      </x:c>
      <x:c r="L4831" t="str" s="2">
        <x:v>Message Sent</x:v>
      </x:c>
    </x:row>
    <x:row r="4832">
      <x:c r="A4832" t="str" s="2">
        <x:f>="Manolo Blanco"</x:f>
      </x:c>
      <x:c r="B4832" t="str" s="2">
        <x:v>Heritage Housing of Tulsa</x:v>
      </x:c>
      <x:c r="C4832" t="str" s="2">
        <x:v/>
      </x:c>
      <x:c r="D4832" t="str" s="2">
        <x:v>4152906235</x:v>
      </x:c>
      <x:c r="E4832" t="str" s="2">
        <x:v>birdiemaker12@gmail.com</x:v>
      </x:c>
      <x:c r="F4832" t="str" s="2">
        <x:v>Youtube</x:v>
      </x:c>
      <x:c r="G4832" t="str" s="2">
        <x:v>Jenna Fransisco</x:v>
      </x:c>
      <x:c r="H4832" s="6">
        <x:v>46285.6024099537</x:v>
      </x:c>
      <x:c r="I4832" s="0"/>
      <x:c r="J4832" s="0"/>
      <x:c r="K4832" s="6">
        <x:v>46287</x:v>
      </x:c>
      <x:c r="L4832" t="str" s="2">
        <x:v>Message Sent</x:v>
      </x:c>
    </x:row>
    <x:row r="4833">
      <x:c r="A4833" t="str" s="2">
        <x:f>="Joel Pike"</x:f>
      </x:c>
      <x:c r="B4833" t="str" s="2">
        <x:v>Heritage Housing of Albany</x:v>
      </x:c>
      <x:c r="C4833" t="str" s="2">
        <x:v>1/3</x:v>
      </x:c>
      <x:c r="D4833" t="str" s="2">
        <x:v>6784968484</x:v>
      </x:c>
      <x:c r="E4833" t="str" s="2">
        <x:v>joelpike71@gmail.com</x:v>
      </x:c>
      <x:c r="F4833" t="str" s="2">
        <x:v>Landing_BPM</x:v>
      </x:c>
      <x:c r="G4833" t="str" s="2">
        <x:v>Yanet Alvarez</x:v>
      </x:c>
      <x:c r="H4833" s="6">
        <x:v>46285.632944363424</x:v>
      </x:c>
      <x:c r="I4833" s="0"/>
      <x:c r="J4833" s="0"/>
      <x:c r="K4833" s="6">
        <x:v>46307</x:v>
      </x:c>
      <x:c r="L4833" t="str" s="2">
        <x:v>Message Sent</x:v>
      </x:c>
    </x:row>
    <x:row r="4834">
      <x:c r="A4834" t="str" s="2">
        <x:f>="Jason Charlton"</x:f>
      </x:c>
      <x:c r="B4834" t="str" s="2">
        <x:v>Heritage Housing of Athens</x:v>
      </x:c>
      <x:c r="C4834" t="str" s="2">
        <x:v/>
      </x:c>
      <x:c r="D4834" t="str" s="2">
        <x:v>4707140816</x:v>
      </x:c>
      <x:c r="E4834" t="str" s="2">
        <x:v>jfambusiness7@gmail.com</x:v>
      </x:c>
      <x:c r="F4834" t="str" s="2">
        <x:v>Landing_BPM</x:v>
      </x:c>
      <x:c r="G4834" t="str" s="2">
        <x:v>Nathan Bishop</x:v>
      </x:c>
      <x:c r="H4834" s="6">
        <x:v>46285.66232268519</x:v>
      </x:c>
      <x:c r="I4834" s="0"/>
      <x:c r="J4834" s="0"/>
      <x:c r="K4834" s="6">
        <x:v>46286</x:v>
      </x:c>
      <x:c r="L4834" t="str" s="2">
        <x:v>Message Sent</x:v>
      </x:c>
    </x:row>
    <x:row r="4835">
      <x:c r="A4835" t="str" s="2">
        <x:f>="Lisa Evans"</x:f>
      </x:c>
      <x:c r="B4835" t="str" s="2">
        <x:v>Heritage Housing of Asheboro</x:v>
      </x:c>
      <x:c r="C4835" t="str" s="2">
        <x:v/>
      </x:c>
      <x:c r="D4835" t="str" s="2">
        <x:v>2522997529</x:v>
      </x:c>
      <x:c r="E4835" t="str" s="2">
        <x:v>ladyeve147@gmail.com</x:v>
      </x:c>
      <x:c r="F4835" t="str" s="2">
        <x:v>Youtube</x:v>
      </x:c>
      <x:c r="G4835" t="str" s="2">
        <x:v>Kate Gutierrez</x:v>
      </x:c>
      <x:c r="H4835" s="6">
        <x:v>46285.67878472222</x:v>
      </x:c>
      <x:c r="I4835" s="0"/>
      <x:c r="J4835" s="0"/>
      <x:c r="K4835" s="6">
        <x:v>46295</x:v>
      </x:c>
      <x:c r="L4835" t="str" s="2">
        <x:v>Message Sent</x:v>
      </x:c>
    </x:row>
    <x:row r="4836">
      <x:c r="A4836" t="str" s="2">
        <x:f>="Cody Griffin"</x:f>
      </x:c>
      <x:c r="B4836" t="str" s="2">
        <x:v>Heritage Housing of Albany</x:v>
      </x:c>
      <x:c r="C4836" t="str" s="2">
        <x:v>1/3</x:v>
      </x:c>
      <x:c r="D4836" t="str" s="2">
        <x:v>2295319035</x:v>
      </x:c>
      <x:c r="E4836" t="str" s="2">
        <x:v>c.j.griffin35@gmail.com</x:v>
      </x:c>
      <x:c r="F4836" t="str" s="2">
        <x:v>Landing_BPM</x:v>
      </x:c>
      <x:c r="G4836" t="str" s="2">
        <x:v>Yanet Alvarez</x:v>
      </x:c>
      <x:c r="H4836" s="6">
        <x:v>46285.70890625</x:v>
      </x:c>
      <x:c r="I4836" s="0"/>
      <x:c r="J4836" s="0"/>
      <x:c r="K4836" s="6">
        <x:v>46307</x:v>
      </x:c>
      <x:c r="L4836" t="str" s="2">
        <x:v>Message Sent</x:v>
      </x:c>
    </x:row>
    <x:row r="4837">
      <x:c r="A4837" t="str" s="2">
        <x:f>="Bryan Wright"</x:f>
      </x:c>
      <x:c r="B4837" t="str" s="2">
        <x:v>Heritage Housing of Albany</x:v>
      </x:c>
      <x:c r="C4837" t="str" s="2">
        <x:v>0/2</x:v>
      </x:c>
      <x:c r="D4837" t="str" s="2">
        <x:v>7065873573</x:v>
      </x:c>
      <x:c r="E4837" t="str" s="2">
        <x:v>levijrjr@icloud.com</x:v>
      </x:c>
      <x:c r="F4837" t="str" s="2">
        <x:v>Landing_BPM</x:v>
      </x:c>
      <x:c r="G4837" t="str" s="2">
        <x:v>Yanet Alvarez</x:v>
      </x:c>
      <x:c r="H4837" s="6">
        <x:v>46285.729307407404</x:v>
      </x:c>
      <x:c r="I4837" s="0"/>
      <x:c r="J4837" s="0"/>
      <x:c r="K4837" s="6">
        <x:v>46307</x:v>
      </x:c>
      <x:c r="L4837" t="str" s="2">
        <x:v>Message Sent</x:v>
      </x:c>
    </x:row>
    <x:row r="4838">
      <x:c r="A4838" t="str" s="2">
        <x:f>="Aureliano Moreno"</x:f>
      </x:c>
      <x:c r="B4838" t="str" s="2">
        <x:v>Heritage Housing of Canton</x:v>
      </x:c>
      <x:c r="C4838" t="str" s="2">
        <x:v/>
      </x:c>
      <x:c r="D4838" t="str" s="2">
        <x:v>8174227518</x:v>
      </x:c>
      <x:c r="E4838" t="str" s="2">
        <x:v>aureliomoreno90a@gmail.com</x:v>
      </x:c>
      <x:c r="F4838" t="str" s="2">
        <x:v>Youtube</x:v>
      </x:c>
      <x:c r="G4838" t="str" s="2">
        <x:v>Maira Garcia</x:v>
      </x:c>
      <x:c r="H4838" s="6">
        <x:v>46285.742438229165</x:v>
      </x:c>
      <x:c r="I4838" s="0"/>
      <x:c r="J4838" s="0"/>
      <x:c r="K4838" s="6">
        <x:v>46285</x:v>
      </x:c>
      <x:c r="L4838" t="str" s="2">
        <x:v>Message Sent</x:v>
      </x:c>
    </x:row>
    <x:row r="4839">
      <x:c r="A4839" t="str" s="2">
        <x:f>="Jesse Carter"</x:f>
      </x:c>
      <x:c r="B4839" t="str" s="2">
        <x:v>Heritage Housing Marble Falls</x:v>
      </x:c>
      <x:c r="C4839" t="str" s="2">
        <x:v/>
      </x:c>
      <x:c r="D4839" t="str" s="2">
        <x:v>2549520829</x:v>
      </x:c>
      <x:c r="E4839" t="str" s="2">
        <x:v>jacwooo@gmail.com</x:v>
      </x:c>
      <x:c r="F4839" t="str" s="2">
        <x:v>Financing Form</x:v>
      </x:c>
      <x:c r="G4839" t="str" s="2">
        <x:v>Stephen Sanders</x:v>
      </x:c>
      <x:c r="H4839" s="6">
        <x:v>46285.759954629626</x:v>
      </x:c>
      <x:c r="I4839" s="0"/>
      <x:c r="J4839" s="0"/>
      <x:c r="K4839" s="6">
        <x:v>46289.578603125</x:v>
      </x:c>
      <x:c r="L4839" t="str" s="2">
        <x:v>Message Sent</x:v>
      </x:c>
    </x:row>
    <x:row r="4840">
      <x:c r="A4840" t="str" s="2">
        <x:f>="Chiquita Matlock"</x:f>
      </x:c>
      <x:c r="B4840" t="str" s="2">
        <x:v>Heritage Housing of Albany</x:v>
      </x:c>
      <x:c r="C4840" t="str" s="2">
        <x:v>1/3</x:v>
      </x:c>
      <x:c r="D4840" t="str" s="2">
        <x:v>4056936078</x:v>
      </x:c>
      <x:c r="E4840" t="str" s="2">
        <x:v>Chiquitalk1974@gmail.com</x:v>
      </x:c>
      <x:c r="F4840" t="str" s="2">
        <x:v>Financing Form</x:v>
      </x:c>
      <x:c r="G4840" t="str" s="2">
        <x:v>Yanet Alvarez</x:v>
      </x:c>
      <x:c r="H4840" s="6">
        <x:v>46285.801390740744</x:v>
      </x:c>
      <x:c r="I4840" s="0"/>
      <x:c r="J4840" s="0"/>
      <x:c r="K4840" s="6">
        <x:v>46307</x:v>
      </x:c>
      <x:c r="L4840" t="str" s="2">
        <x:v>Message Sent</x:v>
      </x:c>
    </x:row>
    <x:row r="4841">
      <x:c r="A4841" t="str" s="2">
        <x:f>="Madiosn Honea"</x:f>
      </x:c>
      <x:c r="B4841" t="str" s="2">
        <x:v>Heritage Housing of Greenville</x:v>
      </x:c>
      <x:c r="C4841" t="str" s="2">
        <x:v/>
      </x:c>
      <x:c r="D4841" t="str" s="2">
        <x:v>4698532464</x:v>
      </x:c>
      <x:c r="E4841" t="str" s="2">
        <x:v>madigtull@gmail.com</x:v>
      </x:c>
      <x:c r="F4841" t="str" s="2">
        <x:v>LandingPage</x:v>
      </x:c>
      <x:c r="G4841" t="str" s="2">
        <x:v>Brooklynn Allen</x:v>
      </x:c>
      <x:c r="H4841" s="6">
        <x:v>46285.80185246528</x:v>
      </x:c>
      <x:c r="I4841" s="0"/>
      <x:c r="J4841" s="0"/>
      <x:c r="K4841" s="6">
        <x:v>46286</x:v>
      </x:c>
      <x:c r="L4841" t="str" s="2">
        <x:v>Message Sent</x:v>
      </x:c>
    </x:row>
    <x:row r="4842">
      <x:c r="A4842" t="str" s="2">
        <x:f>="Dana kelley"</x:f>
      </x:c>
      <x:c r="B4842" t="str" s="2">
        <x:v>Heritage Housing of Athens</x:v>
      </x:c>
      <x:c r="C4842" t="str" s="2">
        <x:v/>
      </x:c>
      <x:c r="D4842" t="str" s="2">
        <x:v>8647910779</x:v>
      </x:c>
      <x:c r="E4842" t="str" s="2">
        <x:v>danakelley1960@gmail.com</x:v>
      </x:c>
      <x:c r="F4842" t="str" s="2">
        <x:v>Bing - Search</x:v>
      </x:c>
      <x:c r="G4842" t="str" s="2">
        <x:v>Nathan Bishop</x:v>
      </x:c>
      <x:c r="H4842" s="6">
        <x:v>46285.81617792824</x:v>
      </x:c>
      <x:c r="I4842" s="0"/>
      <x:c r="J4842" s="0"/>
      <x:c r="K4842" s="6">
        <x:v>46286</x:v>
      </x:c>
      <x:c r="L4842" t="str" s="2">
        <x:v>Message Sent</x:v>
      </x:c>
    </x:row>
    <x:row r="4843">
      <x:c r="A4843" t="str" s="2">
        <x:f>="Sandra HUPERT"</x:f>
      </x:c>
      <x:c r="B4843" t="str" s="2">
        <x:v>Heritage Housing of Tulsa</x:v>
      </x:c>
      <x:c r="C4843" t="str" s="2">
        <x:v/>
      </x:c>
      <x:c r="D4843" t="str" s="2">
        <x:v>5808508024</x:v>
      </x:c>
      <x:c r="E4843" t="str" s="2">
        <x:v>sandrahuperttuffy1959@gmail.com</x:v>
      </x:c>
      <x:c r="F4843" t="str" s="2">
        <x:v>Youtube</x:v>
      </x:c>
      <x:c r="G4843" t="str" s="2">
        <x:v>Jenna Fransisco</x:v>
      </x:c>
      <x:c r="H4843" s="6">
        <x:v>46285.84026107639</x:v>
      </x:c>
      <x:c r="I4843" s="0"/>
      <x:c r="J4843" s="0"/>
      <x:c r="K4843" s="6">
        <x:v>46287</x:v>
      </x:c>
      <x:c r="L4843" t="str" s="2">
        <x:v>Message Sent</x:v>
      </x:c>
    </x:row>
    <x:row r="4844">
      <x:c r="A4844" t="str" s="2">
        <x:f>="Robert Huck"</x:f>
      </x:c>
      <x:c r="B4844" t="str" s="2">
        <x:v>Heritage Housing of Asheboro</x:v>
      </x:c>
      <x:c r="C4844" t="str" s="2">
        <x:v/>
      </x:c>
      <x:c r="D4844" t="str" s="2">
        <x:v>8046102826</x:v>
      </x:c>
      <x:c r="E4844" t="str" s="2">
        <x:v>huckrob65@gmail.com</x:v>
      </x:c>
      <x:c r="F4844" t="str" s="2">
        <x:v>Landing_BPM</x:v>
      </x:c>
      <x:c r="G4844" t="str" s="2">
        <x:v>Maria Lopez</x:v>
      </x:c>
      <x:c r="H4844" s="6">
        <x:v>46285.84451782407</x:v>
      </x:c>
      <x:c r="I4844" s="0"/>
      <x:c r="J4844" s="0"/>
      <x:c r="K4844" s="6">
        <x:v>46286</x:v>
      </x:c>
      <x:c r="L4844" t="str" s="2">
        <x:v>Message Sent</x:v>
      </x:c>
    </x:row>
    <x:row r="4845">
      <x:c r="A4845" t="str" s="2">
        <x:f>="Alleis Maness"</x:f>
      </x:c>
      <x:c r="B4845" t="str" s="2">
        <x:v>Heritage Housing of Asheboro</x:v>
      </x:c>
      <x:c r="C4845" t="str" s="2">
        <x:v/>
      </x:c>
      <x:c r="D4845" t="str" s="2">
        <x:v>9802581914</x:v>
      </x:c>
      <x:c r="E4845" t="str" s="2">
        <x:v>yayasueling@gmail.com</x:v>
      </x:c>
      <x:c r="F4845" t="str" s="2">
        <x:v>Youtube</x:v>
      </x:c>
      <x:c r="G4845" t="str" s="2">
        <x:v>Kate Gutierrez</x:v>
      </x:c>
      <x:c r="H4845" s="6">
        <x:v>46285.85619097222</x:v>
      </x:c>
      <x:c r="I4845" s="0"/>
      <x:c r="J4845" s="0"/>
      <x:c r="K4845" s="6">
        <x:v>46288</x:v>
      </x:c>
      <x:c r="L4845" t="str" s="2">
        <x:v>Message Sent</x:v>
      </x:c>
    </x:row>
    <x:row r="4846">
      <x:c r="A4846" t="str" s="2">
        <x:f>="Ronald King"</x:f>
      </x:c>
      <x:c r="B4846" t="str" s="2">
        <x:v>Heritage Housing of Athens</x:v>
      </x:c>
      <x:c r="C4846" t="str" s="2">
        <x:v>1/1</x:v>
      </x:c>
      <x:c r="D4846" t="str" s="2">
        <x:v>7064095575</x:v>
      </x:c>
      <x:c r="E4846" t="str" s="2">
        <x:v>rkking2286@gmail.com</x:v>
      </x:c>
      <x:c r="F4846" t="str" s="2">
        <x:v>Youtube</x:v>
      </x:c>
      <x:c r="G4846" t="str" s="2">
        <x:v>Nathan Bishop</x:v>
      </x:c>
      <x:c r="H4846" s="6">
        <x:v>46285.89284857639</x:v>
      </x:c>
      <x:c r="I4846" s="0"/>
      <x:c r="J4846" s="0"/>
      <x:c r="K4846" s="6">
        <x:v>46286</x:v>
      </x:c>
      <x:c r="L4846" t="str" s="2">
        <x:v>Message Sent</x:v>
      </x:c>
    </x:row>
    <x:row r="4847">
      <x:c r="A4847" t="str" s="2">
        <x:f>="David Martinez"</x:f>
      </x:c>
      <x:c r="B4847" t="str" s="2">
        <x:v>Heritage Housing of Asheboro</x:v>
      </x:c>
      <x:c r="C4847" t="str" s="2">
        <x:v/>
      </x:c>
      <x:c r="D4847" t="str" s="2">
        <x:v>9804221643</x:v>
      </x:c>
      <x:c r="E4847" t="str" s="2">
        <x:v>dmartinezisnow@gmail.com</x:v>
      </x:c>
      <x:c r="F4847" t="str" s="2">
        <x:v>Landing_BPM</x:v>
      </x:c>
      <x:c r="G4847" t="str" s="2">
        <x:v>Kate Gutierrez</x:v>
      </x:c>
      <x:c r="H4847" s="6">
        <x:v>46285.90529679398</x:v>
      </x:c>
      <x:c r="I4847" s="0"/>
      <x:c r="J4847" s="0"/>
      <x:c r="K4847" s="6">
        <x:v>46286</x:v>
      </x:c>
      <x:c r="L4847" t="str" s="2">
        <x:v>Message Sent</x:v>
      </x:c>
    </x:row>
    <x:row r="4848">
      <x:c r="A4848" t="str" s="2">
        <x:f>="Bradley Bible"</x:f>
      </x:c>
      <x:c r="B4848" t="str" s="2">
        <x:v>Heritage Housing of Tulsa</x:v>
      </x:c>
      <x:c r="C4848" t="str" s="2">
        <x:v/>
      </x:c>
      <x:c r="D4848" t="str" s="2">
        <x:v>9182441980</x:v>
      </x:c>
      <x:c r="E4848" t="str" s="2">
        <x:v>bbible1980@gmail.com</x:v>
      </x:c>
      <x:c r="F4848" t="str" s="2">
        <x:v>Landing_BPM</x:v>
      </x:c>
      <x:c r="G4848" t="str" s="2">
        <x:v>Jenna Fransisco</x:v>
      </x:c>
      <x:c r="H4848" s="6">
        <x:v>46285.948795833334</x:v>
      </x:c>
      <x:c r="I4848" s="0"/>
      <x:c r="J4848" s="0"/>
      <x:c r="K4848" s="6">
        <x:v>46287</x:v>
      </x:c>
      <x:c r="L4848" t="str" s="2">
        <x:v>Message Sent</x:v>
      </x:c>
    </x:row>
    <x:row r="4849">
      <x:c r="A4849" t="str" s="2">
        <x:f>="Krystal Smith"</x:f>
      </x:c>
      <x:c r="B4849" t="str" s="2">
        <x:v>Heritage Housing of Athens</x:v>
      </x:c>
      <x:c r="C4849" t="str" s="2">
        <x:v/>
      </x:c>
      <x:c r="D4849" t="str" s="2">
        <x:v>7063307487</x:v>
      </x:c>
      <x:c r="E4849" t="str" s="2">
        <x:v>mrssmith2k24@gmail.com</x:v>
      </x:c>
      <x:c r="F4849" t="str" s="2">
        <x:v>Youtube</x:v>
      </x:c>
      <x:c r="G4849" t="str" s="2">
        <x:v>Nathan Bishop</x:v>
      </x:c>
      <x:c r="H4849" s="6">
        <x:v>46285.950559143515</x:v>
      </x:c>
      <x:c r="I4849" s="0"/>
      <x:c r="J4849" s="0"/>
      <x:c r="K4849" s="6">
        <x:v>46286</x:v>
      </x:c>
      <x:c r="L4849" t="str" s="2">
        <x:v>Message Sent</x:v>
      </x:c>
    </x:row>
    <x:row r="4850">
      <x:c r="A4850" t="str" s="2">
        <x:f>="Laneaca Woodard"</x:f>
      </x:c>
      <x:c r="B4850" t="str" s="2">
        <x:v>Heritage Housing of Canton</x:v>
      </x:c>
      <x:c r="C4850" t="str" s="2">
        <x:v/>
      </x:c>
      <x:c r="D4850" t="str" s="2">
        <x:v>8173237164</x:v>
      </x:c>
      <x:c r="E4850" t="str" s="2">
        <x:v>laneaca.woodard2@gmail.com</x:v>
      </x:c>
      <x:c r="F4850" t="str" s="2">
        <x:v>Youtube</x:v>
      </x:c>
      <x:c r="G4850" t="str" s="2">
        <x:v>Maira Garcia</x:v>
      </x:c>
      <x:c r="H4850" s="6">
        <x:v>46285.96335107639</x:v>
      </x:c>
      <x:c r="I4850" s="0"/>
      <x:c r="J4850" s="0"/>
      <x:c r="K4850" s="6">
        <x:v>46286</x:v>
      </x:c>
      <x:c r="L4850" t="str" s="2">
        <x:v>Message Sent</x:v>
      </x:c>
    </x:row>
    <x:row r="4851">
      <x:c r="A4851" t="str" s="2">
        <x:f>="DeMontray Minnifield"</x:f>
      </x:c>
      <x:c r="B4851" t="str" s="2">
        <x:v>Legacy Housing Corp. DBA Americasa</x:v>
      </x:c>
      <x:c r="C4851" t="str" s="2">
        <x:v/>
      </x:c>
      <x:c r="D4851" t="str" s="2">
        <x:v>7134719375</x:v>
      </x:c>
      <x:c r="E4851" t="str" s="2">
        <x:v>drminnifield@gmail.com</x:v>
      </x:c>
      <x:c r="F4851" t="str" s="2">
        <x:v>Landing_BPM</x:v>
      </x:c>
      <x:c r="G4851" t="str" s="2">
        <x:v>Joey Marquez</x:v>
      </x:c>
      <x:c r="H4851" s="6">
        <x:v>46285.967822025465</x:v>
      </x:c>
      <x:c r="I4851" s="0"/>
      <x:c r="J4851" s="0"/>
      <x:c r="K4851" s="6">
        <x:v>46286</x:v>
      </x:c>
      <x:c r="L4851" t="str" s="2">
        <x:v>Message Sent</x:v>
      </x:c>
    </x:row>
    <x:row r="4852">
      <x:c r="A4852" t="str" s="2">
        <x:f>="Brooklynn Trammell"</x:f>
      </x:c>
      <x:c r="B4852" t="str" s="2">
        <x:v>Heritage Housing of Tulsa</x:v>
      </x:c>
      <x:c r="C4852" t="str" s="2">
        <x:v/>
      </x:c>
      <x:c r="D4852" t="str" s="2">
        <x:v>9182409359</x:v>
      </x:c>
      <x:c r="E4852" t="str" s="2">
        <x:v>Brooklynntrammell1@gmail.com</x:v>
      </x:c>
      <x:c r="F4852" t="str" s="2">
        <x:v>Landing_BPM</x:v>
      </x:c>
      <x:c r="G4852" t="str" s="2">
        <x:v>Jenna Fransisco</x:v>
      </x:c>
      <x:c r="H4852" s="6">
        <x:v>46285.98104471065</x:v>
      </x:c>
      <x:c r="I4852" s="0"/>
      <x:c r="J4852" s="0"/>
      <x:c r="K4852" s="6">
        <x:v>46287</x:v>
      </x:c>
      <x:c r="L4852" t="str" s="2">
        <x:v>Message Sent</x:v>
      </x:c>
    </x:row>
    <x:row r="4853">
      <x:c r="A4853" t="str" s="2">
        <x:f>=HYPERLINK("https://rsms.futurehomex.com/lead/40232", "Joseph Sazekaf")</x:f>
      </x:c>
      <x:c r="B4853" t="str" s="2">
        <x:v>Heritage Housing of Tulsa</x:v>
      </x:c>
      <x:c r="C4853" t="str" s="2">
        <x:v/>
      </x:c>
      <x:c r="D4853" t="str" s="2">
        <x:v>4054327775</x:v>
      </x:c>
      <x:c r="E4853" t="str" s="2">
        <x:v>miranda.sanchez4evr@gmail.com</x:v>
      </x:c>
      <x:c r="F4853" t="str" s="2">
        <x:v>Financing Form</x:v>
      </x:c>
      <x:c r="G4853" t="str" s="2">
        <x:v>Jenna Fransisco</x:v>
      </x:c>
      <x:c r="H4853" s="6">
        <x:v>46285.99090289352</x:v>
      </x:c>
      <x:c r="I4853" t="str" s="2">
        <x:v>Jenna Fransisco</x:v>
      </x:c>
      <x:c r="J4853" s="0"/>
      <x:c r="K4853" s="6">
        <x:v>46286</x:v>
      </x:c>
      <x:c r="L4853" t="str" s="2">
        <x:v>Message Sent</x:v>
      </x:c>
    </x:row>
    <x:row r="4854">
      <x:c r="A4854" t="str" s="2">
        <x:f>="Stephanie Teasley"</x:f>
      </x:c>
      <x:c r="B4854" t="str" s="2">
        <x:v>Heritage Housing of Asheboro</x:v>
      </x:c>
      <x:c r="C4854" t="str" s="2">
        <x:v/>
      </x:c>
      <x:c r="D4854" t="str" s="2">
        <x:v>9807766465</x:v>
      </x:c>
      <x:c r="E4854" t="str" s="2">
        <x:v>stephteasley1111@gmail.com</x:v>
      </x:c>
      <x:c r="F4854" t="str" s="2">
        <x:v>Youtube</x:v>
      </x:c>
      <x:c r="G4854" t="str" s="2">
        <x:v>Maria Lopez</x:v>
      </x:c>
      <x:c r="H4854" s="6">
        <x:v>46286.03702256944</x:v>
      </x:c>
      <x:c r="I4854" s="0"/>
      <x:c r="J4854" s="0"/>
      <x:c r="K4854" s="6">
        <x:v>46286</x:v>
      </x:c>
      <x:c r="L4854" t="str" s="2">
        <x:v>Message Sent</x:v>
      </x:c>
    </x:row>
    <x:row r="4855">
      <x:c r="A4855" t="str" s="2">
        <x:f>=HYPERLINK("https://rsms.futurehomex.com/lead/40345", "Michael Delcour")</x:f>
      </x:c>
      <x:c r="B4855" t="str" s="2">
        <x:v>Heritage Housing of Tulsa</x:v>
      </x:c>
      <x:c r="C4855" t="str" s="2">
        <x:v/>
      </x:c>
      <x:c r="D4855" t="str" s="2">
        <x:v>4179010235</x:v>
      </x:c>
      <x:c r="E4855" t="str" s="2">
        <x:v>delcour652@gmail.com</x:v>
      </x:c>
      <x:c r="F4855" t="str" s="2">
        <x:v>Financing Form</x:v>
      </x:c>
      <x:c r="G4855" t="str" s="2">
        <x:v>Jenna Fransisco</x:v>
      </x:c>
      <x:c r="H4855" s="6">
        <x:v>46286.04389965278</x:v>
      </x:c>
      <x:c r="I4855" t="str" s="2">
        <x:v>Jenna Fransisco</x:v>
      </x:c>
      <x:c r="J4855" s="0"/>
      <x:c r="K4855" s="6">
        <x:v>46294</x:v>
      </x:c>
      <x:c r="L4855" t="str" s="2">
        <x:v>Message Sent</x:v>
      </x:c>
    </x:row>
    <x:row r="4856">
      <x:c r="A4856" t="str" s="2">
        <x:f>="DeMarva Dalcour"</x:f>
      </x:c>
      <x:c r="B4856" t="str" s="2">
        <x:v>Legacy Housing Corp. DBA Americasa</x:v>
      </x:c>
      <x:c r="C4856" t="str" s="2">
        <x:v/>
      </x:c>
      <x:c r="D4856" t="str" s="2">
        <x:v>3468455085</x:v>
      </x:c>
      <x:c r="E4856" t="str" s="2">
        <x:v>dalcourdemarvas@gmail.com</x:v>
      </x:c>
      <x:c r="F4856" t="str" s="2">
        <x:v>Landing_BPM</x:v>
      </x:c>
      <x:c r="G4856" t="str" s="2">
        <x:v>Jose Parada</x:v>
      </x:c>
      <x:c r="H4856" s="6">
        <x:v>46286.07956153935</x:v>
      </x:c>
      <x:c r="I4856" s="0"/>
      <x:c r="J4856" s="0"/>
      <x:c r="K4856" s="6">
        <x:v>46286</x:v>
      </x:c>
      <x:c r="L4856" t="str" s="2">
        <x:v>Message Sent</x:v>
      </x:c>
    </x:row>
    <x:row r="4857">
      <x:c r="A4857" t="str" s="2">
        <x:f>="Chelsea Granger"</x:f>
      </x:c>
      <x:c r="B4857" t="str" s="2">
        <x:v>Heritage Housing of Jennings</x:v>
      </x:c>
      <x:c r="C4857" t="str" s="2">
        <x:v/>
      </x:c>
      <x:c r="D4857" t="str" s="2">
        <x:v>2254015879</x:v>
      </x:c>
      <x:c r="E4857" t="str" s="2">
        <x:v>chelseagranger4@gmail.com</x:v>
      </x:c>
      <x:c r="F4857" t="str" s="2">
        <x:v>Youtube</x:v>
      </x:c>
      <x:c r="G4857" t="str" s="2">
        <x:v>Mervin Leslie Smith</x:v>
      </x:c>
      <x:c r="H4857" s="6">
        <x:v>46286.09413116898</x:v>
      </x:c>
      <x:c r="I4857" s="0"/>
      <x:c r="J4857" s="0"/>
      <x:c r="K4857" s="6">
        <x:v>46302.74238746528</x:v>
      </x:c>
      <x:c r="L4857" t="str" s="2">
        <x:v>Message Sent</x:v>
      </x:c>
    </x:row>
    <x:row r="4858">
      <x:c r="A4858" t="str" s="2">
        <x:f>="Jerry Marshall"</x:f>
      </x:c>
      <x:c r="B4858" t="str" s="2">
        <x:v>Heritage Housing of Tulsa</x:v>
      </x:c>
      <x:c r="C4858" t="str" s="2">
        <x:v/>
      </x:c>
      <x:c r="D4858" t="str" s="2">
        <x:v>5393072954</x:v>
      </x:c>
      <x:c r="E4858" t="str" s="2">
        <x:v>jm0921500@gmail.com</x:v>
      </x:c>
      <x:c r="F4858" t="str" s="2">
        <x:v>Website</x:v>
      </x:c>
      <x:c r="G4858" t="str" s="2">
        <x:v>Jenna Fransisco</x:v>
      </x:c>
      <x:c r="H4858" s="6">
        <x:v>46286.11005177083</x:v>
      </x:c>
      <x:c r="I4858" s="0"/>
      <x:c r="J4858" s="0"/>
      <x:c r="K4858" s="6">
        <x:v>46289</x:v>
      </x:c>
      <x:c r="L4858" t="str" s="2">
        <x:v>Message Sent</x:v>
      </x:c>
    </x:row>
    <x:row r="4859">
      <x:c r="A4859" t="str" s="2">
        <x:f>="Carlisa Hoover"</x:f>
      </x:c>
      <x:c r="B4859" t="str" s="2">
        <x:v>Heritage Housing of Tulsa</x:v>
      </x:c>
      <x:c r="C4859" t="str" s="2">
        <x:v/>
      </x:c>
      <x:c r="D4859" t="str" s="2">
        <x:v>5392357093</x:v>
      </x:c>
      <x:c r="E4859" t="str" s="2">
        <x:v>carlisaeli7730@gmail.com</x:v>
      </x:c>
      <x:c r="F4859" t="str" s="2">
        <x:v>Youtube</x:v>
      </x:c>
      <x:c r="G4859" t="str" s="2">
        <x:v>Jenna Fransisco</x:v>
      </x:c>
      <x:c r="H4859" s="6">
        <x:v>46286.14524413194</x:v>
      </x:c>
      <x:c r="I4859" s="0"/>
      <x:c r="J4859" s="0"/>
      <x:c r="K4859" s="6">
        <x:v>46287</x:v>
      </x:c>
      <x:c r="L4859" t="str" s="2">
        <x:v>Message Sent</x:v>
      </x:c>
    </x:row>
    <x:row r="4860">
      <x:c r="A4860" t="str" s="2">
        <x:f>="Valerie L Mandrell"</x:f>
      </x:c>
      <x:c r="B4860" t="str" s="2">
        <x:v>Heritage Housing of Tulsa</x:v>
      </x:c>
      <x:c r="C4860" t="str" s="2">
        <x:v/>
      </x:c>
      <x:c r="D4860" t="str" s="2">
        <x:v>5806044200</x:v>
      </x:c>
      <x:c r="E4860" t="str" s="2">
        <x:v>vlouisemandrell44@gmail.com</x:v>
      </x:c>
      <x:c r="F4860" t="str" s="2">
        <x:v>Landing_BPM</x:v>
      </x:c>
      <x:c r="G4860" t="str" s="2">
        <x:v>Jenna Fransisco</x:v>
      </x:c>
      <x:c r="H4860" s="6">
        <x:v>46286.1724209838</x:v>
      </x:c>
      <x:c r="I4860" s="0"/>
      <x:c r="J4860" s="0"/>
      <x:c r="K4860" s="6">
        <x:v>46287</x:v>
      </x:c>
      <x:c r="L4860" t="str" s="2">
        <x:v>Message Sent</x:v>
      </x:c>
    </x:row>
    <x:row r="4861">
      <x:c r="A4861" t="str" s="2">
        <x:f>="Ember Walker Walker"</x:f>
      </x:c>
      <x:c r="B4861" t="str" s="2">
        <x:v>Legacy Housing Corp. DBA Americasa</x:v>
      </x:c>
      <x:c r="C4861" t="str" s="2">
        <x:v/>
      </x:c>
      <x:c r="D4861" t="str" s="2">
        <x:v>9033731304</x:v>
      </x:c>
      <x:c r="E4861" t="str" s="2">
        <x:v>emberwalker@gmail.com</x:v>
      </x:c>
      <x:c r="F4861" t="str" s="2">
        <x:v>Landing_BPM</x:v>
      </x:c>
      <x:c r="G4861" t="str" s="2">
        <x:v>Joey Marquez</x:v>
      </x:c>
      <x:c r="H4861" s="6">
        <x:v>46286.22061107639</x:v>
      </x:c>
      <x:c r="I4861" s="0"/>
      <x:c r="J4861" s="0"/>
      <x:c r="K4861" s="6">
        <x:v>46286</x:v>
      </x:c>
      <x:c r="L4861" t="str" s="2">
        <x:v>Message Sent</x:v>
      </x:c>
    </x:row>
    <x:row r="4862">
      <x:c r="A4862" t="str" s="2">
        <x:f>="Veronica Stanford"</x:f>
      </x:c>
      <x:c r="B4862" t="str" s="2">
        <x:v>Heritage Housing of Albany</x:v>
      </x:c>
      <x:c r="C4862" t="str" s="2">
        <x:v/>
      </x:c>
      <x:c r="D4862" t="str" s="2">
        <x:v>5619179937</x:v>
      </x:c>
      <x:c r="E4862" t="str" s="2">
        <x:v>www.mullet437@gmail.com</x:v>
      </x:c>
      <x:c r="F4862" t="str" s="2">
        <x:v>Financing Form</x:v>
      </x:c>
      <x:c r="G4862" t="str" s="2">
        <x:v>Yanet Alvarez</x:v>
      </x:c>
      <x:c r="H4862" s="6">
        <x:v>46286.32258221065</x:v>
      </x:c>
      <x:c r="I4862" s="0"/>
      <x:c r="J4862" s="0"/>
      <x:c r="K4862" s="6">
        <x:v>46286</x:v>
      </x:c>
      <x:c r="L4862" t="str" s="2">
        <x:v>Message Sent</x:v>
      </x:c>
    </x:row>
    <x:row r="4863">
      <x:c r="A4863" t="str" s="2">
        <x:f>="Lee Green"</x:f>
      </x:c>
      <x:c r="B4863" t="str" s="2">
        <x:v>Heritage Housing of Greenville</x:v>
      </x:c>
      <x:c r="C4863" t="str" s="2">
        <x:v>0/1</x:v>
      </x:c>
      <x:c r="D4863" t="str" s="2">
        <x:v>9037038217</x:v>
      </x:c>
      <x:c r="E4863" t="str" s="2">
        <x:v>l33anng@gmail.com</x:v>
      </x:c>
      <x:c r="F4863" t="str" s="2">
        <x:v>Website</x:v>
      </x:c>
      <x:c r="G4863" t="str" s="2">
        <x:v>Greg Christman</x:v>
      </x:c>
      <x:c r="H4863" s="6">
        <x:v>46286.38115744213</x:v>
      </x:c>
      <x:c r="I4863" s="0"/>
      <x:c r="J4863" s="0"/>
      <x:c r="K4863" s="6">
        <x:v>46295</x:v>
      </x:c>
      <x:c r="L4863" t="str" s="2">
        <x:v>Message Sent</x:v>
      </x:c>
    </x:row>
    <x:row r="4864">
      <x:c r="A4864" t="str" s="2">
        <x:f>="Carla Hannah"</x:f>
      </x:c>
      <x:c r="B4864" t="str" s="2">
        <x:v>Heritage Housing of Asheboro</x:v>
      </x:c>
      <x:c r="C4864" t="str" s="2">
        <x:v/>
      </x:c>
      <x:c r="D4864" t="str" s="2">
        <x:v>3369490106</x:v>
      </x:c>
      <x:c r="E4864" t="str" s="2">
        <x:v>carlagene391@gmail.com</x:v>
      </x:c>
      <x:c r="F4864" t="str" s="2">
        <x:v>Landing_BPM</x:v>
      </x:c>
      <x:c r="G4864" t="str" s="2">
        <x:v>Kate Gutierrez</x:v>
      </x:c>
      <x:c r="H4864" s="6">
        <x:v>46286.43768255787</x:v>
      </x:c>
      <x:c r="I4864" s="0"/>
      <x:c r="J4864" s="0"/>
      <x:c r="K4864" s="6">
        <x:v>46288</x:v>
      </x:c>
      <x:c r="L4864" t="str" s="2">
        <x:v>Message Sent</x:v>
      </x:c>
    </x:row>
    <x:row r="4865">
      <x:c r="A4865" t="str" s="2">
        <x:f>="Elliot Glasper"</x:f>
      </x:c>
      <x:c r="B4865" t="str" s="2">
        <x:v>Heritage Housing of Athens</x:v>
      </x:c>
      <x:c r="C4865" t="str" s="2">
        <x:v/>
      </x:c>
      <x:c r="D4865" t="str" s="2">
        <x:v>6784140750</x:v>
      </x:c>
      <x:c r="E4865" t="str" s="2">
        <x:v>lglasper22222@gmail.com</x:v>
      </x:c>
      <x:c r="F4865" t="str" s="2">
        <x:v>Youtube</x:v>
      </x:c>
      <x:c r="G4865" t="str" s="2">
        <x:v>Nathan Bishop</x:v>
      </x:c>
      <x:c r="H4865" s="6">
        <x:v>46286.510159108795</x:v>
      </x:c>
      <x:c r="I4865" s="0"/>
      <x:c r="J4865" s="0"/>
      <x:c r="K4865" s="6">
        <x:v>46303.846082094904</x:v>
      </x:c>
      <x:c r="L4865" t="str" s="2">
        <x:v>Message Sent</x:v>
      </x:c>
    </x:row>
    <x:row r="4866">
      <x:c r="A4866" t="str" s="2">
        <x:f>="Karina Anaya Abrego"</x:f>
      </x:c>
      <x:c r="B4866" t="str" s="2">
        <x:v>Heritage Housing Mt Pleasant</x:v>
      </x:c>
      <x:c r="C4866" t="str" s="2">
        <x:v/>
      </x:c>
      <x:c r="D4866" t="str" s="2">
        <x:v>9036928584</x:v>
      </x:c>
      <x:c r="E4866" t="str" s="2">
        <x:v>abregokarina124@gmail.com</x:v>
      </x:c>
      <x:c r="F4866" t="str" s="2">
        <x:v>Landing_BPM</x:v>
      </x:c>
      <x:c r="G4866" t="str" s="2">
        <x:v>Elias Gallardo</x:v>
      </x:c>
      <x:c r="H4866" s="6">
        <x:v>46286.51277638889</x:v>
      </x:c>
      <x:c r="I4866" s="0"/>
      <x:c r="J4866" s="0"/>
      <x:c r="K4866" s="6">
        <x:v>46288</x:v>
      </x:c>
      <x:c r="L4866" t="str" s="2">
        <x:v>Message Sent</x:v>
      </x:c>
    </x:row>
    <x:row r="4867">
      <x:c r="A4867" t="str" s="2">
        <x:f>="Austin Powell"</x:f>
      </x:c>
      <x:c r="B4867" t="str" s="2">
        <x:v>Heritage Housing of Asheboro</x:v>
      </x:c>
      <x:c r="C4867" t="str" s="2">
        <x:v/>
      </x:c>
      <x:c r="D4867" t="str" s="2">
        <x:v>9109181293</x:v>
      </x:c>
      <x:c r="E4867" t="str" s="2">
        <x:v>austinmicjamespowell@gmail.com</x:v>
      </x:c>
      <x:c r="F4867" t="str" s="2">
        <x:v>Landing_BPM</x:v>
      </x:c>
      <x:c r="G4867" t="str" s="2">
        <x:v>Kate Gutierrez</x:v>
      </x:c>
      <x:c r="H4867" s="6">
        <x:v>46286.5259408912</x:v>
      </x:c>
      <x:c r="I4867" s="0"/>
      <x:c r="J4867" s="0"/>
      <x:c r="K4867" s="6">
        <x:v>46287</x:v>
      </x:c>
      <x:c r="L4867" t="str" s="2">
        <x:v>Message Sent</x:v>
      </x:c>
    </x:row>
    <x:row r="4868">
      <x:c r="A4868" t="str" s="2">
        <x:f>="Rebecca Willard"</x:f>
      </x:c>
      <x:c r="B4868" t="str" s="2">
        <x:v>Heritage Housing of Athens</x:v>
      </x:c>
      <x:c r="C4868" t="str" s="2">
        <x:v/>
      </x:c>
      <x:c r="D4868" t="str" s="2">
        <x:v>7063915893</x:v>
      </x:c>
      <x:c r="E4868" t="str" s="2">
        <x:v>beckywillard573@gmail.com</x:v>
      </x:c>
      <x:c r="F4868" t="str" s="2">
        <x:v>Landing_BPM</x:v>
      </x:c>
      <x:c r="G4868" t="str" s="2">
        <x:v>Nathan Bishop</x:v>
      </x:c>
      <x:c r="H4868" s="6">
        <x:v>46286.53409444445</x:v>
      </x:c>
      <x:c r="I4868" s="0"/>
      <x:c r="J4868" s="0"/>
      <x:c r="K4868" s="6">
        <x:v>46286</x:v>
      </x:c>
      <x:c r="L4868" t="str" s="2">
        <x:v>Message Sent</x:v>
      </x:c>
    </x:row>
    <x:row r="4869">
      <x:c r="A4869" t="str" s="2">
        <x:f>="Tony Stegall"</x:f>
      </x:c>
      <x:c r="B4869" t="str" s="2">
        <x:v>Legacy Housing Corp. DBA Americasa</x:v>
      </x:c>
      <x:c r="C4869" t="str" s="2">
        <x:v/>
      </x:c>
      <x:c r="D4869" t="str" s="2">
        <x:v>3463692676</x:v>
      </x:c>
      <x:c r="E4869" t="str" s="2">
        <x:v>stegalltony1@gmail.com</x:v>
      </x:c>
      <x:c r="F4869" t="str" s="2">
        <x:v>Bing - Search</x:v>
      </x:c>
      <x:c r="G4869" t="str" s="2">
        <x:v>Jose Parada</x:v>
      </x:c>
      <x:c r="H4869" s="6">
        <x:v>46286.53868888889</x:v>
      </x:c>
      <x:c r="I4869" s="0"/>
      <x:c r="J4869" s="0"/>
      <x:c r="K4869" s="6">
        <x:v>46286</x:v>
      </x:c>
      <x:c r="L4869" t="str" s="2">
        <x:v>Message Sent</x:v>
      </x:c>
    </x:row>
    <x:row r="4870">
      <x:c r="A4870" t="str" s="2">
        <x:f>="Deondre Nelson"</x:f>
      </x:c>
      <x:c r="B4870" t="str" s="2">
        <x:v>Heritage Housing of Asheboro</x:v>
      </x:c>
      <x:c r="C4870" t="str" s="2">
        <x:v/>
      </x:c>
      <x:c r="D4870" t="str" s="2">
        <x:v>7045829409</x:v>
      </x:c>
      <x:c r="E4870" t="str" s="2">
        <x:v>dnels1619@gmail.com</x:v>
      </x:c>
      <x:c r="F4870" t="str" s="2">
        <x:v>Landing_BPM</x:v>
      </x:c>
      <x:c r="G4870" t="str" s="2">
        <x:v>Maria Lopez</x:v>
      </x:c>
      <x:c r="H4870" s="6">
        <x:v>46286.544297685185</x:v>
      </x:c>
      <x:c r="I4870" s="0"/>
      <x:c r="J4870" s="0"/>
      <x:c r="K4870" s="6">
        <x:v>46286</x:v>
      </x:c>
      <x:c r="L4870" t="str" s="2">
        <x:v>Message Sent</x:v>
      </x:c>
    </x:row>
    <x:row r="4871">
      <x:c r="A4871" t="str" s="2">
        <x:f>="Monisha Avington"</x:f>
      </x:c>
      <x:c r="B4871" t="str" s="2">
        <x:v>Heritage Housing of Tulsa</x:v>
      </x:c>
      <x:c r="C4871" t="str" s="2">
        <x:v/>
      </x:c>
      <x:c r="D4871" t="str" s="2">
        <x:v>9184364863</x:v>
      </x:c>
      <x:c r="E4871" t="str" s="2">
        <x:v>monishaavington23@gmail.com</x:v>
      </x:c>
      <x:c r="F4871" t="str" s="2">
        <x:v>Landing_BPM</x:v>
      </x:c>
      <x:c r="G4871" t="str" s="2">
        <x:v>Jenna Fransisco</x:v>
      </x:c>
      <x:c r="H4871" s="6">
        <x:v>46286.58726241898</x:v>
      </x:c>
      <x:c r="I4871" s="0"/>
      <x:c r="J4871" s="0"/>
      <x:c r="K4871" s="6">
        <x:v>46287</x:v>
      </x:c>
      <x:c r="L4871" t="str" s="2">
        <x:v>Message Sent</x:v>
      </x:c>
    </x:row>
    <x:row r="4872">
      <x:c r="A4872" t="str" s="2">
        <x:f>="Jennifer Huff"</x:f>
      </x:c>
      <x:c r="B4872" t="str" s="2">
        <x:v>Heritage Housing of Asheboro</x:v>
      </x:c>
      <x:c r="C4872" t="str" s="2">
        <x:v/>
      </x:c>
      <x:c r="D4872" t="str" s="2">
        <x:v>9192100196</x:v>
      </x:c>
      <x:c r="E4872" t="str" s="2">
        <x:v>jenniferwhuff0307@gmail.com</x:v>
      </x:c>
      <x:c r="F4872" t="str" s="2">
        <x:v>Landing_BPM</x:v>
      </x:c>
      <x:c r="G4872" t="str" s="2">
        <x:v>Kate Gutierrez</x:v>
      </x:c>
      <x:c r="H4872" s="6">
        <x:v>46286.60116284722</x:v>
      </x:c>
      <x:c r="I4872" s="0"/>
      <x:c r="J4872" s="0"/>
      <x:c r="K4872" s="6">
        <x:v>46304</x:v>
      </x:c>
      <x:c r="L4872" t="str" s="2">
        <x:v>Message Sent</x:v>
      </x:c>
    </x:row>
    <x:row r="4873">
      <x:c r="A4873" t="str" s="2">
        <x:f>="Matthew Williams"</x:f>
      </x:c>
      <x:c r="B4873" t="str" s="2">
        <x:v>Heritage Housing of Tulsa</x:v>
      </x:c>
      <x:c r="C4873" t="str" s="2">
        <x:v/>
      </x:c>
      <x:c r="D4873" t="str" s="2">
        <x:v>9185753343</x:v>
      </x:c>
      <x:c r="E4873" t="str" s="2">
        <x:v>mw57360@gmail.com</x:v>
      </x:c>
      <x:c r="F4873" t="str" s="2">
        <x:v>Landing_BPM</x:v>
      </x:c>
      <x:c r="G4873" t="str" s="2">
        <x:v>Jenna Fransisco</x:v>
      </x:c>
      <x:c r="H4873" s="6">
        <x:v>46286.62915162037</x:v>
      </x:c>
      <x:c r="I4873" s="0"/>
      <x:c r="J4873" s="0"/>
      <x:c r="K4873" s="6">
        <x:v>46287</x:v>
      </x:c>
      <x:c r="L4873" t="str" s="2">
        <x:v>Message Sent</x:v>
      </x:c>
    </x:row>
    <x:row r="4874">
      <x:c r="A4874" t="str" s="2">
        <x:f>="Tami Williams"</x:f>
      </x:c>
      <x:c r="B4874" t="str" s="2">
        <x:v>Heritage Housing of Canton</x:v>
      </x:c>
      <x:c r="C4874" t="str" s="2">
        <x:v/>
      </x:c>
      <x:c r="D4874" t="str" s="2">
        <x:v>7372568013</x:v>
      </x:c>
      <x:c r="E4874" t="str" s="2">
        <x:v>williamstj@myyahoo.com</x:v>
      </x:c>
      <x:c r="F4874" t="str" s="2">
        <x:v>Youtube</x:v>
      </x:c>
      <x:c r="G4874" t="str" s="2">
        <x:v>Maira Garcia</x:v>
      </x:c>
      <x:c r="H4874" s="6">
        <x:v>46286.63959467593</x:v>
      </x:c>
      <x:c r="I4874" s="0"/>
      <x:c r="J4874" s="0"/>
      <x:c r="K4874" s="6">
        <x:v>46286</x:v>
      </x:c>
      <x:c r="L4874" t="str" s="2">
        <x:v>Message Sent</x:v>
      </x:c>
    </x:row>
    <x:row r="4875">
      <x:c r="A4875" t="str" s="2">
        <x:f>="Jeffery Chartier"</x:f>
      </x:c>
      <x:c r="B4875" t="str" s="2">
        <x:v>Heritage Housing of Jennings</x:v>
      </x:c>
      <x:c r="C4875" t="str" s="2">
        <x:v/>
      </x:c>
      <x:c r="D4875" t="str" s="2">
        <x:v>5049123007</x:v>
      </x:c>
      <x:c r="E4875" t="str" s="2">
        <x:v>jeffchar74@gmail.com</x:v>
      </x:c>
      <x:c r="F4875" t="str" s="2">
        <x:v>Landing_BPM</x:v>
      </x:c>
      <x:c r="G4875" t="str" s="2">
        <x:v>Clint O'Neal</x:v>
      </x:c>
      <x:c r="H4875" s="6">
        <x:v>46286.65158329861</x:v>
      </x:c>
      <x:c r="I4875" s="0"/>
      <x:c r="J4875" s="0"/>
      <x:c r="K4875" s="6">
        <x:v>46302.65968885417</x:v>
      </x:c>
      <x:c r="L4875" t="str" s="2">
        <x:v>Message Sent</x:v>
      </x:c>
    </x:row>
    <x:row r="4876">
      <x:c r="A4876" t="str" s="2">
        <x:f>="Aaliyah Prescott"</x:f>
      </x:c>
      <x:c r="B4876" t="str" s="2">
        <x:v>Heritage Housing of Augusta</x:v>
      </x:c>
      <x:c r="C4876" t="str" s="2">
        <x:v>0/1</x:v>
      </x:c>
      <x:c r="D4876" t="str" s="2">
        <x:v>8033062157</x:v>
      </x:c>
      <x:c r="E4876" t="str" s="2">
        <x:v>fyeforlife40@gmail.com</x:v>
      </x:c>
      <x:c r="F4876" t="str" s="2">
        <x:v>Landing_BPM</x:v>
      </x:c>
      <x:c r="G4876" t="str" s="2">
        <x:v>Jennifer Johnson</x:v>
      </x:c>
      <x:c r="H4876" s="6">
        <x:v>46286.65355112268</x:v>
      </x:c>
      <x:c r="I4876" s="0"/>
      <x:c r="J4876" s="0"/>
      <x:c r="K4876" s="6">
        <x:v>46301</x:v>
      </x:c>
      <x:c r="L4876" t="str" s="2">
        <x:v>Message Sent</x:v>
      </x:c>
    </x:row>
    <x:row r="4877">
      <x:c r="A4877" t="str" s="2">
        <x:f>="Anjanette Spivey"</x:f>
      </x:c>
      <x:c r="B4877" t="str" s="2">
        <x:v>Heritage Housing of Albany</x:v>
      </x:c>
      <x:c r="C4877" t="str" s="2">
        <x:v/>
      </x:c>
      <x:c r="D4877" t="str" s="2">
        <x:v>4786629896</x:v>
      </x:c>
      <x:c r="E4877" t="str" s="2">
        <x:v>spiveyanjanette0@gmail.com</x:v>
      </x:c>
      <x:c r="F4877" t="str" s="2">
        <x:v>Youtube</x:v>
      </x:c>
      <x:c r="G4877" t="str" s="2">
        <x:v>Yanet Alvarez</x:v>
      </x:c>
      <x:c r="H4877" s="6">
        <x:v>46286.66259803241</x:v>
      </x:c>
      <x:c r="I4877" s="0"/>
      <x:c r="J4877" s="0"/>
      <x:c r="K4877" s="6">
        <x:v>46286</x:v>
      </x:c>
      <x:c r="L4877" t="str" s="2">
        <x:v>Message Sent</x:v>
      </x:c>
    </x:row>
    <x:row r="4878">
      <x:c r="A4878" t="str" s="2">
        <x:f>="Shirley Haney"</x:f>
      </x:c>
      <x:c r="B4878" t="str" s="2">
        <x:v>Heritage Housing of Tulsa</x:v>
      </x:c>
      <x:c r="C4878" t="str" s="2">
        <x:v/>
      </x:c>
      <x:c r="D4878" t="str" s="2">
        <x:v>2145021359</x:v>
      </x:c>
      <x:c r="E4878" t="str" s="2">
        <x:v>shbowl0906@gmail.com</x:v>
      </x:c>
      <x:c r="F4878" t="str" s="2">
        <x:v>Bing - Search</x:v>
      </x:c>
      <x:c r="G4878" t="str" s="2">
        <x:v>Jenna Fransisco</x:v>
      </x:c>
      <x:c r="H4878" s="6">
        <x:v>46286.67261223379</x:v>
      </x:c>
      <x:c r="I4878" s="0"/>
      <x:c r="J4878" s="0"/>
      <x:c r="K4878" s="6">
        <x:v>46287</x:v>
      </x:c>
      <x:c r="L4878" t="str" s="2">
        <x:v>Message Sent</x:v>
      </x:c>
    </x:row>
    <x:row r="4879">
      <x:c r="A4879" t="str" s="2">
        <x:f>="FelipeTesting Mojicatesting"</x:f>
      </x:c>
      <x:c r="B4879" t="str" s="2">
        <x:v>Legacy Housing Corp. DBA Americasa</x:v>
      </x:c>
      <x:c r="C4879" t="str" s="2">
        <x:v/>
      </x:c>
      <x:c r="D4879" t="str" s="2" xml:space="preserve">
        <x:v> 2587456541</x:v>
      </x:c>
      <x:c r="E4879" t="str" s="2">
        <x:v>efwkfewidkde@jdhdhffuyc.com</x:v>
      </x:c>
      <x:c r="F4879" t="str" s="2">
        <x:v>Workforce - Linkedin</x:v>
      </x:c>
      <x:c r="G4879" t="str" s="2">
        <x:v>Joey Marquez</x:v>
      </x:c>
      <x:c r="H4879" s="6">
        <x:v>46286.70897693287</x:v>
      </x:c>
      <x:c r="I4879" s="0"/>
      <x:c r="J4879" s="0"/>
      <x:c r="K4879" s="6">
        <x:v>46286</x:v>
      </x:c>
      <x:c r="L4879" t="str" s="2">
        <x:v>Message Sent</x:v>
      </x:c>
    </x:row>
    <x:row r="4880">
      <x:c r="A4880" t="str" s="2">
        <x:f>="Aida Fajardo"</x:f>
      </x:c>
      <x:c r="B4880" t="str" s="2">
        <x:v>Legacy Housing Corp. DBA Americasa</x:v>
      </x:c>
      <x:c r="C4880" t="str" s="2">
        <x:v/>
      </x:c>
      <x:c r="D4880" t="str" s="2">
        <x:v>9794528219</x:v>
      </x:c>
      <x:c r="E4880" t="str" s="2">
        <x:v>Rosenbergtexas1987@gmail.com</x:v>
      </x:c>
      <x:c r="F4880" t="str" s="2">
        <x:v>Landing_BPM</x:v>
      </x:c>
      <x:c r="G4880" t="str" s="2">
        <x:v>Jose Parada</x:v>
      </x:c>
      <x:c r="H4880" s="6">
        <x:v>46286.7128403125</x:v>
      </x:c>
      <x:c r="I4880" s="0"/>
      <x:c r="J4880" s="0"/>
      <x:c r="K4880" s="6">
        <x:v>46286</x:v>
      </x:c>
      <x:c r="L4880" t="str" s="2">
        <x:v>Message Sent</x:v>
      </x:c>
    </x:row>
    <x:row r="4881">
      <x:c r="A4881" t="str" s="2">
        <x:f>="Julie Younger"</x:f>
      </x:c>
      <x:c r="B4881" t="str" s="2">
        <x:v>Heritage Housing of Tulsa</x:v>
      </x:c>
      <x:c r="C4881" t="str" s="2">
        <x:v/>
      </x:c>
      <x:c r="D4881" t="str" s="2">
        <x:v>2547849133</x:v>
      </x:c>
      <x:c r="E4881" t="str" s="2">
        <x:v>Jyounger1016@yahoo.com</x:v>
      </x:c>
      <x:c r="F4881" t="str" s="2">
        <x:v>Landing_BPM</x:v>
      </x:c>
      <x:c r="G4881" t="str" s="2">
        <x:v>Jenna Fransisco</x:v>
      </x:c>
      <x:c r="H4881" s="6">
        <x:v>46286.732204548614</x:v>
      </x:c>
      <x:c r="I4881" s="0"/>
      <x:c r="J4881" s="0"/>
      <x:c r="K4881" s="6">
        <x:v>46287</x:v>
      </x:c>
      <x:c r="L4881" t="str" s="2">
        <x:v>Message Sent</x:v>
      </x:c>
    </x:row>
    <x:row r="4882">
      <x:c r="A4882" t="str" s="2">
        <x:f>=HYPERLINK("https://rsms.futurehomex.com/lead/40236", "Tonoa Adams")</x:f>
      </x:c>
      <x:c r="B4882" t="str" s="2">
        <x:v>Heritage Housing of Asheboro</x:v>
      </x:c>
      <x:c r="C4882" t="str" s="2">
        <x:v/>
      </x:c>
      <x:c r="D4882" t="str" s="2">
        <x:v>2767346529</x:v>
      </x:c>
      <x:c r="E4882" t="str" s="2">
        <x:v>2767346529</x:v>
      </x:c>
      <x:c r="F4882" t="str" s="2">
        <x:v>Referrals</x:v>
      </x:c>
      <x:c r="G4882" t="str" s="2">
        <x:v>Maria Lopez</x:v>
      </x:c>
      <x:c r="H4882" s="6">
        <x:v>46286.74273376157</x:v>
      </x:c>
      <x:c r="I4882" t="str" s="2">
        <x:v>Maria Lopez</x:v>
      </x:c>
      <x:c r="J4882" s="0"/>
      <x:c r="K4882" s="6">
        <x:v>46295</x:v>
      </x:c>
      <x:c r="L4882" t="str" s="2">
        <x:v>Message Sent</x:v>
      </x:c>
    </x:row>
    <x:row r="4883">
      <x:c r="A4883" t="str" s="2">
        <x:f>="Detric King"</x:f>
      </x:c>
      <x:c r="B4883" t="str" s="2">
        <x:v>Heritage Housing of Asheboro</x:v>
      </x:c>
      <x:c r="C4883" t="str" s="2">
        <x:v/>
      </x:c>
      <x:c r="D4883" t="str" s="2">
        <x:v>9803016928</x:v>
      </x:c>
      <x:c r="E4883" t="str" s="2">
        <x:v>detric40@gmail.com</x:v>
      </x:c>
      <x:c r="F4883" t="str" s="2">
        <x:v>Financing Form</x:v>
      </x:c>
      <x:c r="G4883" t="str" s="2">
        <x:v>Maria Lopez</x:v>
      </x:c>
      <x:c r="H4883" s="6">
        <x:v>46286.75949730324</x:v>
      </x:c>
      <x:c r="I4883" s="0"/>
      <x:c r="J4883" s="0"/>
      <x:c r="K4883" s="6">
        <x:v>46286</x:v>
      </x:c>
      <x:c r="L4883" t="str" s="2">
        <x:v>Message Sent</x:v>
      </x:c>
    </x:row>
    <x:row r="4884">
      <x:c r="A4884" t="str" s="2">
        <x:f>="Jimmie Thrasher"</x:f>
      </x:c>
      <x:c r="B4884" t="str" s="2">
        <x:v>Heritage Housing of Athens</x:v>
      </x:c>
      <x:c r="C4884" t="str" s="2">
        <x:v/>
      </x:c>
      <x:c r="D4884" t="str" s="2">
        <x:v>8644486655</x:v>
      </x:c>
      <x:c r="E4884" t="str" s="2">
        <x:v>jimmiethrasher9@gmail.com</x:v>
      </x:c>
      <x:c r="F4884" t="str" s="2">
        <x:v>Bing - Search</x:v>
      </x:c>
      <x:c r="G4884" t="str" s="2">
        <x:v>Nathan Bishop</x:v>
      </x:c>
      <x:c r="H4884" s="6">
        <x:v>46286.801136030095</x:v>
      </x:c>
      <x:c r="I4884" s="0"/>
      <x:c r="J4884" s="0"/>
      <x:c r="K4884" s="6">
        <x:v>46286</x:v>
      </x:c>
      <x:c r="L4884" t="str" s="2">
        <x:v>Message Sent</x:v>
      </x:c>
    </x:row>
    <x:row r="4885">
      <x:c r="A4885" t="str" s="2">
        <x:f>="Abdul Johnson"</x:f>
      </x:c>
      <x:c r="B4885" t="str" s="2">
        <x:v>Heritage Housing of Augusta</x:v>
      </x:c>
      <x:c r="C4885" t="str" s="2">
        <x:v/>
      </x:c>
      <x:c r="D4885" t="str" s="2">
        <x:v>9126752162</x:v>
      </x:c>
      <x:c r="E4885" t="str" s="2">
        <x:v>cooldul2000@yahoo.com</x:v>
      </x:c>
      <x:c r="F4885" t="str" s="2">
        <x:v>LandingPage</x:v>
      </x:c>
      <x:c r="G4885" t="str" s="2">
        <x:v>Jennifer Johnson</x:v>
      </x:c>
      <x:c r="H4885" s="6">
        <x:v>46286.80641813658</x:v>
      </x:c>
      <x:c r="I4885" s="0"/>
      <x:c r="J4885" s="0"/>
      <x:c r="K4885" s="6">
        <x:v>46301</x:v>
      </x:c>
      <x:c r="L4885" t="str" s="2">
        <x:v>Message Sent</x:v>
      </x:c>
    </x:row>
    <x:row r="4886">
      <x:c r="A4886" t="str" s="2">
        <x:f>="SEAN MOLTER"</x:f>
      </x:c>
      <x:c r="B4886" t="str" s="2">
        <x:v>Heritage Housing of Asheboro</x:v>
      </x:c>
      <x:c r="C4886" t="str" s="2">
        <x:v/>
      </x:c>
      <x:c r="D4886" t="str" s="2">
        <x:v>3365758249</x:v>
      </x:c>
      <x:c r="E4886" t="str" s="2">
        <x:v>seanmolter35@gmail.com</x:v>
      </x:c>
      <x:c r="F4886" t="str" s="2">
        <x:v>Financing Form</x:v>
      </x:c>
      <x:c r="G4886" t="str" s="2">
        <x:v>Kate Gutierrez</x:v>
      </x:c>
      <x:c r="H4886" s="6">
        <x:v>46286.812550925926</x:v>
      </x:c>
      <x:c r="I4886" s="0"/>
      <x:c r="J4886" s="0"/>
      <x:c r="K4886" s="6">
        <x:v>46288</x:v>
      </x:c>
      <x:c r="L4886" t="str" s="2">
        <x:v>Message Sent</x:v>
      </x:c>
    </x:row>
    <x:row r="4887">
      <x:c r="A4887" t="str" s="2">
        <x:f>="Carmen JACKSON"</x:f>
      </x:c>
      <x:c r="B4887" t="str" s="2">
        <x:v>Heritage Housing of Asheboro</x:v>
      </x:c>
      <x:c r="C4887" t="str" s="2">
        <x:v/>
      </x:c>
      <x:c r="D4887" t="str" s="2">
        <x:v>9802579258</x:v>
      </x:c>
      <x:c r="E4887" t="str" s="2">
        <x:v>carmanjackson2003@gmail.com</x:v>
      </x:c>
      <x:c r="F4887" t="str" s="2">
        <x:v>Youtube</x:v>
      </x:c>
      <x:c r="G4887" t="str" s="2">
        <x:v>Kate Gutierrez</x:v>
      </x:c>
      <x:c r="H4887" s="6">
        <x:v>46286.82785609954</x:v>
      </x:c>
      <x:c r="I4887" s="0"/>
      <x:c r="J4887" s="0"/>
      <x:c r="K4887" s="6">
        <x:v>46287</x:v>
      </x:c>
      <x:c r="L4887" t="str" s="2">
        <x:v>Message Sent</x:v>
      </x:c>
    </x:row>
    <x:row r="4888">
      <x:c r="A4888" t="str" s="2">
        <x:f>="Richard Garcia Garcia"</x:f>
      </x:c>
      <x:c r="B4888" t="str" s="2">
        <x:v>Heritage Housing of Albany</x:v>
      </x:c>
      <x:c r="C4888" t="str" s="2">
        <x:v/>
      </x:c>
      <x:c r="D4888" t="str" s="2">
        <x:v>2025556237</x:v>
      </x:c>
      <x:c r="E4888" t="str" s="2">
        <x:v>rdamian62@yahoo.com</x:v>
      </x:c>
      <x:c r="F4888" t="str" s="2">
        <x:v>Website</x:v>
      </x:c>
      <x:c r="G4888" t="str" s="2">
        <x:v>Yanet Alvarez</x:v>
      </x:c>
      <x:c r="H4888" s="6">
        <x:v>46286.846260844904</x:v>
      </x:c>
      <x:c r="I4888" s="0"/>
      <x:c r="J4888" s="0"/>
      <x:c r="K4888" s="6">
        <x:v>46307</x:v>
      </x:c>
      <x:c r="L4888" t="str" s="2">
        <x:v>Message Sent</x:v>
      </x:c>
    </x:row>
    <x:row r="4889">
      <x:c r="A4889" t="str" s="2">
        <x:f>="Valerie Furr"</x:f>
      </x:c>
      <x:c r="B4889" t="str" s="2">
        <x:v>Heritage Housing of Jennings</x:v>
      </x:c>
      <x:c r="C4889" t="str" s="2">
        <x:v/>
      </x:c>
      <x:c r="D4889" t="str" s="2">
        <x:v>3377066514</x:v>
      </x:c>
      <x:c r="E4889" t="str" s="2">
        <x:v>vheffner73@gmail.com</x:v>
      </x:c>
      <x:c r="F4889" t="str" s="2">
        <x:v>Youtube</x:v>
      </x:c>
      <x:c r="G4889" t="str" s="2">
        <x:v>Clint O'Neal</x:v>
      </x:c>
      <x:c r="H4889" s="6">
        <x:v>46286.852157291665</x:v>
      </x:c>
      <x:c r="I4889" s="0"/>
      <x:c r="J4889" s="0"/>
      <x:c r="K4889" s="6">
        <x:v>46302.66030092593</x:v>
      </x:c>
      <x:c r="L4889" t="str" s="2">
        <x:v>Message Sent</x:v>
      </x:c>
    </x:row>
    <x:row r="4890">
      <x:c r="A4890" t="str" s="2">
        <x:f>=HYPERLINK("https://rsms.futurehomex.com/lead/40246", "Valerie Garner")</x:f>
      </x:c>
      <x:c r="B4890" t="str" s="2">
        <x:v>Heritage Housing of Athens</x:v>
      </x:c>
      <x:c r="C4890" t="str" s="2">
        <x:v/>
      </x:c>
      <x:c r="D4890" t="str" s="2">
        <x:v>6785774007</x:v>
      </x:c>
      <x:c r="E4890" t="str" s="2">
        <x:v>valerie.jonesgarner@yahoo.com</x:v>
      </x:c>
      <x:c r="F4890" t="str" s="2">
        <x:v>Walk-in</x:v>
      </x:c>
      <x:c r="G4890" t="str" s="2">
        <x:v>Ethan Fossett</x:v>
      </x:c>
      <x:c r="H4890" s="6">
        <x:v>46286.855247141204</x:v>
      </x:c>
      <x:c r="I4890" t="str" s="2">
        <x:v>Ethan Fossett</x:v>
      </x:c>
      <x:c r="J4890" s="0"/>
      <x:c r="K4890" s="6">
        <x:v>46302</x:v>
      </x:c>
      <x:c r="L4890" t="str" s="2">
        <x:v>Message Sent</x:v>
      </x:c>
    </x:row>
    <x:row r="4891">
      <x:c r="A4891" t="str" s="2">
        <x:f>="Kaylyn Pride"</x:f>
      </x:c>
      <x:c r="B4891" t="str" s="2">
        <x:v>Heritage Housing of Tulsa</x:v>
      </x:c>
      <x:c r="C4891" t="str" s="2">
        <x:v/>
      </x:c>
      <x:c r="D4891" t="str" s="2">
        <x:v>9188401474</x:v>
      </x:c>
      <x:c r="E4891" t="str" s="2">
        <x:v>kaylynpride1998@gmail.com</x:v>
      </x:c>
      <x:c r="F4891" t="str" s="2">
        <x:v>Financing Form</x:v>
      </x:c>
      <x:c r="G4891" t="str" s="2">
        <x:v>Jenna Fransisco</x:v>
      </x:c>
      <x:c r="H4891" s="6">
        <x:v>46286.86127962963</x:v>
      </x:c>
      <x:c r="I4891" s="0"/>
      <x:c r="J4891" s="0"/>
      <x:c r="K4891" s="6">
        <x:v>46287</x:v>
      </x:c>
      <x:c r="L4891" t="str" s="2">
        <x:v>Message Sent</x:v>
      </x:c>
    </x:row>
    <x:row r="4892">
      <x:c r="A4892" t="str" s="2">
        <x:f>="Tiffany Davis"</x:f>
      </x:c>
      <x:c r="B4892" t="str" s="2">
        <x:v>Legacy Housing Corp. DBA Americasa</x:v>
      </x:c>
      <x:c r="C4892" t="str" s="2">
        <x:v/>
      </x:c>
      <x:c r="D4892" t="str" s="2">
        <x:v>3464583525</x:v>
      </x:c>
      <x:c r="E4892" t="str" s="2">
        <x:v>tiffd1980@gmail.com</x:v>
      </x:c>
      <x:c r="F4892" t="str" s="2">
        <x:v>Website</x:v>
      </x:c>
      <x:c r="G4892" t="str" s="2">
        <x:v>Joey Marquez</x:v>
      </x:c>
      <x:c r="H4892" s="6">
        <x:v>46286.896847916665</x:v>
      </x:c>
      <x:c r="I4892" s="0"/>
      <x:c r="J4892" s="0"/>
      <x:c r="K4892" s="6">
        <x:v>46286</x:v>
      </x:c>
      <x:c r="L4892" t="str" s="2">
        <x:v>Message Sent</x:v>
      </x:c>
    </x:row>
    <x:row r="4893">
      <x:c r="A4893" t="str" s="2">
        <x:f>="Carmen Camacho-mora"</x:f>
      </x:c>
      <x:c r="B4893" t="str" s="2">
        <x:v>Heritage Housing of Albany</x:v>
      </x:c>
      <x:c r="C4893" t="str" s="2">
        <x:v/>
      </x:c>
      <x:c r="D4893" t="str" s="2">
        <x:v>3866846594</x:v>
      </x:c>
      <x:c r="E4893" t="str" s="2">
        <x:v>MARGIEAPPLE@YAHOO.COM</x:v>
      </x:c>
      <x:c r="F4893" t="str" s="2">
        <x:v>Bing - Search</x:v>
      </x:c>
      <x:c r="G4893" t="str" s="2">
        <x:v>Yanet Alvarez</x:v>
      </x:c>
      <x:c r="H4893" s="6">
        <x:v>46286.9014803588</x:v>
      </x:c>
      <x:c r="I4893" s="0"/>
      <x:c r="J4893" s="0"/>
      <x:c r="K4893" s="6">
        <x:v>46307</x:v>
      </x:c>
      <x:c r="L4893" t="str" s="2">
        <x:v>Message Sent</x:v>
      </x:c>
    </x:row>
    <x:row r="4894">
      <x:c r="A4894" t="str" s="2">
        <x:f>="Yvette Joseph"</x:f>
      </x:c>
      <x:c r="B4894" t="str" s="2">
        <x:v>Heritage Housing of Jennings</x:v>
      </x:c>
      <x:c r="C4894" t="str" s="2">
        <x:v/>
      </x:c>
      <x:c r="D4894" t="str" s="2">
        <x:v>3374144096</x:v>
      </x:c>
      <x:c r="E4894" t="str" s="2">
        <x:v>yvettemariebrown1968@gmail.com</x:v>
      </x:c>
      <x:c r="F4894" t="str" s="2">
        <x:v>Youtube</x:v>
      </x:c>
      <x:c r="G4894" t="str" s="2">
        <x:v>Mervin Leslie Smith</x:v>
      </x:c>
      <x:c r="H4894" s="6">
        <x:v>46286.9072584838</x:v>
      </x:c>
      <x:c r="I4894" s="0"/>
      <x:c r="J4894" s="0"/>
      <x:c r="K4894" s="6">
        <x:v>46302.68951435185</x:v>
      </x:c>
      <x:c r="L4894" t="str" s="2">
        <x:v>Message Sent</x:v>
      </x:c>
    </x:row>
    <x:row r="4895">
      <x:c r="A4895" t="str" s="2">
        <x:f>="Keyra Carl"</x:f>
      </x:c>
      <x:c r="B4895" t="str" s="2">
        <x:v>Heritage Housing of Tulsa</x:v>
      </x:c>
      <x:c r="C4895" t="str" s="2">
        <x:v/>
      </x:c>
      <x:c r="D4895" t="str" s="2">
        <x:v>9188550612</x:v>
      </x:c>
      <x:c r="E4895" t="str" s="2">
        <x:v>keykey200715@gmail.com</x:v>
      </x:c>
      <x:c r="F4895" t="str" s="2">
        <x:v>Landing_BPM</x:v>
      </x:c>
      <x:c r="G4895" t="str" s="2">
        <x:v>Jenna Fransisco</x:v>
      </x:c>
      <x:c r="H4895" s="6">
        <x:v>46286.91412199074</x:v>
      </x:c>
      <x:c r="I4895" s="0"/>
      <x:c r="J4895" s="0"/>
      <x:c r="K4895" s="6">
        <x:v>46287</x:v>
      </x:c>
      <x:c r="L4895" t="str" s="2">
        <x:v>Message Sent</x:v>
      </x:c>
    </x:row>
    <x:row r="4896">
      <x:c r="A4896" t="str" s="2">
        <x:f>="Henrietta Evins"</x:f>
      </x:c>
      <x:c r="B4896" t="str" s="2">
        <x:v>Heritage Housing of Albany</x:v>
      </x:c>
      <x:c r="C4896" t="str" s="2">
        <x:v/>
      </x:c>
      <x:c r="D4896" t="str" s="2">
        <x:v>4703962927</x:v>
      </x:c>
      <x:c r="E4896" t="str" s="2">
        <x:v>gentalperson9@gmail.com</x:v>
      </x:c>
      <x:c r="F4896" t="str" s="2">
        <x:v>Youtube</x:v>
      </x:c>
      <x:c r="G4896" t="str" s="2">
        <x:v>Yanet Alvarez</x:v>
      </x:c>
      <x:c r="H4896" s="6">
        <x:v>46286.92228677083</x:v>
      </x:c>
      <x:c r="I4896" s="0"/>
      <x:c r="J4896" s="0"/>
      <x:c r="K4896" s="6">
        <x:v>46286</x:v>
      </x:c>
      <x:c r="L4896" t="str" s="2">
        <x:v>Message Sent</x:v>
      </x:c>
    </x:row>
    <x:row r="4897">
      <x:c r="A4897" t="str" s="2">
        <x:f>="Sekoiya Mitchell"</x:f>
      </x:c>
      <x:c r="B4897" t="str" s="2">
        <x:v>Heritage Housing of Albany</x:v>
      </x:c>
      <x:c r="C4897" t="str" s="2">
        <x:v/>
      </x:c>
      <x:c r="D4897" t="str" s="2">
        <x:v>4052208631</x:v>
      </x:c>
      <x:c r="E4897" t="str" s="2">
        <x:v>lucrativeroseindustries@gmail.com</x:v>
      </x:c>
      <x:c r="F4897" t="str" s="2">
        <x:v>Financing Form</x:v>
      </x:c>
      <x:c r="G4897" t="str" s="2">
        <x:v>Jennifer Johnson</x:v>
      </x:c>
      <x:c r="H4897" s="6">
        <x:v>46286.94112858796</x:v>
      </x:c>
      <x:c r="I4897" s="0"/>
      <x:c r="J4897" s="0"/>
      <x:c r="K4897" s="6">
        <x:v>46301</x:v>
      </x:c>
      <x:c r="L4897" t="str" s="2">
        <x:v>Message Sent</x:v>
      </x:c>
    </x:row>
    <x:row r="4898">
      <x:c r="A4898" t="str" s="2">
        <x:f>="Blake Foster"</x:f>
      </x:c>
      <x:c r="B4898" t="str" s="2">
        <x:v>Heritage Housing of Albany</x:v>
      </x:c>
      <x:c r="C4898" t="str" s="2">
        <x:v/>
      </x:c>
      <x:c r="D4898" t="str" s="2">
        <x:v>2563005965</x:v>
      </x:c>
      <x:c r="E4898" t="str" s="2">
        <x:v>blakefoster916@gmail.com</x:v>
      </x:c>
      <x:c r="F4898" t="str" s="2">
        <x:v>Youtube</x:v>
      </x:c>
      <x:c r="G4898" t="str" s="2">
        <x:v>Yanet Alvarez</x:v>
      </x:c>
      <x:c r="H4898" s="6">
        <x:v>46286.953929166666</x:v>
      </x:c>
      <x:c r="I4898" s="0"/>
      <x:c r="J4898" s="0"/>
      <x:c r="K4898" s="6">
        <x:v>46307</x:v>
      </x:c>
      <x:c r="L4898" t="str" s="2">
        <x:v>Message Sent</x:v>
      </x:c>
    </x:row>
    <x:row r="4899">
      <x:c r="A4899" t="str" s="2">
        <x:f>="Emily Pendergrass"</x:f>
      </x:c>
      <x:c r="B4899" t="str" s="2">
        <x:v>Heritage Housing of Albany</x:v>
      </x:c>
      <x:c r="C4899" t="str" s="2">
        <x:v/>
      </x:c>
      <x:c r="D4899" t="str" s="2">
        <x:v>4703662020</x:v>
      </x:c>
      <x:c r="E4899" t="str" s="2">
        <x:v>mly_norton_12373@yahoo.com</x:v>
      </x:c>
      <x:c r="F4899" t="str" s="2">
        <x:v>Financing Form</x:v>
      </x:c>
      <x:c r="G4899" t="str" s="2">
        <x:v>Yanet Alvarez</x:v>
      </x:c>
      <x:c r="H4899" s="6">
        <x:v>46286.95423873843</x:v>
      </x:c>
      <x:c r="I4899" s="0"/>
      <x:c r="J4899" s="0"/>
      <x:c r="K4899" s="6">
        <x:v>46288</x:v>
      </x:c>
      <x:c r="L4899" t="str" s="2">
        <x:v>Message Sent</x:v>
      </x:c>
    </x:row>
    <x:row r="4900">
      <x:c r="A4900" t="str" s="2">
        <x:f>="Tiwanna Taylor"</x:f>
      </x:c>
      <x:c r="B4900" t="str" s="2">
        <x:v>Heritage Housing of Jennings</x:v>
      </x:c>
      <x:c r="C4900" t="str" s="2">
        <x:v/>
      </x:c>
      <x:c r="D4900" t="str" s="2">
        <x:v>3182645839</x:v>
      </x:c>
      <x:c r="E4900" t="str" s="2">
        <x:v>tiwannataylor687@gmail.com</x:v>
      </x:c>
      <x:c r="F4900" t="str" s="2">
        <x:v>Youtube</x:v>
      </x:c>
      <x:c r="G4900" t="str" s="2">
        <x:v>Clint O'Neal</x:v>
      </x:c>
      <x:c r="H4900" s="6">
        <x:v>46286.955148263885</x:v>
      </x:c>
      <x:c r="I4900" s="0"/>
      <x:c r="J4900" s="0"/>
      <x:c r="K4900" s="6">
        <x:v>46302.660937962966</x:v>
      </x:c>
      <x:c r="L4900" t="str" s="2">
        <x:v>Message Sent</x:v>
      </x:c>
    </x:row>
    <x:row r="4901">
      <x:c r="A4901" t="str" s="2">
        <x:f>="Billy Bishop"</x:f>
      </x:c>
      <x:c r="B4901" t="str" s="2">
        <x:v>Heritage Housing Marble Falls</x:v>
      </x:c>
      <x:c r="C4901" t="str" s="2">
        <x:v/>
      </x:c>
      <x:c r="D4901" t="str" s="2">
        <x:v>2108198826</x:v>
      </x:c>
      <x:c r="E4901" t="str" s="2">
        <x:v>beorbee76@gmail.com</x:v>
      </x:c>
      <x:c r="F4901" t="str" s="2">
        <x:v>Bing - Search</x:v>
      </x:c>
      <x:c r="G4901" t="str" s="2">
        <x:v>Stephen Sanders</x:v>
      </x:c>
      <x:c r="H4901" s="6">
        <x:v>46286.98686145833</x:v>
      </x:c>
      <x:c r="I4901" s="0"/>
      <x:c r="J4901" s="0"/>
      <x:c r="K4901" s="6">
        <x:v>46289.57845188658</x:v>
      </x:c>
      <x:c r="L4901" t="str" s="2">
        <x:v>Message Sent</x:v>
      </x:c>
    </x:row>
    <x:row r="4902">
      <x:c r="A4902" t="str" s="2">
        <x:f>="Michelle Washington"</x:f>
      </x:c>
      <x:c r="B4902" t="str" s="2">
        <x:v>Legacy Housing Corp. DBA Americasa</x:v>
      </x:c>
      <x:c r="C4902" t="str" s="2">
        <x:v/>
      </x:c>
      <x:c r="D4902" t="str" s="2">
        <x:v>8329490181</x:v>
      </x:c>
      <x:c r="E4902" t="str" s="2">
        <x:v>michellewashington800@gmail.com</x:v>
      </x:c>
      <x:c r="F4902" t="str" s="2">
        <x:v>Youtube</x:v>
      </x:c>
      <x:c r="G4902" t="str" s="2">
        <x:v>Jose Parada</x:v>
      </x:c>
      <x:c r="H4902" s="6">
        <x:v>46286.98871438657</x:v>
      </x:c>
      <x:c r="I4902" s="0"/>
      <x:c r="J4902" s="0"/>
      <x:c r="K4902" s="6">
        <x:v>46287</x:v>
      </x:c>
      <x:c r="L4902" t="str" s="2">
        <x:v>Message Sent</x:v>
      </x:c>
    </x:row>
    <x:row r="4903">
      <x:c r="A4903" t="str" s="2">
        <x:f>="Frank Crawford"</x:f>
      </x:c>
      <x:c r="B4903" t="str" s="2">
        <x:v>Legacy Housing Corp. DBA Americasa</x:v>
      </x:c>
      <x:c r="C4903" t="str" s="2">
        <x:v/>
      </x:c>
      <x:c r="D4903" t="str" s="2">
        <x:v>2812350421</x:v>
      </x:c>
      <x:c r="E4903" t="str" s="2">
        <x:v>frankcrawford1947@gmail.com</x:v>
      </x:c>
      <x:c r="F4903" t="str" s="2">
        <x:v>Landing_BPM</x:v>
      </x:c>
      <x:c r="G4903" t="str" s="2">
        <x:v>Joey Marquez</x:v>
      </x:c>
      <x:c r="H4903" s="6">
        <x:v>46286.992958333336</x:v>
      </x:c>
      <x:c r="I4903" s="0"/>
      <x:c r="J4903" s="0"/>
      <x:c r="K4903" s="6">
        <x:v>46287</x:v>
      </x:c>
      <x:c r="L4903" t="str" s="2">
        <x:v>Message Sent</x:v>
      </x:c>
    </x:row>
    <x:row r="4904">
      <x:c r="A4904" t="str" s="2">
        <x:f>="Charles Stuart"</x:f>
      </x:c>
      <x:c r="B4904" t="str" s="2">
        <x:v>Heritage Housing Marble Falls</x:v>
      </x:c>
      <x:c r="C4904" t="str" s="2">
        <x:v/>
      </x:c>
      <x:c r="D4904" t="str" s="2">
        <x:v>5127349387</x:v>
      </x:c>
      <x:c r="E4904" t="str" s="2">
        <x:v>charlesst2286@gmail.com</x:v>
      </x:c>
      <x:c r="F4904" t="str" s="2">
        <x:v>Landing_BPM</x:v>
      </x:c>
      <x:c r="G4904" t="str" s="2">
        <x:v>Stephen Sanders</x:v>
      </x:c>
      <x:c r="H4904" s="6">
        <x:v>46287.011809027776</x:v>
      </x:c>
      <x:c r="I4904" s="0"/>
      <x:c r="J4904" s="0"/>
      <x:c r="K4904" s="6">
        <x:v>46289.57832893518</x:v>
      </x:c>
      <x:c r="L4904" t="str" s="2">
        <x:v>Message Sent</x:v>
      </x:c>
    </x:row>
    <x:row r="4905">
      <x:c r="A4905" t="str" s="2">
        <x:f>="Candra Reed"</x:f>
      </x:c>
      <x:c r="B4905" t="str" s="2">
        <x:v>Legacy Housing Corp. DBA Americasa</x:v>
      </x:c>
      <x:c r="C4905" t="str" s="2">
        <x:v/>
      </x:c>
      <x:c r="D4905" t="str" s="2">
        <x:v>8327132810</x:v>
      </x:c>
      <x:c r="E4905" t="str" s="2">
        <x:v>cereed068@gmail.com</x:v>
      </x:c>
      <x:c r="F4905" t="str" s="2">
        <x:v>Financing Form</x:v>
      </x:c>
      <x:c r="G4905" t="str" s="2">
        <x:v>Jose Parada</x:v>
      </x:c>
      <x:c r="H4905" s="6">
        <x:v>46287.07418587963</x:v>
      </x:c>
      <x:c r="I4905" s="0"/>
      <x:c r="J4905" s="0"/>
      <x:c r="K4905" s="6">
        <x:v>46287</x:v>
      </x:c>
      <x:c r="L4905" t="str" s="2">
        <x:v>Message Sent</x:v>
      </x:c>
    </x:row>
    <x:row r="4906">
      <x:c r="A4906" t="str" s="2">
        <x:f>="Tamra Williams"</x:f>
      </x:c>
      <x:c r="B4906" t="str" s="2">
        <x:v>Heritage Housing of Augusta</x:v>
      </x:c>
      <x:c r="C4906" t="str" s="2">
        <x:v/>
      </x:c>
      <x:c r="D4906" t="str" s="2">
        <x:v>8032588039</x:v>
      </x:c>
      <x:c r="E4906" t="str" s="2">
        <x:v>tamrawilliams14@gmail.com</x:v>
      </x:c>
      <x:c r="F4906" t="str" s="2">
        <x:v>Website</x:v>
      </x:c>
      <x:c r="G4906" t="str" s="2">
        <x:v>Jennifer Johnson</x:v>
      </x:c>
      <x:c r="H4906" s="6">
        <x:v>46287.08745396991</x:v>
      </x:c>
      <x:c r="I4906" s="0"/>
      <x:c r="J4906" s="0"/>
      <x:c r="K4906" s="6">
        <x:v>46301</x:v>
      </x:c>
      <x:c r="L4906" t="str" s="2">
        <x:v>Message Sent</x:v>
      </x:c>
    </x:row>
    <x:row r="4907">
      <x:c r="A4907" t="str" s="2">
        <x:f>="Summer Ferguson"</x:f>
      </x:c>
      <x:c r="B4907" t="str" s="2">
        <x:v>Legacy Housing Corp. DBA Americasa</x:v>
      </x:c>
      <x:c r="C4907" t="str" s="2">
        <x:v/>
      </x:c>
      <x:c r="D4907" t="str" s="2">
        <x:v>9362528376</x:v>
      </x:c>
      <x:c r="E4907" t="str" s="2">
        <x:v>moonlight52401@gmail.com</x:v>
      </x:c>
      <x:c r="F4907" t="str" s="2">
        <x:v>Landing_BPM</x:v>
      </x:c>
      <x:c r="G4907" t="str" s="2">
        <x:v>Joey Marquez</x:v>
      </x:c>
      <x:c r="H4907" s="6">
        <x:v>46287.11560297454</x:v>
      </x:c>
      <x:c r="I4907" s="0"/>
      <x:c r="J4907" s="0"/>
      <x:c r="K4907" s="6">
        <x:v>46287</x:v>
      </x:c>
      <x:c r="L4907" t="str" s="2">
        <x:v>Message Sent</x:v>
      </x:c>
    </x:row>
    <x:row r="4908">
      <x:c r="A4908" t="str" s="2">
        <x:f>="Scott Doty"</x:f>
      </x:c>
      <x:c r="B4908" t="str" s="2">
        <x:v>Heritage Housing of Canton</x:v>
      </x:c>
      <x:c r="C4908" t="str" s="2">
        <x:v/>
      </x:c>
      <x:c r="D4908" t="str" s="2">
        <x:v>3467308935</x:v>
      </x:c>
      <x:c r="E4908" t="str" s="2">
        <x:v>scottdoty61@gmail.com</x:v>
      </x:c>
      <x:c r="F4908" t="str" s="2">
        <x:v>Youtube</x:v>
      </x:c>
      <x:c r="G4908" t="str" s="2">
        <x:v>Maira Garcia</x:v>
      </x:c>
      <x:c r="H4908" s="6">
        <x:v>46287.117315428244</x:v>
      </x:c>
      <x:c r="I4908" s="0"/>
      <x:c r="J4908" s="0"/>
      <x:c r="K4908" s="6">
        <x:v>46288</x:v>
      </x:c>
      <x:c r="L4908" t="str" s="2">
        <x:v>Message Sent</x:v>
      </x:c>
    </x:row>
    <x:row r="4909">
      <x:c r="A4909" t="str" s="2">
        <x:f>="Austin Williams"</x:f>
      </x:c>
      <x:c r="B4909" t="str" s="2">
        <x:v>Heritage Housing of Asheboro</x:v>
      </x:c>
      <x:c r="C4909" t="str" s="2">
        <x:v/>
      </x:c>
      <x:c r="D4909" t="str" s="2">
        <x:v>3368070283</x:v>
      </x:c>
      <x:c r="E4909" t="str" s="2">
        <x:v>alwilliams19721999@gmail.com</x:v>
      </x:c>
      <x:c r="F4909" t="str" s="2">
        <x:v>Financing Form</x:v>
      </x:c>
      <x:c r="G4909" t="str" s="2">
        <x:v>Kate Gutierrez</x:v>
      </x:c>
      <x:c r="H4909" s="6">
        <x:v>46287.1887</x:v>
      </x:c>
      <x:c r="I4909" s="0"/>
      <x:c r="J4909" s="0"/>
      <x:c r="K4909" s="6">
        <x:v>46288</x:v>
      </x:c>
      <x:c r="L4909" t="str" s="2">
        <x:v>Message Sent</x:v>
      </x:c>
    </x:row>
    <x:row r="4910">
      <x:c r="A4910" t="str" s="2">
        <x:f>="Shondra Worthington Worthington"</x:f>
      </x:c>
      <x:c r="B4910" t="str" s="2">
        <x:v>Heritage Housing Mt Pleasant</x:v>
      </x:c>
      <x:c r="C4910" t="str" s="2">
        <x:v/>
      </x:c>
      <x:c r="D4910" t="str" s="2">
        <x:v>3185410007</x:v>
      </x:c>
      <x:c r="E4910" t="str" s="2">
        <x:v>rosefairy81@hotmail.com</x:v>
      </x:c>
      <x:c r="F4910" t="str" s="2">
        <x:v>Landing_BPM</x:v>
      </x:c>
      <x:c r="G4910" t="str" s="2">
        <x:v>Elias Gallardo</x:v>
      </x:c>
      <x:c r="H4910" s="6">
        <x:v>46287.20143862269</x:v>
      </x:c>
      <x:c r="I4910" s="0"/>
      <x:c r="J4910" s="0"/>
      <x:c r="K4910" s="6">
        <x:v>46288</x:v>
      </x:c>
      <x:c r="L4910" t="str" s="2">
        <x:v>Message Sent</x:v>
      </x:c>
    </x:row>
    <x:row r="4911">
      <x:c r="A4911" t="str" s="2">
        <x:f>="Romeo Thomas"</x:f>
      </x:c>
      <x:c r="B4911" t="str" s="2">
        <x:v>Heritage Housing of Athens</x:v>
      </x:c>
      <x:c r="C4911" t="str" s="2">
        <x:v/>
      </x:c>
      <x:c r="D4911" t="str" s="2">
        <x:v>4706420083</x:v>
      </x:c>
      <x:c r="E4911" t="str" s="2">
        <x:v>romeothomasb20@gmail.com</x:v>
      </x:c>
      <x:c r="F4911" t="str" s="2">
        <x:v>Landing_BPM</x:v>
      </x:c>
      <x:c r="G4911" t="str" s="2">
        <x:v>Nathan Bishop</x:v>
      </x:c>
      <x:c r="H4911" s="6">
        <x:v>46287.35802723379</x:v>
      </x:c>
      <x:c r="I4911" s="0"/>
      <x:c r="J4911" s="0"/>
      <x:c r="K4911" s="6">
        <x:v>46287</x:v>
      </x:c>
      <x:c r="L4911" t="str" s="2">
        <x:v>Message Sent</x:v>
      </x:c>
    </x:row>
    <x:row r="4912">
      <x:c r="A4912" t="str" s="2">
        <x:f>="Jill Murray"</x:f>
      </x:c>
      <x:c r="B4912" t="str" s="2">
        <x:v>Heritage Housing Mt Pleasant</x:v>
      </x:c>
      <x:c r="C4912" t="str" s="2">
        <x:v/>
      </x:c>
      <x:c r="D4912" t="str" s="2">
        <x:v>9037327356</x:v>
      </x:c>
      <x:c r="E4912" t="str" s="2">
        <x:v>renaewedel76@gmail.com</x:v>
      </x:c>
      <x:c r="F4912" t="str" s="2">
        <x:v>Landing_BPM</x:v>
      </x:c>
      <x:c r="G4912" t="str" s="2">
        <x:v>Sandra Saldana</x:v>
      </x:c>
      <x:c r="H4912" s="6">
        <x:v>46287.431050231484</x:v>
      </x:c>
      <x:c r="I4912" s="0"/>
      <x:c r="J4912" s="0"/>
      <x:c r="K4912" s="6">
        <x:v>46287</x:v>
      </x:c>
      <x:c r="L4912" t="str" s="2">
        <x:v>Message Sent</x:v>
      </x:c>
    </x:row>
    <x:row r="4913">
      <x:c r="A4913" t="str" s="2">
        <x:f>="Amber Tracy"</x:f>
      </x:c>
      <x:c r="B4913" t="str" s="2">
        <x:v>Legacy Housing Corp. DBA Americasa</x:v>
      </x:c>
      <x:c r="C4913" t="str" s="2">
        <x:v/>
      </x:c>
      <x:c r="D4913" t="str" s="2">
        <x:v>7166046774</x:v>
      </x:c>
      <x:c r="E4913" t="str" s="2">
        <x:v>amberlynntracy@gmail.com</x:v>
      </x:c>
      <x:c r="F4913" t="str" s="2">
        <x:v>Landing_BPM</x:v>
      </x:c>
      <x:c r="G4913" t="str" s="2">
        <x:v>Jose Parada</x:v>
      </x:c>
      <x:c r="H4913" s="6">
        <x:v>46287.49912847222</x:v>
      </x:c>
      <x:c r="I4913" s="0"/>
      <x:c r="J4913" s="0"/>
      <x:c r="K4913" s="6">
        <x:v>46287</x:v>
      </x:c>
      <x:c r="L4913" t="str" s="2">
        <x:v>Message Sent</x:v>
      </x:c>
    </x:row>
    <x:row r="4914">
      <x:c r="A4914" t="str" s="2">
        <x:f>="Samuel Parra"</x:f>
      </x:c>
      <x:c r="B4914" t="str" s="2">
        <x:v>Heritage Housing of Canton</x:v>
      </x:c>
      <x:c r="C4914" t="str" s="2">
        <x:v/>
      </x:c>
      <x:c r="D4914" t="str" s="2">
        <x:v>8329434669</x:v>
      </x:c>
      <x:c r="E4914" t="str" s="2">
        <x:v>samuel.borne57@gmail.com</x:v>
      </x:c>
      <x:c r="F4914" t="str" s="2">
        <x:v>Youtube</x:v>
      </x:c>
      <x:c r="G4914" t="str" s="2">
        <x:v>Jacob Hatten</x:v>
      </x:c>
      <x:c r="H4914" s="6">
        <x:v>46287.51471894676</x:v>
      </x:c>
      <x:c r="I4914" s="0"/>
      <x:c r="J4914" s="0"/>
      <x:c r="K4914" s="6">
        <x:v>46288</x:v>
      </x:c>
      <x:c r="L4914" t="str" s="2">
        <x:v>Message Sent</x:v>
      </x:c>
    </x:row>
    <x:row r="4915">
      <x:c r="A4915" t="str" s="2">
        <x:f>="Ronnie Comeaux"</x:f>
      </x:c>
      <x:c r="B4915" t="str" s="2">
        <x:v>Heritage Housing of Jennings</x:v>
      </x:c>
      <x:c r="C4915" t="str" s="2">
        <x:v/>
      </x:c>
      <x:c r="D4915" t="str" s="2">
        <x:v>3373471315</x:v>
      </x:c>
      <x:c r="E4915" t="str" s="2">
        <x:v>ronnienaaron16@gmail.com</x:v>
      </x:c>
      <x:c r="F4915" t="str" s="2">
        <x:v>Youtube</x:v>
      </x:c>
      <x:c r="G4915" t="str" s="2">
        <x:v>Mervin Leslie Smith</x:v>
      </x:c>
      <x:c r="H4915" s="6">
        <x:v>46287.51947160879</x:v>
      </x:c>
      <x:c r="I4915" s="0"/>
      <x:c r="J4915" s="0"/>
      <x:c r="K4915" s="6">
        <x:v>46302.68896443287</x:v>
      </x:c>
      <x:c r="L4915" t="str" s="2">
        <x:v>Message Sent</x:v>
      </x:c>
    </x:row>
    <x:row r="4916">
      <x:c r="A4916" t="str" s="2">
        <x:f>="Paige Williams"</x:f>
      </x:c>
      <x:c r="B4916" t="str" s="2">
        <x:v>Heritage Housing of Asheboro</x:v>
      </x:c>
      <x:c r="C4916" t="str" s="2">
        <x:v/>
      </x:c>
      <x:c r="D4916" t="str" s="2">
        <x:v>7047646590</x:v>
      </x:c>
      <x:c r="E4916" t="str" s="2">
        <x:v>madisonpaige102@icloud.com</x:v>
      </x:c>
      <x:c r="F4916" t="str" s="2">
        <x:v>Landing_BPM</x:v>
      </x:c>
      <x:c r="G4916" t="str" s="2">
        <x:v>Maria Lopez</x:v>
      </x:c>
      <x:c r="H4916" s="6">
        <x:v>46287.52705390046</x:v>
      </x:c>
      <x:c r="I4916" s="0"/>
      <x:c r="J4916" s="0"/>
      <x:c r="K4916" s="6">
        <x:v>46307</x:v>
      </x:c>
      <x:c r="L4916" t="str" s="2">
        <x:v>Message Sent</x:v>
      </x:c>
    </x:row>
    <x:row r="4917">
      <x:c r="A4917" t="str" s="2">
        <x:f>="Shane goettle"</x:f>
      </x:c>
      <x:c r="B4917" t="str" s="2">
        <x:v>Heritage Housing Marble Falls</x:v>
      </x:c>
      <x:c r="C4917" t="str" s="2">
        <x:v/>
      </x:c>
      <x:c r="D4917" t="str" s="2">
        <x:v>7577515224</x:v>
      </x:c>
      <x:c r="E4917" t="str" s="2">
        <x:v>sgoettle4@gmail.com</x:v>
      </x:c>
      <x:c r="F4917" t="str" s="2">
        <x:v>Youtube</x:v>
      </x:c>
      <x:c r="G4917" t="str" s="2">
        <x:v>Stephen Sanders</x:v>
      </x:c>
      <x:c r="H4917" s="6">
        <x:v>46287.53200471065</x:v>
      </x:c>
      <x:c r="I4917" s="0"/>
      <x:c r="J4917" s="0"/>
      <x:c r="K4917" s="6">
        <x:v>46289.57821180556</x:v>
      </x:c>
      <x:c r="L4917" t="str" s="2">
        <x:v>Message Sent</x:v>
      </x:c>
    </x:row>
    <x:row r="4918">
      <x:c r="A4918" t="str" s="2">
        <x:f>="Athena Pettty"</x:f>
      </x:c>
      <x:c r="B4918" t="str" s="2">
        <x:v>Heritage Housing of Augusta</x:v>
      </x:c>
      <x:c r="C4918" t="str" s="2">
        <x:v/>
      </x:c>
      <x:c r="D4918" t="str" s="2">
        <x:v>4702728637</x:v>
      </x:c>
      <x:c r="E4918" t="str" s="2">
        <x:v>passionzany@gmail.com</x:v>
      </x:c>
      <x:c r="F4918" t="str" s="2">
        <x:v>Youtube</x:v>
      </x:c>
      <x:c r="G4918" t="str" s="2">
        <x:v>Jennifer Johnson</x:v>
      </x:c>
      <x:c r="H4918" s="6">
        <x:v>46287.54642210648</x:v>
      </x:c>
      <x:c r="I4918" s="0"/>
      <x:c r="J4918" s="0"/>
      <x:c r="K4918" s="6">
        <x:v>46300</x:v>
      </x:c>
      <x:c r="L4918" t="str" s="2">
        <x:v>Message Sent</x:v>
      </x:c>
    </x:row>
    <x:row r="4919">
      <x:c r="A4919" t="str" s="2">
        <x:f>="Karen Pendergast"</x:f>
      </x:c>
      <x:c r="B4919" t="str" s="2">
        <x:v>Heritage Housing of Tulsa</x:v>
      </x:c>
      <x:c r="C4919" t="str" s="2">
        <x:v/>
      </x:c>
      <x:c r="D4919" t="str" s="2">
        <x:v>6827861361</x:v>
      </x:c>
      <x:c r="E4919" t="str" s="2">
        <x:v>karenpendegast@gmail.com</x:v>
      </x:c>
      <x:c r="F4919" t="str" s="2">
        <x:v>Landing_BPM</x:v>
      </x:c>
      <x:c r="G4919" t="str" s="2">
        <x:v>Jenna Fransisco</x:v>
      </x:c>
      <x:c r="H4919" s="6">
        <x:v>46287.6372315162</x:v>
      </x:c>
      <x:c r="I4919" s="0"/>
      <x:c r="J4919" s="0"/>
      <x:c r="K4919" s="6">
        <x:v>46294</x:v>
      </x:c>
      <x:c r="L4919" t="str" s="2">
        <x:v>Message Sent</x:v>
      </x:c>
    </x:row>
    <x:row r="4920">
      <x:c r="A4920" t="str" s="2">
        <x:f>="Yvette Wilson"</x:f>
      </x:c>
      <x:c r="B4920" t="str" s="2">
        <x:v>Heritage Housing of Albany</x:v>
      </x:c>
      <x:c r="C4920" t="str" s="2">
        <x:v/>
      </x:c>
      <x:c r="D4920" t="str" s="2">
        <x:v>2297339749</x:v>
      </x:c>
      <x:c r="E4920" t="str" s="2">
        <x:v>cancerpink01@gmail.com</x:v>
      </x:c>
      <x:c r="F4920" t="str" s="2">
        <x:v>Landing_BPM</x:v>
      </x:c>
      <x:c r="G4920" t="str" s="2">
        <x:v>Yanet Alvarez</x:v>
      </x:c>
      <x:c r="H4920" s="6">
        <x:v>46287.645375775464</x:v>
      </x:c>
      <x:c r="I4920" s="0"/>
      <x:c r="J4920" s="0"/>
      <x:c r="K4920" s="6">
        <x:v>46307</x:v>
      </x:c>
      <x:c r="L4920" t="str" s="2">
        <x:v>Message Sent</x:v>
      </x:c>
    </x:row>
    <x:row r="4921">
      <x:c r="A4921" t="str" s="2">
        <x:f>="Willie Smith"</x:f>
      </x:c>
      <x:c r="B4921" t="str" s="2">
        <x:v>Heritage Housing of Tulsa</x:v>
      </x:c>
      <x:c r="C4921" t="str" s="2">
        <x:v/>
      </x:c>
      <x:c r="D4921" t="str" s="2">
        <x:v>9185058332</x:v>
      </x:c>
      <x:c r="E4921" t="str" s="2">
        <x:v>mswilliesmith71@gmail.com</x:v>
      </x:c>
      <x:c r="F4921" t="str" s="2">
        <x:v>Landing_BPM</x:v>
      </x:c>
      <x:c r="G4921" t="str" s="2">
        <x:v>Jenna Fransisco</x:v>
      </x:c>
      <x:c r="H4921" s="6">
        <x:v>46287.69309803241</x:v>
      </x:c>
      <x:c r="I4921" s="0"/>
      <x:c r="J4921" s="0"/>
      <x:c r="K4921" s="6">
        <x:v>46294</x:v>
      </x:c>
      <x:c r="L4921" t="str" s="2">
        <x:v>Message Sent</x:v>
      </x:c>
    </x:row>
    <x:row r="4922">
      <x:c r="A4922" t="str" s="2">
        <x:f>="Michael Herczeg"</x:f>
      </x:c>
      <x:c r="B4922" t="str" s="2">
        <x:v>Heritage Housing Marble Falls</x:v>
      </x:c>
      <x:c r="C4922" t="str" s="2">
        <x:v/>
      </x:c>
      <x:c r="D4922" t="str" s="2">
        <x:v>6828039586</x:v>
      </x:c>
      <x:c r="E4922" t="str" s="2">
        <x:v>224mike1958@gmail.com</x:v>
      </x:c>
      <x:c r="F4922" t="str" s="2">
        <x:v>Youtube</x:v>
      </x:c>
      <x:c r="G4922" t="str" s="2">
        <x:v>Stephen Sanders</x:v>
      </x:c>
      <x:c r="H4922" s="6">
        <x:v>46287.69715424768</x:v>
      </x:c>
      <x:c r="I4922" s="0"/>
      <x:c r="J4922" s="0"/>
      <x:c r="K4922" s="6">
        <x:v>46289.5780875</x:v>
      </x:c>
      <x:c r="L4922" t="str" s="2">
        <x:v>Message Sent</x:v>
      </x:c>
    </x:row>
    <x:row r="4923">
      <x:c r="A4923" t="str" s="2">
        <x:f>="Stephanie Robinson Robinson"</x:f>
      </x:c>
      <x:c r="B4923" t="str" s="2">
        <x:v>Heritage Housing of Augusta</x:v>
      </x:c>
      <x:c r="C4923" t="str" s="2">
        <x:v/>
      </x:c>
      <x:c r="D4923" t="str" s="2">
        <x:v>7062515595</x:v>
      </x:c>
      <x:c r="E4923" t="str" s="2">
        <x:v>stephanier113@gmail.com</x:v>
      </x:c>
      <x:c r="F4923" t="str" s="2">
        <x:v>Landing_BPM</x:v>
      </x:c>
      <x:c r="G4923" t="str" s="2">
        <x:v>Jennifer Johnson</x:v>
      </x:c>
      <x:c r="H4923" s="6">
        <x:v>46287.71993171296</x:v>
      </x:c>
      <x:c r="I4923" s="0"/>
      <x:c r="J4923" s="0"/>
      <x:c r="K4923" s="6">
        <x:v>46302</x:v>
      </x:c>
      <x:c r="L4923" t="str" s="2">
        <x:v>Message Sent</x:v>
      </x:c>
    </x:row>
    <x:row r="4924">
      <x:c r="A4924" t="str" s="2">
        <x:f>="jasmine Waddy"</x:f>
      </x:c>
      <x:c r="B4924" t="str" s="2">
        <x:v>Legacy Housing Corp. DBA Americasa</x:v>
      </x:c>
      <x:c r="C4924" t="str" s="2">
        <x:v/>
      </x:c>
      <x:c r="D4924" t="str" s="2">
        <x:v>97976350612</x:v>
      </x:c>
      <x:c r="E4924" t="str" s="2">
        <x:v>jasminewaddy20@gmail.com</x:v>
      </x:c>
      <x:c r="F4924" t="str" s="2">
        <x:v>Financing Form</x:v>
      </x:c>
      <x:c r="G4924" t="str" s="2">
        <x:v>Jose Parada</x:v>
      </x:c>
      <x:c r="H4924" s="6">
        <x:v>46287.74639583333</x:v>
      </x:c>
      <x:c r="I4924" s="0"/>
      <x:c r="J4924" s="0"/>
      <x:c r="K4924" s="6">
        <x:v>46287</x:v>
      </x:c>
      <x:c r="L4924" t="str" s="2">
        <x:v>Message Sent</x:v>
      </x:c>
    </x:row>
    <x:row r="4925">
      <x:c r="A4925" t="str" s="2">
        <x:f>="Brooke Boggs"</x:f>
      </x:c>
      <x:c r="B4925" t="str" s="2">
        <x:v>Heritage Housing of Asheboro</x:v>
      </x:c>
      <x:c r="C4925" t="str" s="2">
        <x:v/>
      </x:c>
      <x:c r="D4925" t="str" s="2">
        <x:v>3368480237</x:v>
      </x:c>
      <x:c r="E4925" t="str" s="2">
        <x:v>brookeboggs13@icloud.com</x:v>
      </x:c>
      <x:c r="F4925" t="str" s="2">
        <x:v>Website</x:v>
      </x:c>
      <x:c r="G4925" t="str" s="2">
        <x:v>Kate Gutierrez</x:v>
      </x:c>
      <x:c r="H4925" s="6">
        <x:v>46287.788964618056</x:v>
      </x:c>
      <x:c r="I4925" s="0"/>
      <x:c r="J4925" s="0"/>
      <x:c r="K4925" s="6">
        <x:v>46304</x:v>
      </x:c>
      <x:c r="L4925" t="str" s="2">
        <x:v>Message Sent</x:v>
      </x:c>
    </x:row>
    <x:row r="4926">
      <x:c r="A4926" t="str" s="2">
        <x:f>="Yvonne Maldonado"</x:f>
      </x:c>
      <x:c r="B4926" t="str" s="2">
        <x:v>Heritage Housing of Canton</x:v>
      </x:c>
      <x:c r="C4926" t="str" s="2">
        <x:v/>
      </x:c>
      <x:c r="D4926" t="str" s="2">
        <x:v>4699850911</x:v>
      </x:c>
      <x:c r="E4926" t="str" s="2">
        <x:v>phoenixpropgrp@gmail.com</x:v>
      </x:c>
      <x:c r="F4926" t="str" s="2">
        <x:v>Landing_BPM</x:v>
      </x:c>
      <x:c r="G4926" t="str" s="2">
        <x:v>Maira Garcia</x:v>
      </x:c>
      <x:c r="H4926" s="6">
        <x:v>46287.79894429398</x:v>
      </x:c>
      <x:c r="I4926" s="0"/>
      <x:c r="J4926" s="0"/>
      <x:c r="K4926" s="6">
        <x:v>46288</x:v>
      </x:c>
      <x:c r="L4926" t="str" s="2">
        <x:v>Message Sent</x:v>
      </x:c>
    </x:row>
    <x:row r="4927">
      <x:c r="A4927" t="str" s="2">
        <x:f>="johnsonnettie Williams"</x:f>
      </x:c>
      <x:c r="B4927" t="str" s="2">
        <x:v>Heritage Housing of Augusta</x:v>
      </x:c>
      <x:c r="C4927" t="str" s="2">
        <x:v/>
      </x:c>
      <x:c r="D4927" t="str" s="2">
        <x:v>7065261090</x:v>
      </x:c>
      <x:c r="E4927" t="str" s="2">
        <x:v>williamsnettie283@gmail.com</x:v>
      </x:c>
      <x:c r="F4927" t="str" s="2">
        <x:v>Landing_BPM</x:v>
      </x:c>
      <x:c r="G4927" t="str" s="2">
        <x:v>Jennifer Johnson</x:v>
      </x:c>
      <x:c r="H4927" s="6">
        <x:v>46287.805530983795</x:v>
      </x:c>
      <x:c r="I4927" s="0"/>
      <x:c r="J4927" s="0"/>
      <x:c r="K4927" s="6">
        <x:v>46298</x:v>
      </x:c>
      <x:c r="L4927" t="str" s="2">
        <x:v>Message Sent</x:v>
      </x:c>
    </x:row>
    <x:row r="4928">
      <x:c r="A4928" t="str" s="2">
        <x:f>="Rachael Wise"</x:f>
      </x:c>
      <x:c r="B4928" t="str" s="2">
        <x:v>Legacy Housing Corp. DBA Americasa</x:v>
      </x:c>
      <x:c r="C4928" t="str" s="2">
        <x:v/>
      </x:c>
      <x:c r="D4928" t="str" s="2">
        <x:v>4092246871</x:v>
      </x:c>
      <x:c r="E4928" t="str" s="2">
        <x:v>wiser1569@gmail.com</x:v>
      </x:c>
      <x:c r="F4928" t="str" s="2">
        <x:v>Financing Form</x:v>
      </x:c>
      <x:c r="G4928" t="str" s="2">
        <x:v>Joey Marquez</x:v>
      </x:c>
      <x:c r="H4928" s="6">
        <x:v>46287.855718136576</x:v>
      </x:c>
      <x:c r="I4928" s="0"/>
      <x:c r="J4928" s="0"/>
      <x:c r="K4928" s="6">
        <x:v>46288</x:v>
      </x:c>
      <x:c r="L4928" t="str" s="2">
        <x:v>Message Sent</x:v>
      </x:c>
    </x:row>
    <x:row r="4929">
      <x:c r="A4929" t="str" s="2">
        <x:f>="Whitney Locklear"</x:f>
      </x:c>
      <x:c r="B4929" t="str" s="2">
        <x:v>Heritage Housing of Asheboro</x:v>
      </x:c>
      <x:c r="C4929" t="str" s="2">
        <x:v/>
      </x:c>
      <x:c r="D4929" t="str" s="2">
        <x:v>9107333723</x:v>
      </x:c>
      <x:c r="E4929" t="str" s="2">
        <x:v>whitlock.wl@gmail.com</x:v>
      </x:c>
      <x:c r="F4929" t="str" s="2">
        <x:v>Financing Form</x:v>
      </x:c>
      <x:c r="G4929" t="str" s="2">
        <x:v>Kate Gutierrez</x:v>
      </x:c>
      <x:c r="H4929" s="6">
        <x:v>46287.87941079861</x:v>
      </x:c>
      <x:c r="I4929" s="0"/>
      <x:c r="J4929" s="0"/>
      <x:c r="K4929" s="6">
        <x:v>46304</x:v>
      </x:c>
      <x:c r="L4929" t="str" s="2">
        <x:v>Message Sent</x:v>
      </x:c>
    </x:row>
    <x:row r="4930">
      <x:c r="A4930" t="str" s="2">
        <x:f>="Joseph Lers"</x:f>
      </x:c>
      <x:c r="B4930" t="str" s="2">
        <x:v>Heritage Housing Marble Falls</x:v>
      </x:c>
      <x:c r="C4930" t="str" s="2">
        <x:v/>
      </x:c>
      <x:c r="D4930" t="str" s="2">
        <x:v>5304702924</x:v>
      </x:c>
      <x:c r="E4930" t="str" s="2">
        <x:v>mrjingles697769@gmail.com</x:v>
      </x:c>
      <x:c r="F4930" t="str" s="2">
        <x:v>Landing_BPM</x:v>
      </x:c>
      <x:c r="G4930" t="str" s="2">
        <x:v>Stephen Sanders</x:v>
      </x:c>
      <x:c r="H4930" s="6">
        <x:v>46287.92625370371</x:v>
      </x:c>
      <x:c r="I4930" s="0"/>
      <x:c r="J4930" s="0"/>
      <x:c r="K4930" s="6">
        <x:v>46289.576969525464</x:v>
      </x:c>
      <x:c r="L4930" t="str" s="2">
        <x:v>Message Sent</x:v>
      </x:c>
    </x:row>
    <x:row r="4931">
      <x:c r="A4931" t="str" s="2">
        <x:f>="Josh Crow"</x:f>
      </x:c>
      <x:c r="B4931" t="str" s="2">
        <x:v>Heritage Housing of Canton</x:v>
      </x:c>
      <x:c r="C4931" t="str" s="2">
        <x:v/>
      </x:c>
      <x:c r="D4931" t="str" s="2">
        <x:v>8705823650</x:v>
      </x:c>
      <x:c r="E4931" t="str" s="2">
        <x:v>joshbcrow44@gmail.com</x:v>
      </x:c>
      <x:c r="F4931" t="str" s="2">
        <x:v>Website</x:v>
      </x:c>
      <x:c r="G4931" t="str" s="2">
        <x:v>Jacob Hatten</x:v>
      </x:c>
      <x:c r="H4931" s="6">
        <x:v>46287.93407630787</x:v>
      </x:c>
      <x:c r="I4931" s="0"/>
      <x:c r="J4931" s="0"/>
      <x:c r="K4931" s="6">
        <x:v>46288</x:v>
      </x:c>
      <x:c r="L4931" t="str" s="2">
        <x:v>Message Sent</x:v>
      </x:c>
    </x:row>
    <x:row r="4932">
      <x:c r="A4932" t="str" s="2">
        <x:f>="Lenor Penferd"</x:f>
      </x:c>
      <x:c r="B4932" t="str" s="2">
        <x:v>Heritage Housing of Albany</x:v>
      </x:c>
      <x:c r="C4932" t="str" s="2">
        <x:v>0/2</x:v>
      </x:c>
      <x:c r="D4932" t="str" s="2">
        <x:v>7063402934</x:v>
      </x:c>
      <x:c r="E4932" t="str" s="2">
        <x:v>penferdtruckingllc@gmail.com</x:v>
      </x:c>
      <x:c r="F4932" t="str" s="2">
        <x:v>Landing_BPM</x:v>
      </x:c>
      <x:c r="G4932" t="str" s="2">
        <x:v>Yanet Alvarez</x:v>
      </x:c>
      <x:c r="H4932" s="6">
        <x:v>46287.94582380787</x:v>
      </x:c>
      <x:c r="I4932" s="0"/>
      <x:c r="J4932" s="0"/>
      <x:c r="K4932" s="6">
        <x:v>46289</x:v>
      </x:c>
      <x:c r="L4932" t="str" s="2">
        <x:v>Message Sent</x:v>
      </x:c>
    </x:row>
    <x:row r="4933">
      <x:c r="A4933" t="str" s="2">
        <x:f>="Ethan Cole"</x:f>
      </x:c>
      <x:c r="B4933" t="str" s="2">
        <x:v>Heritage Housing of Tulsa</x:v>
      </x:c>
      <x:c r="C4933" t="str" s="2">
        <x:v/>
      </x:c>
      <x:c r="D4933" t="str" s="2">
        <x:v>9186068243</x:v>
      </x:c>
      <x:c r="E4933" t="str" s="2">
        <x:v>ethanfcolehp13@gmail.com</x:v>
      </x:c>
      <x:c r="F4933" t="str" s="2">
        <x:v>Landing_BPM</x:v>
      </x:c>
      <x:c r="G4933" t="str" s="2">
        <x:v>Jenna Fransisco</x:v>
      </x:c>
      <x:c r="H4933" s="6">
        <x:v>46287.96722357639</x:v>
      </x:c>
      <x:c r="I4933" s="0"/>
      <x:c r="J4933" s="0"/>
      <x:c r="K4933" s="6">
        <x:v>46294</x:v>
      </x:c>
      <x:c r="L4933" t="str" s="2">
        <x:v>Message Sent</x:v>
      </x:c>
    </x:row>
    <x:row r="4934">
      <x:c r="A4934" t="str" s="2">
        <x:f>="Mitchell Charpentier"</x:f>
      </x:c>
      <x:c r="B4934" t="str" s="2">
        <x:v>Heritage Housing of Jennings</x:v>
      </x:c>
      <x:c r="C4934" t="str" s="2">
        <x:v/>
      </x:c>
      <x:c r="D4934" t="str" s="2">
        <x:v>3372010697</x:v>
      </x:c>
      <x:c r="E4934" t="str" s="2">
        <x:v>mitchellcharpentier@yahoo.com</x:v>
      </x:c>
      <x:c r="F4934" t="str" s="2">
        <x:v>Landing_BPM</x:v>
      </x:c>
      <x:c r="G4934" t="str" s="2">
        <x:v>Clint O'Neal</x:v>
      </x:c>
      <x:c r="H4934" s="6">
        <x:v>46287.97451863426</x:v>
      </x:c>
      <x:c r="I4934" s="0"/>
      <x:c r="J4934" s="0"/>
      <x:c r="K4934" s="6">
        <x:v>46302.73592673611</x:v>
      </x:c>
      <x:c r="L4934" t="str" s="2">
        <x:v>Message Sent</x:v>
      </x:c>
    </x:row>
    <x:row r="4935">
      <x:c r="A4935" t="str" s="2">
        <x:f>="Candace Dunlap"</x:f>
      </x:c>
      <x:c r="B4935" t="str" s="2">
        <x:v>Heritage Housing Mt Pleasant</x:v>
      </x:c>
      <x:c r="C4935" t="str" s="2">
        <x:v/>
      </x:c>
      <x:c r="D4935" t="str" s="2">
        <x:v>9032041369</x:v>
      </x:c>
      <x:c r="E4935" t="str" s="2">
        <x:v>zaylesmama@gmail.com</x:v>
      </x:c>
      <x:c r="F4935" t="str" s="2">
        <x:v>Landing_BPM</x:v>
      </x:c>
      <x:c r="G4935" t="str" s="2">
        <x:v>Elias Gallardo</x:v>
      </x:c>
      <x:c r="H4935" s="6">
        <x:v>46287.98307769676</x:v>
      </x:c>
      <x:c r="I4935" s="0"/>
      <x:c r="J4935" s="0"/>
      <x:c r="K4935" s="6">
        <x:v>46289</x:v>
      </x:c>
      <x:c r="L4935" t="str" s="2">
        <x:v>Message Sent</x:v>
      </x:c>
    </x:row>
    <x:row r="4936">
      <x:c r="A4936" t="str" s="2">
        <x:f>="Jimmie Gresham"</x:f>
      </x:c>
      <x:c r="B4936" t="str" s="2">
        <x:v>Heritage Housing of Augusta</x:v>
      </x:c>
      <x:c r="C4936" t="str" s="2">
        <x:v/>
      </x:c>
      <x:c r="D4936" t="str" s="2">
        <x:v>7622870959</x:v>
      </x:c>
      <x:c r="E4936" t="str" s="2">
        <x:v>Jimmybo0325@gmail.com</x:v>
      </x:c>
      <x:c r="F4936" t="str" s="2">
        <x:v>Landing_BPM</x:v>
      </x:c>
      <x:c r="G4936" t="str" s="2">
        <x:v>Jennifer Johnson</x:v>
      </x:c>
      <x:c r="H4936" s="6">
        <x:v>46288.037945104166</x:v>
      </x:c>
      <x:c r="I4936" s="0"/>
      <x:c r="J4936" s="0"/>
      <x:c r="K4936" s="6">
        <x:v>46298</x:v>
      </x:c>
      <x:c r="L4936" t="str" s="2">
        <x:v>Message Sent</x:v>
      </x:c>
    </x:row>
    <x:row r="4937">
      <x:c r="A4937" t="str" s="2">
        <x:f>="carla araujo"</x:f>
      </x:c>
      <x:c r="B4937" t="str" s="2">
        <x:v>Heritage Housing of Greenville</x:v>
      </x:c>
      <x:c r="C4937" t="str" s="2">
        <x:v/>
      </x:c>
      <x:c r="D4937" t="str" s="2">
        <x:v>4693796613</x:v>
      </x:c>
      <x:c r="E4937" t="str" s="2">
        <x:v>araujo1979torres@yahoo.com</x:v>
      </x:c>
      <x:c r="F4937" t="str" s="2">
        <x:v>Landing_BPM</x:v>
      </x:c>
      <x:c r="G4937" t="str" s="2">
        <x:v>Brooklynn Allen</x:v>
      </x:c>
      <x:c r="H4937" s="6">
        <x:v>46288.05790177084</x:v>
      </x:c>
      <x:c r="I4937" s="0"/>
      <x:c r="J4937" s="0"/>
      <x:c r="K4937" s="6">
        <x:v>46288</x:v>
      </x:c>
      <x:c r="L4937" t="str" s="2">
        <x:v>Message Sent</x:v>
      </x:c>
    </x:row>
    <x:row r="4938">
      <x:c r="A4938" t="str" s="2">
        <x:f>="Lerissa Frazier"</x:f>
      </x:c>
      <x:c r="B4938" t="str" s="2">
        <x:v>Heritage Housing of Asheboro</x:v>
      </x:c>
      <x:c r="C4938" t="str" s="2">
        <x:v/>
      </x:c>
      <x:c r="D4938" t="str" s="2">
        <x:v>8284050005</x:v>
      </x:c>
      <x:c r="E4938" t="str" s="2">
        <x:v>lmanns03@hotmail.com</x:v>
      </x:c>
      <x:c r="F4938" t="str" s="2">
        <x:v>Landing_BPM</x:v>
      </x:c>
      <x:c r="G4938" t="str" s="2">
        <x:v>Maria Lopez</x:v>
      </x:c>
      <x:c r="H4938" s="6">
        <x:v>46288.23853549769</x:v>
      </x:c>
      <x:c r="I4938" s="0"/>
      <x:c r="J4938" s="0"/>
      <x:c r="K4938" s="6">
        <x:v>46288</x:v>
      </x:c>
      <x:c r="L4938" t="str" s="2">
        <x:v>Message Sent</x:v>
      </x:c>
    </x:row>
    <x:row r="4939">
      <x:c r="A4939" t="str" s="2">
        <x:f>="Carroll Jones"</x:f>
      </x:c>
      <x:c r="B4939" t="str" s="2">
        <x:v>Heritage Housing of Jennings</x:v>
      </x:c>
      <x:c r="C4939" t="str" s="2">
        <x:v/>
      </x:c>
      <x:c r="D4939" t="str" s="2">
        <x:v>3376782516</x:v>
      </x:c>
      <x:c r="E4939" t="str" s="2">
        <x:v>a65831201@gmail.com</x:v>
      </x:c>
      <x:c r="F4939" t="str" s="2">
        <x:v>Landing_BPM</x:v>
      </x:c>
      <x:c r="G4939" t="str" s="2">
        <x:v>Mervin Leslie Smith</x:v>
      </x:c>
      <x:c r="H4939" s="6">
        <x:v>46288.4086153588</x:v>
      </x:c>
      <x:c r="I4939" s="0"/>
      <x:c r="J4939" s="0"/>
      <x:c r="K4939" s="6">
        <x:v>46302.69083240741</x:v>
      </x:c>
      <x:c r="L4939" t="str" s="2">
        <x:v>Message Sent</x:v>
      </x:c>
    </x:row>
    <x:row r="4940">
      <x:c r="A4940" t="str" s="2">
        <x:f>="Caroline Smith"</x:f>
      </x:c>
      <x:c r="B4940" t="str" s="2">
        <x:v>Heritage Housing of Athens</x:v>
      </x:c>
      <x:c r="C4940" t="str" s="2">
        <x:v/>
      </x:c>
      <x:c r="D4940" t="str" s="2">
        <x:v>7062011031</x:v>
      </x:c>
      <x:c r="E4940" t="str" s="2">
        <x:v>Faithxlovexhope22@gmail.com</x:v>
      </x:c>
      <x:c r="F4940" t="str" s="2">
        <x:v>Landing_BPM</x:v>
      </x:c>
      <x:c r="G4940" t="str" s="2">
        <x:v>Nathan Bishop</x:v>
      </x:c>
      <x:c r="H4940" s="6">
        <x:v>46288.46068753472</x:v>
      </x:c>
      <x:c r="I4940" s="0"/>
      <x:c r="J4940" s="0"/>
      <x:c r="K4940" s="6">
        <x:v>46288</x:v>
      </x:c>
      <x:c r="L4940" t="str" s="2">
        <x:v>Message Sent</x:v>
      </x:c>
    </x:row>
    <x:row r="4941">
      <x:c r="A4941" t="str" s="2">
        <x:f>="Taylor McCullough"</x:f>
      </x:c>
      <x:c r="B4941" t="str" s="2">
        <x:v>Heritage Housing of Augusta</x:v>
      </x:c>
      <x:c r="C4941" t="str" s="2">
        <x:v>0/2</x:v>
      </x:c>
      <x:c r="D4941" t="str" s="2">
        <x:v>6786518152</x:v>
      </x:c>
      <x:c r="E4941" t="str" s="2">
        <x:v>quantamccullough34@gmail.com</x:v>
      </x:c>
      <x:c r="F4941" t="str" s="2">
        <x:v>Website</x:v>
      </x:c>
      <x:c r="G4941" t="str" s="2">
        <x:v>Jennifer Johnson</x:v>
      </x:c>
      <x:c r="H4941" s="6">
        <x:v>46288.595732141206</x:v>
      </x:c>
      <x:c r="I4941" s="0"/>
      <x:c r="J4941" s="0"/>
      <x:c r="K4941" s="6">
        <x:v>46298</x:v>
      </x:c>
      <x:c r="L4941" t="str" s="2">
        <x:v>Message Sent</x:v>
      </x:c>
    </x:row>
    <x:row r="4942">
      <x:c r="A4942" t="str" s="2">
        <x:f>="Latoya Bethea"</x:f>
      </x:c>
      <x:c r="B4942" t="str" s="2">
        <x:v>Heritage Housing of Asheboro</x:v>
      </x:c>
      <x:c r="C4942" t="str" s="2">
        <x:v/>
      </x:c>
      <x:c r="D4942" t="str" s="2">
        <x:v>3364931001</x:v>
      </x:c>
      <x:c r="E4942" t="str" s="2">
        <x:v>ltanille@gmail.com</x:v>
      </x:c>
      <x:c r="F4942" t="str" s="2">
        <x:v>Landing_BPM</x:v>
      </x:c>
      <x:c r="G4942" t="str" s="2">
        <x:v>Kate Gutierrez</x:v>
      </x:c>
      <x:c r="H4942" s="6">
        <x:v>46288.61089016204</x:v>
      </x:c>
      <x:c r="I4942" s="0"/>
      <x:c r="J4942" s="0"/>
      <x:c r="K4942" s="6">
        <x:v>46288</x:v>
      </x:c>
      <x:c r="L4942" t="str" s="2">
        <x:v>Message Sent</x:v>
      </x:c>
    </x:row>
    <x:row r="4943">
      <x:c r="A4943" t="str" s="2">
        <x:f>="Jimmie Ashford"</x:f>
      </x:c>
      <x:c r="B4943" t="str" s="2">
        <x:v>Heritage Housing of Canton</x:v>
      </x:c>
      <x:c r="C4943" t="str" s="2">
        <x:v/>
      </x:c>
      <x:c r="D4943" t="str" s="2">
        <x:v>9033407587</x:v>
      </x:c>
      <x:c r="E4943" t="str" s="2">
        <x:v>ashfordtina200@gmail.com</x:v>
      </x:c>
      <x:c r="F4943" t="str" s="2">
        <x:v>Website</x:v>
      </x:c>
      <x:c r="G4943" t="str" s="2">
        <x:v>Maira Garcia</x:v>
      </x:c>
      <x:c r="H4943" s="6">
        <x:v>46288.634055208335</x:v>
      </x:c>
      <x:c r="I4943" s="0"/>
      <x:c r="J4943" s="0"/>
      <x:c r="K4943" s="6">
        <x:v>46288</x:v>
      </x:c>
      <x:c r="L4943" t="str" s="2">
        <x:v>Message Sent</x:v>
      </x:c>
    </x:row>
    <x:row r="4944">
      <x:c r="A4944" t="str" s="2">
        <x:f>="Krista Johnson"</x:f>
      </x:c>
      <x:c r="B4944" t="str" s="2">
        <x:v>Heritage Housing of Canton</x:v>
      </x:c>
      <x:c r="C4944" t="str" s="2">
        <x:v/>
      </x:c>
      <x:c r="D4944" t="str" s="2">
        <x:v>9039786649</x:v>
      </x:c>
      <x:c r="E4944" t="str" s="2">
        <x:v>kkdaniellej97@gmail.com</x:v>
      </x:c>
      <x:c r="F4944" t="str" s="2">
        <x:v>Landing_BPM</x:v>
      </x:c>
      <x:c r="G4944" t="str" s="2">
        <x:v>Jacob Hatten</x:v>
      </x:c>
      <x:c r="H4944" s="6">
        <x:v>46288.65473776621</x:v>
      </x:c>
      <x:c r="I4944" s="0"/>
      <x:c r="J4944" s="0"/>
      <x:c r="K4944" s="6">
        <x:v>46288</x:v>
      </x:c>
      <x:c r="L4944" t="str" s="2">
        <x:v>Message Sent</x:v>
      </x:c>
    </x:row>
    <x:row r="4945">
      <x:c r="A4945" t="str" s="2">
        <x:f>="Charles Johnson"</x:f>
      </x:c>
      <x:c r="B4945" t="str" s="2">
        <x:v>Heritage Housing of Albany</x:v>
      </x:c>
      <x:c r="C4945" t="str" s="2">
        <x:v/>
      </x:c>
      <x:c r="D4945" t="str" s="2">
        <x:v>9047606373</x:v>
      </x:c>
      <x:c r="E4945" t="str" s="2">
        <x:v>charlesjohnson19_87@icloud.com</x:v>
      </x:c>
      <x:c r="F4945" t="str" s="2">
        <x:v>Financing Form</x:v>
      </x:c>
      <x:c r="G4945" t="str" s="2">
        <x:v>Yanet Alvarez</x:v>
      </x:c>
      <x:c r="H4945" s="6">
        <x:v>46288.6967928588</x:v>
      </x:c>
      <x:c r="I4945" s="0"/>
      <x:c r="J4945" s="0"/>
      <x:c r="K4945" s="6">
        <x:v>46288</x:v>
      </x:c>
      <x:c r="L4945" t="str" s="2">
        <x:v>Message Sent</x:v>
      </x:c>
    </x:row>
    <x:row r="4946">
      <x:c r="A4946" t="str" s="2">
        <x:f>="Tammie Thomas"</x:f>
      </x:c>
      <x:c r="B4946" t="str" s="2">
        <x:v>Heritage Housing of Canton</x:v>
      </x:c>
      <x:c r="C4946" t="str" s="2">
        <x:v/>
      </x:c>
      <x:c r="D4946" t="str" s="2">
        <x:v>9035191700</x:v>
      </x:c>
      <x:c r="E4946" t="str" s="2">
        <x:v>tammiethomas995@gmail.com</x:v>
      </x:c>
      <x:c r="F4946" t="str" s="2">
        <x:v>Landing_BPM</x:v>
      </x:c>
      <x:c r="G4946" t="str" s="2">
        <x:v>Maira Garcia</x:v>
      </x:c>
      <x:c r="H4946" s="6">
        <x:v>46288.70550300926</x:v>
      </x:c>
      <x:c r="I4946" s="0"/>
      <x:c r="J4946" s="0"/>
      <x:c r="K4946" s="6">
        <x:v>46288</x:v>
      </x:c>
      <x:c r="L4946" t="str" s="2">
        <x:v>Message Sent</x:v>
      </x:c>
    </x:row>
    <x:row r="4947">
      <x:c r="A4947" t="str" s="2">
        <x:f>="NATASHA CULBREATH"</x:f>
      </x:c>
      <x:c r="B4947" t="str" s="2">
        <x:v>Heritage Housing of Asheboro</x:v>
      </x:c>
      <x:c r="C4947" t="str" s="2">
        <x:v/>
      </x:c>
      <x:c r="D4947" t="str" s="2">
        <x:v>2409716305</x:v>
      </x:c>
      <x:c r="E4947" t="str" s="2">
        <x:v>SHANTI1198@YAHOO.COM</x:v>
      </x:c>
      <x:c r="F4947" t="str" s="2">
        <x:v>Landing_BPM</x:v>
      </x:c>
      <x:c r="G4947" t="str" s="2">
        <x:v>Kate Gutierrez</x:v>
      </x:c>
      <x:c r="H4947" s="6">
        <x:v>46288.70578483796</x:v>
      </x:c>
      <x:c r="I4947" s="0"/>
      <x:c r="J4947" s="0"/>
      <x:c r="K4947" s="6">
        <x:v>46289</x:v>
      </x:c>
      <x:c r="L4947" t="str" s="2">
        <x:v>Message Sent</x:v>
      </x:c>
    </x:row>
    <x:row r="4948">
      <x:c r="A4948" t="str" s="2">
        <x:f>=HYPERLINK("https://rsms.futurehomex.com/lead/40300", "Laura Cash")</x:f>
      </x:c>
      <x:c r="B4948" t="str" s="2">
        <x:v>Heritage Housing of Athens</x:v>
      </x:c>
      <x:c r="C4948" t="str" s="2">
        <x:v/>
      </x:c>
      <x:c r="D4948" t="str" s="2">
        <x:v>7063717887</x:v>
      </x:c>
      <x:c r="E4948" t="str" s="2">
        <x:v>7063717887</x:v>
      </x:c>
      <x:c r="F4948" t="str" s="2">
        <x:v>Office Hot Calls</x:v>
      </x:c>
      <x:c r="G4948" t="str" s="2">
        <x:v>Nathan Bishop</x:v>
      </x:c>
      <x:c r="H4948" s="6">
        <x:v>46288.72688113426</x:v>
      </x:c>
      <x:c r="I4948" t="str" s="2">
        <x:v>Nathan Bishop</x:v>
      </x:c>
      <x:c r="J4948" s="0"/>
      <x:c r="K4948" s="6">
        <x:v>46288</x:v>
      </x:c>
      <x:c r="L4948" t="str" s="2">
        <x:v>Message Sent</x:v>
      </x:c>
    </x:row>
    <x:row r="4949">
      <x:c r="A4949" t="str" s="2">
        <x:f>="Hunter Wilson"</x:f>
      </x:c>
      <x:c r="B4949" t="str" s="2">
        <x:v>Heritage Housing of Canton</x:v>
      </x:c>
      <x:c r="C4949" t="str" s="2">
        <x:v/>
      </x:c>
      <x:c r="D4949" t="str" s="2">
        <x:v>4303020014</x:v>
      </x:c>
      <x:c r="E4949" t="str" s="2">
        <x:v>daniellewilson1022@gmail.com</x:v>
      </x:c>
      <x:c r="F4949" t="str" s="2">
        <x:v>Financing Form</x:v>
      </x:c>
      <x:c r="G4949" t="str" s="2">
        <x:v>Jacob Hatten</x:v>
      </x:c>
      <x:c r="H4949" s="6">
        <x:v>46288.74635324074</x:v>
      </x:c>
      <x:c r="I4949" s="0"/>
      <x:c r="J4949" s="0"/>
      <x:c r="K4949" s="6">
        <x:v>46288</x:v>
      </x:c>
      <x:c r="L4949" t="str" s="2">
        <x:v>Message Sent</x:v>
      </x:c>
    </x:row>
    <x:row r="4950">
      <x:c r="A4950" t="str" s="2">
        <x:f>="Emily Johnson Johnson"</x:f>
      </x:c>
      <x:c r="B4950" t="str" s="2">
        <x:v>Heritage Housing of Albany</x:v>
      </x:c>
      <x:c r="C4950" t="str" s="2">
        <x:v/>
      </x:c>
      <x:c r="D4950" t="str" s="2">
        <x:v>2025554986</x:v>
      </x:c>
      <x:c r="E4950" t="str" s="2">
        <x:v>devanshagrawal444@gmail.com</x:v>
      </x:c>
      <x:c r="F4950" t="str" s="2">
        <x:v>Website</x:v>
      </x:c>
      <x:c r="G4950" t="str" s="2">
        <x:v>Yanet Alvarez</x:v>
      </x:c>
      <x:c r="H4950" s="6">
        <x:v>46288.747736377314</x:v>
      </x:c>
      <x:c r="I4950" s="0"/>
      <x:c r="J4950" s="0"/>
      <x:c r="K4950" s="6">
        <x:v>46307.89268653935</x:v>
      </x:c>
      <x:c r="L4950" t="str" s="2">
        <x:v>Message Sent</x:v>
      </x:c>
    </x:row>
    <x:row r="4951">
      <x:c r="A4951" t="str" s="2">
        <x:f>=HYPERLINK("https://rsms.futurehomex.com/lead/40304", "Vic Antolik")</x:f>
      </x:c>
      <x:c r="B4951" t="str" s="2">
        <x:v>Heritage Housing of Athens</x:v>
      </x:c>
      <x:c r="C4951" t="str" s="2">
        <x:v/>
      </x:c>
      <x:c r="D4951" t="str" s="2">
        <x:v>5126899606</x:v>
      </x:c>
      <x:c r="E4951" t="str" s="2">
        <x:v>vjantolik@aol.com</x:v>
      </x:c>
      <x:c r="F4951" t="str" s="2">
        <x:v>Facebook Messenger</x:v>
      </x:c>
      <x:c r="G4951" t="str" s="2">
        <x:v>Nathan Bishop</x:v>
      </x:c>
      <x:c r="H4951" s="6">
        <x:v>46288.748677662035</x:v>
      </x:c>
      <x:c r="I4951" t="str" s="2">
        <x:v>Nathan Bishop</x:v>
      </x:c>
      <x:c r="J4951" s="0"/>
      <x:c r="K4951" s="6">
        <x:v>46289</x:v>
      </x:c>
      <x:c r="L4951" t="str" s="2">
        <x:v>Message Sent</x:v>
      </x:c>
    </x:row>
    <x:row r="4952">
      <x:c r="A4952" t="str" s="2">
        <x:f>="LaTasha Howard"</x:f>
      </x:c>
      <x:c r="B4952" t="str" s="2">
        <x:v>Heritage Housing of Jennings</x:v>
      </x:c>
      <x:c r="C4952" t="str" s="2">
        <x:v/>
      </x:c>
      <x:c r="D4952" t="str" s="2">
        <x:v>3466286990</x:v>
      </x:c>
      <x:c r="E4952" t="str" s="2">
        <x:v>howard.lm2323@gmail.com</x:v>
      </x:c>
      <x:c r="F4952" t="str" s="2">
        <x:v>Website</x:v>
      </x:c>
      <x:c r="G4952" t="str" s="2">
        <x:v>Mervin Leslie Smith</x:v>
      </x:c>
      <x:c r="H4952" s="6">
        <x:v>46288.7615496875</x:v>
      </x:c>
      <x:c r="I4952" s="0"/>
      <x:c r="J4952" s="0"/>
      <x:c r="K4952" s="6">
        <x:v>46302.69054722222</x:v>
      </x:c>
      <x:c r="L4952" t="str" s="2">
        <x:v>Message Sent</x:v>
      </x:c>
    </x:row>
    <x:row r="4953">
      <x:c r="A4953" t="str" s="2">
        <x:f>=HYPERLINK("https://rsms.futurehomex.com/lead/40307", "April Keys")</x:f>
      </x:c>
      <x:c r="B4953" t="str" s="2">
        <x:v>Heritage Housing of Augusta</x:v>
      </x:c>
      <x:c r="C4953" t="str" s="2">
        <x:v>0/1</x:v>
      </x:c>
      <x:c r="D4953" t="str" s="2">
        <x:v>7063600940</x:v>
      </x:c>
      <x:c r="E4953" t="str" s="2">
        <x:v>7063600940</x:v>
      </x:c>
      <x:c r="F4953" t="str" s="2">
        <x:v>Website</x:v>
      </x:c>
      <x:c r="G4953" t="str" s="2">
        <x:v>Jennifer Johnson</x:v>
      </x:c>
      <x:c r="H4953" s="6">
        <x:v>46288.77480853009</x:v>
      </x:c>
      <x:c r="I4953" t="str" s="2">
        <x:v>Jennifer Johnson</x:v>
      </x:c>
      <x:c r="J4953" s="0"/>
      <x:c r="K4953" s="6">
        <x:v>46294</x:v>
      </x:c>
      <x:c r="L4953" t="str" s="2">
        <x:v>Message Sent</x:v>
      </x:c>
    </x:row>
    <x:row r="4954">
      <x:c r="A4954" t="str" s="2">
        <x:f>=HYPERLINK("https://rsms.futurehomex.com/lead/40309", "Drake Miller")</x:f>
      </x:c>
      <x:c r="B4954" t="str" s="2">
        <x:v>Heritage Housing of Oklahoma City</x:v>
      </x:c>
      <x:c r="C4954" t="str" s="2">
        <x:v/>
      </x:c>
      <x:c r="D4954" t="str" s="2">
        <x:v>4056987567</x:v>
      </x:c>
      <x:c r="E4954" t="str" s="2">
        <x:v>dmiller120184@gmail.com</x:v>
      </x:c>
      <x:c r="F4954" t="str" s="2">
        <x:v>Walk-in</x:v>
      </x:c>
      <x:c r="G4954" t="str" s="2">
        <x:v>Devon McCoy</x:v>
      </x:c>
      <x:c r="H4954" s="6">
        <x:v>46288.78498275463</x:v>
      </x:c>
      <x:c r="I4954" t="str" s="2">
        <x:v>Devon McCoy</x:v>
      </x:c>
      <x:c r="J4954" s="0"/>
      <x:c r="K4954" s="6">
        <x:v>46288.88266701389</x:v>
      </x:c>
      <x:c r="L4954" t="str" s="2">
        <x:v>Message Sent</x:v>
      </x:c>
    </x:row>
    <x:row r="4955">
      <x:c r="A4955" t="str" s="2">
        <x:f>=HYPERLINK("https://rsms.futurehomex.com/lead/40311", "Bobby Whitfield")</x:f>
      </x:c>
      <x:c r="B4955" t="str" s="2">
        <x:v>Heritage Housing of Athens</x:v>
      </x:c>
      <x:c r="C4955" t="str" s="2">
        <x:v/>
      </x:c>
      <x:c r="D4955" t="str" s="2">
        <x:v>7069791898</x:v>
      </x:c>
      <x:c r="E4955" t="str" s="2">
        <x:v>7069791898</x:v>
      </x:c>
      <x:c r="F4955" t="str" s="2">
        <x:v>Office Hot Calls</x:v>
      </x:c>
      <x:c r="G4955" t="str" s="2">
        <x:v>Nathan Bishop</x:v>
      </x:c>
      <x:c r="H4955" s="6">
        <x:v>46288.79446875</x:v>
      </x:c>
      <x:c r="I4955" t="str" s="2">
        <x:v>Nathan Bishop</x:v>
      </x:c>
      <x:c r="J4955" s="0"/>
      <x:c r="K4955" s="6">
        <x:v>46288</x:v>
      </x:c>
      <x:c r="L4955" t="str" s="2">
        <x:v>Message Sent</x:v>
      </x:c>
    </x:row>
    <x:row r="4956">
      <x:c r="A4956" t="str" s="2">
        <x:f>="Elizabeth Graham"</x:f>
      </x:c>
      <x:c r="B4956" t="str" s="2">
        <x:v>Heritage Housing of Asheboro</x:v>
      </x:c>
      <x:c r="C4956" t="str" s="2">
        <x:v/>
      </x:c>
      <x:c r="D4956" t="str" s="2">
        <x:v>9802302965</x:v>
      </x:c>
      <x:c r="E4956" t="str" s="2">
        <x:v>elizabethgraham735@gmail.com</x:v>
      </x:c>
      <x:c r="F4956" t="str" s="2">
        <x:v>Landing_BPM</x:v>
      </x:c>
      <x:c r="G4956" t="str" s="2">
        <x:v>Maria Lopez</x:v>
      </x:c>
      <x:c r="H4956" s="6">
        <x:v>46288.80693329861</x:v>
      </x:c>
      <x:c r="I4956" s="0"/>
      <x:c r="J4956" s="0"/>
      <x:c r="K4956" s="6">
        <x:v>46288</x:v>
      </x:c>
      <x:c r="L4956" t="str" s="2">
        <x:v>Message Sent</x:v>
      </x:c>
    </x:row>
    <x:row r="4957">
      <x:c r="A4957" t="str" s="2">
        <x:f>="Michelle Melton"</x:f>
      </x:c>
      <x:c r="B4957" t="str" s="2">
        <x:v>Heritage Housing of Asheboro</x:v>
      </x:c>
      <x:c r="C4957" t="str" s="2">
        <x:v/>
      </x:c>
      <x:c r="D4957" t="str" s="2">
        <x:v>(704) 475-6517</x:v>
      </x:c>
      <x:c r="E4957" t="str" s="2">
        <x:v>sciencegurl05@yahoo.com</x:v>
      </x:c>
      <x:c r="F4957" t="str" s="2">
        <x:v>Website</x:v>
      </x:c>
      <x:c r="G4957" t="str" s="2">
        <x:v>Kate Gutierrez</x:v>
      </x:c>
      <x:c r="H4957" s="6">
        <x:v>46288.865217673614</x:v>
      </x:c>
      <x:c r="I4957" s="0"/>
      <x:c r="J4957" s="0"/>
      <x:c r="K4957" s="6">
        <x:v>46289</x:v>
      </x:c>
      <x:c r="L4957" t="str" s="2">
        <x:v>Message Sent</x:v>
      </x:c>
    </x:row>
    <x:row r="4958">
      <x:c r="A4958" t="str" s="2">
        <x:f>="George Hamilton"</x:f>
      </x:c>
      <x:c r="B4958" t="str" s="2">
        <x:v>Heritage Housing of Asheboro</x:v>
      </x:c>
      <x:c r="C4958" t="str" s="2">
        <x:v/>
      </x:c>
      <x:c r="D4958" t="str" s="2">
        <x:v>3363546859</x:v>
      </x:c>
      <x:c r="E4958" t="str" s="2">
        <x:v>zx12biker@gmail.com</x:v>
      </x:c>
      <x:c r="F4958" t="str" s="2">
        <x:v>Landing_BPM</x:v>
      </x:c>
      <x:c r="G4958" t="str" s="2">
        <x:v>Kate Gutierrez</x:v>
      </x:c>
      <x:c r="H4958" s="6">
        <x:v>46288.8712784375</x:v>
      </x:c>
      <x:c r="I4958" s="0"/>
      <x:c r="J4958" s="0"/>
      <x:c r="K4958" s="6">
        <x:v>46289</x:v>
      </x:c>
      <x:c r="L4958" t="str" s="2">
        <x:v>Message Sent</x:v>
      </x:c>
    </x:row>
    <x:row r="4959">
      <x:c r="A4959" t="str" s="2">
        <x:f>="hailey nobles"</x:f>
      </x:c>
      <x:c r="B4959" t="str" s="2">
        <x:v>Heritage Housing of Augusta</x:v>
      </x:c>
      <x:c r="C4959" t="str" s="2">
        <x:v/>
      </x:c>
      <x:c r="D4959" t="str" s="2">
        <x:v>7706807840</x:v>
      </x:c>
      <x:c r="E4959" t="str" s="2">
        <x:v>haileygnobles@gmail.com</x:v>
      </x:c>
      <x:c r="F4959" t="str" s="2">
        <x:v>Landing_BPM</x:v>
      </x:c>
      <x:c r="G4959" t="str" s="2">
        <x:v>Jennifer Johnson</x:v>
      </x:c>
      <x:c r="H4959" s="6">
        <x:v>46288.877722997684</x:v>
      </x:c>
      <x:c r="I4959" s="0"/>
      <x:c r="J4959" s="0"/>
      <x:c r="K4959" s="6">
        <x:v>46298</x:v>
      </x:c>
      <x:c r="L4959" t="str" s="2">
        <x:v>Message Sent</x:v>
      </x:c>
    </x:row>
    <x:row r="4960">
      <x:c r="A4960" t="str" s="2">
        <x:f>="Logan Jackson"</x:f>
      </x:c>
      <x:c r="B4960" t="str" s="2">
        <x:v>Heritage Housing of Albany</x:v>
      </x:c>
      <x:c r="C4960" t="str" s="2">
        <x:v/>
      </x:c>
      <x:c r="D4960" t="str" s="2">
        <x:v>2054355096</x:v>
      </x:c>
      <x:c r="E4960" t="str" s="2">
        <x:v>loganjackson9811@icloud.com</x:v>
      </x:c>
      <x:c r="F4960" t="str" s="2">
        <x:v>Financing Form</x:v>
      </x:c>
      <x:c r="G4960" t="str" s="2">
        <x:v>Yanet Alvarez</x:v>
      </x:c>
      <x:c r="H4960" s="6">
        <x:v>46288.900850150465</x:v>
      </x:c>
      <x:c r="I4960" s="0"/>
      <x:c r="J4960" s="0"/>
      <x:c r="K4960" s="6">
        <x:v>46307</x:v>
      </x:c>
      <x:c r="L4960" t="str" s="2">
        <x:v>Message Sent</x:v>
      </x:c>
    </x:row>
    <x:row r="4961">
      <x:c r="A4961" t="str" s="2">
        <x:f>="Destiny DuBray"</x:f>
      </x:c>
      <x:c r="B4961" t="str" s="2">
        <x:v>Heritage Housing of Tulsa</x:v>
      </x:c>
      <x:c r="C4961" t="str" s="2">
        <x:v/>
      </x:c>
      <x:c r="D4961" t="str" s="2">
        <x:v>4066070868</x:v>
      </x:c>
      <x:c r="E4961" t="str" s="2">
        <x:v>destinyjdubray@gmail.com</x:v>
      </x:c>
      <x:c r="F4961" t="str" s="2">
        <x:v>Landing_BPM</x:v>
      </x:c>
      <x:c r="G4961" t="str" s="2">
        <x:v>Jenna Fransisco</x:v>
      </x:c>
      <x:c r="H4961" s="6">
        <x:v>46288.90806342592</x:v>
      </x:c>
      <x:c r="I4961" s="0"/>
      <x:c r="J4961" s="0"/>
      <x:c r="K4961" s="6">
        <x:v>46294</x:v>
      </x:c>
      <x:c r="L4961" t="str" s="2">
        <x:v>Message Sent</x:v>
      </x:c>
    </x:row>
    <x:row r="4962">
      <x:c r="A4962" t="str" s="2">
        <x:f>="Elizabeth Rilette"</x:f>
      </x:c>
      <x:c r="B4962" t="str" s="2">
        <x:v>Heritage Housing Mt Pleasant</x:v>
      </x:c>
      <x:c r="C4962" t="str" s="2">
        <x:v/>
      </x:c>
      <x:c r="D4962" t="str" s="2">
        <x:v>3468929295</x:v>
      </x:c>
      <x:c r="E4962" t="str" s="2">
        <x:v>rilette13@gmail.com</x:v>
      </x:c>
      <x:c r="F4962" t="str" s="2">
        <x:v>Landing_BPM</x:v>
      </x:c>
      <x:c r="G4962" t="str" s="2">
        <x:v>Sandra Saldana</x:v>
      </x:c>
      <x:c r="H4962" s="6">
        <x:v>46288.91443457176</x:v>
      </x:c>
      <x:c r="I4962" s="0"/>
      <x:c r="J4962" s="0"/>
      <x:c r="K4962" s="6">
        <x:v>46288</x:v>
      </x:c>
      <x:c r="L4962" t="str" s="2">
        <x:v>Message Sent</x:v>
      </x:c>
    </x:row>
    <x:row r="4963">
      <x:c r="A4963" t="str" s="2">
        <x:f>="April Carr"</x:f>
      </x:c>
      <x:c r="B4963" t="str" s="2">
        <x:v>Heritage Housing of Jennings</x:v>
      </x:c>
      <x:c r="C4963" t="str" s="2">
        <x:v/>
      </x:c>
      <x:c r="D4963" t="str" s="2">
        <x:v>2254600485</x:v>
      </x:c>
      <x:c r="E4963" t="str" s="2">
        <x:v>mz.aprilcarr@gmail.com</x:v>
      </x:c>
      <x:c r="F4963" t="str" s="2">
        <x:v>Landing_BPM</x:v>
      </x:c>
      <x:c r="G4963" t="str" s="2">
        <x:v>Mervin Leslie Smith</x:v>
      </x:c>
      <x:c r="H4963" s="6">
        <x:v>46288.9540940625</x:v>
      </x:c>
      <x:c r="I4963" s="0"/>
      <x:c r="J4963" s="0"/>
      <x:c r="K4963" s="6">
        <x:v>46302.6623565625</x:v>
      </x:c>
      <x:c r="L4963" t="str" s="2">
        <x:v>Message Sent</x:v>
      </x:c>
    </x:row>
    <x:row r="4964">
      <x:c r="A4964" t="str" s="2">
        <x:f>="Trina Miller"</x:f>
      </x:c>
      <x:c r="B4964" t="str" s="2">
        <x:v>Heritage Housing of Athens</x:v>
      </x:c>
      <x:c r="C4964" t="str" s="2">
        <x:v/>
      </x:c>
      <x:c r="D4964" t="str" s="2">
        <x:v>3368471075</x:v>
      </x:c>
      <x:c r="E4964" t="str" s="2">
        <x:v>trinastiner@yahoo.com</x:v>
      </x:c>
      <x:c r="F4964" t="str" s="2">
        <x:v>Landing_BPM</x:v>
      </x:c>
      <x:c r="G4964" t="str" s="2">
        <x:v>Nathan Bishop</x:v>
      </x:c>
      <x:c r="H4964" s="6">
        <x:v>46289.00888082176</x:v>
      </x:c>
      <x:c r="I4964" s="0"/>
      <x:c r="J4964" s="0"/>
      <x:c r="K4964" s="6">
        <x:v>46289</x:v>
      </x:c>
      <x:c r="L4964" t="str" s="2">
        <x:v>Message Sent</x:v>
      </x:c>
    </x:row>
    <x:row r="4965">
      <x:c r="A4965" t="str" s="2">
        <x:f>="Romeo Severiano"</x:f>
      </x:c>
      <x:c r="B4965" t="str" s="2">
        <x:v>Heritage Housing of Canton</x:v>
      </x:c>
      <x:c r="C4965" t="str" s="2">
        <x:v/>
      </x:c>
      <x:c r="D4965" t="str" s="2">
        <x:v>3305541486</x:v>
      </x:c>
      <x:c r="E4965" t="str" s="2">
        <x:v>romeoseveriano@yahoo.com</x:v>
      </x:c>
      <x:c r="F4965" t="str" s="2">
        <x:v>Website</x:v>
      </x:c>
      <x:c r="G4965" t="str" s="2">
        <x:v>Maira Garcia</x:v>
      </x:c>
      <x:c r="H4965" s="6">
        <x:v>46289.037725497685</x:v>
      </x:c>
      <x:c r="I4965" s="0"/>
      <x:c r="J4965" s="0"/>
      <x:c r="K4965" s="6">
        <x:v>46291</x:v>
      </x:c>
      <x:c r="L4965" t="str" s="2">
        <x:v>Message Sent</x:v>
      </x:c>
    </x:row>
    <x:row r="4966">
      <x:c r="A4966" t="str" s="2">
        <x:f>="Thelma Cobb"</x:f>
      </x:c>
      <x:c r="B4966" t="str" s="2">
        <x:v>Heritage Housing of Jennings</x:v>
      </x:c>
      <x:c r="C4966" t="str" s="2">
        <x:v/>
      </x:c>
      <x:c r="D4966" t="str" s="2">
        <x:v>225-978-8443</x:v>
      </x:c>
      <x:c r="E4966" t="str" s="2">
        <x:v>annette70814@gmail.com</x:v>
      </x:c>
      <x:c r="F4966" t="str" s="2">
        <x:v>LandingPage</x:v>
      </x:c>
      <x:c r="G4966" t="str" s="2">
        <x:v>Mervin Leslie Smith</x:v>
      </x:c>
      <x:c r="H4966" s="6">
        <x:v>46289.04132615741</x:v>
      </x:c>
      <x:c r="I4966" s="0"/>
      <x:c r="J4966" s="0"/>
      <x:c r="K4966" s="6">
        <x:v>46302</x:v>
      </x:c>
      <x:c r="L4966" t="str" s="2">
        <x:v>Message Sent</x:v>
      </x:c>
    </x:row>
    <x:row r="4967">
      <x:c r="A4967" t="str" s="2">
        <x:f>="Corey Knight"</x:f>
      </x:c>
      <x:c r="B4967" t="str" s="2">
        <x:v>Legacy Housing Corp. DBA Americasa</x:v>
      </x:c>
      <x:c r="C4967" t="str" s="2">
        <x:v/>
      </x:c>
      <x:c r="D4967" t="str" s="2">
        <x:v>2817881699</x:v>
      </x:c>
      <x:c r="E4967" t="str" s="2">
        <x:v>coreyknight0830@gmail.com</x:v>
      </x:c>
      <x:c r="F4967" t="str" s="2">
        <x:v>Landing_BPM</x:v>
      </x:c>
      <x:c r="G4967" t="str" s="2">
        <x:v>Jose Parada</x:v>
      </x:c>
      <x:c r="H4967" s="6">
        <x:v>46289.14836481481</x:v>
      </x:c>
      <x:c r="I4967" s="0"/>
      <x:c r="J4967" s="0"/>
      <x:c r="K4967" s="6">
        <x:v>46289</x:v>
      </x:c>
      <x:c r="L4967" t="str" s="2">
        <x:v>Message Sent</x:v>
      </x:c>
    </x:row>
    <x:row r="4968">
      <x:c r="A4968" t="str" s="2">
        <x:f>="Heven Davis"</x:f>
      </x:c>
      <x:c r="B4968" t="str" s="2">
        <x:v>Heritage Housing of Albany</x:v>
      </x:c>
      <x:c r="C4968" t="str" s="2">
        <x:v>1/2</x:v>
      </x:c>
      <x:c r="D4968" t="str" s="2">
        <x:v>2292909866</x:v>
      </x:c>
      <x:c r="E4968" t="str" s="2">
        <x:v>hevenlynn97@gmail.com</x:v>
      </x:c>
      <x:c r="F4968" t="str" s="2">
        <x:v>Landing_BPM</x:v>
      </x:c>
      <x:c r="G4968" t="str" s="2">
        <x:v>Yanet Alvarez</x:v>
      </x:c>
      <x:c r="H4968" s="6">
        <x:v>46289.158662002315</x:v>
      </x:c>
      <x:c r="I4968" s="0"/>
      <x:c r="J4968" s="0"/>
      <x:c r="K4968" s="6">
        <x:v>46307</x:v>
      </x:c>
      <x:c r="L4968" t="str" s="2">
        <x:v>Message Sent</x:v>
      </x:c>
    </x:row>
    <x:row r="4969">
      <x:c r="A4969" t="str" s="2">
        <x:f>="David Lewis"</x:f>
      </x:c>
      <x:c r="B4969" t="str" s="2">
        <x:v>Heritage Housing of Tulsa</x:v>
      </x:c>
      <x:c r="C4969" t="str" s="2">
        <x:v/>
      </x:c>
      <x:c r="D4969" t="str" s="2">
        <x:v>6615551212</x:v>
      </x:c>
      <x:c r="E4969" t="str" s="2">
        <x:v>davidlewis93308@gmail.com</x:v>
      </x:c>
      <x:c r="F4969" t="str" s="2">
        <x:v>Landing_BPM</x:v>
      </x:c>
      <x:c r="G4969" t="str" s="2">
        <x:v>Jenna Fransisco</x:v>
      </x:c>
      <x:c r="H4969" s="6">
        <x:v>46289.19025315972</x:v>
      </x:c>
      <x:c r="I4969" s="0"/>
      <x:c r="J4969" s="0"/>
      <x:c r="K4969" s="6">
        <x:v>46294</x:v>
      </x:c>
      <x:c r="L4969" t="str" s="2">
        <x:v>Message Sent</x:v>
      </x:c>
    </x:row>
    <x:row r="4970">
      <x:c r="A4970" t="str" s="2">
        <x:f>="Isaac Munoz Munoz"</x:f>
      </x:c>
      <x:c r="B4970" t="str" s="2">
        <x:v>Heritage Housing of Asheboro</x:v>
      </x:c>
      <x:c r="C4970" t="str" s="2">
        <x:v/>
      </x:c>
      <x:c r="D4970" t="str" s="2">
        <x:v>9197773809</x:v>
      </x:c>
      <x:c r="E4970" t="str" s="2">
        <x:v>isaac259721@me.com</x:v>
      </x:c>
      <x:c r="F4970" t="str" s="2">
        <x:v>Landing_BPM</x:v>
      </x:c>
      <x:c r="G4970" t="str" s="2">
        <x:v>Maria Lopez</x:v>
      </x:c>
      <x:c r="H4970" s="6">
        <x:v>46289.30445008102</x:v>
      </x:c>
      <x:c r="I4970" s="0"/>
      <x:c r="J4970" s="0"/>
      <x:c r="K4970" s="6">
        <x:v>46307</x:v>
      </x:c>
      <x:c r="L4970" t="str" s="2">
        <x:v>Message Sent</x:v>
      </x:c>
    </x:row>
    <x:row r="4971">
      <x:c r="A4971" t="str" s="2">
        <x:f>="Heather cooper"</x:f>
      </x:c>
      <x:c r="B4971" t="str" s="2">
        <x:v>Heritage Housing of Athens</x:v>
      </x:c>
      <x:c r="C4971" t="str" s="2">
        <x:v/>
      </x:c>
      <x:c r="D4971" t="str" s="2">
        <x:v>4709554089</x:v>
      </x:c>
      <x:c r="E4971" t="str" s="2">
        <x:v>heather.cooper24@outlook.com</x:v>
      </x:c>
      <x:c r="F4971" t="str" s="2">
        <x:v>Landing_BPM</x:v>
      </x:c>
      <x:c r="G4971" t="str" s="2">
        <x:v>Nathan Bishop</x:v>
      </x:c>
      <x:c r="H4971" s="6">
        <x:v>46289.38212711806</x:v>
      </x:c>
      <x:c r="I4971" s="0"/>
      <x:c r="J4971" s="0"/>
      <x:c r="K4971" s="6">
        <x:v>46291</x:v>
      </x:c>
      <x:c r="L4971" t="str" s="2">
        <x:v>Message Sent</x:v>
      </x:c>
    </x:row>
    <x:row r="4972">
      <x:c r="A4972" t="str" s="2">
        <x:f>="Spencer Taylor"</x:f>
      </x:c>
      <x:c r="B4972" t="str" s="2">
        <x:v>Heritage Housing of Albany</x:v>
      </x:c>
      <x:c r="C4972" t="str" s="2">
        <x:v/>
      </x:c>
      <x:c r="D4972" t="str" s="2">
        <x:v>2293195292</x:v>
      </x:c>
      <x:c r="E4972" t="str" s="2">
        <x:v>weedsman290@gmail.com</x:v>
      </x:c>
      <x:c r="F4972" t="str" s="2">
        <x:v>Financing Form</x:v>
      </x:c>
      <x:c r="G4972" t="str" s="2">
        <x:v>Yanet Alvarez</x:v>
      </x:c>
      <x:c r="H4972" s="6">
        <x:v>46289.41099679398</x:v>
      </x:c>
      <x:c r="I4972" s="0"/>
      <x:c r="J4972" s="0"/>
      <x:c r="K4972" s="6">
        <x:v>46307</x:v>
      </x:c>
      <x:c r="L4972" t="str" s="2">
        <x:v>Message Sent</x:v>
      </x:c>
    </x:row>
    <x:row r="4973">
      <x:c r="A4973" t="str" s="2">
        <x:f>="Jania Crutchfield"</x:f>
      </x:c>
      <x:c r="B4973" t="str" s="2">
        <x:v>Heritage Housing of Albany</x:v>
      </x:c>
      <x:c r="C4973" t="str" s="2">
        <x:v/>
      </x:c>
      <x:c r="D4973" t="str" s="2">
        <x:v>3362978992</x:v>
      </x:c>
      <x:c r="E4973" t="str" s="2">
        <x:v>janiacrutchfield@yahoo.com</x:v>
      </x:c>
      <x:c r="F4973" t="str" s="2">
        <x:v>Landing_BPM</x:v>
      </x:c>
      <x:c r="G4973" t="str" s="2">
        <x:v>Yanet Alvarez</x:v>
      </x:c>
      <x:c r="H4973" s="6">
        <x:v>46289.577484525464</x:v>
      </x:c>
      <x:c r="I4973" s="0"/>
      <x:c r="J4973" s="0"/>
      <x:c r="K4973" s="6">
        <x:v>46289</x:v>
      </x:c>
      <x:c r="L4973" t="str" s="2">
        <x:v>Message Sent</x:v>
      </x:c>
    </x:row>
    <x:row r="4974">
      <x:c r="A4974" t="str" s="2">
        <x:f>="Sierra Dasher"</x:f>
      </x:c>
      <x:c r="B4974" t="str" s="2">
        <x:v>Heritage Housing of Albany</x:v>
      </x:c>
      <x:c r="C4974" t="str" s="2">
        <x:v/>
      </x:c>
      <x:c r="D4974" t="str" s="2">
        <x:v>2293134020</x:v>
      </x:c>
      <x:c r="E4974" t="str" s="2">
        <x:v>lilsisi28@icloud.com</x:v>
      </x:c>
      <x:c r="F4974" t="str" s="2">
        <x:v>Landing_BPM</x:v>
      </x:c>
      <x:c r="G4974" t="str" s="2">
        <x:v>Yanet Alvarez</x:v>
      </x:c>
      <x:c r="H4974" s="6">
        <x:v>46289.61218306713</x:v>
      </x:c>
      <x:c r="I4974" s="0"/>
      <x:c r="J4974" s="0"/>
      <x:c r="K4974" s="6">
        <x:v>46307</x:v>
      </x:c>
      <x:c r="L4974" t="str" s="2">
        <x:v>Message Sent</x:v>
      </x:c>
    </x:row>
    <x:row r="4975">
      <x:c r="A4975" t="str" s="2">
        <x:f>="Shatigra McRae"</x:f>
      </x:c>
      <x:c r="B4975" t="str" s="2">
        <x:v>Heritage Housing of Albany</x:v>
      </x:c>
      <x:c r="C4975" t="str" s="2">
        <x:v>0/1</x:v>
      </x:c>
      <x:c r="D4975" t="str" s="2">
        <x:v>4077173843</x:v>
      </x:c>
      <x:c r="E4975" t="str" s="2">
        <x:v>shatigrad@yahoo.com</x:v>
      </x:c>
      <x:c r="F4975" t="str" s="2">
        <x:v>Financing Form</x:v>
      </x:c>
      <x:c r="G4975" t="str" s="2">
        <x:v>Yanet Alvarez</x:v>
      </x:c>
      <x:c r="H4975" s="6">
        <x:v>46289.61354212963</x:v>
      </x:c>
      <x:c r="I4975" s="0"/>
      <x:c r="J4975" s="0"/>
      <x:c r="K4975" s="6">
        <x:v>46307</x:v>
      </x:c>
      <x:c r="L4975" t="str" s="2">
        <x:v>Message Sent</x:v>
      </x:c>
    </x:row>
    <x:row r="4976">
      <x:c r="A4976" t="str" s="2">
        <x:f>="Byron Jones"</x:f>
      </x:c>
      <x:c r="B4976" t="str" s="2">
        <x:v>Heritage Housing of Augusta</x:v>
      </x:c>
      <x:c r="C4976" t="str" s="2">
        <x:v/>
      </x:c>
      <x:c r="D4976" t="str" s="2">
        <x:v>4702130321</x:v>
      </x:c>
      <x:c r="E4976" t="str" s="2">
        <x:v>vybecouturecanvasofficial@gmail.com</x:v>
      </x:c>
      <x:c r="F4976" t="str" s="2">
        <x:v>Landing_BPM</x:v>
      </x:c>
      <x:c r="G4976" t="str" s="2">
        <x:v>Jennifer Johnson</x:v>
      </x:c>
      <x:c r="H4976" s="6">
        <x:v>46289.69374517361</x:v>
      </x:c>
      <x:c r="I4976" s="0"/>
      <x:c r="J4976" s="0"/>
      <x:c r="K4976" s="6">
        <x:v>46298</x:v>
      </x:c>
      <x:c r="L4976" t="str" s="2">
        <x:v>Message Sent</x:v>
      </x:c>
    </x:row>
    <x:row r="4977">
      <x:c r="A4977" t="str" s="2">
        <x:f>="Makinzie Reynolds"</x:f>
      </x:c>
      <x:c r="B4977" t="str" s="2">
        <x:v>Heritage Housing Gainesville</x:v>
      </x:c>
      <x:c r="C4977" t="str" s="2">
        <x:v/>
      </x:c>
      <x:c r="D4977" t="str" s="2">
        <x:v>5808122112</x:v>
      </x:c>
      <x:c r="E4977" t="str" s="2">
        <x:v>urdumbfr99@gmail.com</x:v>
      </x:c>
      <x:c r="F4977" t="str" s="2">
        <x:v>Financing Form</x:v>
      </x:c>
      <x:c r="G4977" t="str" s="2">
        <x:v>Kelly Ford</x:v>
      </x:c>
      <x:c r="H4977" s="6">
        <x:v>46289.69493877315</x:v>
      </x:c>
      <x:c r="I4977" s="0"/>
      <x:c r="J4977" s="0"/>
      <x:c r="K4977" s="6">
        <x:v>46293</x:v>
      </x:c>
      <x:c r="L4977" t="str" s="2">
        <x:v>Message Sent</x:v>
      </x:c>
    </x:row>
    <x:row r="4978">
      <x:c r="A4978" t="str" s="2">
        <x:f>="Crystal Posey"</x:f>
      </x:c>
      <x:c r="B4978" t="str" s="2">
        <x:v>Heritage Housing of Albany</x:v>
      </x:c>
      <x:c r="C4978" t="str" s="2">
        <x:v/>
      </x:c>
      <x:c r="D4978" t="str" s="2">
        <x:v>2293142153</x:v>
      </x:c>
      <x:c r="E4978" t="str" s="2">
        <x:v>cposey0213@gmail.com</x:v>
      </x:c>
      <x:c r="F4978" t="str" s="2">
        <x:v>Landing_BPM</x:v>
      </x:c>
      <x:c r="G4978" t="str" s="2">
        <x:v>Yanet Alvarez</x:v>
      </x:c>
      <x:c r="H4978" s="6">
        <x:v>46289.7545871875</x:v>
      </x:c>
      <x:c r="I4978" s="0"/>
      <x:c r="J4978" s="0"/>
      <x:c r="K4978" s="6">
        <x:v>46289</x:v>
      </x:c>
      <x:c r="L4978" t="str" s="2">
        <x:v>Message Sent</x:v>
      </x:c>
    </x:row>
    <x:row r="4979">
      <x:c r="A4979" t="str" s="2">
        <x:f>="Derik ferry"</x:f>
      </x:c>
      <x:c r="B4979" t="str" s="2">
        <x:v>Heritage Housing of Tulsa</x:v>
      </x:c>
      <x:c r="C4979" t="str" s="2">
        <x:v/>
      </x:c>
      <x:c r="D4979" t="str" s="2">
        <x:v>4056535514</x:v>
      </x:c>
      <x:c r="E4979" t="str" s="2">
        <x:v>intersectingvines@gmail.com</x:v>
      </x:c>
      <x:c r="F4979" t="str" s="2">
        <x:v>Website</x:v>
      </x:c>
      <x:c r="G4979" t="str" s="2">
        <x:v>Jenna Fransisco</x:v>
      </x:c>
      <x:c r="H4979" s="6">
        <x:v>46289.7711878125</x:v>
      </x:c>
      <x:c r="I4979" s="0"/>
      <x:c r="J4979" s="0"/>
      <x:c r="K4979" s="6">
        <x:v>46294</x:v>
      </x:c>
      <x:c r="L4979" t="str" s="2">
        <x:v>Message Sent</x:v>
      </x:c>
    </x:row>
    <x:row r="4980">
      <x:c r="A4980" t="str" s="2">
        <x:f>="Charlotte Taylor"</x:f>
      </x:c>
      <x:c r="B4980" t="str" s="2">
        <x:v>Heritage Housing of Tulsa</x:v>
      </x:c>
      <x:c r="C4980" t="str" s="2">
        <x:v/>
      </x:c>
      <x:c r="D4980" t="str" s="2">
        <x:v>5203354416</x:v>
      </x:c>
      <x:c r="E4980" t="str" s="2">
        <x:v>crluedtke0@gmail.com</x:v>
      </x:c>
      <x:c r="F4980" t="str" s="2">
        <x:v>Landing_BPM</x:v>
      </x:c>
      <x:c r="G4980" t="str" s="2">
        <x:v>Jenna Fransisco</x:v>
      </x:c>
      <x:c r="H4980" s="6">
        <x:v>46289.815244247686</x:v>
      </x:c>
      <x:c r="I4980" s="0"/>
      <x:c r="J4980" s="0"/>
      <x:c r="K4980" s="6">
        <x:v>46294</x:v>
      </x:c>
      <x:c r="L4980" t="str" s="2">
        <x:v>Message Sent</x:v>
      </x:c>
    </x:row>
    <x:row r="4981">
      <x:c r="A4981" t="str" s="2">
        <x:f>="Jennifer Fryman"</x:f>
      </x:c>
      <x:c r="B4981" t="str" s="2">
        <x:v>Heritage Housing Marble Falls</x:v>
      </x:c>
      <x:c r="C4981" t="str" s="2">
        <x:v/>
      </x:c>
      <x:c r="D4981" t="str" s="2">
        <x:v>9135470372</x:v>
      </x:c>
      <x:c r="E4981" t="str" s="2">
        <x:v>bengtson341972@gmail.com</x:v>
      </x:c>
      <x:c r="F4981" t="str" s="2">
        <x:v>Landing_BPM</x:v>
      </x:c>
      <x:c r="G4981" t="str" s="2">
        <x:v>Stephen Sanders</x:v>
      </x:c>
      <x:c r="H4981" s="6">
        <x:v>46289.85950038194</x:v>
      </x:c>
      <x:c r="I4981" s="0"/>
      <x:c r="J4981" s="0"/>
      <x:c r="K4981" s="6">
        <x:v>46290</x:v>
      </x:c>
      <x:c r="L4981" t="str" s="2">
        <x:v>Message Sent</x:v>
      </x:c>
    </x:row>
    <x:row r="4982">
      <x:c r="A4982" t="str" s="2">
        <x:f>="Phyllip Garcia"</x:f>
      </x:c>
      <x:c r="B4982" t="str" s="2">
        <x:v>Heritage Housing of Tulsa</x:v>
      </x:c>
      <x:c r="C4982" t="str" s="2">
        <x:v/>
      </x:c>
      <x:c r="D4982" t="str" s="2">
        <x:v>5393331099</x:v>
      </x:c>
      <x:c r="E4982" t="str" s="2">
        <x:v>suziryder45@gmail.com</x:v>
      </x:c>
      <x:c r="F4982" t="str" s="2">
        <x:v>Landing_BPM</x:v>
      </x:c>
      <x:c r="G4982" t="str" s="2">
        <x:v>Jenna Fransisco</x:v>
      </x:c>
      <x:c r="H4982" s="6">
        <x:v>46289.917732835645</x:v>
      </x:c>
      <x:c r="I4982" s="0"/>
      <x:c r="J4982" s="0"/>
      <x:c r="K4982" s="6">
        <x:v>46294</x:v>
      </x:c>
      <x:c r="L4982" t="str" s="2">
        <x:v>Message Sent</x:v>
      </x:c>
    </x:row>
    <x:row r="4983">
      <x:c r="A4983" t="str" s="2">
        <x:f>="Kaitlyn Anderson"</x:f>
      </x:c>
      <x:c r="B4983" t="str" s="2">
        <x:v>Heritage Housing of Greenville</x:v>
      </x:c>
      <x:c r="C4983" t="str" s="2">
        <x:v/>
      </x:c>
      <x:c r="D4983" t="str" s="2">
        <x:v>7372974185</x:v>
      </x:c>
      <x:c r="E4983" t="str" s="2">
        <x:v>katkanderson.ka@gmail.com</x:v>
      </x:c>
      <x:c r="F4983" t="str" s="2">
        <x:v>Landing_BPM</x:v>
      </x:c>
      <x:c r="G4983" t="str" s="2">
        <x:v>Brooklynn Allen</x:v>
      </x:c>
      <x:c r="H4983" s="6">
        <x:v>46289.961171724535</x:v>
      </x:c>
      <x:c r="I4983" s="0"/>
      <x:c r="J4983" s="0"/>
      <x:c r="K4983" s="6">
        <x:v>46290</x:v>
      </x:c>
      <x:c r="L4983" t="str" s="2">
        <x:v>Message Sent</x:v>
      </x:c>
    </x:row>
    <x:row r="4984">
      <x:c r="A4984" t="str" s="2">
        <x:f>="Monique Youngblood"</x:f>
      </x:c>
      <x:c r="B4984" t="str" s="2">
        <x:v>Legacy Housing Corp. DBA Americasa</x:v>
      </x:c>
      <x:c r="C4984" t="str" s="2">
        <x:v/>
      </x:c>
      <x:c r="D4984" t="str" s="2">
        <x:v>3344218875</x:v>
      </x:c>
      <x:c r="E4984" t="str" s="2">
        <x:v>moniqueyoungblood4@gmail.com</x:v>
      </x:c>
      <x:c r="F4984" t="str" s="2">
        <x:v>Landing_BPM</x:v>
      </x:c>
      <x:c r="G4984" t="str" s="2">
        <x:v>Joey Marquez</x:v>
      </x:c>
      <x:c r="H4984" s="6">
        <x:v>46290.31567966435</x:v>
      </x:c>
      <x:c r="I4984" s="0"/>
      <x:c r="J4984" s="0"/>
      <x:c r="K4984" s="6">
        <x:v>46290</x:v>
      </x:c>
      <x:c r="L4984" t="str" s="2">
        <x:v>Message Sent</x:v>
      </x:c>
    </x:row>
    <x:row r="4985">
      <x:c r="A4985" t="str" s="2">
        <x:f>="jakea brown"</x:f>
      </x:c>
      <x:c r="B4985" t="str" s="2">
        <x:v>Legacy Housing Corp. DBA Americasa</x:v>
      </x:c>
      <x:c r="C4985" t="str" s="2">
        <x:v/>
      </x:c>
      <x:c r="D4985" t="str" s="2">
        <x:v>3614463499</x:v>
      </x:c>
      <x:c r="E4985" t="str" s="2">
        <x:v>jakea1993@gmail.com</x:v>
      </x:c>
      <x:c r="F4985" t="str" s="2">
        <x:v>Financing Form</x:v>
      </x:c>
      <x:c r="G4985" t="str" s="2">
        <x:v>Jose Parada</x:v>
      </x:c>
      <x:c r="H4985" s="6">
        <x:v>46290.54139722222</x:v>
      </x:c>
      <x:c r="I4985" s="0"/>
      <x:c r="J4985" s="0"/>
      <x:c r="K4985" s="6">
        <x:v>46290</x:v>
      </x:c>
      <x:c r="L4985" t="str" s="2">
        <x:v>Message Sent</x:v>
      </x:c>
    </x:row>
    <x:row r="4986">
      <x:c r="A4986" t="str" s="2">
        <x:f>="Cheryl Drake"</x:f>
      </x:c>
      <x:c r="B4986" t="str" s="2">
        <x:v>Heritage Housing of Jennings</x:v>
      </x:c>
      <x:c r="C4986" t="str" s="2">
        <x:v/>
      </x:c>
      <x:c r="D4986" t="str" s="2">
        <x:v>3183329522</x:v>
      </x:c>
      <x:c r="E4986" t="str" s="2">
        <x:v>sharon.a.drake.56@gmail.com</x:v>
      </x:c>
      <x:c r="F4986" t="str" s="2">
        <x:v>Landing_BPM</x:v>
      </x:c>
      <x:c r="G4986" t="str" s="2">
        <x:v>Mervin Leslie Smith</x:v>
      </x:c>
      <x:c r="H4986" s="6">
        <x:v>46290.65661559028</x:v>
      </x:c>
      <x:c r="I4986" s="0"/>
      <x:c r="J4986" s="0"/>
      <x:c r="K4986" s="6">
        <x:v>46302.74267133102</x:v>
      </x:c>
      <x:c r="L4986" t="str" s="2">
        <x:v>Message Sent</x:v>
      </x:c>
    </x:row>
    <x:row r="4987">
      <x:c r="A4987" t="str" s="2">
        <x:f>="Jackiesha Bradley"</x:f>
      </x:c>
      <x:c r="B4987" t="str" s="2">
        <x:v>Heritage Housing of Greenville</x:v>
      </x:c>
      <x:c r="C4987" t="str" s="2">
        <x:v/>
      </x:c>
      <x:c r="D4987" t="str" s="2">
        <x:v>9453212218</x:v>
      </x:c>
      <x:c r="E4987" t="str" s="2">
        <x:v>bradleyjackiesha@icloud.com</x:v>
      </x:c>
      <x:c r="F4987" t="str" s="2">
        <x:v>Landing_BPM</x:v>
      </x:c>
      <x:c r="G4987" t="str" s="2">
        <x:v>Brooklynn Allen</x:v>
      </x:c>
      <x:c r="H4987" s="6">
        <x:v>46290.66527349537</x:v>
      </x:c>
      <x:c r="I4987" s="0"/>
      <x:c r="J4987" s="0"/>
      <x:c r="K4987" s="6">
        <x:v>46290</x:v>
      </x:c>
      <x:c r="L4987" t="str" s="2">
        <x:v>Message Sent</x:v>
      </x:c>
    </x:row>
    <x:row r="4988">
      <x:c r="A4988" t="str" s="2">
        <x:f>="Quatavious Dawson"</x:f>
      </x:c>
      <x:c r="B4988" t="str" s="2">
        <x:v>Heritage Housing of Augusta</x:v>
      </x:c>
      <x:c r="C4988" t="str" s="2">
        <x:v/>
      </x:c>
      <x:c r="D4988" t="str" s="2">
        <x:v>4703318831</x:v>
      </x:c>
      <x:c r="E4988" t="str" s="2">
        <x:v>taedawson09@gmail.com</x:v>
      </x:c>
      <x:c r="F4988" t="str" s="2">
        <x:v>Landing_BPM</x:v>
      </x:c>
      <x:c r="G4988" t="str" s="2">
        <x:v>Jennifer Johnson</x:v>
      </x:c>
      <x:c r="H4988" s="6">
        <x:v>46290.783823958336</x:v>
      </x:c>
      <x:c r="I4988" s="0"/>
      <x:c r="J4988" s="0"/>
      <x:c r="K4988" s="6">
        <x:v>46298</x:v>
      </x:c>
      <x:c r="L4988" t="str" s="2">
        <x:v>Message Sent</x:v>
      </x:c>
    </x:row>
    <x:row r="4989">
      <x:c r="A4989" t="str" s="2">
        <x:f>="Kaliyah Colding"</x:f>
      </x:c>
      <x:c r="B4989" t="str" s="2">
        <x:v>Heritage Housing of Tulsa</x:v>
      </x:c>
      <x:c r="C4989" t="str" s="2">
        <x:v/>
      </x:c>
      <x:c r="D4989" t="str" s="2">
        <x:v>9187158311</x:v>
      </x:c>
      <x:c r="E4989" t="str" s="2">
        <x:v>kaliyahcolding859@gmail.com</x:v>
      </x:c>
      <x:c r="F4989" t="str" s="2">
        <x:v>Landing_BPM</x:v>
      </x:c>
      <x:c r="G4989" t="str" s="2">
        <x:v>Jenna Fransisco</x:v>
      </x:c>
      <x:c r="H4989" s="6">
        <x:v>46290.81340219908</x:v>
      </x:c>
      <x:c r="I4989" s="0"/>
      <x:c r="J4989" s="0"/>
      <x:c r="K4989" s="6">
        <x:v>46294</x:v>
      </x:c>
      <x:c r="L4989" t="str" s="2">
        <x:v>Message Sent</x:v>
      </x:c>
    </x:row>
    <x:row r="4990">
      <x:c r="A4990" t="str" s="2">
        <x:f>="Betty Day"</x:f>
      </x:c>
      <x:c r="B4990" t="str" s="2">
        <x:v>Heritage Housing of Augusta</x:v>
      </x:c>
      <x:c r="C4990" t="str" s="2">
        <x:v>0/1</x:v>
      </x:c>
      <x:c r="D4990" t="str" s="2">
        <x:v>7064966094</x:v>
      </x:c>
      <x:c r="E4990" t="str" s="2">
        <x:v>bd1946honda@outlook.com</x:v>
      </x:c>
      <x:c r="F4990" t="str" s="2">
        <x:v>Landing_BPM</x:v>
      </x:c>
      <x:c r="G4990" t="str" s="2">
        <x:v>Jennifer Johnson</x:v>
      </x:c>
      <x:c r="H4990" s="6">
        <x:v>46290.8193005787</x:v>
      </x:c>
      <x:c r="I4990" s="0"/>
      <x:c r="J4990" s="0"/>
      <x:c r="K4990" s="6">
        <x:v>46297</x:v>
      </x:c>
      <x:c r="L4990" t="str" s="2">
        <x:v>Message Sent</x:v>
      </x:c>
    </x:row>
    <x:row r="4991">
      <x:c r="A4991" t="str" s="2">
        <x:f>="Shaneaka Kellom-Mack"</x:f>
      </x:c>
      <x:c r="B4991" t="str" s="2">
        <x:v>Heritage Housing of Albany</x:v>
      </x:c>
      <x:c r="C4991" t="str" s="2">
        <x:v/>
      </x:c>
      <x:c r="D4991" t="str" s="2">
        <x:v>7064491558</x:v>
      </x:c>
      <x:c r="E4991" t="str" s="2">
        <x:v>shanekakellom@gmail.com</x:v>
      </x:c>
      <x:c r="F4991" t="str" s="2">
        <x:v>Landing_BPM</x:v>
      </x:c>
      <x:c r="G4991" t="str" s="2">
        <x:v>Yanet Alvarez</x:v>
      </x:c>
      <x:c r="H4991" s="6">
        <x:v>46290.825026770835</x:v>
      </x:c>
      <x:c r="I4991" s="0"/>
      <x:c r="J4991" s="0"/>
      <x:c r="K4991" s="6">
        <x:v>46303</x:v>
      </x:c>
      <x:c r="L4991" t="str" s="2">
        <x:v>Message Sent</x:v>
      </x:c>
    </x:row>
    <x:row r="4992">
      <x:c r="A4992" t="str" s="2">
        <x:f>="Christopher Martinez Martinez"</x:f>
      </x:c>
      <x:c r="B4992" t="str" s="2">
        <x:v>Heritage Housing of Albany</x:v>
      </x:c>
      <x:c r="C4992" t="str" s="2">
        <x:v/>
      </x:c>
      <x:c r="D4992" t="str" s="2">
        <x:v>2025551502</x:v>
      </x:c>
      <x:c r="E4992" t="str" s="2">
        <x:v>cristiandnmercadologo@gmail.com</x:v>
      </x:c>
      <x:c r="F4992" t="str" s="2">
        <x:v>Website</x:v>
      </x:c>
      <x:c r="G4992" t="str" s="2">
        <x:v>Yanet Alvarez</x:v>
      </x:c>
      <x:c r="H4992" s="6">
        <x:v>46290.95119128472</x:v>
      </x:c>
      <x:c r="I4992" s="0"/>
      <x:c r="J4992" s="0"/>
      <x:c r="K4992" s="6">
        <x:v>46307.88554008102</x:v>
      </x:c>
      <x:c r="L4992" t="str" s="2">
        <x:v>Message Sent</x:v>
      </x:c>
    </x:row>
    <x:row r="4993">
      <x:c r="A4993" t="str" s="2">
        <x:f>="Debbie Moody"</x:f>
      </x:c>
      <x:c r="B4993" t="str" s="2">
        <x:v>Heritage Housing of Greenville</x:v>
      </x:c>
      <x:c r="C4993" t="str" s="2">
        <x:v>0/1</x:v>
      </x:c>
      <x:c r="D4993" t="str" s="2">
        <x:v>2149016175</x:v>
      </x:c>
      <x:c r="E4993" t="str" s="2">
        <x:v>debbiemoody79@gmail.com</x:v>
      </x:c>
      <x:c r="F4993" t="str" s="2">
        <x:v>Financing Form</x:v>
      </x:c>
      <x:c r="G4993" t="str" s="2">
        <x:v>Greg Christman</x:v>
      </x:c>
      <x:c r="H4993" s="6">
        <x:v>46291.05990659722</x:v>
      </x:c>
      <x:c r="I4993" s="0"/>
      <x:c r="J4993" s="0"/>
      <x:c r="K4993" s="6">
        <x:v>46295</x:v>
      </x:c>
      <x:c r="L4993" t="str" s="2">
        <x:v>Message Sent</x:v>
      </x:c>
    </x:row>
    <x:row r="4994">
      <x:c r="A4994" t="str" s="2">
        <x:f>="Paige Fowler"</x:f>
      </x:c>
      <x:c r="B4994" t="str" s="2">
        <x:v>Legacy Housing Corp. DBA Americasa</x:v>
      </x:c>
      <x:c r="C4994" t="str" s="2">
        <x:v/>
      </x:c>
      <x:c r="D4994" t="str" s="2">
        <x:v>9037380142</x:v>
      </x:c>
      <x:c r="E4994" t="str" s="2">
        <x:v>paigefowler41@gmail.com</x:v>
      </x:c>
      <x:c r="F4994" t="str" s="2">
        <x:v>Landing_BPM</x:v>
      </x:c>
      <x:c r="G4994" t="str" s="2">
        <x:v>Joey Marquez</x:v>
      </x:c>
      <x:c r="H4994" s="6">
        <x:v>46291.084023344905</x:v>
      </x:c>
      <x:c r="I4994" s="0"/>
      <x:c r="J4994" s="0"/>
      <x:c r="K4994" s="6">
        <x:v>46291</x:v>
      </x:c>
      <x:c r="L4994" t="str" s="2">
        <x:v>Message Sent</x:v>
      </x:c>
    </x:row>
    <x:row r="4995">
      <x:c r="A4995" t="str" s="2">
        <x:f>="Matthew De Leon De Leon"</x:f>
      </x:c>
      <x:c r="B4995" t="str" s="2">
        <x:v>Legacy Housing Corp. DBA Americasa</x:v>
      </x:c>
      <x:c r="C4995" t="str" s="2">
        <x:v/>
      </x:c>
      <x:c r="D4995" t="str" s="2">
        <x:v>8325671363</x:v>
      </x:c>
      <x:c r="E4995" t="str" s="2">
        <x:v>matt.deleon12@gmail.com</x:v>
      </x:c>
      <x:c r="F4995" t="str" s="2">
        <x:v>Landing_BPM</x:v>
      </x:c>
      <x:c r="G4995" t="str" s="2">
        <x:v>Jose Parada</x:v>
      </x:c>
      <x:c r="H4995" s="6">
        <x:v>46291.09995019676</x:v>
      </x:c>
      <x:c r="I4995" s="0"/>
      <x:c r="J4995" s="0"/>
      <x:c r="K4995" s="6">
        <x:v>46291</x:v>
      </x:c>
      <x:c r="L4995" t="str" s="2">
        <x:v>Message Sent</x:v>
      </x:c>
    </x:row>
    <x:row r="4996">
      <x:c r="A4996" t="str" s="2">
        <x:f>="Roberta Seiler"</x:f>
      </x:c>
      <x:c r="B4996" t="str" s="2">
        <x:v>Legacy Housing Corp. DBA Americasa</x:v>
      </x:c>
      <x:c r="C4996" t="str" s="2">
        <x:v/>
      </x:c>
      <x:c r="D4996" t="str" s="2">
        <x:v>8088187737</x:v>
      </x:c>
      <x:c r="E4996" t="str" s="2">
        <x:v>fck.awf.lsr@gmail.com</x:v>
      </x:c>
      <x:c r="F4996" t="str" s="2">
        <x:v>Landing_BPM</x:v>
      </x:c>
      <x:c r="G4996" t="str" s="2">
        <x:v>Joey Marquez</x:v>
      </x:c>
      <x:c r="H4996" s="6">
        <x:v>46291.16870219907</x:v>
      </x:c>
      <x:c r="I4996" s="0"/>
      <x:c r="J4996" s="0"/>
      <x:c r="K4996" s="6">
        <x:v>46291</x:v>
      </x:c>
      <x:c r="L4996" t="str" s="2">
        <x:v>Message Sent</x:v>
      </x:c>
    </x:row>
    <x:row r="4997">
      <x:c r="A4997" t="str" s="2">
        <x:f>="Dustin Sills"</x:f>
      </x:c>
      <x:c r="B4997" t="str" s="2">
        <x:v>Heritage Housing of Tulsa</x:v>
      </x:c>
      <x:c r="C4997" t="str" s="2">
        <x:v/>
      </x:c>
      <x:c r="D4997" t="str" s="2">
        <x:v>9183520649</x:v>
      </x:c>
      <x:c r="E4997" t="str" s="2">
        <x:v>dsills9@yahoo.com</x:v>
      </x:c>
      <x:c r="F4997" t="str" s="2">
        <x:v>Bing - Search</x:v>
      </x:c>
      <x:c r="G4997" t="str" s="2">
        <x:v>Jenna Fransisco</x:v>
      </x:c>
      <x:c r="H4997" s="6">
        <x:v>46291.19212719907</x:v>
      </x:c>
      <x:c r="I4997" s="0"/>
      <x:c r="J4997" s="0"/>
      <x:c r="K4997" s="6">
        <x:v>46294</x:v>
      </x:c>
      <x:c r="L4997" t="str" s="2">
        <x:v>Message Sent</x:v>
      </x:c>
    </x:row>
    <x:row r="4998">
      <x:c r="A4998" t="str" s="2">
        <x:f>="Steven Darling"</x:f>
      </x:c>
      <x:c r="B4998" t="str" s="2">
        <x:v>Legacy Housing Corp. DBA Americasa</x:v>
      </x:c>
      <x:c r="C4998" t="str" s="2">
        <x:v/>
      </x:c>
      <x:c r="D4998" t="str" s="2">
        <x:v>3463649686</x:v>
      </x:c>
      <x:c r="E4998" t="str" s="2">
        <x:v>stevenrdstorm@gmail.com</x:v>
      </x:c>
      <x:c r="F4998" t="str" s="2">
        <x:v>Landing_BPM</x:v>
      </x:c>
      <x:c r="G4998" t="str" s="2">
        <x:v>Jose Parada</x:v>
      </x:c>
      <x:c r="H4998" s="6">
        <x:v>46291.35884876157</x:v>
      </x:c>
      <x:c r="I4998" s="0"/>
      <x:c r="J4998" s="0"/>
      <x:c r="K4998" s="6">
        <x:v>46291</x:v>
      </x:c>
      <x:c r="L4998" t="str" s="2">
        <x:v>Message Sent</x:v>
      </x:c>
    </x:row>
    <x:row r="4999">
      <x:c r="A4999" t="str" s="2">
        <x:f>="Rachel Taylor Taylor"</x:f>
      </x:c>
      <x:c r="B4999" t="str" s="2">
        <x:v>Heritage Housing of Albany</x:v>
      </x:c>
      <x:c r="C4999" t="str" s="2">
        <x:v/>
      </x:c>
      <x:c r="D4999" t="str" s="2">
        <x:v>2025550184</x:v>
      </x:c>
      <x:c r="E4999" t="str" s="2">
        <x:v>janette.ocana15@gmail.com</x:v>
      </x:c>
      <x:c r="F4999" t="str" s="2">
        <x:v>Website</x:v>
      </x:c>
      <x:c r="G4999" t="str" s="2">
        <x:v>Yanet Alvarez</x:v>
      </x:c>
      <x:c r="H4999" s="6">
        <x:v>46291.45362962963</x:v>
      </x:c>
      <x:c r="I4999" s="0"/>
      <x:c r="J4999" s="0"/>
      <x:c r="K4999" s="6">
        <x:v>46291</x:v>
      </x:c>
      <x:c r="L4999" t="str" s="2">
        <x:v>Message Sent</x:v>
      </x:c>
    </x:row>
    <x:row r="5000">
      <x:c r="A5000" t="str" s="2">
        <x:f>="Chelsea Baker"</x:f>
      </x:c>
      <x:c r="B5000" t="str" s="2">
        <x:v>Heritage Housing of Tulsa</x:v>
      </x:c>
      <x:c r="C5000" t="str" s="2">
        <x:v/>
      </x:c>
      <x:c r="D5000" t="str" s="2">
        <x:v>9185003498</x:v>
      </x:c>
      <x:c r="E5000" t="str" s="2">
        <x:v>chelseavargas92@gmail.com</x:v>
      </x:c>
      <x:c r="F5000" t="str" s="2">
        <x:v>Landing_BPM</x:v>
      </x:c>
      <x:c r="G5000" t="str" s="2">
        <x:v>Jenna Fransisco</x:v>
      </x:c>
      <x:c r="H5000" s="6">
        <x:v>46291.56724626158</x:v>
      </x:c>
      <x:c r="I5000" s="0"/>
      <x:c r="J5000" s="0"/>
      <x:c r="K5000" s="6">
        <x:v>46294</x:v>
      </x:c>
      <x:c r="L5000" t="str" s="2">
        <x:v>Message Sent</x:v>
      </x:c>
    </x:row>
    <x:row r="5001">
      <x:c r="A5001" t="str" s="2">
        <x:f>="Amy Michelle"</x:f>
      </x:c>
      <x:c r="B5001" t="str" s="2">
        <x:v>Heritage Housing of Greenville</x:v>
      </x:c>
      <x:c r="C5001" t="str" s="2">
        <x:v/>
      </x:c>
      <x:c r="D5001" t="str" s="2">
        <x:v>46920798000</x:v>
      </x:c>
      <x:c r="E5001" t="str" s="2">
        <x:v>ickaaa93@gmail.com</x:v>
      </x:c>
      <x:c r="F5001" t="str" s="2">
        <x:v>Landing_BPM</x:v>
      </x:c>
      <x:c r="G5001" t="str" s="2">
        <x:v>Brooklynn Allen</x:v>
      </x:c>
      <x:c r="H5001" s="6">
        <x:v>46291.581039895835</x:v>
      </x:c>
      <x:c r="I5001" s="0"/>
      <x:c r="J5001" s="0"/>
      <x:c r="K5001" s="6">
        <x:v>46293</x:v>
      </x:c>
      <x:c r="L5001" t="str" s="2">
        <x:v>Message Sent</x:v>
      </x:c>
    </x:row>
    <x:row r="5002">
      <x:c r="A5002" t="str" s="2">
        <x:f>="Rebecca Smith Smith"</x:f>
      </x:c>
      <x:c r="B5002" t="str" s="2">
        <x:v>Heritage Housing of Athens</x:v>
      </x:c>
      <x:c r="C5002" t="str" s="2">
        <x:v/>
      </x:c>
      <x:c r="D5002" t="str" s="2">
        <x:v>6786285416</x:v>
      </x:c>
      <x:c r="E5002" t="str" s="2">
        <x:v>rebeccamccordsmith@gmail.com</x:v>
      </x:c>
      <x:c r="F5002" t="str" s="2">
        <x:v>Landing_BPM</x:v>
      </x:c>
      <x:c r="G5002" t="str" s="2">
        <x:v>Nathan Bishop</x:v>
      </x:c>
      <x:c r="H5002" s="6">
        <x:v>46291.59315559028</x:v>
      </x:c>
      <x:c r="I5002" s="0"/>
      <x:c r="J5002" s="0"/>
      <x:c r="K5002" s="6">
        <x:v>46291.84524517361</x:v>
      </x:c>
      <x:c r="L5002" t="str" s="2">
        <x:v>Message Sent</x:v>
      </x:c>
    </x:row>
    <x:row r="5003">
      <x:c r="A5003" t="str" s="2">
        <x:f>="Danny Kaye"</x:f>
      </x:c>
      <x:c r="B5003" t="str" s="2">
        <x:v>Heritage Housing of Albany</x:v>
      </x:c>
      <x:c r="C5003" t="str" s="2">
        <x:v/>
      </x:c>
      <x:c r="D5003" t="str" s="2">
        <x:v>8282924550</x:v>
      </x:c>
      <x:c r="E5003" t="str" s="2">
        <x:v>dannykeith1979@gmail.com</x:v>
      </x:c>
      <x:c r="F5003" t="str" s="2">
        <x:v>Financing Form</x:v>
      </x:c>
      <x:c r="G5003" t="str" s="2">
        <x:v>Yanet Alvarez</x:v>
      </x:c>
      <x:c r="H5003" s="6">
        <x:v>46291.61469768519</x:v>
      </x:c>
      <x:c r="I5003" s="0"/>
      <x:c r="J5003" s="0"/>
      <x:c r="K5003" s="6">
        <x:v>46303</x:v>
      </x:c>
      <x:c r="L5003" t="str" s="2">
        <x:v>Message Sent</x:v>
      </x:c>
    </x:row>
    <x:row r="5004">
      <x:c r="A5004" t="str" s="2">
        <x:f>="Georgia Smith"</x:f>
      </x:c>
      <x:c r="B5004" t="str" s="2">
        <x:v>Heritage Housing of Albany</x:v>
      </x:c>
      <x:c r="C5004" t="str" s="2">
        <x:v/>
      </x:c>
      <x:c r="D5004" t="str" s="2">
        <x:v>8502092804</x:v>
      </x:c>
      <x:c r="E5004" t="str" s="2">
        <x:v>georgiahopesmith99@gmail.com</x:v>
      </x:c>
      <x:c r="F5004" t="str" s="2">
        <x:v>LandingPage</x:v>
      </x:c>
      <x:c r="G5004" t="str" s="2">
        <x:v>Yanet Alvarez</x:v>
      </x:c>
      <x:c r="H5004" s="6">
        <x:v>46291.63775466435</x:v>
      </x:c>
      <x:c r="I5004" s="0"/>
      <x:c r="J5004" s="0"/>
      <x:c r="K5004" s="6">
        <x:v>46291</x:v>
      </x:c>
      <x:c r="L5004" t="str" s="2">
        <x:v>Message Sent</x:v>
      </x:c>
    </x:row>
    <x:row r="5005">
      <x:c r="A5005" t="str" s="2">
        <x:f>="Eugena Powell"</x:f>
      </x:c>
      <x:c r="B5005" t="str" s="2">
        <x:v>Heritage Housing of Tulsa</x:v>
      </x:c>
      <x:c r="C5005" t="str" s="2">
        <x:v/>
      </x:c>
      <x:c r="D5005" t="str" s="2">
        <x:v>9188053931</x:v>
      </x:c>
      <x:c r="E5005" t="str" s="2">
        <x:v>gina80957@gmail.com</x:v>
      </x:c>
      <x:c r="F5005" t="str" s="2">
        <x:v>Landing_BPM</x:v>
      </x:c>
      <x:c r="G5005" t="str" s="2">
        <x:v>Jenna Fransisco</x:v>
      </x:c>
      <x:c r="H5005" s="6">
        <x:v>46291.68994394676</x:v>
      </x:c>
      <x:c r="I5005" s="0"/>
      <x:c r="J5005" s="0"/>
      <x:c r="K5005" s="6">
        <x:v>46294</x:v>
      </x:c>
      <x:c r="L5005" t="str" s="2">
        <x:v>Message Sent</x:v>
      </x:c>
    </x:row>
    <x:row r="5006">
      <x:c r="A5006" t="str" s="2">
        <x:f>="Brian Cisneros"</x:f>
      </x:c>
      <x:c r="B5006" t="str" s="2">
        <x:v>Legacy Housing Corp. DBA Americasa</x:v>
      </x:c>
      <x:c r="C5006" t="str" s="2">
        <x:v/>
      </x:c>
      <x:c r="D5006" t="str" s="2">
        <x:v>8323783530</x:v>
      </x:c>
      <x:c r="E5006" t="str" s="2">
        <x:v>ugotthisbc@gmail.com</x:v>
      </x:c>
      <x:c r="F5006" t="str" s="2">
        <x:v>Landing_BPM</x:v>
      </x:c>
      <x:c r="G5006" t="str" s="2">
        <x:v>Joey Marquez</x:v>
      </x:c>
      <x:c r="H5006" s="6">
        <x:v>46291.69179236111</x:v>
      </x:c>
      <x:c r="I5006" s="0"/>
      <x:c r="J5006" s="0"/>
      <x:c r="K5006" s="6">
        <x:v>46291</x:v>
      </x:c>
      <x:c r="L5006" t="str" s="2">
        <x:v>Message Sent</x:v>
      </x:c>
    </x:row>
    <x:row r="5007">
      <x:c r="A5007" t="str" s="2">
        <x:f>="Madison Sentelle"</x:f>
      </x:c>
      <x:c r="B5007" t="str" s="2">
        <x:v>Heritage Housing of Athens</x:v>
      </x:c>
      <x:c r="C5007" t="str" s="2">
        <x:v/>
      </x:c>
      <x:c r="D5007" t="str" s="2">
        <x:v>9432273293</x:v>
      </x:c>
      <x:c r="E5007" t="str" s="2">
        <x:v>jdsentelle2000@gmail.com</x:v>
      </x:c>
      <x:c r="F5007" t="str" s="2">
        <x:v>Landing_BPM</x:v>
      </x:c>
      <x:c r="G5007" t="str" s="2">
        <x:v>Nathan Bishop</x:v>
      </x:c>
      <x:c r="H5007" s="6">
        <x:v>46291.72954302083</x:v>
      </x:c>
      <x:c r="I5007" s="0"/>
      <x:c r="J5007" s="0"/>
      <x:c r="K5007" s="6">
        <x:v>46291.84629710648</x:v>
      </x:c>
      <x:c r="L5007" t="str" s="2">
        <x:v>Message Sent</x:v>
      </x:c>
    </x:row>
    <x:row r="5008">
      <x:c r="A5008" t="str" s="2">
        <x:f>="Gary Fite"</x:f>
      </x:c>
      <x:c r="B5008" t="str" s="2">
        <x:v>Heritage Housing of Asheboro</x:v>
      </x:c>
      <x:c r="C5008" t="str" s="2">
        <x:v/>
      </x:c>
      <x:c r="D5008" t="str" s="2">
        <x:v>7046788623</x:v>
      </x:c>
      <x:c r="E5008" t="str" s="2">
        <x:v>gfite1997@gmail.com</x:v>
      </x:c>
      <x:c r="F5008" t="str" s="2">
        <x:v>Financing Form</x:v>
      </x:c>
      <x:c r="G5008" t="str" s="2">
        <x:v>Joe Lopez</x:v>
      </x:c>
      <x:c r="H5008" s="6">
        <x:v>46291.76359737269</x:v>
      </x:c>
      <x:c r="I5008" s="0"/>
      <x:c r="J5008" s="0"/>
      <x:c r="K5008" s="6">
        <x:v>46297</x:v>
      </x:c>
      <x:c r="L5008" t="str" s="2">
        <x:v>Message Sent</x:v>
      </x:c>
    </x:row>
    <x:row r="5009">
      <x:c r="A5009" t="str" s="2">
        <x:f>="Karen Thompson"</x:f>
      </x:c>
      <x:c r="B5009" t="str" s="2">
        <x:v>Heritage Housing of Tulsa</x:v>
      </x:c>
      <x:c r="C5009" t="str" s="2">
        <x:v/>
      </x:c>
      <x:c r="D5009" t="str" s="2">
        <x:v>9187032497</x:v>
      </x:c>
      <x:c r="E5009" t="str" s="2">
        <x:v>trenluyvo234@gmail.com</x:v>
      </x:c>
      <x:c r="F5009" t="str" s="2">
        <x:v>Financing Form</x:v>
      </x:c>
      <x:c r="G5009" t="str" s="2">
        <x:v>Jenna Fransisco</x:v>
      </x:c>
      <x:c r="H5009" s="6">
        <x:v>46291.76460578704</x:v>
      </x:c>
      <x:c r="I5009" s="0"/>
      <x:c r="J5009" s="0"/>
      <x:c r="K5009" s="6">
        <x:v>46294</x:v>
      </x:c>
      <x:c r="L5009" t="str" s="2">
        <x:v>Message Sent</x:v>
      </x:c>
    </x:row>
    <x:row r="5010">
      <x:c r="A5010" t="str" s="2">
        <x:f>="Jarvis Walls"</x:f>
      </x:c>
      <x:c r="B5010" s="0"/>
      <x:c r="C5010" t="str" s="2">
        <x:v/>
      </x:c>
      <x:c r="D5010" t="str" s="2">
        <x:v>8033986566</x:v>
      </x:c>
      <x:c r="E5010" t="str" s="2">
        <x:v>8033986566</x:v>
      </x:c>
      <x:c r="F5010" t="str" s="2">
        <x:v>Cliengo Bot</x:v>
      </x:c>
      <x:c r="G5010" t="str" s="2">
        <x:v>Jennifer Johnson</x:v>
      </x:c>
      <x:c r="H5010" s="6">
        <x:v>46291.81198333333</x:v>
      </x:c>
      <x:c r="I5010" s="0"/>
      <x:c r="J5010" s="0"/>
      <x:c r="K5010" s="6">
        <x:v>46297</x:v>
      </x:c>
      <x:c r="L5010" t="str" s="2">
        <x:v>Message Sent</x:v>
      </x:c>
    </x:row>
    <x:row r="5011">
      <x:c r="A5011" t="str" s="2">
        <x:f>="Nevaeh Willis"</x:f>
      </x:c>
      <x:c r="B5011" t="str" s="2">
        <x:v>Legacy Housing Corp. DBA Americasa</x:v>
      </x:c>
      <x:c r="C5011" t="str" s="2">
        <x:v/>
      </x:c>
      <x:c r="D5011" t="str" s="2">
        <x:v>3374008531</x:v>
      </x:c>
      <x:c r="E5011" t="str" s="2">
        <x:v>willisn319@gmail.com</x:v>
      </x:c>
      <x:c r="F5011" t="str" s="2">
        <x:v>Landing_BPM</x:v>
      </x:c>
      <x:c r="G5011" t="str" s="2">
        <x:v>Jose Parada</x:v>
      </x:c>
      <x:c r="H5011" s="6">
        <x:v>46291.82774991898</x:v>
      </x:c>
      <x:c r="I5011" s="0"/>
      <x:c r="J5011" s="0"/>
      <x:c r="K5011" s="6">
        <x:v>46291</x:v>
      </x:c>
      <x:c r="L5011" t="str" s="2">
        <x:v>Message Sent</x:v>
      </x:c>
    </x:row>
    <x:row r="5012">
      <x:c r="A5012" t="str" s="2">
        <x:f>="Larissa Laster"</x:f>
      </x:c>
      <x:c r="B5012" t="str" s="2">
        <x:v>Heritage Housing of Greenville</x:v>
      </x:c>
      <x:c r="C5012" t="str" s="2">
        <x:v/>
      </x:c>
      <x:c r="D5012" t="str" s="2">
        <x:v>4696362805</x:v>
      </x:c>
      <x:c r="E5012" t="str" s="2">
        <x:v>babyglarissa@gmail.com</x:v>
      </x:c>
      <x:c r="F5012" t="str" s="2">
        <x:v>Landing_BPM</x:v>
      </x:c>
      <x:c r="G5012" t="str" s="2">
        <x:v>Brooklynn Allen</x:v>
      </x:c>
      <x:c r="H5012" s="6">
        <x:v>46291.84368140046</x:v>
      </x:c>
      <x:c r="I5012" s="0"/>
      <x:c r="J5012" s="0"/>
      <x:c r="K5012" s="6">
        <x:v>46295</x:v>
      </x:c>
      <x:c r="L5012" t="str" s="2">
        <x:v>Message Sent</x:v>
      </x:c>
    </x:row>
    <x:row r="5013">
      <x:c r="A5013" t="str" s="2">
        <x:f>="Michelle Waltrowski"</x:f>
      </x:c>
      <x:c r="B5013" t="str" s="2">
        <x:v>Heritage Housing of Tulsa</x:v>
      </x:c>
      <x:c r="C5013" t="str" s="2">
        <x:v/>
      </x:c>
      <x:c r="D5013" t="str" s="2">
        <x:v>9185202525</x:v>
      </x:c>
      <x:c r="E5013" t="str" s="2">
        <x:v>waltrowskimichelle@yahoo.com</x:v>
      </x:c>
      <x:c r="F5013" t="str" s="2">
        <x:v>Landing_BPM</x:v>
      </x:c>
      <x:c r="G5013" t="str" s="2">
        <x:v>Jenna Fransisco</x:v>
      </x:c>
      <x:c r="H5013" s="6">
        <x:v>46291.88721408565</x:v>
      </x:c>
      <x:c r="I5013" s="0"/>
      <x:c r="J5013" s="0"/>
      <x:c r="K5013" s="6">
        <x:v>46300</x:v>
      </x:c>
      <x:c r="L5013" t="str" s="2">
        <x:v>Message Sent</x:v>
      </x:c>
    </x:row>
    <x:row r="5014">
      <x:c r="A5014" t="str" s="2">
        <x:f>="Artrina Bryant"</x:f>
      </x:c>
      <x:c r="B5014" t="str" s="2">
        <x:v>Heritage Housing of Jennings</x:v>
      </x:c>
      <x:c r="C5014" t="str" s="2">
        <x:v/>
      </x:c>
      <x:c r="D5014" t="str" s="2">
        <x:v>3373052735</x:v>
      </x:c>
      <x:c r="E5014" t="str" s="2">
        <x:v>Artrinabryant896@gmail.com</x:v>
      </x:c>
      <x:c r="F5014" t="str" s="2">
        <x:v>Landing_BPM</x:v>
      </x:c>
      <x:c r="G5014" t="str" s="2">
        <x:v>Clint O'Neal</x:v>
      </x:c>
      <x:c r="H5014" s="6">
        <x:v>46291.90161512732</x:v>
      </x:c>
      <x:c r="I5014" s="0"/>
      <x:c r="J5014" s="0"/>
      <x:c r="K5014" s="6">
        <x:v>46302.739985960645</x:v>
      </x:c>
      <x:c r="L5014" t="str" s="2">
        <x:v>Message Sent</x:v>
      </x:c>
    </x:row>
    <x:row r="5015">
      <x:c r="A5015" t="str" s="2">
        <x:f>="Jessica A Kinney"</x:f>
      </x:c>
      <x:c r="B5015" t="str" s="2">
        <x:v>Heritage Housing of Greenville</x:v>
      </x:c>
      <x:c r="C5015" t="str" s="2">
        <x:v/>
      </x:c>
      <x:c r="D5015" t="str" s="2">
        <x:v>4692079800</x:v>
      </x:c>
      <x:c r="E5015" t="str" s="2">
        <x:v>jessica.a_tx@yahoo.com</x:v>
      </x:c>
      <x:c r="F5015" t="str" s="2">
        <x:v>Landing_BPM</x:v>
      </x:c>
      <x:c r="G5015" t="str" s="2">
        <x:v>Brooklynn Allen</x:v>
      </x:c>
      <x:c r="H5015" s="6">
        <x:v>46291.918280868056</x:v>
      </x:c>
      <x:c r="I5015" s="0"/>
      <x:c r="J5015" s="0"/>
      <x:c r="K5015" s="6">
        <x:v>46293</x:v>
      </x:c>
      <x:c r="L5015" t="str" s="2">
        <x:v>Message Sent</x:v>
      </x:c>
    </x:row>
    <x:row r="5016">
      <x:c r="A5016" t="str" s="2">
        <x:f>="Renee Kirkpatrick"</x:f>
      </x:c>
      <x:c r="B5016" t="str" s="2">
        <x:v>Heritage Housing of Tulsa</x:v>
      </x:c>
      <x:c r="C5016" t="str" s="2">
        <x:v/>
      </x:c>
      <x:c r="D5016" t="str" s="2">
        <x:v>6204545856</x:v>
      </x:c>
      <x:c r="E5016" t="str" s="2">
        <x:v>reneekirkpatrick26@gmail.com</x:v>
      </x:c>
      <x:c r="F5016" t="str" s="2">
        <x:v>Landing_BPM</x:v>
      </x:c>
      <x:c r="G5016" t="str" s="2">
        <x:v>Jenna Fransisco</x:v>
      </x:c>
      <x:c r="H5016" s="6">
        <x:v>46291.93934355324</x:v>
      </x:c>
      <x:c r="I5016" s="0"/>
      <x:c r="J5016" s="0"/>
      <x:c r="K5016" s="6">
        <x:v>46294</x:v>
      </x:c>
      <x:c r="L5016" t="str" s="2">
        <x:v>Message Sent</x:v>
      </x:c>
    </x:row>
    <x:row r="5017">
      <x:c r="A5017" t="str" s="2">
        <x:f>="Jim &amp; Janet Davis"</x:f>
      </x:c>
      <x:c r="B5017" t="str" s="2">
        <x:v>Heritage Housing of Canton</x:v>
      </x:c>
      <x:c r="C5017" t="str" s="2">
        <x:v/>
      </x:c>
      <x:c r="D5017" t="str" s="2">
        <x:v>9032759130</x:v>
      </x:c>
      <x:c r="E5017" t="str" s="2">
        <x:v>jwdavisjr48@gmail.com</x:v>
      </x:c>
      <x:c r="F5017" t="str" s="2">
        <x:v>Website</x:v>
      </x:c>
      <x:c r="G5017" t="str" s="2">
        <x:v>Jacob Hatten</x:v>
      </x:c>
      <x:c r="H5017" s="6">
        <x:v>46291.9429621875</x:v>
      </x:c>
      <x:c r="I5017" s="0"/>
      <x:c r="J5017" s="0"/>
      <x:c r="K5017" s="6">
        <x:v>46293</x:v>
      </x:c>
      <x:c r="L5017" t="str" s="2">
        <x:v>Message Sent</x:v>
      </x:c>
    </x:row>
    <x:row r="5018">
      <x:c r="A5018" t="str" s="2">
        <x:f>="Deleana Kirk"</x:f>
      </x:c>
      <x:c r="B5018" t="str" s="2">
        <x:v>Heritage Housing of Tulsa</x:v>
      </x:c>
      <x:c r="C5018" t="str" s="2">
        <x:v/>
      </x:c>
      <x:c r="D5018" t="str" s="2">
        <x:v>9185069571</x:v>
      </x:c>
      <x:c r="E5018" t="str" s="2">
        <x:v>deleanawilson00@gmail.com</x:v>
      </x:c>
      <x:c r="F5018" t="str" s="2">
        <x:v>Financing Form</x:v>
      </x:c>
      <x:c r="G5018" t="str" s="2">
        <x:v>Jenna Fransisco</x:v>
      </x:c>
      <x:c r="H5018" s="6">
        <x:v>46291.94602461805</x:v>
      </x:c>
      <x:c r="I5018" s="0"/>
      <x:c r="J5018" s="0"/>
      <x:c r="K5018" s="6">
        <x:v>46294</x:v>
      </x:c>
      <x:c r="L5018" t="str" s="2">
        <x:v>Message Sent</x:v>
      </x:c>
    </x:row>
    <x:row r="5019">
      <x:c r="A5019" t="str" s="2">
        <x:f>="Taylor Shaw"</x:f>
      </x:c>
      <x:c r="B5019" t="str" s="2">
        <x:v>Heritage Housing of Asheboro</x:v>
      </x:c>
      <x:c r="C5019" t="str" s="2">
        <x:v/>
      </x:c>
      <x:c r="D5019" t="str" s="2">
        <x:v>2526703794</x:v>
      </x:c>
      <x:c r="E5019" t="str" s="2">
        <x:v>tnicole2589@gmail.com</x:v>
      </x:c>
      <x:c r="F5019" t="str" s="2">
        <x:v>Landing_BPM</x:v>
      </x:c>
      <x:c r="G5019" t="str" s="2">
        <x:v>Joe Lopez</x:v>
      </x:c>
      <x:c r="H5019" s="6">
        <x:v>46292.03289533565</x:v>
      </x:c>
      <x:c r="I5019" s="0"/>
      <x:c r="J5019" s="0"/>
      <x:c r="K5019" s="6">
        <x:v>46297</x:v>
      </x:c>
      <x:c r="L5019" t="str" s="2">
        <x:v>Message Sent</x:v>
      </x:c>
    </x:row>
    <x:row r="5020">
      <x:c r="A5020" t="str" s="2">
        <x:f>="Bridget Major toro"</x:f>
      </x:c>
      <x:c r="B5020" t="str" s="2">
        <x:v>Heritage Housing of Asheboro</x:v>
      </x:c>
      <x:c r="C5020" t="str" s="2">
        <x:v/>
      </x:c>
      <x:c r="D5020" t="str" s="2">
        <x:v>8452138202</x:v>
      </x:c>
      <x:c r="E5020" t="str" s="2">
        <x:v>bridget.majortoro@gmail.com</x:v>
      </x:c>
      <x:c r="F5020" t="str" s="2">
        <x:v>Financing Form</x:v>
      </x:c>
      <x:c r="G5020" t="str" s="2">
        <x:v>Maria Lopez</x:v>
      </x:c>
      <x:c r="H5020" s="6">
        <x:v>46292.25427758102</x:v>
      </x:c>
      <x:c r="I5020" s="0"/>
      <x:c r="J5020" s="0"/>
      <x:c r="K5020" s="6">
        <x:v>46307</x:v>
      </x:c>
      <x:c r="L5020" t="str" s="2">
        <x:v>Message Sent</x:v>
      </x:c>
    </x:row>
    <x:row r="5021">
      <x:c r="A5021" t="str" s="2">
        <x:f>="Arnita Smith"</x:f>
      </x:c>
      <x:c r="B5021" t="str" s="2">
        <x:v>Heritage Housing of Augusta</x:v>
      </x:c>
      <x:c r="C5021" t="str" s="2">
        <x:v/>
      </x:c>
      <x:c r="D5021" t="str" s="2">
        <x:v>6782663211</x:v>
      </x:c>
      <x:c r="E5021" t="str" s="2">
        <x:v>arnita313sun@gmail.com</x:v>
      </x:c>
      <x:c r="F5021" t="str" s="2">
        <x:v>Landing_BPM</x:v>
      </x:c>
      <x:c r="G5021" t="str" s="2">
        <x:v>Yanet Alvarez</x:v>
      </x:c>
      <x:c r="H5021" s="6">
        <x:v>46292.264058761575</x:v>
      </x:c>
      <x:c r="I5021" s="0"/>
      <x:c r="J5021" s="0"/>
      <x:c r="K5021" s="6">
        <x:v>46292</x:v>
      </x:c>
      <x:c r="L5021" t="str" s="2">
        <x:v>Message Sent</x:v>
      </x:c>
    </x:row>
    <x:row r="5022">
      <x:c r="A5022" t="str" s="2">
        <x:f>="Tiffany Guzman"</x:f>
      </x:c>
      <x:c r="B5022" t="str" s="2">
        <x:v>Heritage Housing of Tulsa</x:v>
      </x:c>
      <x:c r="C5022" t="str" s="2">
        <x:v/>
      </x:c>
      <x:c r="D5022" t="str" s="2">
        <x:v>5393694683</x:v>
      </x:c>
      <x:c r="E5022" t="str" s="2">
        <x:v>guzmant7888@gmail.com</x:v>
      </x:c>
      <x:c r="F5022" t="str" s="2">
        <x:v>Landing_BPM</x:v>
      </x:c>
      <x:c r="G5022" t="str" s="2">
        <x:v>Jenna Fransisco</x:v>
      </x:c>
      <x:c r="H5022" s="6">
        <x:v>46292.44963619213</x:v>
      </x:c>
      <x:c r="I5022" s="0"/>
      <x:c r="J5022" s="0"/>
      <x:c r="K5022" s="6">
        <x:v>46294</x:v>
      </x:c>
      <x:c r="L5022" t="str" s="2">
        <x:v>Message Sent</x:v>
      </x:c>
    </x:row>
    <x:row r="5023">
      <x:c r="A5023" t="str" s="2">
        <x:f>="Alisha McCravy"</x:f>
      </x:c>
      <x:c r="B5023" t="str" s="2">
        <x:v>Heritage Housing Gainesville</x:v>
      </x:c>
      <x:c r="C5023" t="str" s="2">
        <x:v/>
      </x:c>
      <x:c r="D5023" t="str" s="2">
        <x:v>8644929072</x:v>
      </x:c>
      <x:c r="E5023" t="str" s="2">
        <x:v>amccravy85@gmail.com</x:v>
      </x:c>
      <x:c r="F5023" t="str" s="2">
        <x:v>Landing_BPM</x:v>
      </x:c>
      <x:c r="G5023" t="str" s="2">
        <x:v>Kelly Ford</x:v>
      </x:c>
      <x:c r="H5023" s="6">
        <x:v>46292.450401041664</x:v>
      </x:c>
      <x:c r="I5023" s="0"/>
      <x:c r="J5023" s="0"/>
      <x:c r="K5023" s="6">
        <x:v>46297</x:v>
      </x:c>
      <x:c r="L5023" t="str" s="2">
        <x:v>Message Sent</x:v>
      </x:c>
    </x:row>
    <x:row r="5024">
      <x:c r="A5024" t="str" s="2">
        <x:f>="Charles Rodriguez Rodriguez"</x:f>
      </x:c>
      <x:c r="B5024" t="str" s="2">
        <x:v>Heritage Housing of Albany</x:v>
      </x:c>
      <x:c r="C5024" t="str" s="2">
        <x:v/>
      </x:c>
      <x:c r="D5024" t="str" s="2">
        <x:v>2025555559</x:v>
      </x:c>
      <x:c r="E5024" t="str" s="2">
        <x:v>tylerabaldwin84@gmail.com</x:v>
      </x:c>
      <x:c r="F5024" t="str" s="2">
        <x:v>Website</x:v>
      </x:c>
      <x:c r="G5024" t="str" s="2">
        <x:v>Yanet Alvarez</x:v>
      </x:c>
      <x:c r="H5024" s="6">
        <x:v>46292.539585914354</x:v>
      </x:c>
      <x:c r="I5024" s="0"/>
      <x:c r="J5024" s="0"/>
      <x:c r="K5024" s="6">
        <x:v>46307</x:v>
      </x:c>
      <x:c r="L5024" t="str" s="2">
        <x:v>Message Sent</x:v>
      </x:c>
    </x:row>
    <x:row r="5025">
      <x:c r="A5025" t="str" s="2">
        <x:f>="Norman Robinson"</x:f>
      </x:c>
      <x:c r="B5025" t="str" s="2">
        <x:v>Heritage Housing of Asheboro</x:v>
      </x:c>
      <x:c r="C5025" t="str" s="2">
        <x:v/>
      </x:c>
      <x:c r="D5025" t="str" s="2">
        <x:v>7048580598</x:v>
      </x:c>
      <x:c r="E5025" t="str" s="2">
        <x:v>robinsonn008@gmail.com</x:v>
      </x:c>
      <x:c r="F5025" t="str" s="2">
        <x:v>Landing_BPM</x:v>
      </x:c>
      <x:c r="G5025" t="str" s="2">
        <x:v>Joe Lopez</x:v>
      </x:c>
      <x:c r="H5025" s="6">
        <x:v>46292.55644733796</x:v>
      </x:c>
      <x:c r="I5025" s="0"/>
      <x:c r="J5025" s="0"/>
      <x:c r="K5025" s="6">
        <x:v>46297</x:v>
      </x:c>
      <x:c r="L5025" t="str" s="2">
        <x:v>Message Sent</x:v>
      </x:c>
    </x:row>
    <x:row r="5026">
      <x:c r="A5026" t="str" s="2">
        <x:f>="Shaunesha Marshall"</x:f>
      </x:c>
      <x:c r="B5026" t="str" s="2">
        <x:v>Heritage Housing of Canton</x:v>
      </x:c>
      <x:c r="C5026" t="str" s="2">
        <x:v/>
      </x:c>
      <x:c r="D5026" t="str" s="2">
        <x:v>9037145516</x:v>
      </x:c>
      <x:c r="E5026" t="str" s="2">
        <x:v>shaunesha.marshall@icloud.com</x:v>
      </x:c>
      <x:c r="F5026" t="str" s="2">
        <x:v>Landing_BPM</x:v>
      </x:c>
      <x:c r="G5026" t="str" s="2">
        <x:v>Maira Garcia</x:v>
      </x:c>
      <x:c r="H5026" s="6">
        <x:v>46292.565722025465</x:v>
      </x:c>
      <x:c r="I5026" s="0"/>
      <x:c r="J5026" s="0"/>
      <x:c r="K5026" s="6">
        <x:v>46293</x:v>
      </x:c>
      <x:c r="L5026" t="str" s="2">
        <x:v>Message Sent</x:v>
      </x:c>
    </x:row>
    <x:row r="5027">
      <x:c r="A5027" t="str" s="2">
        <x:f>="Timothy Sullivan"</x:f>
      </x:c>
      <x:c r="B5027" t="str" s="2">
        <x:v>Heritage Housing of Albany</x:v>
      </x:c>
      <x:c r="C5027" t="str" s="2">
        <x:v/>
      </x:c>
      <x:c r="D5027" t="str" s="2">
        <x:v>2294250232</x:v>
      </x:c>
      <x:c r="E5027" t="str" s="2">
        <x:v>shyanne.roser.1999@gmail.com</x:v>
      </x:c>
      <x:c r="F5027" t="str" s="2">
        <x:v>Financing Form</x:v>
      </x:c>
      <x:c r="G5027" t="str" s="2">
        <x:v>Yanet Alvarez</x:v>
      </x:c>
      <x:c r="H5027" s="6">
        <x:v>46292.56866875</x:v>
      </x:c>
      <x:c r="I5027" s="0"/>
      <x:c r="J5027" s="0"/>
      <x:c r="K5027" s="6">
        <x:v>46307</x:v>
      </x:c>
      <x:c r="L5027" t="str" s="2">
        <x:v>Message Sent</x:v>
      </x:c>
    </x:row>
    <x:row r="5028">
      <x:c r="A5028" t="str" s="2">
        <x:f>="Donell Butler"</x:f>
      </x:c>
      <x:c r="B5028" t="str" s="2">
        <x:v>Heritage Housing of Augusta</x:v>
      </x:c>
      <x:c r="C5028" t="str" s="2">
        <x:v/>
      </x:c>
      <x:c r="D5028" t="str" s="2">
        <x:v>2292066338</x:v>
      </x:c>
      <x:c r="E5028" t="str" s="2">
        <x:v>Butlerdonell1@gmail.com</x:v>
      </x:c>
      <x:c r="F5028" t="str" s="2">
        <x:v>Landing_BPM</x:v>
      </x:c>
      <x:c r="G5028" t="str" s="2">
        <x:v>Jennifer Johnson</x:v>
      </x:c>
      <x:c r="H5028" s="6">
        <x:v>46292.62100216435</x:v>
      </x:c>
      <x:c r="I5028" s="0"/>
      <x:c r="J5028" s="0"/>
      <x:c r="K5028" s="6">
        <x:v>46297</x:v>
      </x:c>
      <x:c r="L5028" t="str" s="2">
        <x:v>Message Sent</x:v>
      </x:c>
    </x:row>
    <x:row r="5029">
      <x:c r="A5029" t="str" s="2">
        <x:f>="Jada Walker"</x:f>
      </x:c>
      <x:c r="B5029" t="str" s="2">
        <x:v>Heritage Housing of Athens</x:v>
      </x:c>
      <x:c r="C5029" t="str" s="2">
        <x:v/>
      </x:c>
      <x:c r="D5029" t="str" s="2">
        <x:v>3862680007</x:v>
      </x:c>
      <x:c r="E5029" t="str" s="2">
        <x:v>jadawalker31282@gmail.com</x:v>
      </x:c>
      <x:c r="F5029" t="str" s="2">
        <x:v>Landing_BPM</x:v>
      </x:c>
      <x:c r="G5029" t="str" s="2">
        <x:v>Nathan Bishop</x:v>
      </x:c>
      <x:c r="H5029" s="6">
        <x:v>46292.62368888889</x:v>
      </x:c>
      <x:c r="I5029" s="0"/>
      <x:c r="J5029" s="0"/>
      <x:c r="K5029" s="6">
        <x:v>46293.674395636575</x:v>
      </x:c>
      <x:c r="L5029" t="str" s="2">
        <x:v>Message Sent</x:v>
      </x:c>
    </x:row>
    <x:row r="5030">
      <x:c r="A5030" t="str" s="2">
        <x:f>="Melissa Coker"</x:f>
      </x:c>
      <x:c r="B5030" t="str" s="2">
        <x:v>Heritage Housing of Athens</x:v>
      </x:c>
      <x:c r="C5030" t="str" s="2">
        <x:v>1/2</x:v>
      </x:c>
      <x:c r="D5030" t="str" s="2">
        <x:v>7066809908</x:v>
      </x:c>
      <x:c r="E5030" t="str" s="2">
        <x:v>melissacoker0526@gmail.com</x:v>
      </x:c>
      <x:c r="F5030" t="str" s="2">
        <x:v>Landing_BPM</x:v>
      </x:c>
      <x:c r="G5030" t="str" s="2">
        <x:v>Ethan Fossett</x:v>
      </x:c>
      <x:c r="H5030" s="6">
        <x:v>46292.63049166666</x:v>
      </x:c>
      <x:c r="I5030" s="0"/>
      <x:c r="J5030" s="0"/>
      <x:c r="K5030" s="6">
        <x:v>46301</x:v>
      </x:c>
      <x:c r="L5030" t="str" s="2">
        <x:v>Message Sent</x:v>
      </x:c>
    </x:row>
    <x:row r="5031">
      <x:c r="A5031" t="str" s="2">
        <x:f>="Janey Wright"</x:f>
      </x:c>
      <x:c r="B5031" t="str" s="2">
        <x:v>Heritage Housing of Canton</x:v>
      </x:c>
      <x:c r="C5031" t="str" s="2">
        <x:v/>
      </x:c>
      <x:c r="D5031" t="str" s="2">
        <x:v>9036350730</x:v>
      </x:c>
      <x:c r="E5031" t="str" s="2">
        <x:v>janeywright@ymail.com</x:v>
      </x:c>
      <x:c r="F5031" t="str" s="2">
        <x:v>Landing_BPM</x:v>
      </x:c>
      <x:c r="G5031" t="str" s="2">
        <x:v>Jacob Hatten</x:v>
      </x:c>
      <x:c r="H5031" s="6">
        <x:v>46292.684995868054</x:v>
      </x:c>
      <x:c r="I5031" s="0"/>
      <x:c r="J5031" s="0"/>
      <x:c r="K5031" s="6">
        <x:v>46293</x:v>
      </x:c>
      <x:c r="L5031" t="str" s="2">
        <x:v>Message Sent</x:v>
      </x:c>
    </x:row>
    <x:row r="5032">
      <x:c r="A5032" t="str" s="2">
        <x:f>="Darren Gee"</x:f>
      </x:c>
      <x:c r="B5032" t="str" s="2">
        <x:v>Heritage Housing of Athens</x:v>
      </x:c>
      <x:c r="C5032" t="str" s="2">
        <x:v/>
      </x:c>
      <x:c r="D5032" t="str" s="2">
        <x:v>6788656427</x:v>
      </x:c>
      <x:c r="E5032" t="str" s="2">
        <x:v>darrengee37@icloud.com</x:v>
      </x:c>
      <x:c r="F5032" t="str" s="2">
        <x:v>Landing_BPM</x:v>
      </x:c>
      <x:c r="G5032" t="str" s="2">
        <x:v>Nathan Bishop</x:v>
      </x:c>
      <x:c r="H5032" s="6">
        <x:v>46292.70376875</x:v>
      </x:c>
      <x:c r="I5032" s="0"/>
      <x:c r="J5032" s="0"/>
      <x:c r="K5032" s="6">
        <x:v>46293.674958483796</x:v>
      </x:c>
      <x:c r="L5032" t="str" s="2">
        <x:v>Message Sent</x:v>
      </x:c>
    </x:row>
    <x:row r="5033">
      <x:c r="A5033" t="str" s="2">
        <x:f>="Kayla Rimes"</x:f>
      </x:c>
      <x:c r="B5033" t="str" s="2">
        <x:v>Heritage Housing of Augusta</x:v>
      </x:c>
      <x:c r="C5033" t="str" s="2">
        <x:v/>
      </x:c>
      <x:c r="D5033" t="str" s="2">
        <x:v>7065263898</x:v>
      </x:c>
      <x:c r="E5033" t="str" s="2">
        <x:v>Kaylamarie21799@icloud.com</x:v>
      </x:c>
      <x:c r="F5033" t="str" s="2">
        <x:v>Landing_BPM</x:v>
      </x:c>
      <x:c r="G5033" t="str" s="2">
        <x:v>Jennifer Johnson</x:v>
      </x:c>
      <x:c r="H5033" s="6">
        <x:v>46292.71723217593</x:v>
      </x:c>
      <x:c r="I5033" s="0"/>
      <x:c r="J5033" s="0"/>
      <x:c r="K5033" s="6">
        <x:v>46297</x:v>
      </x:c>
      <x:c r="L5033" t="str" s="2">
        <x:v>Message Sent</x:v>
      </x:c>
    </x:row>
    <x:row r="5034">
      <x:c r="A5034" t="str" s="2">
        <x:f>="Tyson Randall"</x:f>
      </x:c>
      <x:c r="B5034" t="str" s="2">
        <x:v>Heritage Housing of Tulsa</x:v>
      </x:c>
      <x:c r="C5034" t="str" s="2">
        <x:v/>
      </x:c>
      <x:c r="D5034" t="str" s="2">
        <x:v>9188754573</x:v>
      </x:c>
      <x:c r="E5034" t="str" s="2">
        <x:v>tyrandall292@gmail.com</x:v>
      </x:c>
      <x:c r="F5034" t="str" s="2">
        <x:v>Landing_BPM</x:v>
      </x:c>
      <x:c r="G5034" t="str" s="2">
        <x:v>Jenna Fransisco</x:v>
      </x:c>
      <x:c r="H5034" s="6">
        <x:v>46292.73425732639</x:v>
      </x:c>
      <x:c r="I5034" s="0"/>
      <x:c r="J5034" s="0"/>
      <x:c r="K5034" s="6">
        <x:v>46294</x:v>
      </x:c>
      <x:c r="L5034" t="str" s="2">
        <x:v>Message Sent</x:v>
      </x:c>
    </x:row>
    <x:row r="5035">
      <x:c r="A5035" t="str" s="2">
        <x:f>="Demond Herring"</x:f>
      </x:c>
      <x:c r="B5035" t="str" s="2">
        <x:v>Heritage Housing of Albany</x:v>
      </x:c>
      <x:c r="C5035" t="str" s="2">
        <x:v/>
      </x:c>
      <x:c r="D5035" t="str" s="2">
        <x:v>2294298995</x:v>
      </x:c>
      <x:c r="E5035" t="str" s="2">
        <x:v>herringdemond7@gmail.com</x:v>
      </x:c>
      <x:c r="F5035" t="str" s="2">
        <x:v>Landing_BPM</x:v>
      </x:c>
      <x:c r="G5035" t="str" s="2">
        <x:v>Yanet Alvarez</x:v>
      </x:c>
      <x:c r="H5035" s="6">
        <x:v>46292.73639424769</x:v>
      </x:c>
      <x:c r="I5035" s="0"/>
      <x:c r="J5035" s="0"/>
      <x:c r="K5035" s="6">
        <x:v>46292</x:v>
      </x:c>
      <x:c r="L5035" t="str" s="2">
        <x:v>Message Sent</x:v>
      </x:c>
    </x:row>
    <x:row r="5036">
      <x:c r="A5036" t="str" s="2">
        <x:f>="Anita Hill"</x:f>
      </x:c>
      <x:c r="B5036" t="str" s="2">
        <x:v>Heritage Housing of Albany</x:v>
      </x:c>
      <x:c r="C5036" t="str" s="2">
        <x:v/>
      </x:c>
      <x:c r="D5036" t="str" s="2">
        <x:v>2293050337</x:v>
      </x:c>
      <x:c r="E5036" t="str" s="2">
        <x:v>hillatin@gmail.com</x:v>
      </x:c>
      <x:c r="F5036" t="str" s="2">
        <x:v>Landing_BPM</x:v>
      </x:c>
      <x:c r="G5036" t="str" s="2">
        <x:v>Yanet Alvarez</x:v>
      </x:c>
      <x:c r="H5036" s="6">
        <x:v>46292.75042815972</x:v>
      </x:c>
      <x:c r="I5036" s="0"/>
      <x:c r="J5036" s="0"/>
      <x:c r="K5036" s="6">
        <x:v>46303</x:v>
      </x:c>
      <x:c r="L5036" t="str" s="2">
        <x:v>Message Sent</x:v>
      </x:c>
    </x:row>
    <x:row r="5037">
      <x:c r="A5037" t="str" s="2">
        <x:f>="Cody Weller"</x:f>
      </x:c>
      <x:c r="B5037" t="str" s="2">
        <x:v>Heritage Housing of Tulsa</x:v>
      </x:c>
      <x:c r="C5037" t="str" s="2">
        <x:v/>
      </x:c>
      <x:c r="D5037" t="str" s="2">
        <x:v>9183786700</x:v>
      </x:c>
      <x:c r="E5037" t="str" s="2">
        <x:v>codycarl26@gmail.com</x:v>
      </x:c>
      <x:c r="F5037" t="str" s="2">
        <x:v>Landing_BPM</x:v>
      </x:c>
      <x:c r="G5037" t="str" s="2">
        <x:v>Jenna Fransisco</x:v>
      </x:c>
      <x:c r="H5037" s="6">
        <x:v>46292.79371061343</x:v>
      </x:c>
      <x:c r="I5037" s="0"/>
      <x:c r="J5037" s="0"/>
      <x:c r="K5037" s="6">
        <x:v>46294</x:v>
      </x:c>
      <x:c r="L5037" t="str" s="2">
        <x:v>Message Sent</x:v>
      </x:c>
    </x:row>
    <x:row r="5038">
      <x:c r="A5038" t="str" s="2">
        <x:f>="Adulfa Contreras"</x:f>
      </x:c>
      <x:c r="B5038" t="str" s="2">
        <x:v>Legacy Housing Corp. DBA Americasa</x:v>
      </x:c>
      <x:c r="C5038" t="str" s="2">
        <x:v/>
      </x:c>
      <x:c r="D5038" t="str" s="2">
        <x:v>8324709361</x:v>
      </x:c>
      <x:c r="E5038" t="str" s="2">
        <x:v>contrerasadulfa@gmail.com</x:v>
      </x:c>
      <x:c r="F5038" t="str" s="2">
        <x:v>Landing_BPM</x:v>
      </x:c>
      <x:c r="G5038" t="str" s="2">
        <x:v>Joey Marquez</x:v>
      </x:c>
      <x:c r="H5038" s="6">
        <x:v>46292.79552962963</x:v>
      </x:c>
      <x:c r="I5038" s="0"/>
      <x:c r="J5038" s="0"/>
      <x:c r="K5038" s="6">
        <x:v>46293</x:v>
      </x:c>
      <x:c r="L5038" t="str" s="2">
        <x:v>Message Sent</x:v>
      </x:c>
    </x:row>
    <x:row r="5039">
      <x:c r="A5039" t="str" s="2">
        <x:f>="Janice O'Neill"</x:f>
      </x:c>
      <x:c r="B5039" t="str" s="2">
        <x:v>Legacy Housing Corp. DBA Americasa</x:v>
      </x:c>
      <x:c r="C5039" t="str" s="2">
        <x:v/>
      </x:c>
      <x:c r="D5039" t="str" s="2">
        <x:v>9362501700</x:v>
      </x:c>
      <x:c r="E5039" t="str" s="2">
        <x:v>oneill.jan87@gmail.com</x:v>
      </x:c>
      <x:c r="F5039" t="str" s="2">
        <x:v>Landing_BPM</x:v>
      </x:c>
      <x:c r="G5039" t="str" s="2">
        <x:v>Jose Parada</x:v>
      </x:c>
      <x:c r="H5039" s="6">
        <x:v>46292.84315752315</x:v>
      </x:c>
      <x:c r="I5039" s="0"/>
      <x:c r="J5039" s="0"/>
      <x:c r="K5039" s="6">
        <x:v>46293</x:v>
      </x:c>
      <x:c r="L5039" t="str" s="2">
        <x:v>Message Sent</x:v>
      </x:c>
    </x:row>
    <x:row r="5040">
      <x:c r="A5040" t="str" s="2">
        <x:f>="Taleah Tuff"</x:f>
      </x:c>
      <x:c r="B5040" t="str" s="2">
        <x:v>Heritage Housing of Albany</x:v>
      </x:c>
      <x:c r="C5040" t="str" s="2">
        <x:v/>
      </x:c>
      <x:c r="D5040" t="str" s="2">
        <x:v>9433021656</x:v>
      </x:c>
      <x:c r="E5040" t="str" s="2">
        <x:v>tuff.notary@gmail.com</x:v>
      </x:c>
      <x:c r="F5040" t="str" s="2">
        <x:v>Landing_BPM</x:v>
      </x:c>
      <x:c r="G5040" t="str" s="2">
        <x:v>Yanet Alvarez</x:v>
      </x:c>
      <x:c r="H5040" s="6">
        <x:v>46292.84316215278</x:v>
      </x:c>
      <x:c r="I5040" s="0"/>
      <x:c r="J5040" s="0"/>
      <x:c r="K5040" s="6">
        <x:v>46294</x:v>
      </x:c>
      <x:c r="L5040" t="str" s="2">
        <x:v>Message Sent</x:v>
      </x:c>
    </x:row>
    <x:row r="5041">
      <x:c r="A5041" t="str" s="2">
        <x:f>="Etta allen"</x:f>
      </x:c>
      <x:c r="B5041" t="str" s="2">
        <x:v>Heritage Housing of Asheboro</x:v>
      </x:c>
      <x:c r="C5041" t="str" s="2">
        <x:v/>
      </x:c>
      <x:c r="D5041" t="str" s="2">
        <x:v>5402902259</x:v>
      </x:c>
      <x:c r="E5041" t="str" s="2">
        <x:v>msblann@yahoo.com</x:v>
      </x:c>
      <x:c r="F5041" t="str" s="2">
        <x:v>Landing_BPM</x:v>
      </x:c>
      <x:c r="G5041" t="str" s="2">
        <x:v>Maria Lopez</x:v>
      </x:c>
      <x:c r="H5041" s="6">
        <x:v>46292.84412137731</x:v>
      </x:c>
      <x:c r="I5041" s="0"/>
      <x:c r="J5041" s="0"/>
      <x:c r="K5041" s="6">
        <x:v>46307</x:v>
      </x:c>
      <x:c r="L5041" t="str" s="2">
        <x:v>Message Sent</x:v>
      </x:c>
    </x:row>
    <x:row r="5042">
      <x:c r="A5042" t="str" s="2">
        <x:f>="Jaydie Ashton"</x:f>
      </x:c>
      <x:c r="B5042" t="str" s="2">
        <x:v>Heritage Housing of Albany</x:v>
      </x:c>
      <x:c r="C5042" t="str" s="2">
        <x:v/>
      </x:c>
      <x:c r="D5042" t="str" s="2">
        <x:v>9039101648</x:v>
      </x:c>
      <x:c r="E5042" t="str" s="2">
        <x:v>skylasmommy8311@gmail.com</x:v>
      </x:c>
      <x:c r="F5042" t="str" s="2">
        <x:v>Financing Form</x:v>
      </x:c>
      <x:c r="G5042" t="str" s="2">
        <x:v>Yanet Alvarez</x:v>
      </x:c>
      <x:c r="H5042" s="6">
        <x:v>46292.84505069444</x:v>
      </x:c>
      <x:c r="I5042" s="0"/>
      <x:c r="J5042" s="0"/>
      <x:c r="K5042" s="6">
        <x:v>46303</x:v>
      </x:c>
      <x:c r="L5042" t="str" s="2">
        <x:v>Message Sent</x:v>
      </x:c>
    </x:row>
    <x:row r="5043">
      <x:c r="A5043" t="str" s="2">
        <x:f>="Constance Davis"</x:f>
      </x:c>
      <x:c r="B5043" t="str" s="2">
        <x:v>Heritage Housing of Greenville</x:v>
      </x:c>
      <x:c r="C5043" t="str" s="2">
        <x:v/>
      </x:c>
      <x:c r="D5043" t="str" s="2">
        <x:v>2605711046</x:v>
      </x:c>
      <x:c r="E5043" t="str" s="2">
        <x:v>Codavis4950@gmail.com</x:v>
      </x:c>
      <x:c r="F5043" t="str" s="2">
        <x:v>Landing_BPM</x:v>
      </x:c>
      <x:c r="G5043" t="str" s="2">
        <x:v>Brooklynn Allen</x:v>
      </x:c>
      <x:c r="H5043" s="6">
        <x:v>46292.8562459838</x:v>
      </x:c>
      <x:c r="I5043" s="0"/>
      <x:c r="J5043" s="0"/>
      <x:c r="K5043" s="6">
        <x:v>46293</x:v>
      </x:c>
      <x:c r="L5043" t="str" s="2">
        <x:v>Message Sent</x:v>
      </x:c>
    </x:row>
    <x:row r="5044">
      <x:c r="A5044" t="str" s="2">
        <x:f>="Melisa Johnson"</x:f>
      </x:c>
      <x:c r="B5044" t="str" s="2">
        <x:v>Heritage Housing of Asheboro</x:v>
      </x:c>
      <x:c r="C5044" t="str" s="2">
        <x:v/>
      </x:c>
      <x:c r="D5044" t="str" s="2">
        <x:v>3368379034</x:v>
      </x:c>
      <x:c r="E5044" t="str" s="2">
        <x:v>MelisaJohnson91@yahoo.com</x:v>
      </x:c>
      <x:c r="F5044" t="str" s="2">
        <x:v>Landing_BPM</x:v>
      </x:c>
      <x:c r="G5044" t="str" s="2">
        <x:v>Joe Lopez</x:v>
      </x:c>
      <x:c r="H5044" s="6">
        <x:v>46292.89297931713</x:v>
      </x:c>
      <x:c r="I5044" s="0"/>
      <x:c r="J5044" s="0"/>
      <x:c r="K5044" s="6">
        <x:v>46297</x:v>
      </x:c>
      <x:c r="L5044" t="str" s="2">
        <x:v>Message Sent</x:v>
      </x:c>
    </x:row>
    <x:row r="5045">
      <x:c r="A5045" t="str" s="2">
        <x:f>="Eric Harerimana Harerimana"</x:f>
      </x:c>
      <x:c r="B5045" t="str" s="2">
        <x:v>Heritage Housing of Canton</x:v>
      </x:c>
      <x:c r="C5045" t="str" s="2">
        <x:v/>
      </x:c>
      <x:c r="D5045" t="str" s="2">
        <x:v>1817846530</x:v>
      </x:c>
      <x:c r="E5045" t="str" s="2">
        <x:v>ericmana91@gmail.com</x:v>
      </x:c>
      <x:c r="F5045" t="str" s="2">
        <x:v>Landing_BPM</x:v>
      </x:c>
      <x:c r="G5045" t="str" s="2">
        <x:v>Maira Garcia</x:v>
      </x:c>
      <x:c r="H5045" s="6">
        <x:v>46292.900041898145</x:v>
      </x:c>
      <x:c r="I5045" s="0"/>
      <x:c r="J5045" s="0"/>
      <x:c r="K5045" s="6">
        <x:v>46293</x:v>
      </x:c>
      <x:c r="L5045" t="str" s="2">
        <x:v>Message Sent</x:v>
      </x:c>
    </x:row>
    <x:row r="5046">
      <x:c r="A5046" t="str" s="2">
        <x:f>="Cherina Winn"</x:f>
      </x:c>
      <x:c r="B5046" t="str" s="2">
        <x:v>Legacy Housing Corp. DBA Americasa</x:v>
      </x:c>
      <x:c r="C5046" t="str" s="2">
        <x:v/>
      </x:c>
      <x:c r="D5046" t="str" s="2">
        <x:v>2814067400</x:v>
      </x:c>
      <x:c r="E5046" t="str" s="2">
        <x:v>winncherina@gmail.com</x:v>
      </x:c>
      <x:c r="F5046" t="str" s="2">
        <x:v>Financing Form</x:v>
      </x:c>
      <x:c r="G5046" t="str" s="2">
        <x:v>Joey Marquez</x:v>
      </x:c>
      <x:c r="H5046" s="6">
        <x:v>46292.965186030095</x:v>
      </x:c>
      <x:c r="I5046" s="0"/>
      <x:c r="J5046" s="0"/>
      <x:c r="K5046" s="6">
        <x:v>46293</x:v>
      </x:c>
      <x:c r="L5046" t="str" s="2">
        <x:v>Message Sent</x:v>
      </x:c>
    </x:row>
    <x:row r="5047">
      <x:c r="A5047" t="str" s="2">
        <x:f>="Antonio Brown"</x:f>
      </x:c>
      <x:c r="B5047" t="str" s="2">
        <x:v>Heritage Housing of Athens</x:v>
      </x:c>
      <x:c r="C5047" t="str" s="2">
        <x:v/>
      </x:c>
      <x:c r="D5047" t="str" s="2">
        <x:v>7065672290</x:v>
      </x:c>
      <x:c r="E5047" t="str" s="2">
        <x:v>ab9521753@gmail.com</x:v>
      </x:c>
      <x:c r="F5047" t="str" s="2">
        <x:v>Landing_BPM</x:v>
      </x:c>
      <x:c r="G5047" t="str" s="2">
        <x:v>Nathan Bishop</x:v>
      </x:c>
      <x:c r="H5047" s="6">
        <x:v>46293.01467392361</x:v>
      </x:c>
      <x:c r="I5047" s="0"/>
      <x:c r="J5047" s="0"/>
      <x:c r="K5047" s="6">
        <x:v>46293</x:v>
      </x:c>
      <x:c r="L5047" t="str" s="2">
        <x:v>Message Sent</x:v>
      </x:c>
    </x:row>
    <x:row r="5048">
      <x:c r="A5048" t="str" s="2">
        <x:f>="Michelle Lacey"</x:f>
      </x:c>
      <x:c r="B5048" t="str" s="2">
        <x:v>Heritage Housing of Jennings</x:v>
      </x:c>
      <x:c r="C5048" t="str" s="2">
        <x:v/>
      </x:c>
      <x:c r="D5048" t="str" s="2">
        <x:v>8133309383</x:v>
      </x:c>
      <x:c r="E5048" t="str" s="2">
        <x:v>leebran32@yahoo.com</x:v>
      </x:c>
      <x:c r="F5048" t="str" s="2">
        <x:v>Landing_BPM</x:v>
      </x:c>
      <x:c r="G5048" t="str" s="2">
        <x:v>Clint O'Neal</x:v>
      </x:c>
      <x:c r="H5048" s="6">
        <x:v>46293.08132384259</x:v>
      </x:c>
      <x:c r="I5048" s="0"/>
      <x:c r="J5048" s="0"/>
      <x:c r="K5048" s="6">
        <x:v>46302.740589733796</x:v>
      </x:c>
      <x:c r="L5048" t="str" s="2">
        <x:v>Message Sent</x:v>
      </x:c>
    </x:row>
    <x:row r="5049">
      <x:c r="A5049" t="str" s="2">
        <x:f>="Sara Carden"</x:f>
      </x:c>
      <x:c r="B5049" t="str" s="2">
        <x:v>Heritage Housing Mt Pleasant</x:v>
      </x:c>
      <x:c r="C5049" t="str" s="2">
        <x:v/>
      </x:c>
      <x:c r="D5049" t="str" s="2">
        <x:v>9037346060</x:v>
      </x:c>
      <x:c r="E5049" t="str" s="2">
        <x:v>Sara00carden@gmail.com</x:v>
      </x:c>
      <x:c r="F5049" t="str" s="2">
        <x:v>Landing_BPM</x:v>
      </x:c>
      <x:c r="G5049" t="str" s="2">
        <x:v>Yarelis Torres</x:v>
      </x:c>
      <x:c r="H5049" s="6">
        <x:v>46293.11013472222</x:v>
      </x:c>
      <x:c r="I5049" s="0"/>
      <x:c r="J5049" s="0"/>
      <x:c r="K5049" s="6">
        <x:v>46293</x:v>
      </x:c>
      <x:c r="L5049" t="str" s="2">
        <x:v>Message Sent</x:v>
      </x:c>
    </x:row>
    <x:row r="5050">
      <x:c r="A5050" t="str" s="2">
        <x:f>="grace littlefield"</x:f>
      </x:c>
      <x:c r="B5050" t="str" s="2">
        <x:v>Heritage Housing of Tulsa</x:v>
      </x:c>
      <x:c r="C5050" t="str" s="2">
        <x:v/>
      </x:c>
      <x:c r="D5050" t="str" s="2">
        <x:v>9189028729</x:v>
      </x:c>
      <x:c r="E5050" t="str" s="2">
        <x:v>gracelittlefield02@gmail.com</x:v>
      </x:c>
      <x:c r="F5050" t="str" s="2">
        <x:v>LandingPage</x:v>
      </x:c>
      <x:c r="G5050" t="str" s="2">
        <x:v>Jenna Fransisco</x:v>
      </x:c>
      <x:c r="H5050" s="6">
        <x:v>46293.12324760417</x:v>
      </x:c>
      <x:c r="I5050" s="0"/>
      <x:c r="J5050" s="0"/>
      <x:c r="K5050" s="6">
        <x:v>46294</x:v>
      </x:c>
      <x:c r="L5050" t="str" s="2">
        <x:v>Message Sent</x:v>
      </x:c>
    </x:row>
    <x:row r="5051">
      <x:c r="A5051" t="str" s="2">
        <x:f>="Mason Williams"</x:f>
      </x:c>
      <x:c r="B5051" t="str" s="2">
        <x:v>Heritage Housing of Asheboro</x:v>
      </x:c>
      <x:c r="C5051" t="str" s="2">
        <x:v/>
      </x:c>
      <x:c r="D5051" t="str" s="2">
        <x:v>252567095</x:v>
      </x:c>
      <x:c r="E5051" t="str" s="2">
        <x:v>mdw2006127@gmail.com</x:v>
      </x:c>
      <x:c r="F5051" t="str" s="2">
        <x:v>LandingPage</x:v>
      </x:c>
      <x:c r="G5051" t="str" s="2">
        <x:v>Kate Gutierrez</x:v>
      </x:c>
      <x:c r="H5051" s="6">
        <x:v>46293.15737615741</x:v>
      </x:c>
      <x:c r="I5051" s="0"/>
      <x:c r="J5051" s="0"/>
      <x:c r="K5051" s="6">
        <x:v>46298</x:v>
      </x:c>
      <x:c r="L5051" t="str" s="2">
        <x:v>Message Sent</x:v>
      </x:c>
    </x:row>
    <x:row r="5052">
      <x:c r="A5052" t="str" s="2">
        <x:f>=HYPERLINK("https://rsms.futurehomex.com/lead/40627", "Fleta Starnes")</x:f>
      </x:c>
      <x:c r="B5052" t="str" s="2">
        <x:v>Heritage Housing of Asheboro</x:v>
      </x:c>
      <x:c r="C5052" t="str" s="2">
        <x:v/>
      </x:c>
      <x:c r="D5052" t="str" s="2">
        <x:v>3365855451</x:v>
      </x:c>
      <x:c r="E5052" t="str" s="2">
        <x:v>fassuccess2017@gmail.com</x:v>
      </x:c>
      <x:c r="F5052" t="str" s="2">
        <x:v>Landing_BPM</x:v>
      </x:c>
      <x:c r="G5052" t="str" s="2">
        <x:v>Joe Lopez</x:v>
      </x:c>
      <x:c r="H5052" s="6">
        <x:v>46293.195606712965</x:v>
      </x:c>
      <x:c r="I5052" t="str" s="2">
        <x:v>Joe Lopez</x:v>
      </x:c>
      <x:c r="J5052" s="0"/>
      <x:c r="K5052" s="6">
        <x:v>46297</x:v>
      </x:c>
      <x:c r="L5052" t="str" s="2">
        <x:v>Message Sent</x:v>
      </x:c>
    </x:row>
    <x:row r="5053">
      <x:c r="A5053" t="str" s="2">
        <x:f>="Kamrynn Stark"</x:f>
      </x:c>
      <x:c r="B5053" t="str" s="2">
        <x:v>Legacy Housing Corp. DBA Americasa</x:v>
      </x:c>
      <x:c r="C5053" t="str" s="2">
        <x:v/>
      </x:c>
      <x:c r="D5053" t="str" s="2">
        <x:v>3463217959</x:v>
      </x:c>
      <x:c r="E5053" t="str" s="2">
        <x:v>kamrynnmichelle08@gmail.com</x:v>
      </x:c>
      <x:c r="F5053" t="str" s="2">
        <x:v>Landing_BPM</x:v>
      </x:c>
      <x:c r="G5053" t="str" s="2">
        <x:v>Jose Parada</x:v>
      </x:c>
      <x:c r="H5053" s="6">
        <x:v>46293.20908642361</x:v>
      </x:c>
      <x:c r="I5053" s="0"/>
      <x:c r="J5053" s="0"/>
      <x:c r="K5053" s="6">
        <x:v>46293</x:v>
      </x:c>
      <x:c r="L5053" t="str" s="2">
        <x:v>Message Sent</x:v>
      </x:c>
    </x:row>
    <x:row r="5054">
      <x:c r="A5054" t="str" s="2">
        <x:f>="Linda Jacques"</x:f>
      </x:c>
      <x:c r="B5054" t="str" s="2">
        <x:v>Heritage Housing of Athens</x:v>
      </x:c>
      <x:c r="C5054" t="str" s="2">
        <x:v/>
      </x:c>
      <x:c r="D5054" t="str" s="2">
        <x:v>6788233870</x:v>
      </x:c>
      <x:c r="E5054" t="str" s="2">
        <x:v>dianejacques@yahoo.com</x:v>
      </x:c>
      <x:c r="F5054" t="str" s="2">
        <x:v>Landing_BPM</x:v>
      </x:c>
      <x:c r="G5054" t="str" s="2">
        <x:v>Nathan Bishop</x:v>
      </x:c>
      <x:c r="H5054" s="6">
        <x:v>46293.22345883102</x:v>
      </x:c>
      <x:c r="I5054" s="0"/>
      <x:c r="J5054" s="0"/>
      <x:c r="K5054" s="6">
        <x:v>46293.67668943287</x:v>
      </x:c>
      <x:c r="L5054" t="str" s="2">
        <x:v>Message Sent</x:v>
      </x:c>
    </x:row>
    <x:row r="5055">
      <x:c r="A5055" t="str" s="2">
        <x:f>="Jeffery Lison"</x:f>
      </x:c>
      <x:c r="B5055" t="str" s="2">
        <x:v>Heritage Housing Mt Pleasant</x:v>
      </x:c>
      <x:c r="C5055" t="str" s="2">
        <x:v/>
      </x:c>
      <x:c r="D5055" t="str" s="2">
        <x:v>6055800513</x:v>
      </x:c>
      <x:c r="E5055" t="str" s="2">
        <x:v>klauslison718@gmail.com</x:v>
      </x:c>
      <x:c r="F5055" t="str" s="2">
        <x:v>Landing_BPM</x:v>
      </x:c>
      <x:c r="G5055" t="str" s="2">
        <x:v>Elias Gallardo</x:v>
      </x:c>
      <x:c r="H5055" s="6">
        <x:v>46293.324249618054</x:v>
      </x:c>
      <x:c r="I5055" s="0"/>
      <x:c r="J5055" s="0"/>
      <x:c r="K5055" s="6">
        <x:v>46293</x:v>
      </x:c>
      <x:c r="L5055" t="str" s="2">
        <x:v>Message Sent</x:v>
      </x:c>
    </x:row>
    <x:row r="5056">
      <x:c r="A5056" t="str" s="2">
        <x:f>="Alberto Hernandez chavez"</x:f>
      </x:c>
      <x:c r="B5056" t="str" s="2">
        <x:v>Heritage Housing of Tulsa</x:v>
      </x:c>
      <x:c r="C5056" t="str" s="2">
        <x:v/>
      </x:c>
      <x:c r="D5056" t="str" s="2">
        <x:v>9188083531</x:v>
      </x:c>
      <x:c r="E5056" t="str" s="2">
        <x:v>albertoisaac1020@gmail.com</x:v>
      </x:c>
      <x:c r="F5056" t="str" s="2">
        <x:v>Landing_BPM</x:v>
      </x:c>
      <x:c r="G5056" t="str" s="2">
        <x:v>Jenna Fransisco</x:v>
      </x:c>
      <x:c r="H5056" s="6">
        <x:v>46293.38559471065</x:v>
      </x:c>
      <x:c r="I5056" s="0"/>
      <x:c r="J5056" s="0"/>
      <x:c r="K5056" s="6">
        <x:v>46294</x:v>
      </x:c>
      <x:c r="L5056" t="str" s="2">
        <x:v>Message Sent</x:v>
      </x:c>
    </x:row>
    <x:row r="5057">
      <x:c r="A5057" t="str" s="2">
        <x:f>="Mirna Armstrong"</x:f>
      </x:c>
      <x:c r="B5057" t="str" s="2">
        <x:v>Heritage Housing of Canton</x:v>
      </x:c>
      <x:c r="C5057" t="str" s="2">
        <x:v/>
      </x:c>
      <x:c r="D5057" t="str" s="2">
        <x:v>9034025021</x:v>
      </x:c>
      <x:c r="E5057" t="str" s="2">
        <x:v>g1895959@gmail.com</x:v>
      </x:c>
      <x:c r="F5057" t="str" s="2">
        <x:v>Landing_BPM</x:v>
      </x:c>
      <x:c r="G5057" t="str" s="2">
        <x:v>Jacob Hatten</x:v>
      </x:c>
      <x:c r="H5057" s="6">
        <x:v>46293.530541631946</x:v>
      </x:c>
      <x:c r="I5057" s="0"/>
      <x:c r="J5057" s="0"/>
      <x:c r="K5057" s="6">
        <x:v>46293</x:v>
      </x:c>
      <x:c r="L5057" t="str" s="2">
        <x:v>Message Sent</x:v>
      </x:c>
    </x:row>
    <x:row r="5058">
      <x:c r="A5058" t="str" s="2">
        <x:f>="Angela White"</x:f>
      </x:c>
      <x:c r="B5058" t="str" s="2">
        <x:v>Heritage Housing of Augusta</x:v>
      </x:c>
      <x:c r="C5058" t="str" s="2">
        <x:v/>
      </x:c>
      <x:c r="D5058" t="str" s="2">
        <x:v>6785511359</x:v>
      </x:c>
      <x:c r="E5058" t="str" s="2">
        <x:v>queenofangels426@gmail.com</x:v>
      </x:c>
      <x:c r="F5058" t="str" s="2">
        <x:v>Landing_BPM</x:v>
      </x:c>
      <x:c r="G5058" t="str" s="2">
        <x:v>Jennifer Johnson</x:v>
      </x:c>
      <x:c r="H5058" s="6">
        <x:v>46293.55153730324</x:v>
      </x:c>
      <x:c r="I5058" s="0"/>
      <x:c r="J5058" s="0"/>
      <x:c r="K5058" s="6">
        <x:v>46301</x:v>
      </x:c>
      <x:c r="L5058" t="str" s="2">
        <x:v>Message Sent</x:v>
      </x:c>
    </x:row>
    <x:row r="5059">
      <x:c r="A5059" t="str" s="2">
        <x:f>="Dinorah Padilla Padilla"</x:f>
      </x:c>
      <x:c r="B5059" t="str" s="2">
        <x:v>Heritage Housing of Asheboro</x:v>
      </x:c>
      <x:c r="C5059" t="str" s="2">
        <x:v/>
      </x:c>
      <x:c r="D5059" t="str" s="2">
        <x:v>3368139918</x:v>
      </x:c>
      <x:c r="E5059" t="str" s="2">
        <x:v>padilla.dinorah@gmail.com</x:v>
      </x:c>
      <x:c r="F5059" t="str" s="2">
        <x:v>Landing_BPM</x:v>
      </x:c>
      <x:c r="G5059" t="str" s="2">
        <x:v>Maria Lopez</x:v>
      </x:c>
      <x:c r="H5059" s="6">
        <x:v>46293.55684861111</x:v>
      </x:c>
      <x:c r="I5059" s="0"/>
      <x:c r="J5059" s="0"/>
      <x:c r="K5059" s="6">
        <x:v>46293</x:v>
      </x:c>
      <x:c r="L5059" t="str" s="2">
        <x:v>Message Sent</x:v>
      </x:c>
    </x:row>
    <x:row r="5060">
      <x:c r="A5060" t="str" s="2">
        <x:f>="Lori Mentele Mentele"</x:f>
      </x:c>
      <x:c r="B5060" t="str" s="2">
        <x:v>Heritage Housing of Albany</x:v>
      </x:c>
      <x:c r="C5060" t="str" s="2">
        <x:v/>
      </x:c>
      <x:c r="D5060" t="str" s="2">
        <x:v>8505673371</x:v>
      </x:c>
      <x:c r="E5060" t="str" s="2">
        <x:v>turbo32308@yahoo.com</x:v>
      </x:c>
      <x:c r="F5060" t="str" s="2">
        <x:v>Landing_BPM</x:v>
      </x:c>
      <x:c r="G5060" t="str" s="2">
        <x:v>Yanet Alvarez</x:v>
      </x:c>
      <x:c r="H5060" s="6">
        <x:v>46293.61205008102</x:v>
      </x:c>
      <x:c r="I5060" s="0"/>
      <x:c r="J5060" s="0"/>
      <x:c r="K5060" s="6">
        <x:v>46293</x:v>
      </x:c>
      <x:c r="L5060" t="str" s="2">
        <x:v>Message Sent</x:v>
      </x:c>
    </x:row>
    <x:row r="5061">
      <x:c r="A5061" t="str" s="2">
        <x:f>="Shemika Massey"</x:f>
      </x:c>
      <x:c r="B5061" t="str" s="2">
        <x:v>Heritage Housing of Asheboro</x:v>
      </x:c>
      <x:c r="C5061" t="str" s="2">
        <x:v/>
      </x:c>
      <x:c r="D5061" t="str" s="2">
        <x:v>3366531144</x:v>
      </x:c>
      <x:c r="E5061" t="str" s="2">
        <x:v>mikaw17@gmail.com</x:v>
      </x:c>
      <x:c r="F5061" t="str" s="2">
        <x:v>Landing_BPM</x:v>
      </x:c>
      <x:c r="G5061" t="str" s="2">
        <x:v>Joe Lopez</x:v>
      </x:c>
      <x:c r="H5061" s="6">
        <x:v>46293.61629690972</x:v>
      </x:c>
      <x:c r="I5061" s="0"/>
      <x:c r="J5061" s="0"/>
      <x:c r="K5061" s="6">
        <x:v>46297</x:v>
      </x:c>
      <x:c r="L5061" t="str" s="2">
        <x:v>Message Sent</x:v>
      </x:c>
    </x:row>
    <x:row r="5062">
      <x:c r="A5062" t="str" s="2">
        <x:f>="Phillip Roberts"</x:f>
      </x:c>
      <x:c r="B5062" t="str" s="2">
        <x:v>Heritage Housing Mt Pleasant</x:v>
      </x:c>
      <x:c r="C5062" t="str" s="2">
        <x:v/>
      </x:c>
      <x:c r="D5062" t="str" s="2">
        <x:v>9036692769</x:v>
      </x:c>
      <x:c r="E5062" t="str" s="2">
        <x:v>phillroberts66@yahoo.com</x:v>
      </x:c>
      <x:c r="F5062" t="str" s="2">
        <x:v>Landing_BPM</x:v>
      </x:c>
      <x:c r="G5062" t="str" s="2">
        <x:v>Sandra Saldana</x:v>
      </x:c>
      <x:c r="H5062" s="6">
        <x:v>46293.61860292824</x:v>
      </x:c>
      <x:c r="I5062" s="0"/>
      <x:c r="J5062" s="0"/>
      <x:c r="K5062" s="6">
        <x:v>46293</x:v>
      </x:c>
      <x:c r="L5062" t="str" s="2">
        <x:v>Message Sent</x:v>
      </x:c>
    </x:row>
    <x:row r="5063">
      <x:c r="A5063" t="str" s="2">
        <x:f>="Tyler Almand"</x:f>
      </x:c>
      <x:c r="B5063" t="str" s="2">
        <x:v>Heritage Housing of Tulsa</x:v>
      </x:c>
      <x:c r="C5063" t="str" s="2">
        <x:v/>
      </x:c>
      <x:c r="D5063" t="str" s="2">
        <x:v>9182446477</x:v>
      </x:c>
      <x:c r="E5063" t="str" s="2">
        <x:v>talmand6477@gmail.com</x:v>
      </x:c>
      <x:c r="F5063" t="str" s="2">
        <x:v>Landing_BPM</x:v>
      </x:c>
      <x:c r="G5063" t="str" s="2">
        <x:v>Jenna Fransisco</x:v>
      </x:c>
      <x:c r="H5063" s="6">
        <x:v>46293.63412268519</x:v>
      </x:c>
      <x:c r="I5063" s="0"/>
      <x:c r="J5063" s="0"/>
      <x:c r="K5063" s="6">
        <x:v>46294</x:v>
      </x:c>
      <x:c r="L5063" t="str" s="2">
        <x:v>Message Sent</x:v>
      </x:c>
    </x:row>
    <x:row r="5064">
      <x:c r="A5064" t="str" s="2">
        <x:f>="Rafael Villarreal"</x:f>
      </x:c>
      <x:c r="B5064" t="str" s="2">
        <x:v>Heritage Housing of Jennings</x:v>
      </x:c>
      <x:c r="C5064" t="str" s="2">
        <x:v/>
      </x:c>
      <x:c r="D5064" t="str" s="2">
        <x:v>3377617833</x:v>
      </x:c>
      <x:c r="E5064" t="str" s="2">
        <x:v>rafaelvillarrealseptember1970@gmail.co</x:v>
      </x:c>
      <x:c r="F5064" t="str" s="2">
        <x:v>Financing Form</x:v>
      </x:c>
      <x:c r="G5064" t="str" s="2">
        <x:v>Clint O'Neal</x:v>
      </x:c>
      <x:c r="H5064" s="6">
        <x:v>46293.67832820602</x:v>
      </x:c>
      <x:c r="I5064" s="0"/>
      <x:c r="J5064" s="0"/>
      <x:c r="K5064" s="6">
        <x:v>46302.74544525463</x:v>
      </x:c>
      <x:c r="L5064" t="str" s="2">
        <x:v>Message Sent</x:v>
      </x:c>
    </x:row>
    <x:row r="5065">
      <x:c r="A5065" t="str" s="2">
        <x:f>="Taylor Johnson"</x:f>
      </x:c>
      <x:c r="B5065" t="str" s="2">
        <x:v>Heritage Housing of Athens</x:v>
      </x:c>
      <x:c r="C5065" t="str" s="2">
        <x:v/>
      </x:c>
      <x:c r="D5065" t="str" s="2">
        <x:v>7709401705</x:v>
      </x:c>
      <x:c r="E5065" t="str" s="2">
        <x:v>taylorjjohnson1488@gmail.com</x:v>
      </x:c>
      <x:c r="F5065" t="str" s="2">
        <x:v>Landing_BPM</x:v>
      </x:c>
      <x:c r="G5065" t="str" s="2">
        <x:v>Nathan Bishop</x:v>
      </x:c>
      <x:c r="H5065" s="6">
        <x:v>46293.67915616898</x:v>
      </x:c>
      <x:c r="I5065" s="0"/>
      <x:c r="J5065" s="0"/>
      <x:c r="K5065" s="6">
        <x:v>46307.87761851852</x:v>
      </x:c>
      <x:c r="L5065" t="str" s="2">
        <x:v>Message Sent</x:v>
      </x:c>
    </x:row>
    <x:row r="5066">
      <x:c r="A5066" t="str" s="2">
        <x:f>="Doyle Reaves Reaves"</x:f>
      </x:c>
      <x:c r="B5066" t="str" s="2">
        <x:v>Heritage Housing Mt Pleasant</x:v>
      </x:c>
      <x:c r="C5066" t="str" s="2">
        <x:v/>
      </x:c>
      <x:c r="D5066" t="str" s="2">
        <x:v>9034316722</x:v>
      </x:c>
      <x:c r="E5066" t="str" s="2">
        <x:v>doyle1180@gmail.com</x:v>
      </x:c>
      <x:c r="F5066" t="str" s="2">
        <x:v>Landing_BPM</x:v>
      </x:c>
      <x:c r="G5066" t="str" s="2">
        <x:v>Yarelis Torres</x:v>
      </x:c>
      <x:c r="H5066" s="6">
        <x:v>46293.709486886575</x:v>
      </x:c>
      <x:c r="I5066" s="0"/>
      <x:c r="J5066" s="0"/>
      <x:c r="K5066" s="6">
        <x:v>46294</x:v>
      </x:c>
      <x:c r="L5066" t="str" s="2">
        <x:v>Message Sent</x:v>
      </x:c>
    </x:row>
    <x:row r="5067">
      <x:c r="A5067" t="str" s="2">
        <x:f>="Tobin Lemmons"</x:f>
      </x:c>
      <x:c r="B5067" t="str" s="2">
        <x:v>Heritage Housing of Tulsa</x:v>
      </x:c>
      <x:c r="C5067" t="str" s="2">
        <x:v/>
      </x:c>
      <x:c r="D5067" t="str" s="2">
        <x:v>9185564521</x:v>
      </x:c>
      <x:c r="E5067" t="str" s="2">
        <x:v>tobinlemmonz2020@gmail.com</x:v>
      </x:c>
      <x:c r="F5067" t="str" s="2">
        <x:v>Landing_BPM</x:v>
      </x:c>
      <x:c r="G5067" t="str" s="2">
        <x:v>Jenna Fransisco</x:v>
      </x:c>
      <x:c r="H5067" s="6">
        <x:v>46293.7301378125</x:v>
      </x:c>
      <x:c r="I5067" s="0"/>
      <x:c r="J5067" s="0"/>
      <x:c r="K5067" s="6">
        <x:v>46302</x:v>
      </x:c>
      <x:c r="L5067" t="str" s="2">
        <x:v>Message Sent</x:v>
      </x:c>
    </x:row>
    <x:row r="5068">
      <x:c r="A5068" t="str" s="2">
        <x:f>="Cody Moore"</x:f>
      </x:c>
      <x:c r="B5068" t="str" s="2">
        <x:v>Heritage Housing of Albany</x:v>
      </x:c>
      <x:c r="C5068" t="str" s="2">
        <x:v/>
      </x:c>
      <x:c r="D5068" t="str" s="2">
        <x:v>2297260386</x:v>
      </x:c>
      <x:c r="E5068" t="str" s="2">
        <x:v>mooredaniel8589@gmail.com</x:v>
      </x:c>
      <x:c r="F5068" t="str" s="2">
        <x:v>Landing_BPM</x:v>
      </x:c>
      <x:c r="G5068" t="str" s="2">
        <x:v>Yanet Alvarez</x:v>
      </x:c>
      <x:c r="H5068" s="6">
        <x:v>46293.76930173611</x:v>
      </x:c>
      <x:c r="I5068" s="0"/>
      <x:c r="J5068" s="0"/>
      <x:c r="K5068" s="6">
        <x:v>46307</x:v>
      </x:c>
      <x:c r="L5068" t="str" s="2">
        <x:v>Message Sent</x:v>
      </x:c>
    </x:row>
    <x:row r="5069">
      <x:c r="A5069" t="str" s="2">
        <x:f>="Deborah Doolin"</x:f>
      </x:c>
      <x:c r="B5069" t="str" s="2">
        <x:v>Heritage Housing Mt Pleasant</x:v>
      </x:c>
      <x:c r="C5069" t="str" s="2">
        <x:v/>
      </x:c>
      <x:c r="D5069" t="str" s="2">
        <x:v>9034226542</x:v>
      </x:c>
      <x:c r="E5069" t="str" s="2">
        <x:v>deborahsdoolin@gmail.com</x:v>
      </x:c>
      <x:c r="F5069" t="str" s="2">
        <x:v>Landing_BPM</x:v>
      </x:c>
      <x:c r="G5069" t="str" s="2">
        <x:v>Elias Gallardo</x:v>
      </x:c>
      <x:c r="H5069" s="6">
        <x:v>46293.78724533565</x:v>
      </x:c>
      <x:c r="I5069" s="0"/>
      <x:c r="J5069" s="0"/>
      <x:c r="K5069" s="6">
        <x:v>46296</x:v>
      </x:c>
      <x:c r="L5069" t="str" s="2">
        <x:v>Message Sent</x:v>
      </x:c>
    </x:row>
    <x:row r="5070">
      <x:c r="A5070" t="str" s="2">
        <x:f>="Orlando Rodriguez"</x:f>
      </x:c>
      <x:c r="B5070" t="str" s="2">
        <x:v>Legacy Housing Corp. DBA Americasa</x:v>
      </x:c>
      <x:c r="C5070" t="str" s="2">
        <x:v/>
      </x:c>
      <x:c r="D5070" t="str" s="2">
        <x:v>3465161587</x:v>
      </x:c>
      <x:c r="E5070" t="str" s="2">
        <x:v>orodz97@gmail.com</x:v>
      </x:c>
      <x:c r="F5070" t="str" s="2">
        <x:v>Landing_BPM</x:v>
      </x:c>
      <x:c r="G5070" t="str" s="2">
        <x:v>Joey Marquez</x:v>
      </x:c>
      <x:c r="H5070" s="6">
        <x:v>46293.79487670139</x:v>
      </x:c>
      <x:c r="I5070" s="0"/>
      <x:c r="J5070" s="0"/>
      <x:c r="K5070" s="6">
        <x:v>46293</x:v>
      </x:c>
      <x:c r="L5070" t="str" s="2">
        <x:v>Message Sent</x:v>
      </x:c>
    </x:row>
    <x:row r="5071">
      <x:c r="A5071" t="str" s="2">
        <x:f>="Cantterlera Thomas"</x:f>
      </x:c>
      <x:c r="B5071" t="str" s="2">
        <x:v>Heritage Housing of Albany</x:v>
      </x:c>
      <x:c r="C5071" t="str" s="2">
        <x:v/>
      </x:c>
      <x:c r="D5071" t="str" s="2">
        <x:v>9127310008</x:v>
      </x:c>
      <x:c r="E5071" t="str" s="2">
        <x:v>cantterlerathomas@gmail.com</x:v>
      </x:c>
      <x:c r="F5071" t="str" s="2">
        <x:v>Landing_BPM</x:v>
      </x:c>
      <x:c r="G5071" t="str" s="2">
        <x:v>Yanet Alvarez</x:v>
      </x:c>
      <x:c r="H5071" s="6">
        <x:v>46293.866018252316</x:v>
      </x:c>
      <x:c r="I5071" s="0"/>
      <x:c r="J5071" s="0"/>
      <x:c r="K5071" s="6">
        <x:v>46303</x:v>
      </x:c>
      <x:c r="L5071" t="str" s="2">
        <x:v>Message Sent</x:v>
      </x:c>
    </x:row>
    <x:row r="5072">
      <x:c r="A5072" t="str" s="2">
        <x:f>="Sheena Shipley"</x:f>
      </x:c>
      <x:c r="B5072" t="str" s="2">
        <x:v>Heritage Housing of Tulsa</x:v>
      </x:c>
      <x:c r="C5072" t="str" s="2">
        <x:v/>
      </x:c>
      <x:c r="D5072" t="str" s="2">
        <x:v>9183805661</x:v>
      </x:c>
      <x:c r="E5072" t="str" s="2">
        <x:v>sheenashipley2023@gmail.com</x:v>
      </x:c>
      <x:c r="F5072" t="str" s="2">
        <x:v>Landing_BPM</x:v>
      </x:c>
      <x:c r="G5072" t="str" s="2">
        <x:v>Jenna Fransisco</x:v>
      </x:c>
      <x:c r="H5072" s="6">
        <x:v>46293.89911701389</x:v>
      </x:c>
      <x:c r="I5072" s="0"/>
      <x:c r="J5072" s="0"/>
      <x:c r="K5072" s="6">
        <x:v>46294</x:v>
      </x:c>
      <x:c r="L5072" t="str" s="2">
        <x:v>Message Sent</x:v>
      </x:c>
    </x:row>
    <x:row r="5073">
      <x:c r="A5073" t="str" s="2">
        <x:f>="Kathy Kayser"</x:f>
      </x:c>
      <x:c r="B5073" t="str" s="2">
        <x:v>Heritage Housing of Canton</x:v>
      </x:c>
      <x:c r="C5073" t="str" s="2">
        <x:v/>
      </x:c>
      <x:c r="D5073" t="str" s="2">
        <x:v>2147768931</x:v>
      </x:c>
      <x:c r="E5073" t="str" s="2">
        <x:v>KATHYKAYSER76@GMAIL.COM</x:v>
      </x:c>
      <x:c r="F5073" t="str" s="2">
        <x:v>Landing_BPM</x:v>
      </x:c>
      <x:c r="G5073" t="str" s="2">
        <x:v>Maira Garcia</x:v>
      </x:c>
      <x:c r="H5073" s="6">
        <x:v>46293.93829440972</x:v>
      </x:c>
      <x:c r="I5073" s="0"/>
      <x:c r="J5073" s="0"/>
      <x:c r="K5073" s="6">
        <x:v>46294</x:v>
      </x:c>
      <x:c r="L5073" t="str" s="2">
        <x:v>Message Sent</x:v>
      </x:c>
    </x:row>
    <x:row r="5074">
      <x:c r="A5074" t="str" s="2">
        <x:f>="Linda Skinner"</x:f>
      </x:c>
      <x:c r="B5074" t="str" s="2">
        <x:v>Heritage Housing Mt Pleasant</x:v>
      </x:c>
      <x:c r="C5074" t="str" s="2">
        <x:v/>
      </x:c>
      <x:c r="D5074" t="str" s="2">
        <x:v>7064103479</x:v>
      </x:c>
      <x:c r="E5074" t="str" s="2">
        <x:v>skinnerlindsey91@gmail.com</x:v>
      </x:c>
      <x:c r="F5074" t="str" s="2">
        <x:v>Landing_BPM</x:v>
      </x:c>
      <x:c r="G5074" t="str" s="2">
        <x:v>Sandra Saldana</x:v>
      </x:c>
      <x:c r="H5074" s="6">
        <x:v>46293.97818387731</x:v>
      </x:c>
      <x:c r="I5074" s="0"/>
      <x:c r="J5074" s="0"/>
      <x:c r="K5074" s="6">
        <x:v>46294</x:v>
      </x:c>
      <x:c r="L5074" t="str" s="2">
        <x:v>Message Sent</x:v>
      </x:c>
    </x:row>
    <x:row r="5075">
      <x:c r="A5075" t="str" s="2">
        <x:f>="Tyler Andel"</x:f>
      </x:c>
      <x:c r="B5075" t="str" s="2">
        <x:v>Heritage Housing of Asheboro</x:v>
      </x:c>
      <x:c r="C5075" t="str" s="2">
        <x:v/>
      </x:c>
      <x:c r="D5075" t="str" s="2">
        <x:v>9455993099</x:v>
      </x:c>
      <x:c r="E5075" t="str" s="2">
        <x:v>taandel15@gmail.com</x:v>
      </x:c>
      <x:c r="F5075" t="str" s="2">
        <x:v>Landing_BPM</x:v>
      </x:c>
      <x:c r="G5075" t="str" s="2">
        <x:v>Maria Lopez</x:v>
      </x:c>
      <x:c r="H5075" s="6">
        <x:v>46293.98706087963</x:v>
      </x:c>
      <x:c r="I5075" s="0"/>
      <x:c r="J5075" s="0"/>
      <x:c r="K5075" s="6">
        <x:v>46294</x:v>
      </x:c>
      <x:c r="L5075" t="str" s="2">
        <x:v>Message Sent</x:v>
      </x:c>
    </x:row>
    <x:row r="5076">
      <x:c r="A5076" t="str" s="2">
        <x:f>="Derrick Brown"</x:f>
      </x:c>
      <x:c r="B5076" t="str" s="2">
        <x:v>Heritage Housing of Albany</x:v>
      </x:c>
      <x:c r="C5076" t="str" s="2">
        <x:v/>
      </x:c>
      <x:c r="D5076" t="str" s="2">
        <x:v>2293318929</x:v>
      </x:c>
      <x:c r="E5076" t="str" s="2">
        <x:v>sotoga604@gmail.com</x:v>
      </x:c>
      <x:c r="F5076" t="str" s="2">
        <x:v>Landing_BPM</x:v>
      </x:c>
      <x:c r="G5076" t="str" s="2">
        <x:v>Yanet Alvarez</x:v>
      </x:c>
      <x:c r="H5076" s="6">
        <x:v>46293.98831269676</x:v>
      </x:c>
      <x:c r="I5076" s="0"/>
      <x:c r="J5076" s="0"/>
      <x:c r="K5076" s="6">
        <x:v>46294</x:v>
      </x:c>
      <x:c r="L5076" t="str" s="2">
        <x:v>Message Sent</x:v>
      </x:c>
    </x:row>
    <x:row r="5077">
      <x:c r="A5077" t="str" s="2">
        <x:f>="Andrea Brumbley"</x:f>
      </x:c>
      <x:c r="B5077" t="str" s="2">
        <x:v>Heritage Housing of Tulsa</x:v>
      </x:c>
      <x:c r="C5077" t="str" s="2">
        <x:v/>
      </x:c>
      <x:c r="D5077" t="str" s="2">
        <x:v>4796017218</x:v>
      </x:c>
      <x:c r="E5077" t="str" s="2">
        <x:v>andrea.brumbley@icloud.com</x:v>
      </x:c>
      <x:c r="F5077" t="str" s="2">
        <x:v>Website</x:v>
      </x:c>
      <x:c r="G5077" t="str" s="2">
        <x:v>Jenna Fransisco</x:v>
      </x:c>
      <x:c r="H5077" s="6">
        <x:v>46294.09684224537</x:v>
      </x:c>
      <x:c r="I5077" s="0"/>
      <x:c r="J5077" s="0"/>
      <x:c r="K5077" s="6">
        <x:v>46294</x:v>
      </x:c>
      <x:c r="L5077" t="str" s="2">
        <x:v>Message Sent</x:v>
      </x:c>
    </x:row>
    <x:row r="5078">
      <x:c r="A5078" t="str" s="2">
        <x:f>="Lyle Wiltz"</x:f>
      </x:c>
      <x:c r="B5078" t="str" s="2">
        <x:v>Heritage Housing of Albany</x:v>
      </x:c>
      <x:c r="C5078" t="str" s="2">
        <x:v/>
      </x:c>
      <x:c r="D5078" t="str" s="2">
        <x:v>2254417383</x:v>
      </x:c>
      <x:c r="E5078" t="str" s="2">
        <x:v>babygirlblue202030@gmail.com</x:v>
      </x:c>
      <x:c r="F5078" t="str" s="2">
        <x:v>Financing Form</x:v>
      </x:c>
      <x:c r="G5078" t="str" s="2">
        <x:v>Yanet Alvarez</x:v>
      </x:c>
      <x:c r="H5078" s="6">
        <x:v>46294.10214459491</x:v>
      </x:c>
      <x:c r="I5078" s="0"/>
      <x:c r="J5078" s="0"/>
      <x:c r="K5078" s="6">
        <x:v>46303</x:v>
      </x:c>
      <x:c r="L5078" t="str" s="2">
        <x:v>Message Sent</x:v>
      </x:c>
    </x:row>
    <x:row r="5079">
      <x:c r="A5079" t="str" s="2">
        <x:f>="Alleigh Fry"</x:f>
      </x:c>
      <x:c r="B5079" t="str" s="2">
        <x:v>Heritage Housing of Tulsa</x:v>
      </x:c>
      <x:c r="C5079" t="str" s="2">
        <x:v/>
      </x:c>
      <x:c r="D5079" t="str" s="2">
        <x:v>9183080273</x:v>
      </x:c>
      <x:c r="E5079" t="str" s="2">
        <x:v>alleighfry@gmail.com</x:v>
      </x:c>
      <x:c r="F5079" t="str" s="2">
        <x:v>Financing Form</x:v>
      </x:c>
      <x:c r="G5079" t="str" s="2">
        <x:v>Jenna Fransisco</x:v>
      </x:c>
      <x:c r="H5079" s="6">
        <x:v>46294.107529050925</x:v>
      </x:c>
      <x:c r="I5079" s="0"/>
      <x:c r="J5079" s="0"/>
      <x:c r="K5079" s="6">
        <x:v>46294</x:v>
      </x:c>
      <x:c r="L5079" t="str" s="2">
        <x:v>Message Sent</x:v>
      </x:c>
    </x:row>
    <x:row r="5080">
      <x:c r="A5080" t="str" s="2">
        <x:f>="David Noel"</x:f>
      </x:c>
      <x:c r="B5080" t="str" s="2">
        <x:v>Heritage Housing of Jennings</x:v>
      </x:c>
      <x:c r="C5080" t="str" s="2">
        <x:v/>
      </x:c>
      <x:c r="D5080" t="str" s="2">
        <x:v>3372011514</x:v>
      </x:c>
      <x:c r="E5080" t="str" s="2">
        <x:v>davidjunius1992@gmail.com</x:v>
      </x:c>
      <x:c r="F5080" t="str" s="2">
        <x:v>Landing_BPM</x:v>
      </x:c>
      <x:c r="G5080" t="str" s="2">
        <x:v>Clint O'Neal</x:v>
      </x:c>
      <x:c r="H5080" s="6">
        <x:v>46294.16976547454</x:v>
      </x:c>
      <x:c r="I5080" s="0"/>
      <x:c r="J5080" s="0"/>
      <x:c r="K5080" s="6">
        <x:v>46302.74093449074</x:v>
      </x:c>
      <x:c r="L5080" t="str" s="2">
        <x:v>Message Sent</x:v>
      </x:c>
    </x:row>
    <x:row r="5081">
      <x:c r="A5081" t="str" s="2">
        <x:f>="Andrea Strange"</x:f>
      </x:c>
      <x:c r="B5081" t="str" s="2">
        <x:v>Heritage Housing of Greenville</x:v>
      </x:c>
      <x:c r="C5081" t="str" s="2">
        <x:v>0/1</x:v>
      </x:c>
      <x:c r="D5081" t="str" s="2">
        <x:v>9724895354</x:v>
      </x:c>
      <x:c r="E5081" t="str" s="2">
        <x:v>andreastrange97@yahoo.com</x:v>
      </x:c>
      <x:c r="F5081" t="str" s="2">
        <x:v>Landing_BPM</x:v>
      </x:c>
      <x:c r="G5081" t="str" s="2">
        <x:v>Greg Christman</x:v>
      </x:c>
      <x:c r="H5081" s="6">
        <x:v>46294.2467221412</x:v>
      </x:c>
      <x:c r="I5081" s="0"/>
      <x:c r="J5081" s="0"/>
      <x:c r="K5081" s="6">
        <x:v>46295</x:v>
      </x:c>
      <x:c r="L5081" t="str" s="2">
        <x:v>Message Sent</x:v>
      </x:c>
    </x:row>
    <x:row r="5082">
      <x:c r="A5082" t="str" s="2">
        <x:f>="Donte Hopkins"</x:f>
      </x:c>
      <x:c r="B5082" t="str" s="2">
        <x:v>Heritage Housing of Asheboro</x:v>
      </x:c>
      <x:c r="C5082" t="str" s="2">
        <x:v/>
      </x:c>
      <x:c r="D5082" t="str" s="2">
        <x:v>7042684773</x:v>
      </x:c>
      <x:c r="E5082" t="str" s="2">
        <x:v>dontehopkins79@gmail.com</x:v>
      </x:c>
      <x:c r="F5082" t="str" s="2">
        <x:v>Landing_BPM</x:v>
      </x:c>
      <x:c r="G5082" t="str" s="2">
        <x:v>Joe Lopez</x:v>
      </x:c>
      <x:c r="H5082" s="6">
        <x:v>46294.298880787035</x:v>
      </x:c>
      <x:c r="I5082" s="0"/>
      <x:c r="J5082" s="0"/>
      <x:c r="K5082" s="6">
        <x:v>46297</x:v>
      </x:c>
      <x:c r="L5082" t="str" s="2">
        <x:v>Message Sent</x:v>
      </x:c>
    </x:row>
    <x:row r="5083">
      <x:c r="A5083" t="str" s="2">
        <x:f>="Timothy Nobles"</x:f>
      </x:c>
      <x:c r="B5083" t="str" s="2">
        <x:v>Heritage Housing of Augusta</x:v>
      </x:c>
      <x:c r="C5083" t="str" s="2">
        <x:v/>
      </x:c>
      <x:c r="D5083" t="str" s="2">
        <x:v>4783571372</x:v>
      </x:c>
      <x:c r="E5083" t="str" s="2">
        <x:v>tnobles1979@gmail.com</x:v>
      </x:c>
      <x:c r="F5083" t="str" s="2">
        <x:v>Landing_BPM</x:v>
      </x:c>
      <x:c r="G5083" t="str" s="2">
        <x:v>Jennifer Johnson</x:v>
      </x:c>
      <x:c r="H5083" s="6">
        <x:v>46294.31963614583</x:v>
      </x:c>
      <x:c r="I5083" s="0"/>
      <x:c r="J5083" s="0"/>
      <x:c r="K5083" s="6">
        <x:v>46300</x:v>
      </x:c>
      <x:c r="L5083" t="str" s="2">
        <x:v>Message Sent</x:v>
      </x:c>
    </x:row>
    <x:row r="5084">
      <x:c r="A5084" t="str" s="2">
        <x:f>="Tracy Braxton-Aziz"</x:f>
      </x:c>
      <x:c r="B5084" t="str" s="2">
        <x:v>Heritage Housing of Asheboro</x:v>
      </x:c>
      <x:c r="C5084" t="str" s="2">
        <x:v/>
      </x:c>
      <x:c r="D5084" t="str" s="2">
        <x:v>8049727610</x:v>
      </x:c>
      <x:c r="E5084" t="str" s="2">
        <x:v>taziz1962@gmail.com</x:v>
      </x:c>
      <x:c r="F5084" t="str" s="2">
        <x:v>LandingPage</x:v>
      </x:c>
      <x:c r="G5084" t="str" s="2">
        <x:v>Maria Lopez</x:v>
      </x:c>
      <x:c r="H5084" s="6">
        <x:v>46294.38543133102</x:v>
      </x:c>
      <x:c r="I5084" s="0"/>
      <x:c r="J5084" s="0"/>
      <x:c r="K5084" s="6">
        <x:v>46294</x:v>
      </x:c>
      <x:c r="L5084" t="str" s="2">
        <x:v>Message Sent</x:v>
      </x:c>
    </x:row>
    <x:row r="5085">
      <x:c r="A5085" t="str" s="2">
        <x:f>="Christie Cash"</x:f>
      </x:c>
      <x:c r="B5085" t="str" s="2">
        <x:v>Heritage Housing of Tulsa</x:v>
      </x:c>
      <x:c r="C5085" t="str" s="2">
        <x:v/>
      </x:c>
      <x:c r="D5085" t="str" s="2">
        <x:v>(520)406-0582</x:v>
      </x:c>
      <x:c r="E5085" t="str" s="2">
        <x:v>cdcash0374@gmail.com</x:v>
      </x:c>
      <x:c r="F5085" t="str" s="2">
        <x:v>Landing_BPM</x:v>
      </x:c>
      <x:c r="G5085" t="str" s="2">
        <x:v>Jenna Fransisco</x:v>
      </x:c>
      <x:c r="H5085" s="6">
        <x:v>46294.44669563657</x:v>
      </x:c>
      <x:c r="I5085" s="0"/>
      <x:c r="J5085" s="0"/>
      <x:c r="K5085" s="6">
        <x:v>46294</x:v>
      </x:c>
      <x:c r="L5085" t="str" s="2">
        <x:v>Message Sent</x:v>
      </x:c>
    </x:row>
    <x:row r="5086">
      <x:c r="A5086" t="str" s="2">
        <x:f>="Wesley Richman"</x:f>
      </x:c>
      <x:c r="B5086" t="str" s="2">
        <x:v>Heritage Housing of Canton</x:v>
      </x:c>
      <x:c r="C5086" t="str" s="2">
        <x:v/>
      </x:c>
      <x:c r="D5086" t="str" s="2">
        <x:v>4303024204</x:v>
      </x:c>
      <x:c r="E5086" t="str" s="2">
        <x:v>texasfish1990@gmail.com</x:v>
      </x:c>
      <x:c r="F5086" t="str" s="2">
        <x:v>Financing Form</x:v>
      </x:c>
      <x:c r="G5086" t="str" s="2">
        <x:v>Jacob Hatten</x:v>
      </x:c>
      <x:c r="H5086" s="6">
        <x:v>46294.5069534375</x:v>
      </x:c>
      <x:c r="I5086" s="0"/>
      <x:c r="J5086" s="0"/>
      <x:c r="K5086" s="6">
        <x:v>46302</x:v>
      </x:c>
      <x:c r="L5086" t="str" s="2">
        <x:v>Message Sent</x:v>
      </x:c>
    </x:row>
    <x:row r="5087">
      <x:c r="A5087" t="str" s="2">
        <x:f>="Candace Turner Turner"</x:f>
      </x:c>
      <x:c r="B5087" t="str" s="2">
        <x:v>Heritage Housing Gainesville</x:v>
      </x:c>
      <x:c r="C5087" t="str" s="2">
        <x:v/>
      </x:c>
      <x:c r="D5087" t="str" s="2">
        <x:v>7069701697</x:v>
      </x:c>
      <x:c r="E5087" t="str" s="2">
        <x:v>candilturner1975@gmail.com</x:v>
      </x:c>
      <x:c r="F5087" t="str" s="2">
        <x:v>Landing_BPM</x:v>
      </x:c>
      <x:c r="G5087" t="str" s="2">
        <x:v>Kelly Ford</x:v>
      </x:c>
      <x:c r="H5087" s="6">
        <x:v>46294.553963969905</x:v>
      </x:c>
      <x:c r="I5087" s="0"/>
      <x:c r="J5087" s="0"/>
      <x:c r="K5087" s="6">
        <x:v>46297</x:v>
      </x:c>
      <x:c r="L5087" t="str" s="2">
        <x:v>Message Sent</x:v>
      </x:c>
    </x:row>
    <x:row r="5088">
      <x:c r="A5088" t="str" s="2">
        <x:f>="DIANA MORROW"</x:f>
      </x:c>
      <x:c r="B5088" t="str" s="2">
        <x:v>Heritage Housing of Athens</x:v>
      </x:c>
      <x:c r="C5088" t="str" s="2">
        <x:v/>
      </x:c>
      <x:c r="D5088" t="str" s="2">
        <x:v>4706788712</x:v>
      </x:c>
      <x:c r="E5088" t="str" s="2">
        <x:v>drm22188@gmail.com</x:v>
      </x:c>
      <x:c r="F5088" t="str" s="2">
        <x:v>Landing_BPM</x:v>
      </x:c>
      <x:c r="G5088" t="str" s="2">
        <x:v>Nathan Bishop</x:v>
      </x:c>
      <x:c r="H5088" s="6">
        <x:v>46294.57616466435</x:v>
      </x:c>
      <x:c r="I5088" s="0"/>
      <x:c r="J5088" s="0"/>
      <x:c r="K5088" s="6">
        <x:v>46294.63875416667</x:v>
      </x:c>
      <x:c r="L5088" t="str" s="2">
        <x:v>Message Sent</x:v>
      </x:c>
    </x:row>
    <x:row r="5089">
      <x:c r="A5089" t="str" s="2">
        <x:f>="Antonio Ura Ura"</x:f>
      </x:c>
      <x:c r="B5089" t="str" s="2">
        <x:v>Heritage Housing of Canton</x:v>
      </x:c>
      <x:c r="C5089" t="str" s="2">
        <x:v/>
      </x:c>
      <x:c r="D5089" t="str" s="2">
        <x:v>4695315803</x:v>
      </x:c>
      <x:c r="E5089" t="str" s="2">
        <x:v>dinastiasigma1@gmail.com</x:v>
      </x:c>
      <x:c r="F5089" t="str" s="2">
        <x:v>Landing_BPM</x:v>
      </x:c>
      <x:c r="G5089" t="str" s="2">
        <x:v>Maira Garcia</x:v>
      </x:c>
      <x:c r="H5089" s="6">
        <x:v>46294.59314857639</x:v>
      </x:c>
      <x:c r="I5089" s="0"/>
      <x:c r="J5089" s="0"/>
      <x:c r="K5089" s="6">
        <x:v>46294</x:v>
      </x:c>
      <x:c r="L5089" t="str" s="2">
        <x:v>Message Sent</x:v>
      </x:c>
    </x:row>
    <x:row r="5090">
      <x:c r="A5090" t="str" s="2">
        <x:f>="Jeffrey Hanks"</x:f>
      </x:c>
      <x:c r="B5090" t="str" s="2">
        <x:v>Heritage Housing of Greenville</x:v>
      </x:c>
      <x:c r="C5090" t="str" s="2">
        <x:v/>
      </x:c>
      <x:c r="D5090" t="str" s="2">
        <x:v>8642210348</x:v>
      </x:c>
      <x:c r="E5090" t="str" s="2">
        <x:v>brannonhanks1982@gmail.com</x:v>
      </x:c>
      <x:c r="F5090" t="str" s="2">
        <x:v>Landing_BPM</x:v>
      </x:c>
      <x:c r="G5090" t="str" s="2">
        <x:v>Brooklynn Allen</x:v>
      </x:c>
      <x:c r="H5090" s="6">
        <x:v>46294.59621079861</x:v>
      </x:c>
      <x:c r="I5090" s="0"/>
      <x:c r="J5090" s="0"/>
      <x:c r="K5090" s="6">
        <x:v>46295</x:v>
      </x:c>
      <x:c r="L5090" t="str" s="2">
        <x:v>Message Sent</x:v>
      </x:c>
    </x:row>
    <x:row r="5091">
      <x:c r="A5091" t="str" s="2">
        <x:f>="Christina Mercer Mercer"</x:f>
      </x:c>
      <x:c r="B5091" t="str" s="2">
        <x:v>Heritage Housing Mt Pleasant</x:v>
      </x:c>
      <x:c r="C5091" t="str" s="2">
        <x:v/>
      </x:c>
      <x:c r="D5091" t="str" s="2">
        <x:v>9037074052</x:v>
      </x:c>
      <x:c r="E5091" t="str" s="2">
        <x:v>christinamercer49@gmail.com</x:v>
      </x:c>
      <x:c r="F5091" t="str" s="2">
        <x:v>Landing_BPM</x:v>
      </x:c>
      <x:c r="G5091" t="str" s="2">
        <x:v>Yarelis Torres</x:v>
      </x:c>
      <x:c r="H5091" s="6">
        <x:v>46294.61152546296</x:v>
      </x:c>
      <x:c r="I5091" s="0"/>
      <x:c r="J5091" s="0"/>
      <x:c r="K5091" s="6">
        <x:v>46307</x:v>
      </x:c>
      <x:c r="L5091" t="str" s="2">
        <x:v>Message Sent</x:v>
      </x:c>
    </x:row>
    <x:row r="5092">
      <x:c r="A5092" t="str" s="2">
        <x:f>="Charli Koman"</x:f>
      </x:c>
      <x:c r="B5092" t="str" s="2">
        <x:v>Heritage Housing of Tulsa</x:v>
      </x:c>
      <x:c r="C5092" t="str" s="2">
        <x:v/>
      </x:c>
      <x:c r="D5092" t="str" s="2">
        <x:v>9185598898</x:v>
      </x:c>
      <x:c r="E5092" t="str" s="2">
        <x:v>charlikoman@icloud.con</x:v>
      </x:c>
      <x:c r="F5092" t="str" s="2">
        <x:v>Landing_BPM</x:v>
      </x:c>
      <x:c r="G5092" t="str" s="2">
        <x:v>Jenna Fransisco</x:v>
      </x:c>
      <x:c r="H5092" s="6">
        <x:v>46294.63550228009</x:v>
      </x:c>
      <x:c r="I5092" s="0"/>
      <x:c r="J5092" s="0"/>
      <x:c r="K5092" s="6">
        <x:v>46294</x:v>
      </x:c>
      <x:c r="L5092" t="str" s="2">
        <x:v>Message Sent</x:v>
      </x:c>
    </x:row>
    <x:row r="5093">
      <x:c r="A5093" t="str" s="2">
        <x:f>=HYPERLINK("https://rsms.futurehomex.com/lead/40462", "Edith England")</x:f>
      </x:c>
      <x:c r="B5093" t="str" s="2">
        <x:v>Heritage Housing of Oklahoma City</x:v>
      </x:c>
      <x:c r="C5093" t="str" s="2">
        <x:v/>
      </x:c>
      <x:c r="D5093" t="str" s="2">
        <x:v>4056179698</x:v>
      </x:c>
      <x:c r="E5093" t="str" s="2">
        <x:v>englandedith41@gmail.com</x:v>
      </x:c>
      <x:c r="F5093" t="str" s="2">
        <x:v>Landing_BPM</x:v>
      </x:c>
      <x:c r="G5093" t="str" s="2">
        <x:v>Alejandra Calderon</x:v>
      </x:c>
      <x:c r="H5093" s="6">
        <x:v>46294.6384784375</x:v>
      </x:c>
      <x:c r="I5093" t="str" s="2">
        <x:v>Alejandra Calderon</x:v>
      </x:c>
      <x:c r="J5093" s="0"/>
      <x:c r="K5093" s="6">
        <x:v>46305</x:v>
      </x:c>
      <x:c r="L5093" t="str" s="2">
        <x:v>Message Sent</x:v>
      </x:c>
    </x:row>
    <x:row r="5094">
      <x:c r="A5094" t="str" s="2">
        <x:f>=HYPERLINK("https://rsms.futurehomex.com/lead/40588", "Taira Stewart")</x:f>
      </x:c>
      <x:c r="B5094" t="str" s="2">
        <x:v>Heritage Housing of Greenville</x:v>
      </x:c>
      <x:c r="C5094" t="str" s="2">
        <x:v/>
      </x:c>
      <x:c r="D5094" t="str" s="2">
        <x:v>8172355286</x:v>
      </x:c>
      <x:c r="E5094" t="str" s="2">
        <x:v>tairastewart@yahoo.com</x:v>
      </x:c>
      <x:c r="F5094" t="str" s="2">
        <x:v>Landing_BPM</x:v>
      </x:c>
      <x:c r="G5094" t="str" s="2">
        <x:v>Brooklynn Allen</x:v>
      </x:c>
      <x:c r="H5094" s="6">
        <x:v>46294.660341284725</x:v>
      </x:c>
      <x:c r="I5094" t="str" s="2">
        <x:v>Brooklynn Allen</x:v>
      </x:c>
      <x:c r="J5094" s="0"/>
      <x:c r="K5094" s="6">
        <x:v>46300</x:v>
      </x:c>
      <x:c r="L5094" t="str" s="2">
        <x:v>Message Sent</x:v>
      </x:c>
    </x:row>
    <x:row r="5095">
      <x:c r="A5095" t="str" s="2">
        <x:f>="Brooklyn Stilwell"</x:f>
      </x:c>
      <x:c r="B5095" t="str" s="2">
        <x:v>Heritage Housing of Tulsa</x:v>
      </x:c>
      <x:c r="C5095" t="str" s="2">
        <x:v/>
      </x:c>
      <x:c r="D5095" t="str" s="2">
        <x:v>9187711192</x:v>
      </x:c>
      <x:c r="E5095" t="str" s="2">
        <x:v>mccallb38@gmail.com</x:v>
      </x:c>
      <x:c r="F5095" t="str" s="2">
        <x:v>Landing_BPM</x:v>
      </x:c>
      <x:c r="G5095" t="str" s="2">
        <x:v>Jenna Fransisco</x:v>
      </x:c>
      <x:c r="H5095" s="6">
        <x:v>46294.661016666665</x:v>
      </x:c>
      <x:c r="I5095" s="0"/>
      <x:c r="J5095" s="0"/>
      <x:c r="K5095" s="6">
        <x:v>46294</x:v>
      </x:c>
      <x:c r="L5095" t="str" s="2">
        <x:v>Message Sent</x:v>
      </x:c>
    </x:row>
    <x:row r="5096">
      <x:c r="A5096" t="str" s="2">
        <x:f>="Eric Pemberton"</x:f>
      </x:c>
      <x:c r="B5096" t="str" s="2">
        <x:v>Heritage Housing of Canton</x:v>
      </x:c>
      <x:c r="C5096" t="str" s="2">
        <x:v/>
      </x:c>
      <x:c r="D5096" t="str" s="2">
        <x:v>8179391439</x:v>
      </x:c>
      <x:c r="E5096" t="str" s="2">
        <x:v>epemberton69@gmail.com</x:v>
      </x:c>
      <x:c r="F5096" t="str" s="2">
        <x:v>Landing_BPM</x:v>
      </x:c>
      <x:c r="G5096" t="str" s="2">
        <x:v>Jacob Hatten</x:v>
      </x:c>
      <x:c r="H5096" s="6">
        <x:v>46294.67079621528</x:v>
      </x:c>
      <x:c r="I5096" s="0"/>
      <x:c r="J5096" s="0"/>
      <x:c r="K5096" s="6">
        <x:v>46302</x:v>
      </x:c>
      <x:c r="L5096" t="str" s="2">
        <x:v>Message Sent</x:v>
      </x:c>
    </x:row>
    <x:row r="5097">
      <x:c r="A5097" t="str" s="2">
        <x:f>="Brenda McCarty"</x:f>
      </x:c>
      <x:c r="B5097" t="str" s="2">
        <x:v>Legacy Housing Corp. DBA Americasa</x:v>
      </x:c>
      <x:c r="C5097" t="str" s="2">
        <x:v/>
      </x:c>
      <x:c r="D5097" t="str" s="2">
        <x:v>9792774364</x:v>
      </x:c>
      <x:c r="E5097" t="str" s="2">
        <x:v>besrn93@yahoo.com</x:v>
      </x:c>
      <x:c r="F5097" t="str" s="2">
        <x:v>Landing_BPM</x:v>
      </x:c>
      <x:c r="G5097" t="str" s="2">
        <x:v>Jose Parada</x:v>
      </x:c>
      <x:c r="H5097" s="6">
        <x:v>46294.69592380787</x:v>
      </x:c>
      <x:c r="I5097" s="0"/>
      <x:c r="J5097" s="0"/>
      <x:c r="K5097" s="6">
        <x:v>46294</x:v>
      </x:c>
      <x:c r="L5097" t="str" s="2">
        <x:v>Message Sent</x:v>
      </x:c>
    </x:row>
    <x:row r="5098">
      <x:c r="A5098" t="str" s="2">
        <x:f>=HYPERLINK("https://rsms.futurehomex.com/lead/40626", "Walton White")</x:f>
      </x:c>
      <x:c r="B5098" t="str" s="2">
        <x:v>Heritage Housing of Augusta</x:v>
      </x:c>
      <x:c r="C5098" t="str" s="2">
        <x:v/>
      </x:c>
      <x:c r="D5098" t="str" s="2">
        <x:v>5024356851</x:v>
      </x:c>
      <x:c r="E5098" t="str" s="2">
        <x:v>waltorwhite@yahoo.com</x:v>
      </x:c>
      <x:c r="F5098" t="str" s="2">
        <x:v>Walk-in</x:v>
      </x:c>
      <x:c r="G5098" t="str" s="2">
        <x:v>Jose Chavez</x:v>
      </x:c>
      <x:c r="H5098" s="6">
        <x:v>46294.70794019676</x:v>
      </x:c>
      <x:c r="I5098" t="str" s="2">
        <x:v>Jennifer Johnson</x:v>
      </x:c>
      <x:c r="J5098" s="6">
        <x:v>46302.708333333336</x:v>
      </x:c>
      <x:c r="K5098" s="6">
        <x:v>46303</x:v>
      </x:c>
      <x:c r="L5098" t="str" s="2">
        <x:v>Message Sent</x:v>
      </x:c>
    </x:row>
    <x:row r="5099">
      <x:c r="A5099" t="str" s="2">
        <x:f>="Gene Swicegood"</x:f>
      </x:c>
      <x:c r="B5099" t="str" s="2">
        <x:v>Heritage Housing of Asheboro</x:v>
      </x:c>
      <x:c r="C5099" t="str" s="2">
        <x:v/>
      </x:c>
      <x:c r="D5099" t="str" s="2">
        <x:v>3362399354</x:v>
      </x:c>
      <x:c r="E5099" t="str" s="2">
        <x:v>papafat72@gmail.com</x:v>
      </x:c>
      <x:c r="F5099" t="str" s="2">
        <x:v>Landing_BPM</x:v>
      </x:c>
      <x:c r="G5099" t="str" s="2">
        <x:v>Joe Lopez</x:v>
      </x:c>
      <x:c r="H5099" s="6">
        <x:v>46294.75297056713</x:v>
      </x:c>
      <x:c r="I5099" s="0"/>
      <x:c r="J5099" s="0"/>
      <x:c r="K5099" s="6">
        <x:v>46297</x:v>
      </x:c>
      <x:c r="L5099" t="str" s="2">
        <x:v>Message Sent</x:v>
      </x:c>
    </x:row>
    <x:row r="5100">
      <x:c r="A5100" t="str" s="2">
        <x:f>="Shemiyah Johnson"</x:f>
      </x:c>
      <x:c r="B5100" t="str" s="2">
        <x:v>Heritage Housing of Albany</x:v>
      </x:c>
      <x:c r="C5100" t="str" s="2">
        <x:v/>
      </x:c>
      <x:c r="D5100" t="str" s="2">
        <x:v>4043959486</x:v>
      </x:c>
      <x:c r="E5100" t="str" s="2">
        <x:v>shemiyahjohnson1@gmail.com</x:v>
      </x:c>
      <x:c r="F5100" t="str" s="2">
        <x:v>Website</x:v>
      </x:c>
      <x:c r="G5100" t="str" s="2">
        <x:v>Yanet Alvarez</x:v>
      </x:c>
      <x:c r="H5100" s="6">
        <x:v>46294.7621153588</x:v>
      </x:c>
      <x:c r="I5100" s="0"/>
      <x:c r="J5100" s="0"/>
      <x:c r="K5100" s="6">
        <x:v>46302</x:v>
      </x:c>
      <x:c r="L5100" t="str" s="2">
        <x:v>Message Sent</x:v>
      </x:c>
    </x:row>
    <x:row r="5101">
      <x:c r="A5101" t="str" s="2">
        <x:f>="nick White"</x:f>
      </x:c>
      <x:c r="B5101" t="str" s="2">
        <x:v>Heritage Housing of Albany</x:v>
      </x:c>
      <x:c r="C5101" t="str" s="2">
        <x:v/>
      </x:c>
      <x:c r="D5101" t="str" s="2">
        <x:v>2299429229</x:v>
      </x:c>
      <x:c r="E5101" t="str" s="2">
        <x:v>nickwhite.8@icloud.com</x:v>
      </x:c>
      <x:c r="F5101" t="str" s="2">
        <x:v>Landing_BPM</x:v>
      </x:c>
      <x:c r="G5101" t="str" s="2">
        <x:v>Yanet Alvarez</x:v>
      </x:c>
      <x:c r="H5101" s="6">
        <x:v>46294.82127896991</x:v>
      </x:c>
      <x:c r="I5101" s="0"/>
      <x:c r="J5101" s="0"/>
      <x:c r="K5101" s="6">
        <x:v>46303</x:v>
      </x:c>
      <x:c r="L5101" t="str" s="2">
        <x:v>Message Sent</x:v>
      </x:c>
    </x:row>
    <x:row r="5102">
      <x:c r="A5102" t="str" s="2">
        <x:f>="Holly Witkovski"</x:f>
      </x:c>
      <x:c r="B5102" t="str" s="2">
        <x:v>Heritage Housing Mt Pleasant</x:v>
      </x:c>
      <x:c r="C5102" t="str" s="2">
        <x:v/>
      </x:c>
      <x:c r="D5102" t="str" s="2">
        <x:v>4025986805</x:v>
      </x:c>
      <x:c r="E5102" t="str" s="2">
        <x:v>hwitkovski@yahoo.com</x:v>
      </x:c>
      <x:c r="F5102" t="str" s="2">
        <x:v>Landing_BPM</x:v>
      </x:c>
      <x:c r="G5102" t="str" s="2">
        <x:v>Elias Gallardo</x:v>
      </x:c>
      <x:c r="H5102" s="6">
        <x:v>46294.82571056713</x:v>
      </x:c>
      <x:c r="I5102" s="0"/>
      <x:c r="J5102" s="0"/>
      <x:c r="K5102" s="6">
        <x:v>46296</x:v>
      </x:c>
      <x:c r="L5102" t="str" s="2">
        <x:v>Message Sent</x:v>
      </x:c>
    </x:row>
    <x:row r="5103">
      <x:c r="A5103" t="str" s="2">
        <x:f>="Kimberly Mullen"</x:f>
      </x:c>
      <x:c r="B5103" t="str" s="2">
        <x:v>Heritage Housing of Tulsa</x:v>
      </x:c>
      <x:c r="C5103" t="str" s="2">
        <x:v/>
      </x:c>
      <x:c r="D5103" t="str" s="2">
        <x:v>9183486369</x:v>
      </x:c>
      <x:c r="E5103" t="str" s="2">
        <x:v>kim.willis1@yahoo.com</x:v>
      </x:c>
      <x:c r="F5103" t="str" s="2">
        <x:v>Landing_BPM</x:v>
      </x:c>
      <x:c r="G5103" t="str" s="2">
        <x:v>Jenna Fransisco</x:v>
      </x:c>
      <x:c r="H5103" s="6">
        <x:v>46294.83364957176</x:v>
      </x:c>
      <x:c r="I5103" s="0"/>
      <x:c r="J5103" s="0"/>
      <x:c r="K5103" s="6">
        <x:v>46302</x:v>
      </x:c>
      <x:c r="L5103" t="str" s="2">
        <x:v>Message Sent</x:v>
      </x:c>
    </x:row>
    <x:row r="5104">
      <x:c r="A5104" t="str" s="2">
        <x:f>="Jocelyn sapadin"</x:f>
      </x:c>
      <x:c r="B5104" t="str" s="2">
        <x:v>Heritage Housing of Greenville</x:v>
      </x:c>
      <x:c r="C5104" t="str" s="2">
        <x:v/>
      </x:c>
      <x:c r="D5104" t="str" s="2">
        <x:v>4697231765</x:v>
      </x:c>
      <x:c r="E5104" t="str" s="2">
        <x:v>starrj764@gmail.com</x:v>
      </x:c>
      <x:c r="F5104" t="str" s="2">
        <x:v>Landing_BPM</x:v>
      </x:c>
      <x:c r="G5104" t="str" s="2">
        <x:v>Brooklynn Allen</x:v>
      </x:c>
      <x:c r="H5104" s="6">
        <x:v>46294.8890621875</x:v>
      </x:c>
      <x:c r="I5104" s="0"/>
      <x:c r="J5104" s="0"/>
      <x:c r="K5104" s="6">
        <x:v>46296</x:v>
      </x:c>
      <x:c r="L5104" t="str" s="2">
        <x:v>Message Sent</x:v>
      </x:c>
    </x:row>
    <x:row r="5105">
      <x:c r="A5105" t="str" s="2">
        <x:f>="Leland Martin"</x:f>
      </x:c>
      <x:c r="B5105" t="str" s="2">
        <x:v>Heritage Housing of Greenville</x:v>
      </x:c>
      <x:c r="C5105" t="str" s="2">
        <x:v/>
      </x:c>
      <x:c r="D5105" t="str" s="2">
        <x:v>8033153009</x:v>
      </x:c>
      <x:c r="E5105" t="str" s="2">
        <x:v>handsonmaintenance621@gmail.com</x:v>
      </x:c>
      <x:c r="F5105" t="str" s="2">
        <x:v>Financing Form</x:v>
      </x:c>
      <x:c r="G5105" t="str" s="2">
        <x:v>Brooklynn Allen</x:v>
      </x:c>
      <x:c r="H5105" s="6">
        <x:v>46294.894505902776</x:v>
      </x:c>
      <x:c r="I5105" s="0"/>
      <x:c r="J5105" s="0"/>
      <x:c r="K5105" s="6">
        <x:v>46295</x:v>
      </x:c>
      <x:c r="L5105" t="str" s="2">
        <x:v>Message Sent</x:v>
      </x:c>
    </x:row>
    <x:row r="5106">
      <x:c r="A5106" t="str" s="2">
        <x:f>="Keyuna Sampson"</x:f>
      </x:c>
      <x:c r="B5106" t="str" s="2">
        <x:v>Heritage Housing of Canton</x:v>
      </x:c>
      <x:c r="C5106" t="str" s="2">
        <x:v/>
      </x:c>
      <x:c r="D5106" t="str" s="2">
        <x:v>4695807297</x:v>
      </x:c>
      <x:c r="E5106" t="str" s="2">
        <x:v>yunasampson@yahoo.com</x:v>
      </x:c>
      <x:c r="F5106" t="str" s="2">
        <x:v>Landing_BPM</x:v>
      </x:c>
      <x:c r="G5106" t="str" s="2">
        <x:v>Maira Garcia</x:v>
      </x:c>
      <x:c r="H5106" s="6">
        <x:v>46294.93702619213</x:v>
      </x:c>
      <x:c r="I5106" s="0"/>
      <x:c r="J5106" s="0"/>
      <x:c r="K5106" s="6">
        <x:v>46295</x:v>
      </x:c>
      <x:c r="L5106" t="str" s="2">
        <x:v>Message Sent</x:v>
      </x:c>
    </x:row>
    <x:row r="5107">
      <x:c r="A5107" t="str" s="2">
        <x:f>="Mielna Palencia"</x:f>
      </x:c>
      <x:c r="B5107" t="str" s="2">
        <x:v>Heritage Housing of Athens</x:v>
      </x:c>
      <x:c r="C5107" t="str" s="2">
        <x:v/>
      </x:c>
      <x:c r="D5107" t="str" s="2">
        <x:v>6786227284</x:v>
      </x:c>
      <x:c r="E5107" t="str" s="2">
        <x:v>milena.618powell.mp@gmail.com</x:v>
      </x:c>
      <x:c r="F5107" t="str" s="2">
        <x:v>Landing_BPM</x:v>
      </x:c>
      <x:c r="G5107" t="str" s="2">
        <x:v>Nathan Bishop</x:v>
      </x:c>
      <x:c r="H5107" s="6">
        <x:v>46294.95280061343</x:v>
      </x:c>
      <x:c r="I5107" s="0"/>
      <x:c r="J5107" s="0"/>
      <x:c r="K5107" s="6">
        <x:v>46295.647055787034</x:v>
      </x:c>
      <x:c r="L5107" t="str" s="2">
        <x:v>Message Sent</x:v>
      </x:c>
    </x:row>
    <x:row r="5108">
      <x:c r="A5108" t="str" s="2">
        <x:f>="Angela Muralt"</x:f>
      </x:c>
      <x:c r="B5108" t="str" s="2">
        <x:v>Legacy Housing Corp. DBA Americasa</x:v>
      </x:c>
      <x:c r="C5108" t="str" s="2">
        <x:v/>
      </x:c>
      <x:c r="D5108" t="str" s="2">
        <x:v>9363644570</x:v>
      </x:c>
      <x:c r="E5108" t="str" s="2">
        <x:v>starrexwilliams7@gmail.com</x:v>
      </x:c>
      <x:c r="F5108" t="str" s="2">
        <x:v>Landing_BPM</x:v>
      </x:c>
      <x:c r="G5108" t="str" s="2">
        <x:v>Joey Marquez</x:v>
      </x:c>
      <x:c r="H5108" s="6">
        <x:v>46294.99327306713</x:v>
      </x:c>
      <x:c r="I5108" s="0"/>
      <x:c r="J5108" s="0"/>
      <x:c r="K5108" s="6">
        <x:v>46295</x:v>
      </x:c>
      <x:c r="L5108" t="str" s="2">
        <x:v>Message Sent</x:v>
      </x:c>
    </x:row>
    <x:row r="5109">
      <x:c r="A5109" t="str" s="2">
        <x:f>="Gaven Badeaux"</x:f>
      </x:c>
      <x:c r="B5109" t="str" s="2">
        <x:v>Heritage Housing of Jennings</x:v>
      </x:c>
      <x:c r="C5109" t="str" s="2">
        <x:v/>
      </x:c>
      <x:c r="D5109" t="str" s="2">
        <x:v>3373664279</x:v>
      </x:c>
      <x:c r="E5109" t="str" s="2">
        <x:v>gavenchristian0603@gmail.com</x:v>
      </x:c>
      <x:c r="F5109" t="str" s="2">
        <x:v>Landing_BPM</x:v>
      </x:c>
      <x:c r="G5109" t="str" s="2">
        <x:v>Clint O'Neal</x:v>
      </x:c>
      <x:c r="H5109" s="6">
        <x:v>46295.05071712963</x:v>
      </x:c>
      <x:c r="I5109" s="0"/>
      <x:c r="J5109" s="0"/>
      <x:c r="K5109" s="6">
        <x:v>46302</x:v>
      </x:c>
      <x:c r="L5109" t="str" s="2">
        <x:v>Message Sent</x:v>
      </x:c>
    </x:row>
    <x:row r="5110">
      <x:c r="A5110" t="str" s="2">
        <x:f>="Alex DeLaune"</x:f>
      </x:c>
      <x:c r="B5110" t="str" s="2">
        <x:v>Legacy Housing Corp. DBA Americasa</x:v>
      </x:c>
      <x:c r="C5110" t="str" s="2">
        <x:v/>
      </x:c>
      <x:c r="D5110" t="str" s="2">
        <x:v>5023219693</x:v>
      </x:c>
      <x:c r="E5110" t="str" s="2">
        <x:v>jalexdelaune@gmail.com</x:v>
      </x:c>
      <x:c r="F5110" t="str" s="2">
        <x:v>Website</x:v>
      </x:c>
      <x:c r="G5110" t="str" s="2">
        <x:v>Jose Parada</x:v>
      </x:c>
      <x:c r="H5110" s="6">
        <x:v>46295.05675887731</x:v>
      </x:c>
      <x:c r="I5110" s="0"/>
      <x:c r="J5110" s="0"/>
      <x:c r="K5110" s="6">
        <x:v>46295</x:v>
      </x:c>
      <x:c r="L5110" t="str" s="2">
        <x:v>Message Sent</x:v>
      </x:c>
    </x:row>
    <x:row r="5111">
      <x:c r="A5111" t="str" s="2">
        <x:f>="Dyneisha Gilbert"</x:f>
      </x:c>
      <x:c r="B5111" t="str" s="2">
        <x:v>Legacy Housing Corp. DBA Americasa</x:v>
      </x:c>
      <x:c r="C5111" t="str" s="2">
        <x:v/>
      </x:c>
      <x:c r="D5111" t="str" s="2">
        <x:v>3465060970</x:v>
      </x:c>
      <x:c r="E5111" t="str" s="2">
        <x:v>dyneishagilbert@gmail.com</x:v>
      </x:c>
      <x:c r="F5111" t="str" s="2">
        <x:v>Landing_BPM</x:v>
      </x:c>
      <x:c r="G5111" t="str" s="2">
        <x:v>Joey Marquez</x:v>
      </x:c>
      <x:c r="H5111" s="6">
        <x:v>46295.05743295139</x:v>
      </x:c>
      <x:c r="I5111" s="0"/>
      <x:c r="J5111" s="0"/>
      <x:c r="K5111" s="6">
        <x:v>46295</x:v>
      </x:c>
      <x:c r="L5111" t="str" s="2">
        <x:v>Message Sent</x:v>
      </x:c>
    </x:row>
    <x:row r="5112">
      <x:c r="A5112" t="str" s="2">
        <x:f>="Christopher Martin"</x:f>
      </x:c>
      <x:c r="B5112" t="str" s="2">
        <x:v>Heritage Housing of Tulsa</x:v>
      </x:c>
      <x:c r="C5112" t="str" s="2">
        <x:v/>
      </x:c>
      <x:c r="D5112" t="str" s="2">
        <x:v>5392388008</x:v>
      </x:c>
      <x:c r="E5112" t="str" s="2">
        <x:v>csm99500@gmail.com</x:v>
      </x:c>
      <x:c r="F5112" t="str" s="2">
        <x:v>Landing_BPM</x:v>
      </x:c>
      <x:c r="G5112" t="str" s="2">
        <x:v>Jenna Fransisco</x:v>
      </x:c>
      <x:c r="H5112" s="6">
        <x:v>46295.06385679398</x:v>
      </x:c>
      <x:c r="I5112" s="0"/>
      <x:c r="J5112" s="0"/>
      <x:c r="K5112" s="6">
        <x:v>46302</x:v>
      </x:c>
      <x:c r="L5112" t="str" s="2">
        <x:v>Message Sent</x:v>
      </x:c>
    </x:row>
    <x:row r="5113">
      <x:c r="A5113" t="str" s="2">
        <x:f>="Terry Kilgore"</x:f>
      </x:c>
      <x:c r="B5113" t="str" s="2">
        <x:v>Heritage Housing Mt Pleasant</x:v>
      </x:c>
      <x:c r="C5113" t="str" s="2">
        <x:v/>
      </x:c>
      <x:c r="D5113" t="str" s="2">
        <x:v>9035784701</x:v>
      </x:c>
      <x:c r="E5113" t="str" s="2">
        <x:v>family_man35@yahoo.com</x:v>
      </x:c>
      <x:c r="F5113" t="str" s="2">
        <x:v>Landing_BPM</x:v>
      </x:c>
      <x:c r="G5113" t="str" s="2">
        <x:v>Sandra Saldana</x:v>
      </x:c>
      <x:c r="H5113" s="6">
        <x:v>46295.10218295139</x:v>
      </x:c>
      <x:c r="I5113" s="0"/>
      <x:c r="J5113" s="0"/>
      <x:c r="K5113" s="6">
        <x:v>46295</x:v>
      </x:c>
      <x:c r="L5113" t="str" s="2">
        <x:v>Message Sent</x:v>
      </x:c>
    </x:row>
    <x:row r="5114">
      <x:c r="A5114" t="str" s="2">
        <x:f>="Patrick Harris"</x:f>
      </x:c>
      <x:c r="B5114" t="str" s="2">
        <x:v>Heritage Housing of Asheboro</x:v>
      </x:c>
      <x:c r="C5114" t="str" s="2">
        <x:v/>
      </x:c>
      <x:c r="D5114" t="str" s="2">
        <x:v>3362678979</x:v>
      </x:c>
      <x:c r="E5114" t="str" s="2">
        <x:v>ysareal989@gmail.com</x:v>
      </x:c>
      <x:c r="F5114" t="str" s="2">
        <x:v>LandingPage</x:v>
      </x:c>
      <x:c r="G5114" t="str" s="2">
        <x:v>Kate Gutierrez</x:v>
      </x:c>
      <x:c r="H5114" s="6">
        <x:v>46295.111247685185</x:v>
      </x:c>
      <x:c r="I5114" s="0"/>
      <x:c r="J5114" s="0"/>
      <x:c r="K5114" s="6">
        <x:v>46304</x:v>
      </x:c>
      <x:c r="L5114" t="str" s="2">
        <x:v>Message Sent</x:v>
      </x:c>
    </x:row>
    <x:row r="5115">
      <x:c r="A5115" t="str" s="2">
        <x:f>="Jalen Watson"</x:f>
      </x:c>
      <x:c r="B5115" t="str" s="2">
        <x:v>Legacy Housing Corp. DBA Americasa</x:v>
      </x:c>
      <x:c r="C5115" t="str" s="2">
        <x:v/>
      </x:c>
      <x:c r="D5115" t="str" s="2">
        <x:v>2815776001</x:v>
      </x:c>
      <x:c r="E5115" t="str" s="2">
        <x:v>Jmwatson522@gmail.com</x:v>
      </x:c>
      <x:c r="F5115" t="str" s="2">
        <x:v>Landing_BPM</x:v>
      </x:c>
      <x:c r="G5115" t="str" s="2">
        <x:v>Jose Parada</x:v>
      </x:c>
      <x:c r="H5115" s="6">
        <x:v>46295.120237766205</x:v>
      </x:c>
      <x:c r="I5115" s="0"/>
      <x:c r="J5115" s="0"/>
      <x:c r="K5115" s="6">
        <x:v>46295</x:v>
      </x:c>
      <x:c r="L5115" t="str" s="2">
        <x:v>Message Sent</x:v>
      </x:c>
    </x:row>
    <x:row r="5116">
      <x:c r="A5116" t="str" s="2">
        <x:f>="Carolyn Frazier"</x:f>
      </x:c>
      <x:c r="B5116" t="str" s="2">
        <x:v>Heritage Housing Mt Pleasant</x:v>
      </x:c>
      <x:c r="C5116" t="str" s="2">
        <x:v/>
      </x:c>
      <x:c r="D5116" t="str" s="2">
        <x:v>4302273517</x:v>
      </x:c>
      <x:c r="E5116" t="str" s="2">
        <x:v>roryfrazier81@gmail.com</x:v>
      </x:c>
      <x:c r="F5116" t="str" s="2">
        <x:v>Landing_BPM</x:v>
      </x:c>
      <x:c r="G5116" t="str" s="2">
        <x:v>Yarelis Torres</x:v>
      </x:c>
      <x:c r="H5116" s="6">
        <x:v>46295.153462650465</x:v>
      </x:c>
      <x:c r="I5116" s="0"/>
      <x:c r="J5116" s="0"/>
      <x:c r="K5116" s="6">
        <x:v>46295</x:v>
      </x:c>
      <x:c r="L5116" t="str" s="2">
        <x:v>Message Sent</x:v>
      </x:c>
    </x:row>
    <x:row r="5117">
      <x:c r="A5117" t="str" s="2">
        <x:f>="Brandy Everett"</x:f>
      </x:c>
      <x:c r="B5117" t="str" s="2">
        <x:v>Legacy Housing Corp. DBA Americasa</x:v>
      </x:c>
      <x:c r="C5117" t="str" s="2">
        <x:v/>
      </x:c>
      <x:c r="D5117" t="str" s="2">
        <x:v>7133987072</x:v>
      </x:c>
      <x:c r="E5117" t="str" s="2">
        <x:v>icandobadallbymyself2023@gmail.com</x:v>
      </x:c>
      <x:c r="F5117" t="str" s="2">
        <x:v>Landing_BPM</x:v>
      </x:c>
      <x:c r="G5117" t="str" s="2">
        <x:v>Joey Marquez</x:v>
      </x:c>
      <x:c r="H5117" s="6">
        <x:v>46295.169972881944</x:v>
      </x:c>
      <x:c r="I5117" s="0"/>
      <x:c r="J5117" s="0"/>
      <x:c r="K5117" s="6">
        <x:v>46295</x:v>
      </x:c>
      <x:c r="L5117" t="str" s="2">
        <x:v>Message Sent</x:v>
      </x:c>
    </x:row>
    <x:row r="5118">
      <x:c r="A5118" t="str" s="2">
        <x:f>="Alaniss Gandolfo Lopez Gandolfo Lopez"</x:f>
      </x:c>
      <x:c r="B5118" t="str" s="2">
        <x:v>Heritage Housing Marble Falls</x:v>
      </x:c>
      <x:c r="C5118" t="str" s="2">
        <x:v/>
      </x:c>
      <x:c r="D5118" t="str" s="2">
        <x:v>5177670257</x:v>
      </x:c>
      <x:c r="E5118" t="str" s="2">
        <x:v>alanissfraan@gmail.com</x:v>
      </x:c>
      <x:c r="F5118" t="str" s="2">
        <x:v>Landing_BPM</x:v>
      </x:c>
      <x:c r="G5118" t="str" s="2">
        <x:v>Garrett Riedesel</x:v>
      </x:c>
      <x:c r="H5118" s="6">
        <x:v>46295.27323695602</x:v>
      </x:c>
      <x:c r="I5118" s="0"/>
      <x:c r="J5118" s="0"/>
      <x:c r="K5118" s="6">
        <x:v>46296</x:v>
      </x:c>
      <x:c r="L5118" t="str" s="2">
        <x:v>Message Sent</x:v>
      </x:c>
    </x:row>
    <x:row r="5119">
      <x:c r="A5119" t="str" s="2">
        <x:f>="Meloney Trim"</x:f>
      </x:c>
      <x:c r="B5119" t="str" s="2">
        <x:v>Legacy Housing Corp. DBA Americasa</x:v>
      </x:c>
      <x:c r="C5119" t="str" s="2">
        <x:v/>
      </x:c>
      <x:c r="D5119" t="str" s="2">
        <x:v>3462337598</x:v>
      </x:c>
      <x:c r="E5119" t="str" s="2">
        <x:v>Meloneytrimbookkeeping@gmail.com</x:v>
      </x:c>
      <x:c r="F5119" t="str" s="2">
        <x:v>Landing_BPM</x:v>
      </x:c>
      <x:c r="G5119" t="str" s="2">
        <x:v>Jose Parada</x:v>
      </x:c>
      <x:c r="H5119" s="6">
        <x:v>46295.30845459491</x:v>
      </x:c>
      <x:c r="I5119" s="0"/>
      <x:c r="J5119" s="0"/>
      <x:c r="K5119" s="6">
        <x:v>46295</x:v>
      </x:c>
      <x:c r="L5119" t="str" s="2">
        <x:v>Message Sent</x:v>
      </x:c>
    </x:row>
    <x:row r="5120">
      <x:c r="A5120" t="str" s="2">
        <x:f>="Cindy Birdcreek"</x:f>
      </x:c>
      <x:c r="B5120" t="str" s="2">
        <x:v>Heritage Housing of Tulsa</x:v>
      </x:c>
      <x:c r="C5120" t="str" s="2">
        <x:v/>
      </x:c>
      <x:c r="D5120" t="str" s="2">
        <x:v>9186177638</x:v>
      </x:c>
      <x:c r="E5120" t="str" s="2">
        <x:v>cindybirdcreek46@gmail.com</x:v>
      </x:c>
      <x:c r="F5120" t="str" s="2">
        <x:v>Landing_BPM</x:v>
      </x:c>
      <x:c r="G5120" t="str" s="2">
        <x:v>Jenna Fransisco</x:v>
      </x:c>
      <x:c r="H5120" s="6">
        <x:v>46295.37824699074</x:v>
      </x:c>
      <x:c r="I5120" s="0"/>
      <x:c r="J5120" s="0"/>
      <x:c r="K5120" s="6">
        <x:v>46302</x:v>
      </x:c>
      <x:c r="L5120" t="str" s="2">
        <x:v>Message Sent</x:v>
      </x:c>
    </x:row>
    <x:row r="5121">
      <x:c r="A5121" t="str" s="2">
        <x:f>="Joyce Mazzucco"</x:f>
      </x:c>
      <x:c r="B5121" t="str" s="2">
        <x:v>Heritage Housing of Asheboro</x:v>
      </x:c>
      <x:c r="C5121" t="str" s="2">
        <x:v/>
      </x:c>
      <x:c r="D5121" t="str" s="2">
        <x:v>8572374341</x:v>
      </x:c>
      <x:c r="E5121" t="str" s="2">
        <x:v>jmazzucco19@gmail.com</x:v>
      </x:c>
      <x:c r="F5121" t="str" s="2">
        <x:v>LandingPage</x:v>
      </x:c>
      <x:c r="G5121" t="str" s="2">
        <x:v>Joe Lopez</x:v>
      </x:c>
      <x:c r="H5121" s="6">
        <x:v>46295.51990497685</x:v>
      </x:c>
      <x:c r="I5121" s="0"/>
      <x:c r="J5121" s="0"/>
      <x:c r="K5121" s="6">
        <x:v>46297</x:v>
      </x:c>
      <x:c r="L5121" t="str" s="2">
        <x:v>Message Sent</x:v>
      </x:c>
    </x:row>
    <x:row r="5122">
      <x:c r="A5122" t="str" s="2">
        <x:f>="Crystal Moore"</x:f>
      </x:c>
      <x:c r="B5122" t="str" s="2">
        <x:v>Heritage Housing of Albany</x:v>
      </x:c>
      <x:c r="C5122" t="str" s="2">
        <x:v/>
      </x:c>
      <x:c r="D5122" t="str" s="2">
        <x:v>2299395336</x:v>
      </x:c>
      <x:c r="E5122" t="str" s="2">
        <x:v>Crymoo0909@gmail.com</x:v>
      </x:c>
      <x:c r="F5122" t="str" s="2">
        <x:v>Financing Form</x:v>
      </x:c>
      <x:c r="G5122" t="str" s="2">
        <x:v>Yanet Alvarez</x:v>
      </x:c>
      <x:c r="H5122" s="6">
        <x:v>46295.52424409722</x:v>
      </x:c>
      <x:c r="I5122" s="0"/>
      <x:c r="J5122" s="0"/>
      <x:c r="K5122" s="6">
        <x:v>46295</x:v>
      </x:c>
      <x:c r="L5122" t="str" s="2">
        <x:v>Message Sent</x:v>
      </x:c>
    </x:row>
    <x:row r="5123">
      <x:c r="A5123" t="str" s="2">
        <x:f>="Codey Foster"</x:f>
      </x:c>
      <x:c r="B5123" t="str" s="2">
        <x:v>Heritage Housing of Canton</x:v>
      </x:c>
      <x:c r="C5123" t="str" s="2">
        <x:v/>
      </x:c>
      <x:c r="D5123" t="str" s="2">
        <x:v>9452268703</x:v>
      </x:c>
      <x:c r="E5123" t="str" s="2">
        <x:v>codeyfoster74@gmail.com</x:v>
      </x:c>
      <x:c r="F5123" t="str" s="2">
        <x:v>Landing_BPM</x:v>
      </x:c>
      <x:c r="G5123" t="str" s="2">
        <x:v>Jacob Hatten</x:v>
      </x:c>
      <x:c r="H5123" s="6">
        <x:v>46295.564723344905</x:v>
      </x:c>
      <x:c r="I5123" s="0"/>
      <x:c r="J5123" s="0"/>
      <x:c r="K5123" s="6">
        <x:v>46302</x:v>
      </x:c>
      <x:c r="L5123" t="str" s="2">
        <x:v>Message Sent</x:v>
      </x:c>
    </x:row>
    <x:row r="5124">
      <x:c r="A5124" t="str" s="2">
        <x:f>="Rodriquez King"</x:f>
      </x:c>
      <x:c r="B5124" t="str" s="2">
        <x:v>Heritage Housing of Albany</x:v>
      </x:c>
      <x:c r="C5124" t="str" s="2">
        <x:v/>
      </x:c>
      <x:c r="D5124" t="str" s="2">
        <x:v>2297120935</x:v>
      </x:c>
      <x:c r="E5124" t="str" s="2">
        <x:v>rodriquezking203@gmail.com</x:v>
      </x:c>
      <x:c r="F5124" t="str" s="2">
        <x:v>Website</x:v>
      </x:c>
      <x:c r="G5124" t="str" s="2">
        <x:v>Yanet Alvarez</x:v>
      </x:c>
      <x:c r="H5124" s="6">
        <x:v>46295.583292905096</x:v>
      </x:c>
      <x:c r="I5124" s="0"/>
      <x:c r="J5124" s="0"/>
      <x:c r="K5124" s="6">
        <x:v>46307</x:v>
      </x:c>
      <x:c r="L5124" t="str" s="2">
        <x:v>Message Sent</x:v>
      </x:c>
    </x:row>
    <x:row r="5125">
      <x:c r="A5125" t="str" s="2">
        <x:f>="Kaylynn Jeffers Jeffers"</x:f>
      </x:c>
      <x:c r="B5125" t="str" s="2">
        <x:v>Legacy Housing Corp. DBA Americasa</x:v>
      </x:c>
      <x:c r="C5125" t="str" s="2">
        <x:v/>
      </x:c>
      <x:c r="D5125" t="str" s="2">
        <x:v>9795880097</x:v>
      </x:c>
      <x:c r="E5125" t="str" s="2">
        <x:v>kaylynnjeffers1334@gmail.com</x:v>
      </x:c>
      <x:c r="F5125" t="str" s="2">
        <x:v>Landing_BPM</x:v>
      </x:c>
      <x:c r="G5125" t="str" s="2">
        <x:v>Joey Marquez</x:v>
      </x:c>
      <x:c r="H5125" s="6">
        <x:v>46295.621748530095</x:v>
      </x:c>
      <x:c r="I5125" s="0"/>
      <x:c r="J5125" s="0"/>
      <x:c r="K5125" s="6">
        <x:v>46295</x:v>
      </x:c>
      <x:c r="L5125" t="str" s="2">
        <x:v>Message Sent</x:v>
      </x:c>
    </x:row>
    <x:row r="5126">
      <x:c r="A5126" t="str" s="2">
        <x:f>=HYPERLINK("https://rsms.futurehomex.com/lead/40628", "Rachelle Hand")</x:f>
      </x:c>
      <x:c r="B5126" t="str" s="2">
        <x:v>Heritage Housing of Tulsa</x:v>
      </x:c>
      <x:c r="C5126" t="str" s="2">
        <x:v/>
      </x:c>
      <x:c r="D5126" t="str" s="2">
        <x:v>9182913133</x:v>
      </x:c>
      <x:c r="E5126" t="str" s="2">
        <x:v>chelle518560@gmail.com</x:v>
      </x:c>
      <x:c r="F5126" t="str" s="2">
        <x:v>Landing_BPM</x:v>
      </x:c>
      <x:c r="G5126" t="str" s="2">
        <x:v>Jenna Fransisco</x:v>
      </x:c>
      <x:c r="H5126" s="6">
        <x:v>46295.632577349534</x:v>
      </x:c>
      <x:c r="I5126" t="str" s="2">
        <x:v>Jenna Fransisco</x:v>
      </x:c>
      <x:c r="J5126" s="0"/>
      <x:c r="K5126" s="6">
        <x:v>46302</x:v>
      </x:c>
      <x:c r="L5126" t="str" s="2">
        <x:v>Message Sent</x:v>
      </x:c>
    </x:row>
    <x:row r="5127">
      <x:c r="A5127" t="str" s="2">
        <x:f>="Lindsey Bailey"</x:f>
      </x:c>
      <x:c r="B5127" t="str" s="2">
        <x:v>Heritage Housing of Canton</x:v>
      </x:c>
      <x:c r="C5127" t="str" s="2">
        <x:v/>
      </x:c>
      <x:c r="D5127" t="str" s="2">
        <x:v>4053130746</x:v>
      </x:c>
      <x:c r="E5127" t="str" s="2">
        <x:v>hearthaven@katiejoenterprises.com</x:v>
      </x:c>
      <x:c r="F5127" t="str" s="2">
        <x:v>Website</x:v>
      </x:c>
      <x:c r="G5127" t="str" s="2">
        <x:v>Maira Garcia</x:v>
      </x:c>
      <x:c r="H5127" s="6">
        <x:v>46295.66932508102</x:v>
      </x:c>
      <x:c r="I5127" s="0"/>
      <x:c r="J5127" s="0"/>
      <x:c r="K5127" s="6">
        <x:v>46295</x:v>
      </x:c>
      <x:c r="L5127" t="str" s="2">
        <x:v>Message Sent</x:v>
      </x:c>
    </x:row>
    <x:row r="5128">
      <x:c r="A5128" t="str" s="2">
        <x:f>="Susan Derouen"</x:f>
      </x:c>
      <x:c r="B5128" t="str" s="2">
        <x:v>Heritage Housing of Jennings</x:v>
      </x:c>
      <x:c r="C5128" t="str" s="2">
        <x:v/>
      </x:c>
      <x:c r="D5128" t="str" s="2">
        <x:v>3372815964</x:v>
      </x:c>
      <x:c r="E5128" t="str" s="2">
        <x:v>susanderouen1@gmail.com</x:v>
      </x:c>
      <x:c r="F5128" t="str" s="2">
        <x:v>Landing_BPM</x:v>
      </x:c>
      <x:c r="G5128" t="str" s="2">
        <x:v>Mervin Leslie Smith</x:v>
      </x:c>
      <x:c r="H5128" s="6">
        <x:v>46295.689224270835</x:v>
      </x:c>
      <x:c r="I5128" s="0"/>
      <x:c r="J5128" s="0"/>
      <x:c r="K5128" s="6">
        <x:v>46302.74301825232</x:v>
      </x:c>
      <x:c r="L5128" t="str" s="2">
        <x:v>Message Sent</x:v>
      </x:c>
    </x:row>
    <x:row r="5129">
      <x:c r="A5129" t="str" s="2">
        <x:f>="Jonathan Wood"</x:f>
      </x:c>
      <x:c r="B5129" t="str" s="2">
        <x:v>Heritage Housing of Albany</x:v>
      </x:c>
      <x:c r="C5129" t="str" s="2">
        <x:v/>
      </x:c>
      <x:c r="D5129" t="str" s="2">
        <x:v>2292331413</x:v>
      </x:c>
      <x:c r="E5129" t="str" s="2">
        <x:v>juanmad77@yahoo.com</x:v>
      </x:c>
      <x:c r="F5129" t="str" s="2">
        <x:v>Landing_BPM</x:v>
      </x:c>
      <x:c r="G5129" t="str" s="2">
        <x:v>Yanet Alvarez</x:v>
      </x:c>
      <x:c r="H5129" s="6">
        <x:v>46295.776184918985</x:v>
      </x:c>
      <x:c r="I5129" s="0"/>
      <x:c r="J5129" s="0"/>
      <x:c r="K5129" s="6">
        <x:v>46302</x:v>
      </x:c>
      <x:c r="L5129" t="str" s="2">
        <x:v>Message Sent</x:v>
      </x:c>
    </x:row>
    <x:row r="5130">
      <x:c r="A5130" t="str" s="2">
        <x:f>="John Phillips"</x:f>
      </x:c>
      <x:c r="B5130" t="str" s="2">
        <x:v>Heritage Housing of Asheboro</x:v>
      </x:c>
      <x:c r="C5130" t="str" s="2">
        <x:v/>
      </x:c>
      <x:c r="D5130" t="str" s="2">
        <x:v>9106391255</x:v>
      </x:c>
      <x:c r="E5130" t="str" s="2">
        <x:v>johnnamanda2023@gmail.com</x:v>
      </x:c>
      <x:c r="F5130" t="str" s="2">
        <x:v>Landing_BPM</x:v>
      </x:c>
      <x:c r="G5130" t="str" s="2">
        <x:v>Maria Lopez</x:v>
      </x:c>
      <x:c r="H5130" s="6">
        <x:v>46295.87699042824</x:v>
      </x:c>
      <x:c r="I5130" s="0"/>
      <x:c r="J5130" s="0"/>
      <x:c r="K5130" s="6">
        <x:v>46307</x:v>
      </x:c>
      <x:c r="L5130" t="str" s="2">
        <x:v>Message Sent</x:v>
      </x:c>
    </x:row>
    <x:row r="5131">
      <x:c r="A5131" t="str" s="2">
        <x:f>="John Norris"</x:f>
      </x:c>
      <x:c r="B5131" t="str" s="2">
        <x:v>Heritage Housing of Canton</x:v>
      </x:c>
      <x:c r="C5131" t="str" s="2">
        <x:v/>
      </x:c>
      <x:c r="D5131" t="str" s="2">
        <x:v>4302070916</x:v>
      </x:c>
      <x:c r="E5131" t="str" s="2">
        <x:v>sandralynn2070@gmail.com</x:v>
      </x:c>
      <x:c r="F5131" t="str" s="2">
        <x:v>Financing Form</x:v>
      </x:c>
      <x:c r="G5131" t="str" s="2">
        <x:v>Jacob Hatten</x:v>
      </x:c>
      <x:c r="H5131" s="6">
        <x:v>46295.92630309028</x:v>
      </x:c>
      <x:c r="I5131" s="0"/>
      <x:c r="J5131" s="0"/>
      <x:c r="K5131" s="6">
        <x:v>46302</x:v>
      </x:c>
      <x:c r="L5131" t="str" s="2">
        <x:v>Message Sent</x:v>
      </x:c>
    </x:row>
    <x:row r="5132">
      <x:c r="A5132" t="str" s="2">
        <x:f>="Amanda Parker Parker"</x:f>
      </x:c>
      <x:c r="B5132" t="str" s="2">
        <x:v>Heritage Housing of Jennings</x:v>
      </x:c>
      <x:c r="C5132" t="str" s="2">
        <x:v/>
      </x:c>
      <x:c r="D5132" t="str" s="2">
        <x:v>3372581308</x:v>
      </x:c>
      <x:c r="E5132" t="str" s="2">
        <x:v>amandafontenot1984@icloud.com</x:v>
      </x:c>
      <x:c r="F5132" t="str" s="2">
        <x:v>Landing_BPM</x:v>
      </x:c>
      <x:c r="G5132" t="str" s="2">
        <x:v>Clint O'Neal</x:v>
      </x:c>
      <x:c r="H5132" s="6">
        <x:v>46295.99337133102</x:v>
      </x:c>
      <x:c r="I5132" s="0"/>
      <x:c r="J5132" s="0"/>
      <x:c r="K5132" s="6">
        <x:v>46302.6899119213</x:v>
      </x:c>
      <x:c r="L5132" t="str" s="2">
        <x:v>Message Sent</x:v>
      </x:c>
    </x:row>
    <x:row r="5133">
      <x:c r="A5133" t="str" s="2">
        <x:f>="Chris Waddell"</x:f>
      </x:c>
      <x:c r="B5133" t="str" s="2">
        <x:v>Heritage Housing Marble Falls</x:v>
      </x:c>
      <x:c r="C5133" t="str" s="2">
        <x:v/>
      </x:c>
      <x:c r="D5133" t="str" s="2">
        <x:v>9407356182</x:v>
      </x:c>
      <x:c r="E5133" t="str" s="2">
        <x:v>lilun65@yahoo.com</x:v>
      </x:c>
      <x:c r="F5133" t="str" s="2">
        <x:v>Landing_BPM</x:v>
      </x:c>
      <x:c r="G5133" t="str" s="2">
        <x:v>Stephen Sanders</x:v>
      </x:c>
      <x:c r="H5133" s="6">
        <x:v>46296.03880193287</x:v>
      </x:c>
      <x:c r="I5133" s="0"/>
      <x:c r="J5133" s="0"/>
      <x:c r="K5133" s="6">
        <x:v>46300</x:v>
      </x:c>
      <x:c r="L5133" t="str" s="2">
        <x:v>Message Sent</x:v>
      </x:c>
    </x:row>
    <x:row r="5134">
      <x:c r="A5134" t="str" s="2">
        <x:f>="Juan Manuel Chaires"</x:f>
      </x:c>
      <x:c r="B5134" t="str" s="2">
        <x:v>Legacy Housing Corp. DBA Americasa</x:v>
      </x:c>
      <x:c r="C5134" t="str" s="2">
        <x:v/>
      </x:c>
      <x:c r="D5134" t="str" s="2">
        <x:v>8324984033</x:v>
      </x:c>
      <x:c r="E5134" t="str" s="2">
        <x:v>juchaires@gmail.com</x:v>
      </x:c>
      <x:c r="F5134" t="str" s="2">
        <x:v>Landing_BPM</x:v>
      </x:c>
      <x:c r="G5134" t="str" s="2">
        <x:v>Jose Parada</x:v>
      </x:c>
      <x:c r="H5134" s="6">
        <x:v>46296.069226273146</x:v>
      </x:c>
      <x:c r="I5134" s="0"/>
      <x:c r="J5134" s="0"/>
      <x:c r="K5134" s="6">
        <x:v>46296</x:v>
      </x:c>
      <x:c r="L5134" t="str" s="2">
        <x:v>Message Sent</x:v>
      </x:c>
    </x:row>
    <x:row r="5135">
      <x:c r="A5135" t="str" s="2">
        <x:f>="Jonathan Quinlin"</x:f>
      </x:c>
      <x:c r="B5135" t="str" s="2">
        <x:v>Heritage Housing of Albany</x:v>
      </x:c>
      <x:c r="C5135" t="str" s="2">
        <x:v/>
      </x:c>
      <x:c r="D5135" t="str" s="2">
        <x:v>8503943071</x:v>
      </x:c>
      <x:c r="E5135" t="str" s="2">
        <x:v>jonathanquinlin2@gmail.com</x:v>
      </x:c>
      <x:c r="F5135" t="str" s="2">
        <x:v>Landing_BPM</x:v>
      </x:c>
      <x:c r="G5135" t="str" s="2">
        <x:v>Yanet Alvarez</x:v>
      </x:c>
      <x:c r="H5135" s="6">
        <x:v>46296.0824315625</x:v>
      </x:c>
      <x:c r="I5135" s="0"/>
      <x:c r="J5135" s="0"/>
      <x:c r="K5135" s="6">
        <x:v>46302</x:v>
      </x:c>
      <x:c r="L5135" t="str" s="2">
        <x:v>Message Sent</x:v>
      </x:c>
    </x:row>
    <x:row r="5136">
      <x:c r="A5136" t="str" s="2">
        <x:f>="Rodney Davies Davies"</x:f>
      </x:c>
      <x:c r="B5136" t="str" s="2">
        <x:v>Heritage Housing of Tulsa</x:v>
      </x:c>
      <x:c r="C5136" t="str" s="2">
        <x:v/>
      </x:c>
      <x:c r="D5136" t="str" s="2">
        <x:v>9185191224</x:v>
      </x:c>
      <x:c r="E5136" t="str" s="2">
        <x:v>carguy56@att.net</x:v>
      </x:c>
      <x:c r="F5136" t="str" s="2">
        <x:v>Landing_BPM</x:v>
      </x:c>
      <x:c r="G5136" t="str" s="2">
        <x:v>Jenna Fransisco</x:v>
      </x:c>
      <x:c r="H5136" s="6">
        <x:v>46296.160962650465</x:v>
      </x:c>
      <x:c r="I5136" s="0"/>
      <x:c r="J5136" s="0"/>
      <x:c r="K5136" s="6">
        <x:v>46300</x:v>
      </x:c>
      <x:c r="L5136" t="str" s="2">
        <x:v>Message Sent</x:v>
      </x:c>
    </x:row>
    <x:row r="5137">
      <x:c r="A5137" t="str" s="2">
        <x:f>=HYPERLINK("https://rsms.futurehomex.com/lead/40500", "Terry Simonton")</x:f>
      </x:c>
      <x:c r="B5137" t="str" s="2">
        <x:v>Heritage Housing of Athens</x:v>
      </x:c>
      <x:c r="C5137" t="str" s="2">
        <x:v/>
      </x:c>
      <x:c r="D5137" t="str" s="2">
        <x:v>6789751767</x:v>
      </x:c>
      <x:c r="E5137" t="str" s="2">
        <x:v>6789751767</x:v>
      </x:c>
      <x:c r="F5137" t="str" s="2">
        <x:v>Walk-in</x:v>
      </x:c>
      <x:c r="G5137" t="str" s="2">
        <x:v>Nathan Bishop</x:v>
      </x:c>
      <x:c r="H5137" s="6">
        <x:v>46296.56585601852</x:v>
      </x:c>
      <x:c r="I5137" t="str" s="2">
        <x:v>Nathan Bishop</x:v>
      </x:c>
      <x:c r="J5137" s="0"/>
      <x:c r="K5137" s="6">
        <x:v>46297</x:v>
      </x:c>
      <x:c r="L5137" t="str" s="2">
        <x:v>Message Sent</x:v>
      </x:c>
    </x:row>
    <x:row r="5138">
      <x:c r="A5138" t="str" s="2">
        <x:f>="Robert Williams Williams"</x:f>
      </x:c>
      <x:c r="B5138" t="str" s="2">
        <x:v>Heritage Housing of Albany</x:v>
      </x:c>
      <x:c r="C5138" t="str" s="2">
        <x:v/>
      </x:c>
      <x:c r="D5138" t="str" s="2">
        <x:v>2025552711</x:v>
      </x:c>
      <x:c r="E5138" t="str" s="2">
        <x:v>joseph.gardner@live.com</x:v>
      </x:c>
      <x:c r="F5138" t="str" s="2">
        <x:v>Website</x:v>
      </x:c>
      <x:c r="G5138" t="str" s="2">
        <x:v>Yanet Alvarez</x:v>
      </x:c>
      <x:c r="H5138" s="6">
        <x:v>46296.589143020836</x:v>
      </x:c>
      <x:c r="I5138" s="0"/>
      <x:c r="J5138" s="0"/>
      <x:c r="K5138" s="6">
        <x:v>46296</x:v>
      </x:c>
      <x:c r="L5138" t="str" s="2">
        <x:v>Message Sent</x:v>
      </x:c>
    </x:row>
    <x:row r="5139">
      <x:c r="A5139" t="str" s="2">
        <x:f>="Matthew Kratz"</x:f>
      </x:c>
      <x:c r="B5139" t="str" s="2">
        <x:v>Heritage Housing of Albany</x:v>
      </x:c>
      <x:c r="C5139" t="str" s="2">
        <x:v/>
      </x:c>
      <x:c r="D5139" t="str" s="2">
        <x:v>2197810377</x:v>
      </x:c>
      <x:c r="E5139" t="str" s="2">
        <x:v>matt.kratz31@gmail.com</x:v>
      </x:c>
      <x:c r="F5139" t="str" s="2">
        <x:v>Financing Form</x:v>
      </x:c>
      <x:c r="G5139" t="str" s="2">
        <x:v>Yanet Alvarez</x:v>
      </x:c>
      <x:c r="H5139" s="6">
        <x:v>46296.6052741088</x:v>
      </x:c>
      <x:c r="I5139" s="0"/>
      <x:c r="J5139" s="0"/>
      <x:c r="K5139" s="6">
        <x:v>46303</x:v>
      </x:c>
      <x:c r="L5139" t="str" s="2">
        <x:v>Message Sent</x:v>
      </x:c>
    </x:row>
    <x:row r="5140">
      <x:c r="A5140" t="str" s="2">
        <x:f>=HYPERLINK("https://rsms.futurehomex.com/lead/40502", "Olando Newell")</x:f>
      </x:c>
      <x:c r="B5140" t="str" s="2">
        <x:v>Heritage Housing of Athens</x:v>
      </x:c>
      <x:c r="C5140" t="str" s="2">
        <x:v/>
      </x:c>
      <x:c r="D5140" t="str" s="2">
        <x:v>6784161092</x:v>
      </x:c>
      <x:c r="E5140" t="str" s="2">
        <x:v>6784161092</x:v>
      </x:c>
      <x:c r="F5140" t="str" s="2">
        <x:v>Facebook Messenger</x:v>
      </x:c>
      <x:c r="G5140" t="str" s="2">
        <x:v>Nathan Bishop</x:v>
      </x:c>
      <x:c r="H5140" s="6">
        <x:v>46296.61779452546</x:v>
      </x:c>
      <x:c r="I5140" t="str" s="2">
        <x:v>Nathan Bishop</x:v>
      </x:c>
      <x:c r="J5140" s="0"/>
      <x:c r="K5140" s="6">
        <x:v>46296</x:v>
      </x:c>
      <x:c r="L5140" t="str" s="2">
        <x:v>Message Sent</x:v>
      </x:c>
    </x:row>
    <x:row r="5141">
      <x:c r="A5141" t="str" s="2">
        <x:f>="Hayley Gannon"</x:f>
      </x:c>
      <x:c r="B5141" t="str" s="2">
        <x:v>Heritage Housing of Albany</x:v>
      </x:c>
      <x:c r="C5141" t="str" s="2">
        <x:v/>
      </x:c>
      <x:c r="D5141" t="str" s="2">
        <x:v>7275641011</x:v>
      </x:c>
      <x:c r="E5141" t="str" s="2">
        <x:v>fl.hayleyy@gmail.com</x:v>
      </x:c>
      <x:c r="F5141" t="str" s="2">
        <x:v>Landing_BPM</x:v>
      </x:c>
      <x:c r="G5141" t="str" s="2">
        <x:v>Yanet Alvarez</x:v>
      </x:c>
      <x:c r="H5141" s="6">
        <x:v>46296.6373502662</x:v>
      </x:c>
      <x:c r="I5141" s="0"/>
      <x:c r="J5141" s="0"/>
      <x:c r="K5141" s="6">
        <x:v>46296</x:v>
      </x:c>
      <x:c r="L5141" t="str" s="2">
        <x:v>Message Sent</x:v>
      </x:c>
    </x:row>
    <x:row r="5142">
      <x:c r="A5142" t="str" s="2">
        <x:f>="Sharon Harris"</x:f>
      </x:c>
      <x:c r="B5142" t="str" s="2">
        <x:v>Heritage Housing of Greenville</x:v>
      </x:c>
      <x:c r="C5142" t="str" s="2">
        <x:v/>
      </x:c>
      <x:c r="D5142" t="str" s="2">
        <x:v>2145178840</x:v>
      </x:c>
      <x:c r="E5142" t="str" s="2">
        <x:v>stitchfly7@gmail.com</x:v>
      </x:c>
      <x:c r="F5142" t="str" s="2">
        <x:v>Landing_BPM</x:v>
      </x:c>
      <x:c r="G5142" t="str" s="2">
        <x:v>Brooklynn Allen</x:v>
      </x:c>
      <x:c r="H5142" s="6">
        <x:v>46296.73113475694</x:v>
      </x:c>
      <x:c r="I5142" s="0"/>
      <x:c r="J5142" s="0"/>
      <x:c r="K5142" s="6">
        <x:v>46297</x:v>
      </x:c>
      <x:c r="L5142" t="str" s="2">
        <x:v>Message Sent</x:v>
      </x:c>
    </x:row>
    <x:row r="5143">
      <x:c r="A5143" t="str" s="2">
        <x:f>="Ashley McCullough"</x:f>
      </x:c>
      <x:c r="B5143" t="str" s="2">
        <x:v>Heritage Housing of Tulsa</x:v>
      </x:c>
      <x:c r="C5143" t="str" s="2">
        <x:v/>
      </x:c>
      <x:c r="D5143" t="str" s="2">
        <x:v>9189008856</x:v>
      </x:c>
      <x:c r="E5143" t="str" s="2">
        <x:v>Ashley.Mccullough24@outlook.com</x:v>
      </x:c>
      <x:c r="F5143" t="str" s="2">
        <x:v>LandingPage</x:v>
      </x:c>
      <x:c r="G5143" t="str" s="2">
        <x:v>Jenna Fransisco</x:v>
      </x:c>
      <x:c r="H5143" s="6">
        <x:v>46296.74684247685</x:v>
      </x:c>
      <x:c r="I5143" s="0"/>
      <x:c r="J5143" s="0"/>
      <x:c r="K5143" s="6">
        <x:v>46300</x:v>
      </x:c>
      <x:c r="L5143" t="str" s="2">
        <x:v>Message Sent</x:v>
      </x:c>
    </x:row>
    <x:row r="5144">
      <x:c r="A5144" t="str" s="2">
        <x:f>="Amos Woodell"</x:f>
      </x:c>
      <x:c r="B5144" t="str" s="2">
        <x:v>Heritage Housing Mt Pleasant</x:v>
      </x:c>
      <x:c r="C5144" t="str" s="2">
        <x:v/>
      </x:c>
      <x:c r="D5144" t="str" s="2">
        <x:v>9035563005</x:v>
      </x:c>
      <x:c r="E5144" t="str" s="2">
        <x:v>nolanjenny104@gmail.com</x:v>
      </x:c>
      <x:c r="F5144" t="str" s="2">
        <x:v>Landing_BPM</x:v>
      </x:c>
      <x:c r="G5144" t="str" s="2">
        <x:v>Elias Gallardo</x:v>
      </x:c>
      <x:c r="H5144" s="6">
        <x:v>46296.76855482639</x:v>
      </x:c>
      <x:c r="I5144" s="0"/>
      <x:c r="J5144" s="0"/>
      <x:c r="K5144" s="6">
        <x:v>46299</x:v>
      </x:c>
      <x:c r="L5144" t="str" s="2">
        <x:v>Message Sent</x:v>
      </x:c>
    </x:row>
    <x:row r="5145">
      <x:c r="A5145" t="str" s="2">
        <x:f>="Lyric Bushnell"</x:f>
      </x:c>
      <x:c r="B5145" t="str" s="2">
        <x:v>Heritage Housing of Jennings</x:v>
      </x:c>
      <x:c r="C5145" t="str" s="2">
        <x:v/>
      </x:c>
      <x:c r="D5145" t="str" s="2">
        <x:v>3184913576</x:v>
      </x:c>
      <x:c r="E5145" t="str" s="2">
        <x:v>Lyricbushnell065@gmail.com</x:v>
      </x:c>
      <x:c r="F5145" t="str" s="2">
        <x:v>Landing_BPM</x:v>
      </x:c>
      <x:c r="G5145" t="str" s="2">
        <x:v>Clint O'Neal</x:v>
      </x:c>
      <x:c r="H5145" s="6">
        <x:v>46296.819546412036</x:v>
      </x:c>
      <x:c r="I5145" s="0"/>
      <x:c r="J5145" s="0"/>
      <x:c r="K5145" s="6">
        <x:v>46302.74572523148</x:v>
      </x:c>
      <x:c r="L5145" t="str" s="2">
        <x:v>Message Sent</x:v>
      </x:c>
    </x:row>
    <x:row r="5146">
      <x:c r="A5146" t="str" s="2">
        <x:f>="James Holt"</x:f>
      </x:c>
      <x:c r="B5146" t="str" s="2">
        <x:v>Heritage Housing of Asheboro</x:v>
      </x:c>
      <x:c r="C5146" t="str" s="2">
        <x:v/>
      </x:c>
      <x:c r="D5146" t="str" s="2">
        <x:v>9193521412</x:v>
      </x:c>
      <x:c r="E5146" t="str" s="2">
        <x:v>jamesholt120@gmail.com</x:v>
      </x:c>
      <x:c r="F5146" t="str" s="2">
        <x:v>Landing_BPM</x:v>
      </x:c>
      <x:c r="G5146" t="str" s="2">
        <x:v>Kate Gutierrez</x:v>
      </x:c>
      <x:c r="H5146" s="6">
        <x:v>46296.8221815625</x:v>
      </x:c>
      <x:c r="I5146" s="0"/>
      <x:c r="J5146" s="0"/>
      <x:c r="K5146" s="6">
        <x:v>46302</x:v>
      </x:c>
      <x:c r="L5146" t="str" s="2">
        <x:v>Message Sent</x:v>
      </x:c>
    </x:row>
    <x:row r="5147">
      <x:c r="A5147" t="str" s="2">
        <x:f>="Norma L Briseno-cano"</x:f>
      </x:c>
      <x:c r="B5147" t="str" s="2">
        <x:v>Heritage Housing of Augusta</x:v>
      </x:c>
      <x:c r="C5147" t="str" s="2">
        <x:v/>
      </x:c>
      <x:c r="D5147" t="str" s="2">
        <x:v>4782442557</x:v>
      </x:c>
      <x:c r="E5147" t="str" s="2">
        <x:v>nomelin07@gmail.com</x:v>
      </x:c>
      <x:c r="F5147" t="str" s="2">
        <x:v>Landing_BPM</x:v>
      </x:c>
      <x:c r="G5147" t="str" s="2">
        <x:v>Jennifer Johnson</x:v>
      </x:c>
      <x:c r="H5147" s="6">
        <x:v>46296.862391006944</x:v>
      </x:c>
      <x:c r="I5147" s="0"/>
      <x:c r="J5147" s="0"/>
      <x:c r="K5147" s="6">
        <x:v>46303</x:v>
      </x:c>
      <x:c r="L5147" t="str" s="2">
        <x:v>Message Sent</x:v>
      </x:c>
    </x:row>
    <x:row r="5148">
      <x:c r="A5148" t="str" s="2">
        <x:f>="Tina Stewart-Burdick"</x:f>
      </x:c>
      <x:c r="B5148" t="str" s="2">
        <x:v>Heritage Housing of Greenville</x:v>
      </x:c>
      <x:c r="C5148" t="str" s="2">
        <x:v/>
      </x:c>
      <x:c r="D5148" t="str" s="2">
        <x:v>4784552044</x:v>
      </x:c>
      <x:c r="E5148" t="str" s="2">
        <x:v>tmsb0913@gmail.com</x:v>
      </x:c>
      <x:c r="F5148" t="str" s="2">
        <x:v>Landing_BPM</x:v>
      </x:c>
      <x:c r="G5148" t="str" s="2">
        <x:v>Brooklynn Allen</x:v>
      </x:c>
      <x:c r="H5148" s="6">
        <x:v>46296.86331820602</x:v>
      </x:c>
      <x:c r="I5148" s="0"/>
      <x:c r="J5148" s="0"/>
      <x:c r="K5148" s="6">
        <x:v>46297</x:v>
      </x:c>
      <x:c r="L5148" t="str" s="2">
        <x:v>Message Sent</x:v>
      </x:c>
    </x:row>
    <x:row r="5149">
      <x:c r="A5149" t="str" s="2">
        <x:f>="kirklin tolbert"</x:f>
      </x:c>
      <x:c r="B5149" t="str" s="2">
        <x:v>Heritage Housing Marble Falls</x:v>
      </x:c>
      <x:c r="C5149" t="str" s="2">
        <x:v/>
      </x:c>
      <x:c r="D5149" t="str" s="2">
        <x:v>7373609235</x:v>
      </x:c>
      <x:c r="E5149" t="str" s="2">
        <x:v>kirklintolbert@gmail.com</x:v>
      </x:c>
      <x:c r="F5149" t="str" s="2">
        <x:v>Landing_BPM</x:v>
      </x:c>
      <x:c r="G5149" t="str" s="2">
        <x:v>Garrett Riedesel</x:v>
      </x:c>
      <x:c r="H5149" s="6">
        <x:v>46296.87737392361</x:v>
      </x:c>
      <x:c r="I5149" s="0"/>
      <x:c r="J5149" s="0"/>
      <x:c r="K5149" s="6">
        <x:v>46300</x:v>
      </x:c>
      <x:c r="L5149" t="str" s="2">
        <x:v>Message Sent</x:v>
      </x:c>
    </x:row>
    <x:row r="5150">
      <x:c r="A5150" t="str" s="2">
        <x:f>="Richard Bagley"</x:f>
      </x:c>
      <x:c r="B5150" t="str" s="2">
        <x:v>Heritage Housing of Albany</x:v>
      </x:c>
      <x:c r="C5150" t="str" s="2">
        <x:v/>
      </x:c>
      <x:c r="D5150" t="str" s="2">
        <x:v>9124240120</x:v>
      </x:c>
      <x:c r="E5150" t="str" s="2">
        <x:v>calvinbig7bagley1661@gmail.com</x:v>
      </x:c>
      <x:c r="F5150" t="str" s="2">
        <x:v>Website</x:v>
      </x:c>
      <x:c r="G5150" t="str" s="2">
        <x:v>Yanet Alvarez</x:v>
      </x:c>
      <x:c r="H5150" s="6">
        <x:v>46296.8796022338</x:v>
      </x:c>
      <x:c r="I5150" s="0"/>
      <x:c r="J5150" s="0"/>
      <x:c r="K5150" s="6">
        <x:v>46302</x:v>
      </x:c>
      <x:c r="L5150" t="str" s="2">
        <x:v>Message Sent</x:v>
      </x:c>
    </x:row>
    <x:row r="5151">
      <x:c r="A5151" t="str" s="2">
        <x:f>="Ana Almeida"</x:f>
      </x:c>
      <x:c r="B5151" t="str" s="2">
        <x:v>Heritage Housing of Jennings</x:v>
      </x:c>
      <x:c r="C5151" t="str" s="2">
        <x:v/>
      </x:c>
      <x:c r="D5151" t="str" s="2">
        <x:v>7373105696</x:v>
      </x:c>
      <x:c r="E5151" t="str" s="2">
        <x:v>anaeliza.almeida92@gmail.com</x:v>
      </x:c>
      <x:c r="F5151" t="str" s="2">
        <x:v>Financing Form</x:v>
      </x:c>
      <x:c r="G5151" t="str" s="2">
        <x:v>Mervin Leslie Smith</x:v>
      </x:c>
      <x:c r="H5151" s="6">
        <x:v>46296.91457295139</x:v>
      </x:c>
      <x:c r="I5151" s="0"/>
      <x:c r="J5151" s="0"/>
      <x:c r="K5151" s="6">
        <x:v>46302.746032256946</x:v>
      </x:c>
      <x:c r="L5151" t="str" s="2">
        <x:v>Message Sent</x:v>
      </x:c>
    </x:row>
    <x:row r="5152">
      <x:c r="A5152" t="str" s="2">
        <x:f>="Robert Williams Williams"</x:f>
      </x:c>
      <x:c r="B5152" t="str" s="2">
        <x:v>Heritage Housing of Albany</x:v>
      </x:c>
      <x:c r="C5152" t="str" s="2">
        <x:v/>
      </x:c>
      <x:c r="D5152" t="str" s="2">
        <x:v>2025552209</x:v>
      </x:c>
      <x:c r="E5152" t="str" s="2">
        <x:v>lively3dot5@hotmail.com</x:v>
      </x:c>
      <x:c r="F5152" t="str" s="2">
        <x:v>Website</x:v>
      </x:c>
      <x:c r="G5152" t="str" s="2">
        <x:v>Yanet Alvarez</x:v>
      </x:c>
      <x:c r="H5152" s="6">
        <x:v>46296.97444409722</x:v>
      </x:c>
      <x:c r="I5152" s="0"/>
      <x:c r="J5152" s="0"/>
      <x:c r="K5152" s="6">
        <x:v>46307</x:v>
      </x:c>
      <x:c r="L5152" t="str" s="2">
        <x:v>Message Sent</x:v>
      </x:c>
    </x:row>
    <x:row r="5153">
      <x:c r="A5153" t="str" s="2">
        <x:f>="Bruce Hinson"</x:f>
      </x:c>
      <x:c r="B5153" t="str" s="2">
        <x:v>Heritage Housing of Albany</x:v>
      </x:c>
      <x:c r="C5153" t="str" s="2">
        <x:v/>
      </x:c>
      <x:c r="D5153" t="str" s="2">
        <x:v>2299217550</x:v>
      </x:c>
      <x:c r="E5153" t="str" s="2">
        <x:v>brucehinson0@icloud.com</x:v>
      </x:c>
      <x:c r="F5153" t="str" s="2">
        <x:v>Landing_BPM</x:v>
      </x:c>
      <x:c r="G5153" t="str" s="2">
        <x:v>Yanet Alvarez</x:v>
      </x:c>
      <x:c r="H5153" s="6">
        <x:v>46297.01755471065</x:v>
      </x:c>
      <x:c r="I5153" s="0"/>
      <x:c r="J5153" s="0"/>
      <x:c r="K5153" s="6">
        <x:v>46302</x:v>
      </x:c>
      <x:c r="L5153" t="str" s="2">
        <x:v>Message Sent</x:v>
      </x:c>
    </x:row>
    <x:row r="5154">
      <x:c r="A5154" t="str" s="2">
        <x:f>="Janelle Davis"</x:f>
      </x:c>
      <x:c r="B5154" t="str" s="2">
        <x:v>Heritage Housing of Albany</x:v>
      </x:c>
      <x:c r="C5154" t="str" s="2">
        <x:v/>
      </x:c>
      <x:c r="D5154" t="str" s="2">
        <x:v>2294564735</x:v>
      </x:c>
      <x:c r="E5154" t="str" s="2">
        <x:v>davisjanelle860@gmail.com</x:v>
      </x:c>
      <x:c r="F5154" t="str" s="2">
        <x:v>Landing_BPM</x:v>
      </x:c>
      <x:c r="G5154" t="str" s="2">
        <x:v>Yanet Alvarez</x:v>
      </x:c>
      <x:c r="H5154" s="6">
        <x:v>46297.059269791665</x:v>
      </x:c>
      <x:c r="I5154" s="0"/>
      <x:c r="J5154" s="0"/>
      <x:c r="K5154" s="6">
        <x:v>46297</x:v>
      </x:c>
      <x:c r="L5154" t="str" s="2">
        <x:v>Message Sent</x:v>
      </x:c>
    </x:row>
    <x:row r="5155">
      <x:c r="A5155" t="str" s="2">
        <x:f>="Cierra Widener"</x:f>
      </x:c>
      <x:c r="B5155" t="str" s="2">
        <x:v>Heritage Housing of Augusta</x:v>
      </x:c>
      <x:c r="C5155" t="str" s="2">
        <x:v/>
      </x:c>
      <x:c r="D5155" t="str" s="2">
        <x:v>9126017259</x:v>
      </x:c>
      <x:c r="E5155" t="str" s="2">
        <x:v>csaxon05@gmail.com</x:v>
      </x:c>
      <x:c r="F5155" t="str" s="2">
        <x:v>Financing Form</x:v>
      </x:c>
      <x:c r="G5155" t="str" s="2">
        <x:v>Jennifer Johnson</x:v>
      </x:c>
      <x:c r="H5155" s="6">
        <x:v>46297.1044746875</x:v>
      </x:c>
      <x:c r="I5155" s="0"/>
      <x:c r="J5155" s="0"/>
      <x:c r="K5155" s="6">
        <x:v>46307</x:v>
      </x:c>
      <x:c r="L5155" t="str" s="2">
        <x:v>Message Sent</x:v>
      </x:c>
    </x:row>
    <x:row r="5156">
      <x:c r="A5156" t="str" s="2">
        <x:f>="Keyona Moses"</x:f>
      </x:c>
      <x:c r="B5156" t="str" s="2">
        <x:v>Heritage Housing of Tulsa</x:v>
      </x:c>
      <x:c r="C5156" t="str" s="2">
        <x:v/>
      </x:c>
      <x:c r="D5156" t="str" s="2">
        <x:v>5394323693</x:v>
      </x:c>
      <x:c r="E5156" t="str" s="2">
        <x:v>keyonamoses6375@gmail.com</x:v>
      </x:c>
      <x:c r="F5156" t="str" s="2">
        <x:v>Financing Form</x:v>
      </x:c>
      <x:c r="G5156" t="str" s="2">
        <x:v>Jenna Fransisco</x:v>
      </x:c>
      <x:c r="H5156" s="6">
        <x:v>46297.10682835648</x:v>
      </x:c>
      <x:c r="I5156" s="0"/>
      <x:c r="J5156" s="0"/>
      <x:c r="K5156" s="6">
        <x:v>46300</x:v>
      </x:c>
      <x:c r="L5156" t="str" s="2">
        <x:v>Message Sent</x:v>
      </x:c>
    </x:row>
    <x:row r="5157">
      <x:c r="A5157" t="str" s="2">
        <x:f>="Lesli Heffner Heffner"</x:f>
      </x:c>
      <x:c r="B5157" t="str" s="2">
        <x:v>Heritage Housing of Asheboro</x:v>
      </x:c>
      <x:c r="C5157" t="str" s="2">
        <x:v/>
      </x:c>
      <x:c r="D5157" t="str" s="2">
        <x:v>3362133825</x:v>
      </x:c>
      <x:c r="E5157" t="str" s="2">
        <x:v>lesliheff17@gmail.com</x:v>
      </x:c>
      <x:c r="F5157" t="str" s="2">
        <x:v>Landing_BPM</x:v>
      </x:c>
      <x:c r="G5157" t="str" s="2">
        <x:v>Joe Lopez</x:v>
      </x:c>
      <x:c r="H5157" s="6">
        <x:v>46297.12468596065</x:v>
      </x:c>
      <x:c r="I5157" s="0"/>
      <x:c r="J5157" s="0"/>
      <x:c r="K5157" s="6">
        <x:v>46298</x:v>
      </x:c>
      <x:c r="L5157" t="str" s="2">
        <x:v>Message Sent</x:v>
      </x:c>
    </x:row>
    <x:row r="5158">
      <x:c r="A5158" t="str" s="2">
        <x:f>="Timothy Wallace"</x:f>
      </x:c>
      <x:c r="B5158" t="str" s="2">
        <x:v>Heritage Housing of Albany</x:v>
      </x:c>
      <x:c r="C5158" t="str" s="2">
        <x:v/>
      </x:c>
      <x:c r="D5158" t="str" s="2">
        <x:v>2293310711</x:v>
      </x:c>
      <x:c r="E5158" t="str" s="2">
        <x:v>Tiimwallace77@gmail.com</x:v>
      </x:c>
      <x:c r="F5158" t="str" s="2">
        <x:v>Landing_BPM</x:v>
      </x:c>
      <x:c r="G5158" t="str" s="2">
        <x:v>Yanet Alvarez</x:v>
      </x:c>
      <x:c r="H5158" s="6">
        <x:v>46297.22606030093</x:v>
      </x:c>
      <x:c r="I5158" s="0"/>
      <x:c r="J5158" s="0"/>
      <x:c r="K5158" s="6">
        <x:v>46302</x:v>
      </x:c>
      <x:c r="L5158" t="str" s="2">
        <x:v>Message Sent</x:v>
      </x:c>
    </x:row>
    <x:row r="5159">
      <x:c r="A5159" t="str" s="2">
        <x:f>="Charles Braley"</x:f>
      </x:c>
      <x:c r="B5159" t="str" s="2">
        <x:v>Heritage Housing of Asheboro</x:v>
      </x:c>
      <x:c r="C5159" t="str" s="2">
        <x:v/>
      </x:c>
      <x:c r="D5159" t="str" s="2">
        <x:v>7046376391</x:v>
      </x:c>
      <x:c r="E5159" t="str" s="2">
        <x:v>leonardbraley7@gmail.com</x:v>
      </x:c>
      <x:c r="F5159" t="str" s="2">
        <x:v>Landing_BPM</x:v>
      </x:c>
      <x:c r="G5159" t="str" s="2">
        <x:v>Maria Lopez</x:v>
      </x:c>
      <x:c r="H5159" s="6">
        <x:v>46297.2515409375</x:v>
      </x:c>
      <x:c r="I5159" s="0"/>
      <x:c r="J5159" s="0"/>
      <x:c r="K5159" s="6">
        <x:v>46297</x:v>
      </x:c>
      <x:c r="L5159" t="str" s="2">
        <x:v>Message Sent</x:v>
      </x:c>
    </x:row>
    <x:row r="5160">
      <x:c r="A5160" t="str" s="2">
        <x:f>="Thomas Mesrano"</x:f>
      </x:c>
      <x:c r="B5160" t="str" s="2">
        <x:v>Heritage Housing of Greenville</x:v>
      </x:c>
      <x:c r="C5160" t="str" s="2">
        <x:v>0/2</x:v>
      </x:c>
      <x:c r="D5160" t="str" s="2">
        <x:v>9722090490</x:v>
      </x:c>
      <x:c r="E5160" t="str" s="2">
        <x:v>garzamed1976@gmail.com</x:v>
      </x:c>
      <x:c r="F5160" t="str" s="2">
        <x:v>Landing_BPM</x:v>
      </x:c>
      <x:c r="G5160" t="str" s="2">
        <x:v>Greg Christman</x:v>
      </x:c>
      <x:c r="H5160" s="6">
        <x:v>46297.25450162037</x:v>
      </x:c>
      <x:c r="I5160" s="0"/>
      <x:c r="J5160" s="0"/>
      <x:c r="K5160" s="6">
        <x:v>46300</x:v>
      </x:c>
      <x:c r="L5160" t="str" s="2">
        <x:v>Message Sent</x:v>
      </x:c>
    </x:row>
    <x:row r="5161">
      <x:c r="A5161" t="str" s="2">
        <x:f>="Rebecca Burkhead"</x:f>
      </x:c>
      <x:c r="B5161" t="str" s="2">
        <x:v>Heritage Housing of Jennings</x:v>
      </x:c>
      <x:c r="C5161" t="str" s="2">
        <x:v/>
      </x:c>
      <x:c r="D5161" t="str" s="2">
        <x:v>3374586529</x:v>
      </x:c>
      <x:c r="E5161" t="str" s="2">
        <x:v>rebeccaburkhead79@gmail.com</x:v>
      </x:c>
      <x:c r="F5161" t="str" s="2">
        <x:v>Landing_BPM</x:v>
      </x:c>
      <x:c r="G5161" t="str" s="2">
        <x:v>Clint O'Neal</x:v>
      </x:c>
      <x:c r="H5161" s="6">
        <x:v>46297.33728796296</x:v>
      </x:c>
      <x:c r="I5161" s="0"/>
      <x:c r="J5161" s="0"/>
      <x:c r="K5161" s="6">
        <x:v>46302</x:v>
      </x:c>
      <x:c r="L5161" t="str" s="2">
        <x:v>Message Sent</x:v>
      </x:c>
    </x:row>
    <x:row r="5162">
      <x:c r="A5162" t="str" s="2">
        <x:f>="Elisha Kane Kane"</x:f>
      </x:c>
      <x:c r="B5162" t="str" s="2">
        <x:v>Heritage Housing of Asheboro</x:v>
      </x:c>
      <x:c r="C5162" t="str" s="2">
        <x:v/>
      </x:c>
      <x:c r="D5162" t="str" s="2">
        <x:v>8167087834</x:v>
      </x:c>
      <x:c r="E5162" t="str" s="2">
        <x:v>Elisha.kane@yahoo.com</x:v>
      </x:c>
      <x:c r="F5162" t="str" s="2">
        <x:v>Landing_BPM</x:v>
      </x:c>
      <x:c r="G5162" t="str" s="2">
        <x:v>Kate Gutierrez</x:v>
      </x:c>
      <x:c r="H5162" s="6">
        <x:v>46297.381617673615</x:v>
      </x:c>
      <x:c r="I5162" s="0"/>
      <x:c r="J5162" s="0"/>
      <x:c r="K5162" s="6">
        <x:v>46302</x:v>
      </x:c>
      <x:c r="L5162" t="str" s="2">
        <x:v>Message Sent</x:v>
      </x:c>
    </x:row>
    <x:row r="5163">
      <x:c r="A5163" t="str" s="2">
        <x:f>="Jennifer Hyatt"</x:f>
      </x:c>
      <x:c r="B5163" t="str" s="2">
        <x:v>Heritage Housing of Jennings</x:v>
      </x:c>
      <x:c r="C5163" t="str" s="2">
        <x:v/>
      </x:c>
      <x:c r="D5163" t="str" s="2">
        <x:v>3374766438</x:v>
      </x:c>
      <x:c r="E5163" t="str" s="2">
        <x:v>reed.jennifer83@yahoo.com</x:v>
      </x:c>
      <x:c r="F5163" t="str" s="2">
        <x:v>Landing_BPM</x:v>
      </x:c>
      <x:c r="G5163" t="str" s="2">
        <x:v>Mervin Leslie Smith</x:v>
      </x:c>
      <x:c r="H5163" s="6">
        <x:v>46297.4218150463</x:v>
      </x:c>
      <x:c r="I5163" s="0"/>
      <x:c r="J5163" s="0"/>
      <x:c r="K5163" s="6">
        <x:v>46302.74213151621</x:v>
      </x:c>
      <x:c r="L5163" t="str" s="2">
        <x:v>Message Sent</x:v>
      </x:c>
    </x:row>
    <x:row r="5164">
      <x:c r="A5164" t="str" s="2">
        <x:f>="Tarenda Hull"</x:f>
      </x:c>
      <x:c r="B5164" t="str" s="2">
        <x:v>Heritage Housing of Greenville</x:v>
      </x:c>
      <x:c r="C5164" t="str" s="2">
        <x:v/>
      </x:c>
      <x:c r="D5164" t="str" s="2">
        <x:v>4699151005</x:v>
      </x:c>
      <x:c r="E5164" t="str" s="2">
        <x:v>h.tarenda@gmail.com</x:v>
      </x:c>
      <x:c r="F5164" t="str" s="2">
        <x:v>Landing_BPM</x:v>
      </x:c>
      <x:c r="G5164" t="str" s="2">
        <x:v>Brooklynn Allen</x:v>
      </x:c>
      <x:c r="H5164" s="6">
        <x:v>46297.513066354164</x:v>
      </x:c>
      <x:c r="I5164" s="0"/>
      <x:c r="J5164" s="0"/>
      <x:c r="K5164" s="6">
        <x:v>46297</x:v>
      </x:c>
      <x:c r="L5164" t="str" s="2">
        <x:v>Message Sent</x:v>
      </x:c>
    </x:row>
    <x:row r="5165">
      <x:c r="A5165" t="str" s="2">
        <x:f>="Noe gonzalez"</x:f>
      </x:c>
      <x:c r="B5165" t="str" s="2">
        <x:v>Legacy Housing Corp. DBA Americasa</x:v>
      </x:c>
      <x:c r="C5165" t="str" s="2">
        <x:v/>
      </x:c>
      <x:c r="D5165" t="str" s="2">
        <x:v>8328852126</x:v>
      </x:c>
      <x:c r="E5165" t="str" s="2">
        <x:v>ngarcia9296@sbcglobal.net</x:v>
      </x:c>
      <x:c r="F5165" t="str" s="2">
        <x:v>Landing_BPM</x:v>
      </x:c>
      <x:c r="G5165" t="str" s="2">
        <x:v>Jose Parada</x:v>
      </x:c>
      <x:c r="H5165" s="6">
        <x:v>46297.63248545139</x:v>
      </x:c>
      <x:c r="I5165" s="0"/>
      <x:c r="J5165" s="0"/>
      <x:c r="K5165" s="6">
        <x:v>46297</x:v>
      </x:c>
      <x:c r="L5165" t="str" s="2">
        <x:v>Message Sent</x:v>
      </x:c>
    </x:row>
    <x:row r="5166">
      <x:c r="A5166" t="str" s="2">
        <x:f>="Joaquin Cortina"</x:f>
      </x:c>
      <x:c r="B5166" t="str" s="2">
        <x:v>Heritage Housing of Greenville</x:v>
      </x:c>
      <x:c r="C5166" t="str" s="2">
        <x:v/>
      </x:c>
      <x:c r="D5166" t="str" s="2">
        <x:v>2147537256</x:v>
      </x:c>
      <x:c r="E5166" t="str" s="2">
        <x:v>jccortina64@gmail.com</x:v>
      </x:c>
      <x:c r="F5166" t="str" s="2">
        <x:v>Landing_BPM</x:v>
      </x:c>
      <x:c r="G5166" t="str" s="2">
        <x:v>Brooklynn Allen</x:v>
      </x:c>
      <x:c r="H5166" s="6">
        <x:v>46297.67631924769</x:v>
      </x:c>
      <x:c r="I5166" s="0"/>
      <x:c r="J5166" s="0"/>
      <x:c r="K5166" s="6">
        <x:v>46300</x:v>
      </x:c>
      <x:c r="L5166" t="str" s="2">
        <x:v>Message Sent</x:v>
      </x:c>
    </x:row>
    <x:row r="5167">
      <x:c r="A5167" t="str" s="2">
        <x:f>="Jalen Randolph"</x:f>
      </x:c>
      <x:c r="B5167" t="str" s="2">
        <x:v>Heritage Housing of Asheboro</x:v>
      </x:c>
      <x:c r="C5167" t="str" s="2">
        <x:v/>
      </x:c>
      <x:c r="D5167" t="str" s="2">
        <x:v>9193068154</x:v>
      </x:c>
      <x:c r="E5167" t="str" s="2">
        <x:v>rozeway22@gmail.com</x:v>
      </x:c>
      <x:c r="F5167" t="str" s="2">
        <x:v>Landing_BPM</x:v>
      </x:c>
      <x:c r="G5167" t="str" s="2">
        <x:v>Kate Gutierrez</x:v>
      </x:c>
      <x:c r="H5167" s="6">
        <x:v>46297.690070254626</x:v>
      </x:c>
      <x:c r="I5167" s="0"/>
      <x:c r="J5167" s="0"/>
      <x:c r="K5167" s="6">
        <x:v>46297</x:v>
      </x:c>
      <x:c r="L5167" t="str" s="2">
        <x:v>Message Sent</x:v>
      </x:c>
    </x:row>
    <x:row r="5168">
      <x:c r="A5168" t="str" s="2">
        <x:f>="Malik Watkins"</x:f>
      </x:c>
      <x:c r="B5168" t="str" s="2">
        <x:v>Heritage Housing of Albany</x:v>
      </x:c>
      <x:c r="C5168" t="str" s="2">
        <x:v/>
      </x:c>
      <x:c r="D5168" t="str" s="2">
        <x:v>4784039597</x:v>
      </x:c>
      <x:c r="E5168" t="str" s="2">
        <x:v>milyia1910@gmail.com</x:v>
      </x:c>
      <x:c r="F5168" t="str" s="2">
        <x:v>Landing_BPM</x:v>
      </x:c>
      <x:c r="G5168" t="str" s="2">
        <x:v>Yanet Alvarez</x:v>
      </x:c>
      <x:c r="H5168" s="6">
        <x:v>46297.6921278588</x:v>
      </x:c>
      <x:c r="I5168" s="0"/>
      <x:c r="J5168" s="0"/>
      <x:c r="K5168" s="6">
        <x:v>46307</x:v>
      </x:c>
      <x:c r="L5168" t="str" s="2">
        <x:v>Message Sent</x:v>
      </x:c>
    </x:row>
    <x:row r="5169">
      <x:c r="A5169" t="str" s="2">
        <x:f>="Taylor Smith"</x:f>
      </x:c>
      <x:c r="B5169" t="str" s="2">
        <x:v>Legacy Housing Corp. DBA Americasa</x:v>
      </x:c>
      <x:c r="C5169" t="str" s="2">
        <x:v/>
      </x:c>
      <x:c r="D5169" t="str" s="2">
        <x:v>8323621694</x:v>
      </x:c>
      <x:c r="E5169" t="str" s="2">
        <x:v>tasmith080117@gmail.com</x:v>
      </x:c>
      <x:c r="F5169" t="str" s="2">
        <x:v>Landing_BPM</x:v>
      </x:c>
      <x:c r="G5169" t="str" s="2">
        <x:v>Joey Marquez</x:v>
      </x:c>
      <x:c r="H5169" s="6">
        <x:v>46297.7309290162</x:v>
      </x:c>
      <x:c r="I5169" s="0"/>
      <x:c r="J5169" s="0"/>
      <x:c r="K5169" s="6">
        <x:v>46297</x:v>
      </x:c>
      <x:c r="L5169" t="str" s="2">
        <x:v>Message Sent</x:v>
      </x:c>
    </x:row>
    <x:row r="5170">
      <x:c r="A5170" t="str" s="2">
        <x:f>="Robert Donnell"</x:f>
      </x:c>
      <x:c r="B5170" t="str" s="2">
        <x:v>Heritage Housing of Asheboro</x:v>
      </x:c>
      <x:c r="C5170" t="str" s="2">
        <x:v/>
      </x:c>
      <x:c r="D5170" t="str" s="2">
        <x:v>9808923783</x:v>
      </x:c>
      <x:c r="E5170" t="str" s="2">
        <x:v>justicecloud9@gmail.com</x:v>
      </x:c>
      <x:c r="F5170" t="str" s="2">
        <x:v>Landing_BPM</x:v>
      </x:c>
      <x:c r="G5170" t="str" s="2">
        <x:v>Joe Lopez</x:v>
      </x:c>
      <x:c r="H5170" s="6">
        <x:v>46297.85641207176</x:v>
      </x:c>
      <x:c r="I5170" s="0"/>
      <x:c r="J5170" s="0"/>
      <x:c r="K5170" s="6">
        <x:v>46308</x:v>
      </x:c>
      <x:c r="L5170" t="str" s="2">
        <x:v>Message Sent</x:v>
      </x:c>
    </x:row>
    <x:row r="5171">
      <x:c r="A5171" t="str" s="2">
        <x:f>="Keith Sherman"</x:f>
      </x:c>
      <x:c r="B5171" t="str" s="2">
        <x:v>Heritage Housing of Tulsa</x:v>
      </x:c>
      <x:c r="C5171" t="str" s="2">
        <x:v/>
      </x:c>
      <x:c r="D5171" t="str" s="2">
        <x:v>4053880143</x:v>
      </x:c>
      <x:c r="E5171" t="str" s="2">
        <x:v>ktsherm04@gmail.com</x:v>
      </x:c>
      <x:c r="F5171" t="str" s="2">
        <x:v>Financing Form</x:v>
      </x:c>
      <x:c r="G5171" t="str" s="2">
        <x:v>Jenna Fransisco</x:v>
      </x:c>
      <x:c r="H5171" s="6">
        <x:v>46297.859437037034</x:v>
      </x:c>
      <x:c r="I5171" s="0"/>
      <x:c r="J5171" s="0"/>
      <x:c r="K5171" s="6">
        <x:v>46300</x:v>
      </x:c>
      <x:c r="L5171" t="str" s="2">
        <x:v>Message Sent</x:v>
      </x:c>
    </x:row>
    <x:row r="5172">
      <x:c r="A5172" t="str" s="2">
        <x:f>="Luke Ashworth"</x:f>
      </x:c>
      <x:c r="B5172" t="str" s="2">
        <x:v>Heritage Housing of Jennings</x:v>
      </x:c>
      <x:c r="C5172" t="str" s="2">
        <x:v/>
      </x:c>
      <x:c r="D5172" t="str" s="2">
        <x:v>3373171694</x:v>
      </x:c>
      <x:c r="E5172" t="str" s="2">
        <x:v>queenenji@gmail.com</x:v>
      </x:c>
      <x:c r="F5172" t="str" s="2">
        <x:v>Landing_BPM</x:v>
      </x:c>
      <x:c r="G5172" t="str" s="2">
        <x:v>Clint O'Neal</x:v>
      </x:c>
      <x:c r="H5172" s="6">
        <x:v>46297.91575277778</x:v>
      </x:c>
      <x:c r="I5172" s="0"/>
      <x:c r="J5172" s="0"/>
      <x:c r="K5172" s="6">
        <x:v>46302.741571990744</x:v>
      </x:c>
      <x:c r="L5172" t="str" s="2">
        <x:v>Message Sent</x:v>
      </x:c>
    </x:row>
    <x:row r="5173">
      <x:c r="A5173" t="str" s="2">
        <x:f>="Arbury Smith"</x:f>
      </x:c>
      <x:c r="B5173" t="str" s="2">
        <x:v>Heritage Housing of Canton</x:v>
      </x:c>
      <x:c r="C5173" t="str" s="2">
        <x:v/>
      </x:c>
      <x:c r="D5173" t="str" s="2">
        <x:v>4322565616</x:v>
      </x:c>
      <x:c r="E5173" t="str" s="2">
        <x:v>arburysmith@yahoo.com</x:v>
      </x:c>
      <x:c r="F5173" t="str" s="2">
        <x:v>Landing_BPM</x:v>
      </x:c>
      <x:c r="G5173" t="str" s="2">
        <x:v>Maira Garcia</x:v>
      </x:c>
      <x:c r="H5173" s="6">
        <x:v>46298.05405474537</x:v>
      </x:c>
      <x:c r="I5173" s="0"/>
      <x:c r="J5173" s="0"/>
      <x:c r="K5173" s="6">
        <x:v>46298</x:v>
      </x:c>
      <x:c r="L5173" t="str" s="2">
        <x:v>Message Sent</x:v>
      </x:c>
    </x:row>
    <x:row r="5174">
      <x:c r="A5174" t="str" s="2">
        <x:f>="Harry Cheney"</x:f>
      </x:c>
      <x:c r="B5174" t="str" s="2">
        <x:v>Heritage Housing of Greenville</x:v>
      </x:c>
      <x:c r="C5174" t="str" s="2">
        <x:v/>
      </x:c>
      <x:c r="D5174" t="str" s="2">
        <x:v>4692851285</x:v>
      </x:c>
      <x:c r="E5174" t="str" s="2">
        <x:v>harrycheney873@yahoo.com</x:v>
      </x:c>
      <x:c r="F5174" t="str" s="2">
        <x:v>Landing_BPM</x:v>
      </x:c>
      <x:c r="G5174" t="str" s="2">
        <x:v>Brooklynn Allen</x:v>
      </x:c>
      <x:c r="H5174" s="6">
        <x:v>46298.05747607639</x:v>
      </x:c>
      <x:c r="I5174" s="0"/>
      <x:c r="J5174" s="0"/>
      <x:c r="K5174" s="6">
        <x:v>46300</x:v>
      </x:c>
      <x:c r="L5174" t="str" s="2">
        <x:v>Message Sent</x:v>
      </x:c>
    </x:row>
    <x:row r="5175">
      <x:c r="A5175" t="str" s="2">
        <x:f>="Mary Oliver"</x:f>
      </x:c>
      <x:c r="B5175" t="str" s="2">
        <x:v>Legacy Housing Corp. DBA Americasa</x:v>
      </x:c>
      <x:c r="C5175" t="str" s="2">
        <x:v/>
      </x:c>
      <x:c r="D5175" t="str" s="2">
        <x:v>2812581556</x:v>
      </x:c>
      <x:c r="E5175" t="str" s="2">
        <x:v>harmonyfod511971@gmail.com</x:v>
      </x:c>
      <x:c r="F5175" t="str" s="2">
        <x:v>Landing_BPM</x:v>
      </x:c>
      <x:c r="G5175" t="str" s="2">
        <x:v>Sara Pimienta</x:v>
      </x:c>
      <x:c r="H5175" s="6">
        <x:v>46298.11618903935</x:v>
      </x:c>
      <x:c r="I5175" s="0"/>
      <x:c r="J5175" s="0"/>
      <x:c r="K5175" s="6">
        <x:v>46298</x:v>
      </x:c>
      <x:c r="L5175" t="str" s="2">
        <x:v>Message Sent</x:v>
      </x:c>
    </x:row>
    <x:row r="5176">
      <x:c r="A5176" t="str" s="2">
        <x:f>="Pamela Sutton"</x:f>
      </x:c>
      <x:c r="B5176" t="str" s="2">
        <x:v>Heritage Housing of Greenville</x:v>
      </x:c>
      <x:c r="C5176" t="str" s="2">
        <x:v>0/1</x:v>
      </x:c>
      <x:c r="D5176" t="str" s="2">
        <x:v>9455279342</x:v>
      </x:c>
      <x:c r="E5176" t="str" s="2">
        <x:v>pamiesutton1950@gmail.com</x:v>
      </x:c>
      <x:c r="F5176" t="str" s="2">
        <x:v>LandingPage</x:v>
      </x:c>
      <x:c r="G5176" t="str" s="2">
        <x:v>Greg Christman</x:v>
      </x:c>
      <x:c r="H5176" s="6">
        <x:v>46298.60517855324</x:v>
      </x:c>
      <x:c r="I5176" s="0"/>
      <x:c r="J5176" s="0"/>
      <x:c r="K5176" s="6">
        <x:v>46302</x:v>
      </x:c>
      <x:c r="L5176" t="str" s="2">
        <x:v>Message Sent</x:v>
      </x:c>
    </x:row>
    <x:row r="5177">
      <x:c r="A5177" t="str" s="2">
        <x:f>="Jewel Martin"</x:f>
      </x:c>
      <x:c r="B5177" t="str" s="2">
        <x:v>Heritage Housing of Greenville</x:v>
      </x:c>
      <x:c r="C5177" t="str" s="2">
        <x:v/>
      </x:c>
      <x:c r="D5177" t="str" s="2">
        <x:v>3177229373</x:v>
      </x:c>
      <x:c r="E5177" t="str" s="2">
        <x:v>kite.edicts6y@icloud.com</x:v>
      </x:c>
      <x:c r="F5177" t="str" s="2">
        <x:v>Landing_BPM</x:v>
      </x:c>
      <x:c r="G5177" t="str" s="2">
        <x:v>Brooklynn Allen</x:v>
      </x:c>
      <x:c r="H5177" s="6">
        <x:v>46298.652891701386</x:v>
      </x:c>
      <x:c r="I5177" s="0"/>
      <x:c r="J5177" s="0"/>
      <x:c r="K5177" s="6">
        <x:v>46300</x:v>
      </x:c>
      <x:c r="L5177" t="str" s="2">
        <x:v>Message Sent</x:v>
      </x:c>
    </x:row>
    <x:row r="5178">
      <x:c r="A5178" t="str" s="2">
        <x:f>="Tracy Obrien"</x:f>
      </x:c>
      <x:c r="B5178" t="str" s="2">
        <x:v>Legacy Housing Corp. DBA Americasa</x:v>
      </x:c>
      <x:c r="C5178" t="str" s="2">
        <x:v/>
      </x:c>
      <x:c r="D5178" t="str" s="2">
        <x:v>9363249194</x:v>
      </x:c>
      <x:c r="E5178" t="str" s="2">
        <x:v>tracy.obrien1@icloud.com</x:v>
      </x:c>
      <x:c r="F5178" t="str" s="2">
        <x:v>Website</x:v>
      </x:c>
      <x:c r="G5178" t="str" s="2">
        <x:v>Victoria Sanchez</x:v>
      </x:c>
      <x:c r="H5178" s="6">
        <x:v>46298.673035914355</x:v>
      </x:c>
      <x:c r="I5178" s="0"/>
      <x:c r="J5178" s="0"/>
      <x:c r="K5178" s="6">
        <x:v>46298</x:v>
      </x:c>
      <x:c r="L5178" t="str" s="2">
        <x:v>Message Sent</x:v>
      </x:c>
    </x:row>
    <x:row r="5179">
      <x:c r="A5179" t="str" s="2">
        <x:f>="Jason Derouen"</x:f>
      </x:c>
      <x:c r="B5179" t="str" s="2">
        <x:v>Heritage Housing of Jennings</x:v>
      </x:c>
      <x:c r="C5179" t="str" s="2">
        <x:v/>
      </x:c>
      <x:c r="D5179" t="str" s="2">
        <x:v>3372411588</x:v>
      </x:c>
      <x:c r="E5179" t="str" s="2">
        <x:v>derouenjason8@gmail.com</x:v>
      </x:c>
      <x:c r="F5179" t="str" s="2">
        <x:v>Youtube</x:v>
      </x:c>
      <x:c r="G5179" t="str" s="2">
        <x:v>Mervin Leslie Smith</x:v>
      </x:c>
      <x:c r="H5179" s="6">
        <x:v>46298.69624857639</x:v>
      </x:c>
      <x:c r="I5179" s="0"/>
      <x:c r="J5179" s="0"/>
      <x:c r="K5179" s="6">
        <x:v>46302.737727280095</x:v>
      </x:c>
      <x:c r="L5179" t="str" s="2">
        <x:v>Message Sent</x:v>
      </x:c>
    </x:row>
    <x:row r="5180">
      <x:c r="A5180" t="str" s="2">
        <x:f>="Joshua Davis"</x:f>
      </x:c>
      <x:c r="B5180" t="str" s="2">
        <x:v>Heritage Housing of Tulsa</x:v>
      </x:c>
      <x:c r="C5180" t="str" s="2">
        <x:v/>
      </x:c>
      <x:c r="D5180" t="str" s="2">
        <x:v>5393230800</x:v>
      </x:c>
      <x:c r="E5180" t="str" s="2">
        <x:v>flattopdavis377@gmail.com</x:v>
      </x:c>
      <x:c r="F5180" t="str" s="2">
        <x:v>Landing_BPM</x:v>
      </x:c>
      <x:c r="G5180" t="str" s="2">
        <x:v>Jenna Fransisco</x:v>
      </x:c>
      <x:c r="H5180" s="6">
        <x:v>46298.71716871528</x:v>
      </x:c>
      <x:c r="I5180" s="0"/>
      <x:c r="J5180" s="0"/>
      <x:c r="K5180" s="6">
        <x:v>46301</x:v>
      </x:c>
      <x:c r="L5180" t="str" s="2">
        <x:v>Message Sent</x:v>
      </x:c>
    </x:row>
    <x:row r="5181">
      <x:c r="A5181" t="str" s="2">
        <x:f>="Sterling Hammond"</x:f>
      </x:c>
      <x:c r="B5181" t="str" s="2">
        <x:v>Heritage Housing Mt Pleasant</x:v>
      </x:c>
      <x:c r="C5181" t="str" s="2">
        <x:v/>
      </x:c>
      <x:c r="D5181" t="str" s="2">
        <x:v>4787185477</x:v>
      </x:c>
      <x:c r="E5181" t="str" s="2">
        <x:v>sterling11597@gmail.com</x:v>
      </x:c>
      <x:c r="F5181" t="str" s="2">
        <x:v>Financing Form</x:v>
      </x:c>
      <x:c r="G5181" t="str" s="2">
        <x:v>Sandra Saldana</x:v>
      </x:c>
      <x:c r="H5181" s="6">
        <x:v>46298.768315625</x:v>
      </x:c>
      <x:c r="I5181" s="0"/>
      <x:c r="J5181" s="0"/>
      <x:c r="K5181" s="6">
        <x:v>46301</x:v>
      </x:c>
      <x:c r="L5181" t="str" s="2">
        <x:v>Message Sent</x:v>
      </x:c>
    </x:row>
    <x:row r="5182">
      <x:c r="A5182" t="str" s="2">
        <x:f>="Nancy Keller"</x:f>
      </x:c>
      <x:c r="B5182" t="str" s="2">
        <x:v>Heritage Housing of Asheboro</x:v>
      </x:c>
      <x:c r="C5182" t="str" s="2">
        <x:v/>
      </x:c>
      <x:c r="D5182" t="str" s="2">
        <x:v>9804590832</x:v>
      </x:c>
      <x:c r="E5182" t="str" s="2">
        <x:v>kudanana64@gmail.com</x:v>
      </x:c>
      <x:c r="F5182" t="str" s="2">
        <x:v>Landing_BPM</x:v>
      </x:c>
      <x:c r="G5182" t="str" s="2">
        <x:v>Maria Lopez</x:v>
      </x:c>
      <x:c r="H5182" s="6">
        <x:v>46298.80768136574</x:v>
      </x:c>
      <x:c r="I5182" s="0"/>
      <x:c r="J5182" s="0"/>
      <x:c r="K5182" s="6">
        <x:v>46300</x:v>
      </x:c>
      <x:c r="L5182" t="str" s="2">
        <x:v>Message Sent</x:v>
      </x:c>
    </x:row>
    <x:row r="5183">
      <x:c r="A5183" t="str" s="2">
        <x:f>="Brianna Salas"</x:f>
      </x:c>
      <x:c r="B5183" t="str" s="2">
        <x:v>Heritage Housing of Albany</x:v>
      </x:c>
      <x:c r="C5183" t="str" s="2">
        <x:v/>
      </x:c>
      <x:c r="D5183" t="str" s="2">
        <x:v>9125929062</x:v>
      </x:c>
      <x:c r="E5183" t="str" s="2">
        <x:v>salasbri008@icloud.com</x:v>
      </x:c>
      <x:c r="F5183" t="str" s="2">
        <x:v>Landing_BPM</x:v>
      </x:c>
      <x:c r="G5183" t="str" s="2">
        <x:v>Yanet Alvarez</x:v>
      </x:c>
      <x:c r="H5183" s="6">
        <x:v>46298.891338113426</x:v>
      </x:c>
      <x:c r="I5183" s="0"/>
      <x:c r="J5183" s="0"/>
      <x:c r="K5183" s="6">
        <x:v>46302</x:v>
      </x:c>
      <x:c r="L5183" t="str" s="2">
        <x:v>Message Sent</x:v>
      </x:c>
    </x:row>
    <x:row r="5184">
      <x:c r="A5184" t="str" s="2">
        <x:f>="Zymelia Johnson"</x:f>
      </x:c>
      <x:c r="B5184" t="str" s="2">
        <x:v>Heritage Housing of Albany</x:v>
      </x:c>
      <x:c r="C5184" t="str" s="2">
        <x:v/>
      </x:c>
      <x:c r="D5184" t="str" s="2">
        <x:v>4782846860</x:v>
      </x:c>
      <x:c r="E5184" t="str" s="2">
        <x:v>ladiamous@gmail.com</x:v>
      </x:c>
      <x:c r="F5184" t="str" s="2">
        <x:v>Landing_BPM</x:v>
      </x:c>
      <x:c r="G5184" t="str" s="2">
        <x:v>Yanet Alvarez</x:v>
      </x:c>
      <x:c r="H5184" s="6">
        <x:v>46298.90211188657</x:v>
      </x:c>
      <x:c r="I5184" s="0"/>
      <x:c r="J5184" s="0"/>
      <x:c r="K5184" s="6">
        <x:v>46300</x:v>
      </x:c>
      <x:c r="L5184" t="str" s="2">
        <x:v>Message Sent</x:v>
      </x:c>
    </x:row>
    <x:row r="5185">
      <x:c r="A5185" t="str" s="2">
        <x:f>="Angel Ashley"</x:f>
      </x:c>
      <x:c r="B5185" t="str" s="2">
        <x:v>Heritage Housing of Tulsa</x:v>
      </x:c>
      <x:c r="C5185" t="str" s="2">
        <x:v/>
      </x:c>
      <x:c r="D5185" t="str" s="2">
        <x:v>9188826217</x:v>
      </x:c>
      <x:c r="E5185" t="str" s="2">
        <x:v>AngelAshley702@gmail.com</x:v>
      </x:c>
      <x:c r="F5185" t="str" s="2">
        <x:v>Landing_BPM</x:v>
      </x:c>
      <x:c r="G5185" t="str" s="2">
        <x:v>Jenna Fransisco</x:v>
      </x:c>
      <x:c r="H5185" s="6">
        <x:v>46298.9390412037</x:v>
      </x:c>
      <x:c r="I5185" s="0"/>
      <x:c r="J5185" s="0"/>
      <x:c r="K5185" s="6">
        <x:v>46300</x:v>
      </x:c>
      <x:c r="L5185" t="str" s="2">
        <x:v>Message Sent</x:v>
      </x:c>
    </x:row>
    <x:row r="5186">
      <x:c r="A5186" t="str" s="2">
        <x:f>="Shanetta Daye"</x:f>
      </x:c>
      <x:c r="B5186" t="str" s="2">
        <x:v>Heritage Housing of Asheboro</x:v>
      </x:c>
      <x:c r="C5186" t="str" s="2">
        <x:v/>
      </x:c>
      <x:c r="D5186" t="str" s="2">
        <x:v>3366058391</x:v>
      </x:c>
      <x:c r="E5186" t="str" s="2">
        <x:v>shaydinero55@gmail.com</x:v>
      </x:c>
      <x:c r="F5186" t="str" s="2">
        <x:v>Financing Form</x:v>
      </x:c>
      <x:c r="G5186" t="str" s="2">
        <x:v>Kate Gutierrez</x:v>
      </x:c>
      <x:c r="H5186" s="6">
        <x:v>46299.00897589121</x:v>
      </x:c>
      <x:c r="I5186" s="0"/>
      <x:c r="J5186" s="0"/>
      <x:c r="K5186" s="6">
        <x:v>46303</x:v>
      </x:c>
      <x:c r="L5186" t="str" s="2">
        <x:v>Message Sent</x:v>
      </x:c>
    </x:row>
    <x:row r="5187">
      <x:c r="A5187" t="str" s="2">
        <x:f>="Shania Jones"</x:f>
      </x:c>
      <x:c r="B5187" t="str" s="2">
        <x:v>Heritage Housing of Asheboro</x:v>
      </x:c>
      <x:c r="C5187" t="str" s="2">
        <x:v/>
      </x:c>
      <x:c r="D5187" t="str" s="2">
        <x:v>3369371056</x:v>
      </x:c>
      <x:c r="E5187" t="str" s="2">
        <x:v>shanial.jones@gmail.com</x:v>
      </x:c>
      <x:c r="F5187" t="str" s="2">
        <x:v>Landing_BPM</x:v>
      </x:c>
      <x:c r="G5187" t="str" s="2">
        <x:v>Kate Gutierrez</x:v>
      </x:c>
      <x:c r="H5187" s="6">
        <x:v>46299.0578443287</x:v>
      </x:c>
      <x:c r="I5187" s="0"/>
      <x:c r="J5187" s="0"/>
      <x:c r="K5187" s="6">
        <x:v>46300</x:v>
      </x:c>
      <x:c r="L5187" t="str" s="2">
        <x:v>Message Sent</x:v>
      </x:c>
    </x:row>
    <x:row r="5188">
      <x:c r="A5188" t="str" s="2">
        <x:f>="Julia Borja Borja"</x:f>
      </x:c>
      <x:c r="B5188" t="str" s="2">
        <x:v>Heritage Housing Marble Falls</x:v>
      </x:c>
      <x:c r="C5188" t="str" s="2">
        <x:v/>
      </x:c>
      <x:c r="D5188" t="str" s="2">
        <x:v>3465060494</x:v>
      </x:c>
      <x:c r="E5188" t="str" s="2">
        <x:v>juliaborja71971@gmail.comI</x:v>
      </x:c>
      <x:c r="F5188" t="str" s="2">
        <x:v>Landing_BPM</x:v>
      </x:c>
      <x:c r="G5188" t="str" s="2">
        <x:v>Stephen Sanders</x:v>
      </x:c>
      <x:c r="H5188" s="6">
        <x:v>46299.06180234953</x:v>
      </x:c>
      <x:c r="I5188" s="0"/>
      <x:c r="J5188" s="0"/>
      <x:c r="K5188" s="6">
        <x:v>46300</x:v>
      </x:c>
      <x:c r="L5188" t="str" s="2">
        <x:v>Message Sent</x:v>
      </x:c>
    </x:row>
    <x:row r="5189">
      <x:c r="A5189" t="str" s="2">
        <x:f>="Bryce Young-Turner"</x:f>
      </x:c>
      <x:c r="B5189" t="str" s="2">
        <x:v>Heritage Housing of Albany</x:v>
      </x:c>
      <x:c r="C5189" t="str" s="2">
        <x:v/>
      </x:c>
      <x:c r="D5189" t="str" s="2">
        <x:v>4697046291</x:v>
      </x:c>
      <x:c r="E5189" t="str" s="2">
        <x:v>Terrenceyoung49@gmail.com</x:v>
      </x:c>
      <x:c r="F5189" t="str" s="2">
        <x:v>Financing Form</x:v>
      </x:c>
      <x:c r="G5189" t="str" s="2">
        <x:v>Yanet Alvarez</x:v>
      </x:c>
      <x:c r="H5189" s="6">
        <x:v>46299.10273506944</x:v>
      </x:c>
      <x:c r="I5189" s="0"/>
      <x:c r="J5189" s="0"/>
      <x:c r="K5189" s="6">
        <x:v>46299</x:v>
      </x:c>
      <x:c r="L5189" t="str" s="2">
        <x:v>Message Sent</x:v>
      </x:c>
    </x:row>
    <x:row r="5190">
      <x:c r="A5190" t="str" s="2">
        <x:f>="chanasta Edwards"</x:f>
      </x:c>
      <x:c r="B5190" t="str" s="2">
        <x:v>Heritage Housing of Tulsa</x:v>
      </x:c>
      <x:c r="C5190" t="str" s="2">
        <x:v/>
      </x:c>
      <x:c r="D5190" t="str" s="2">
        <x:v>4173103124</x:v>
      </x:c>
      <x:c r="E5190" t="str" s="2">
        <x:v>cicifangxd@gmail.com</x:v>
      </x:c>
      <x:c r="F5190" t="str" s="2">
        <x:v>Landing_BPM</x:v>
      </x:c>
      <x:c r="G5190" t="str" s="2">
        <x:v>Jenna Fransisco</x:v>
      </x:c>
      <x:c r="H5190" s="6">
        <x:v>46299.109760266205</x:v>
      </x:c>
      <x:c r="I5190" s="0"/>
      <x:c r="J5190" s="0"/>
      <x:c r="K5190" s="6">
        <x:v>46300</x:v>
      </x:c>
      <x:c r="L5190" t="str" s="2">
        <x:v>Message Sent</x:v>
      </x:c>
    </x:row>
    <x:row r="5191">
      <x:c r="A5191" t="str" s="2">
        <x:f>="Destiny Obryant"</x:f>
      </x:c>
      <x:c r="B5191" t="str" s="2">
        <x:v>Heritage Housing of Tulsa</x:v>
      </x:c>
      <x:c r="C5191" t="str" s="2">
        <x:v/>
      </x:c>
      <x:c r="D5191" t="str" s="2">
        <x:v>9189641639</x:v>
      </x:c>
      <x:c r="E5191" t="str" s="2">
        <x:v>whysoserious_o669@yahoo.com</x:v>
      </x:c>
      <x:c r="F5191" t="str" s="2">
        <x:v>Landing_BPM</x:v>
      </x:c>
      <x:c r="G5191" t="str" s="2">
        <x:v>Jenna Fransisco</x:v>
      </x:c>
      <x:c r="H5191" s="6">
        <x:v>46299.1253658912</x:v>
      </x:c>
      <x:c r="I5191" s="0"/>
      <x:c r="J5191" s="0"/>
      <x:c r="K5191" s="6">
        <x:v>46300</x:v>
      </x:c>
      <x:c r="L5191" t="str" s="2">
        <x:v>Message Sent</x:v>
      </x:c>
    </x:row>
    <x:row r="5192">
      <x:c r="A5192" t="str" s="2">
        <x:f>="James Bell"</x:f>
      </x:c>
      <x:c r="B5192" t="str" s="2">
        <x:v>Heritage Housing of Albany</x:v>
      </x:c>
      <x:c r="C5192" t="str" s="2">
        <x:v/>
      </x:c>
      <x:c r="D5192" t="str" s="2">
        <x:v>4708557926</x:v>
      </x:c>
      <x:c r="E5192" t="str" s="2">
        <x:v>beatsbyjessi@gmail.com</x:v>
      </x:c>
      <x:c r="F5192" t="str" s="2">
        <x:v>Landing_BPM</x:v>
      </x:c>
      <x:c r="G5192" t="str" s="2">
        <x:v>Yanet Alvarez</x:v>
      </x:c>
      <x:c r="H5192" s="6">
        <x:v>46299.18467515046</x:v>
      </x:c>
      <x:c r="I5192" s="0"/>
      <x:c r="J5192" s="0"/>
      <x:c r="K5192" s="6">
        <x:v>46302</x:v>
      </x:c>
      <x:c r="L5192" t="str" s="2">
        <x:v>Message Sent</x:v>
      </x:c>
    </x:row>
    <x:row r="5193">
      <x:c r="A5193" t="str" s="2">
        <x:f>="Austin Wells"</x:f>
      </x:c>
      <x:c r="B5193" t="str" s="2">
        <x:v>Heritage Housing of Jennings</x:v>
      </x:c>
      <x:c r="C5193" t="str" s="2">
        <x:v/>
      </x:c>
      <x:c r="D5193" t="str" s="2">
        <x:v>6018964336</x:v>
      </x:c>
      <x:c r="E5193" t="str" s="2">
        <x:v>thatguyaustinwells@gmail.com</x:v>
      </x:c>
      <x:c r="F5193" t="str" s="2">
        <x:v>Landing_BPM</x:v>
      </x:c>
      <x:c r="G5193" t="str" s="2">
        <x:v>Clint O'Neal</x:v>
      </x:c>
      <x:c r="H5193" s="6">
        <x:v>46299.306139733795</x:v>
      </x:c>
      <x:c r="I5193" s="0"/>
      <x:c r="J5193" s="0"/>
      <x:c r="K5193" s="6">
        <x:v>46302.74331053241</x:v>
      </x:c>
      <x:c r="L5193" t="str" s="2">
        <x:v>Message Sent</x:v>
      </x:c>
    </x:row>
    <x:row r="5194">
      <x:c r="A5194" t="str" s="2">
        <x:f>="Christopher Painter"</x:f>
      </x:c>
      <x:c r="B5194" t="str" s="2">
        <x:v>Heritage Housing of Asheboro</x:v>
      </x:c>
      <x:c r="C5194" t="str" s="2">
        <x:v/>
      </x:c>
      <x:c r="D5194" t="str" s="2">
        <x:v>7439993944</x:v>
      </x:c>
      <x:c r="E5194" t="str" s="2">
        <x:v>chrispainter838@yahoo.com</x:v>
      </x:c>
      <x:c r="F5194" t="str" s="2">
        <x:v>Landing_BPM</x:v>
      </x:c>
      <x:c r="G5194" t="str" s="2">
        <x:v>Maria Lopez</x:v>
      </x:c>
      <x:c r="H5194" s="6">
        <x:v>46299.35494922454</x:v>
      </x:c>
      <x:c r="I5194" s="0"/>
      <x:c r="J5194" s="0"/>
      <x:c r="K5194" s="6">
        <x:v>46307</x:v>
      </x:c>
      <x:c r="L5194" t="str" s="2">
        <x:v>Message Sent</x:v>
      </x:c>
    </x:row>
    <x:row r="5195">
      <x:c r="A5195" t="str" s="2">
        <x:f>="Sandy Spraggins"</x:f>
      </x:c>
      <x:c r="B5195" t="str" s="2">
        <x:v>Heritage Housing of Albany</x:v>
      </x:c>
      <x:c r="C5195" t="str" s="2">
        <x:v/>
      </x:c>
      <x:c r="D5195" t="str" s="2">
        <x:v>7066014377</x:v>
      </x:c>
      <x:c r="E5195" t="str" s="2">
        <x:v>stewartsandy@ymail.com</x:v>
      </x:c>
      <x:c r="F5195" t="str" s="2">
        <x:v>Financing Form</x:v>
      </x:c>
      <x:c r="G5195" t="str" s="2">
        <x:v>Yanet Alvarez</x:v>
      </x:c>
      <x:c r="H5195" s="6">
        <x:v>46299.51971990741</x:v>
      </x:c>
      <x:c r="I5195" s="0"/>
      <x:c r="J5195" s="0"/>
      <x:c r="K5195" s="6">
        <x:v>46308</x:v>
      </x:c>
      <x:c r="L5195" t="str" s="2">
        <x:v>Message Sent</x:v>
      </x:c>
    </x:row>
    <x:row r="5196">
      <x:c r="A5196" t="str" s="2">
        <x:f>="Jennifer Ridling"</x:f>
      </x:c>
      <x:c r="B5196" t="str" s="2">
        <x:v>Heritage Housing of Tulsa</x:v>
      </x:c>
      <x:c r="C5196" t="str" s="2">
        <x:v/>
      </x:c>
      <x:c r="D5196" t="str" s="2">
        <x:v>4792253468</x:v>
      </x:c>
      <x:c r="E5196" t="str" s="2">
        <x:v>penguin1908@gmail.com</x:v>
      </x:c>
      <x:c r="F5196" t="str" s="2">
        <x:v>Landing_BPM</x:v>
      </x:c>
      <x:c r="G5196" t="str" s="2">
        <x:v>Jenna Fransisco</x:v>
      </x:c>
      <x:c r="H5196" s="6">
        <x:v>46299.534980902776</x:v>
      </x:c>
      <x:c r="I5196" s="0"/>
      <x:c r="J5196" s="0"/>
      <x:c r="K5196" s="6">
        <x:v>46300</x:v>
      </x:c>
      <x:c r="L5196" t="str" s="2">
        <x:v>Message Sent</x:v>
      </x:c>
    </x:row>
    <x:row r="5197">
      <x:c r="A5197" t="str" s="2">
        <x:f>="Karen Love"</x:f>
      </x:c>
      <x:c r="B5197" t="str" s="2">
        <x:v>Heritage Housing of Albany</x:v>
      </x:c>
      <x:c r="C5197" t="str" s="2">
        <x:v/>
      </x:c>
      <x:c r="D5197" t="str" s="2">
        <x:v>6787807970</x:v>
      </x:c>
      <x:c r="E5197" t="str" s="2">
        <x:v>catangel1261@gmail.com</x:v>
      </x:c>
      <x:c r="F5197" t="str" s="2">
        <x:v>Financing Form</x:v>
      </x:c>
      <x:c r="G5197" t="str" s="2">
        <x:v>Yanet Alvarez</x:v>
      </x:c>
      <x:c r="H5197" s="6">
        <x:v>46299.59987561343</x:v>
      </x:c>
      <x:c r="I5197" s="0"/>
      <x:c r="J5197" s="0"/>
      <x:c r="K5197" s="6">
        <x:v>46307</x:v>
      </x:c>
      <x:c r="L5197" t="str" s="2">
        <x:v>Message Sent</x:v>
      </x:c>
    </x:row>
    <x:row r="5198">
      <x:c r="A5198" t="str" s="2">
        <x:f>="Kathryn Estes"</x:f>
      </x:c>
      <x:c r="B5198" t="str" s="2">
        <x:v>Heritage Housing of Tulsa</x:v>
      </x:c>
      <x:c r="C5198" t="str" s="2">
        <x:v/>
      </x:c>
      <x:c r="D5198" t="str" s="2">
        <x:v>9188960956</x:v>
      </x:c>
      <x:c r="E5198" t="str" s="2">
        <x:v>Kathyestes1972@gmail.com</x:v>
      </x:c>
      <x:c r="F5198" t="str" s="2">
        <x:v>Landing_BPM</x:v>
      </x:c>
      <x:c r="G5198" t="str" s="2">
        <x:v>Jenna Fransisco</x:v>
      </x:c>
      <x:c r="H5198" s="6">
        <x:v>46299.603386145835</x:v>
      </x:c>
      <x:c r="I5198" s="0"/>
      <x:c r="J5198" s="0"/>
      <x:c r="K5198" s="6">
        <x:v>46300</x:v>
      </x:c>
      <x:c r="L5198" t="str" s="2">
        <x:v>Message Sent</x:v>
      </x:c>
    </x:row>
    <x:row r="5199">
      <x:c r="A5199" t="str" s="2">
        <x:f>="Frank Rainbolt"</x:f>
      </x:c>
      <x:c r="B5199" t="str" s="2">
        <x:v>Heritage Housing of Tulsa</x:v>
      </x:c>
      <x:c r="C5199" t="str" s="2">
        <x:v/>
      </x:c>
      <x:c r="D5199" t="str" s="2">
        <x:v>9188559181</x:v>
      </x:c>
      <x:c r="E5199" t="str" s="2">
        <x:v>frankrainbolt@gmail.com</x:v>
      </x:c>
      <x:c r="F5199" t="str" s="2">
        <x:v>Landing_BPM</x:v>
      </x:c>
      <x:c r="G5199" t="str" s="2">
        <x:v>Jenna Fransisco</x:v>
      </x:c>
      <x:c r="H5199" s="6">
        <x:v>46299.66314502315</x:v>
      </x:c>
      <x:c r="I5199" s="0"/>
      <x:c r="J5199" s="0"/>
      <x:c r="K5199" s="6">
        <x:v>46300</x:v>
      </x:c>
      <x:c r="L5199" t="str" s="2">
        <x:v>Message Sent</x:v>
      </x:c>
    </x:row>
    <x:row r="5200">
      <x:c r="A5200" t="str" s="2">
        <x:f>="Katy Trejos"</x:f>
      </x:c>
      <x:c r="B5200" t="str" s="2">
        <x:v>Legacy Housing Corp. DBA Americasa</x:v>
      </x:c>
      <x:c r="C5200" t="str" s="2">
        <x:v/>
      </x:c>
      <x:c r="D5200" t="str" s="2">
        <x:v>8325284951</x:v>
      </x:c>
      <x:c r="E5200" t="str" s="2">
        <x:v>kattia.trejos@gmail.com</x:v>
      </x:c>
      <x:c r="F5200" t="str" s="2">
        <x:v>Meta Ads - Traffic</x:v>
      </x:c>
      <x:c r="G5200" t="str" s="2">
        <x:v>Joey Marquez</x:v>
      </x:c>
      <x:c r="H5200" s="6">
        <x:v>46299.67354077546</x:v>
      </x:c>
      <x:c r="I5200" s="0"/>
      <x:c r="J5200" s="0"/>
      <x:c r="K5200" s="6">
        <x:v>46300</x:v>
      </x:c>
      <x:c r="L5200" t="str" s="2">
        <x:v>Message Sent</x:v>
      </x:c>
    </x:row>
    <x:row r="5201">
      <x:c r="A5201" t="str" s="2">
        <x:f>="Ivy Shell"</x:f>
      </x:c>
      <x:c r="B5201" t="str" s="2">
        <x:v>Heritage Housing of Albany</x:v>
      </x:c>
      <x:c r="C5201" t="str" s="2">
        <x:v/>
      </x:c>
      <x:c r="D5201" t="str" s="2">
        <x:v>2295910349</x:v>
      </x:c>
      <x:c r="E5201" t="str" s="2">
        <x:v>ivy.blaine.wiggins0512@gmail.com</x:v>
      </x:c>
      <x:c r="F5201" t="str" s="2">
        <x:v>Landing_BPM</x:v>
      </x:c>
      <x:c r="G5201" t="str" s="2">
        <x:v>Yanet Alvarez</x:v>
      </x:c>
      <x:c r="H5201" s="6">
        <x:v>46299.734980092595</x:v>
      </x:c>
      <x:c r="I5201" s="0"/>
      <x:c r="J5201" s="0"/>
      <x:c r="K5201" s="6">
        <x:v>46302</x:v>
      </x:c>
      <x:c r="L5201" t="str" s="2">
        <x:v>Message Sent</x:v>
      </x:c>
    </x:row>
    <x:row r="5202">
      <x:c r="A5202" t="str" s="2">
        <x:f>="Cindy Spain"</x:f>
      </x:c>
      <x:c r="B5202" t="str" s="2">
        <x:v>Heritage Housing of Athens</x:v>
      </x:c>
      <x:c r="C5202" t="str" s="2">
        <x:v/>
      </x:c>
      <x:c r="D5202" t="str" s="2">
        <x:v>4172178795</x:v>
      </x:c>
      <x:c r="E5202" t="str" s="2">
        <x:v>cinlouspain@yahoo.com</x:v>
      </x:c>
      <x:c r="F5202" t="str" s="2">
        <x:v>Website</x:v>
      </x:c>
      <x:c r="G5202" t="str" s="2">
        <x:v>Nathan Bishop</x:v>
      </x:c>
      <x:c r="H5202" s="6">
        <x:v>46299.7415471412</x:v>
      </x:c>
      <x:c r="I5202" s="0"/>
      <x:c r="J5202" s="0"/>
      <x:c r="K5202" s="6">
        <x:v>46301</x:v>
      </x:c>
      <x:c r="L5202" t="str" s="2">
        <x:v>Message Sent</x:v>
      </x:c>
    </x:row>
    <x:row r="5203">
      <x:c r="A5203" t="str" s="2">
        <x:f>="Savannah Myers Myers"</x:f>
      </x:c>
      <x:c r="B5203" t="str" s="2">
        <x:v>Heritage Housing of Asheboro</x:v>
      </x:c>
      <x:c r="C5203" t="str" s="2">
        <x:v/>
      </x:c>
      <x:c r="D5203" t="str" s="2">
        <x:v>9109865866</x:v>
      </x:c>
      <x:c r="E5203" t="str" s="2">
        <x:v>roseannm1997@gmail.com</x:v>
      </x:c>
      <x:c r="F5203" t="str" s="2">
        <x:v>Landing_BPM</x:v>
      </x:c>
      <x:c r="G5203" t="str" s="2">
        <x:v>Kate Gutierrez</x:v>
      </x:c>
      <x:c r="H5203" s="6">
        <x:v>46299.77321917824</x:v>
      </x:c>
      <x:c r="I5203" s="0"/>
      <x:c r="J5203" s="0"/>
      <x:c r="K5203" s="6">
        <x:v>46303</x:v>
      </x:c>
      <x:c r="L5203" t="str" s="2">
        <x:v>Message Sent</x:v>
      </x:c>
    </x:row>
    <x:row r="5204">
      <x:c r="A5204" t="str" s="2">
        <x:f>="Miguel angel Mazo delgado"</x:f>
      </x:c>
      <x:c r="B5204" t="str" s="2">
        <x:v>Heritage Housing of Asheboro</x:v>
      </x:c>
      <x:c r="C5204" t="str" s="2">
        <x:v/>
      </x:c>
      <x:c r="D5204" t="str" s="2">
        <x:v>8288508390</x:v>
      </x:c>
      <x:c r="E5204" t="str" s="2">
        <x:v>miguelmazo062@gmail.com</x:v>
      </x:c>
      <x:c r="F5204" t="str" s="2">
        <x:v>Meta Ads - Traffic</x:v>
      </x:c>
      <x:c r="G5204" t="str" s="2">
        <x:v>Kate Gutierrez</x:v>
      </x:c>
      <x:c r="H5204" s="6">
        <x:v>46299.78857291667</x:v>
      </x:c>
      <x:c r="I5204" s="0"/>
      <x:c r="J5204" s="0"/>
      <x:c r="K5204" s="6">
        <x:v>46300</x:v>
      </x:c>
      <x:c r="L5204" t="str" s="2">
        <x:v>Message Sent</x:v>
      </x:c>
    </x:row>
    <x:row r="5205">
      <x:c r="A5205" t="str" s="2">
        <x:f>="Misty Skipper"</x:f>
      </x:c>
      <x:c r="B5205" t="str" s="2">
        <x:v>Heritage Housing of Tulsa</x:v>
      </x:c>
      <x:c r="C5205" t="str" s="2">
        <x:v/>
      </x:c>
      <x:c r="D5205" t="str" s="2">
        <x:v>9185755897</x:v>
      </x:c>
      <x:c r="E5205" t="str" s="2">
        <x:v>AaronEubanks03@gmail.com</x:v>
      </x:c>
      <x:c r="F5205" t="str" s="2">
        <x:v>Landing_BPM</x:v>
      </x:c>
      <x:c r="G5205" t="str" s="2">
        <x:v>Jenna Fransisco</x:v>
      </x:c>
      <x:c r="H5205" s="6">
        <x:v>46299.80061168982</x:v>
      </x:c>
      <x:c r="I5205" s="0"/>
      <x:c r="J5205" s="0"/>
      <x:c r="K5205" s="6">
        <x:v>46300</x:v>
      </x:c>
      <x:c r="L5205" t="str" s="2">
        <x:v>Message Sent</x:v>
      </x:c>
    </x:row>
    <x:row r="5206">
      <x:c r="A5206" t="str" s="2">
        <x:f>="Elizabeth Martin"</x:f>
      </x:c>
      <x:c r="B5206" t="str" s="2">
        <x:v>Legacy Housing Corp. DBA Americasa</x:v>
      </x:c>
      <x:c r="C5206" t="str" s="2">
        <x:v/>
      </x:c>
      <x:c r="D5206" t="str" s="2">
        <x:v>9793737623</x:v>
      </x:c>
      <x:c r="E5206" t="str" s="2">
        <x:v>emartin041603@icloud.com</x:v>
      </x:c>
      <x:c r="F5206" t="str" s="2">
        <x:v>Landing_BPM</x:v>
      </x:c>
      <x:c r="G5206" t="str" s="2">
        <x:v>Jose Parada</x:v>
      </x:c>
      <x:c r="H5206" s="6">
        <x:v>46299.80671704861</x:v>
      </x:c>
      <x:c r="I5206" s="0"/>
      <x:c r="J5206" s="0"/>
      <x:c r="K5206" s="6">
        <x:v>46300</x:v>
      </x:c>
      <x:c r="L5206" t="str" s="2">
        <x:v>Message Sent</x:v>
      </x:c>
    </x:row>
    <x:row r="5207">
      <x:c r="A5207" t="str" s="2">
        <x:f>="Mario Andrino"</x:f>
      </x:c>
      <x:c r="B5207" t="str" s="2">
        <x:v>Heritage Housing of Canton</x:v>
      </x:c>
      <x:c r="C5207" t="str" s="2">
        <x:v/>
      </x:c>
      <x:c r="D5207" t="str" s="2">
        <x:v>8176179519</x:v>
      </x:c>
      <x:c r="E5207" t="str" s="2">
        <x:v>marioalbertoabdrino@yahoo.com</x:v>
      </x:c>
      <x:c r="F5207" t="str" s="2">
        <x:v>Meta Ads - Traffic</x:v>
      </x:c>
      <x:c r="G5207" t="str" s="2">
        <x:v>Jacob Hatten</x:v>
      </x:c>
      <x:c r="H5207" s="6">
        <x:v>46299.848855474535</x:v>
      </x:c>
      <x:c r="I5207" s="0"/>
      <x:c r="J5207" s="0"/>
      <x:c r="K5207" s="6">
        <x:v>46302</x:v>
      </x:c>
      <x:c r="L5207" t="str" s="2">
        <x:v>Message Sent</x:v>
      </x:c>
    </x:row>
    <x:row r="5208">
      <x:c r="A5208" t="str" s="2">
        <x:f>="Ryan Gunter"</x:f>
      </x:c>
      <x:c r="B5208" t="str" s="2">
        <x:v>Heritage Housing of Athens</x:v>
      </x:c>
      <x:c r="C5208" t="str" s="2">
        <x:v/>
      </x:c>
      <x:c r="D5208" t="str" s="2">
        <x:v>7067145100</x:v>
      </x:c>
      <x:c r="E5208" t="str" s="2">
        <x:v>ryanheathgunter@gmail.com</x:v>
      </x:c>
      <x:c r="F5208" t="str" s="2">
        <x:v>Landing_BPM</x:v>
      </x:c>
      <x:c r="G5208" t="str" s="2">
        <x:v>Nathan Bishop</x:v>
      </x:c>
      <x:c r="H5208" s="6">
        <x:v>46299.88618306713</x:v>
      </x:c>
      <x:c r="I5208" s="0"/>
      <x:c r="J5208" s="0"/>
      <x:c r="K5208" s="6">
        <x:v>46302</x:v>
      </x:c>
      <x:c r="L5208" t="str" s="2">
        <x:v>Message Sent</x:v>
      </x:c>
    </x:row>
    <x:row r="5209">
      <x:c r="A5209" t="str" s="2">
        <x:f>="Brooklyn Alexander"</x:f>
      </x:c>
      <x:c r="B5209" t="str" s="2">
        <x:v>Heritage Housing of Asheboro</x:v>
      </x:c>
      <x:c r="C5209" t="str" s="2">
        <x:v/>
      </x:c>
      <x:c r="D5209" t="str" s="2">
        <x:v>5139721054</x:v>
      </x:c>
      <x:c r="E5209" t="str" s="2">
        <x:v>brooklynpaigealexander26@gmail.com</x:v>
      </x:c>
      <x:c r="F5209" t="str" s="2">
        <x:v>Landing_BPM</x:v>
      </x:c>
      <x:c r="G5209" t="str" s="2">
        <x:v>Maria Lopez</x:v>
      </x:c>
      <x:c r="H5209" s="6">
        <x:v>46299.90629907407</x:v>
      </x:c>
      <x:c r="I5209" s="0"/>
      <x:c r="J5209" s="0"/>
      <x:c r="K5209" s="6">
        <x:v>46307</x:v>
      </x:c>
      <x:c r="L5209" t="str" s="2">
        <x:v>Message Sent</x:v>
      </x:c>
    </x:row>
    <x:row r="5210">
      <x:c r="A5210" t="str" s="2">
        <x:f>="Zane Gardner"</x:f>
      </x:c>
      <x:c r="B5210" t="str" s="2">
        <x:v>Heritage Housing of Albany</x:v>
      </x:c>
      <x:c r="C5210" t="str" s="2">
        <x:v/>
      </x:c>
      <x:c r="D5210" t="str" s="2">
        <x:v>5392042993</x:v>
      </x:c>
      <x:c r="E5210" t="str" s="2">
        <x:v>zaneg30@rocketmail.com</x:v>
      </x:c>
      <x:c r="F5210" t="str" s="2">
        <x:v>Financing Form</x:v>
      </x:c>
      <x:c r="G5210" t="str" s="2">
        <x:v>Yanet Alvarez</x:v>
      </x:c>
      <x:c r="H5210" s="6">
        <x:v>46299.90701539352</x:v>
      </x:c>
      <x:c r="I5210" s="0"/>
      <x:c r="J5210" s="0"/>
      <x:c r="K5210" s="6">
        <x:v>46302</x:v>
      </x:c>
      <x:c r="L5210" t="str" s="2">
        <x:v>Message Sent</x:v>
      </x:c>
    </x:row>
    <x:row r="5211">
      <x:c r="A5211" t="str" s="2">
        <x:f>="Rihanna Mitchell"</x:f>
      </x:c>
      <x:c r="B5211" t="str" s="2">
        <x:v>Heritage Housing of Albany</x:v>
      </x:c>
      <x:c r="C5211" t="str" s="2">
        <x:v/>
      </x:c>
      <x:c r="D5211" t="str" s="2">
        <x:v>2296032790</x:v>
      </x:c>
      <x:c r="E5211" t="str" s="2">
        <x:v>ririmitchell009@gmail.com</x:v>
      </x:c>
      <x:c r="F5211" t="str" s="2">
        <x:v>Landing_BPM</x:v>
      </x:c>
      <x:c r="G5211" t="str" s="2">
        <x:v>Yanet Alvarez</x:v>
      </x:c>
      <x:c r="H5211" s="6">
        <x:v>46299.91841805555</x:v>
      </x:c>
      <x:c r="I5211" s="0"/>
      <x:c r="J5211" s="0"/>
      <x:c r="K5211" s="6">
        <x:v>46303</x:v>
      </x:c>
      <x:c r="L5211" t="str" s="2">
        <x:v>Message Sent</x:v>
      </x:c>
    </x:row>
    <x:row r="5212">
      <x:c r="A5212" t="str" s="2">
        <x:f>="joey harlem"</x:f>
      </x:c>
      <x:c r="B5212" t="str" s="2">
        <x:v>Heritage Housing of Albany</x:v>
      </x:c>
      <x:c r="C5212" t="str" s="2">
        <x:v/>
      </x:c>
      <x:c r="D5212" t="str" s="2">
        <x:v>2292062925</x:v>
      </x:c>
      <x:c r="E5212" t="str" s="2">
        <x:v>jharllem46@yahoo.com</x:v>
      </x:c>
      <x:c r="F5212" t="str" s="2">
        <x:v>LandingPage</x:v>
      </x:c>
      <x:c r="G5212" t="str" s="2">
        <x:v>Yanet Alvarez</x:v>
      </x:c>
      <x:c r="H5212" s="6">
        <x:v>46299.92501443287</x:v>
      </x:c>
      <x:c r="I5212" s="0"/>
      <x:c r="J5212" s="0"/>
      <x:c r="K5212" s="6">
        <x:v>46300</x:v>
      </x:c>
      <x:c r="L5212" t="str" s="2">
        <x:v>Message Sent</x:v>
      </x:c>
    </x:row>
    <x:row r="5213">
      <x:c r="A5213" t="str" s="2">
        <x:f>="Lesle Joiner"</x:f>
      </x:c>
      <x:c r="B5213" t="str" s="2">
        <x:v>Heritage Housing of Tulsa</x:v>
      </x:c>
      <x:c r="C5213" t="str" s="2">
        <x:v/>
      </x:c>
      <x:c r="D5213" t="str" s="2">
        <x:v>9189109257</x:v>
      </x:c>
      <x:c r="E5213" t="str" s="2">
        <x:v>foreverfree891519@gmail.com</x:v>
      </x:c>
      <x:c r="F5213" t="str" s="2">
        <x:v>Website</x:v>
      </x:c>
      <x:c r="G5213" t="str" s="2">
        <x:v>Jenna Fransisco</x:v>
      </x:c>
      <x:c r="H5213" s="6">
        <x:v>46299.939331712965</x:v>
      </x:c>
      <x:c r="I5213" s="0"/>
      <x:c r="J5213" s="0"/>
      <x:c r="K5213" s="6">
        <x:v>46300</x:v>
      </x:c>
      <x:c r="L5213" t="str" s="2">
        <x:v>Message Sent</x:v>
      </x:c>
    </x:row>
    <x:row r="5214">
      <x:c r="A5214" t="str" s="2">
        <x:f>="Eberstadt Eberstadt"</x:f>
      </x:c>
      <x:c r="B5214" t="str" s="2">
        <x:v>Heritage Housing of Canton</x:v>
      </x:c>
      <x:c r="C5214" t="str" s="2">
        <x:v/>
      </x:c>
      <x:c r="D5214" t="str" s="2">
        <x:v>9569291418</x:v>
      </x:c>
      <x:c r="E5214" t="str" s="2">
        <x:v>innovacionibec@outlook.com</x:v>
      </x:c>
      <x:c r="F5214" t="str" s="2">
        <x:v>Landing_BPM</x:v>
      </x:c>
      <x:c r="G5214" t="str" s="2">
        <x:v>Maira Garcia</x:v>
      </x:c>
      <x:c r="H5214" s="6">
        <x:v>46299.967177893515</x:v>
      </x:c>
      <x:c r="I5214" s="0"/>
      <x:c r="J5214" s="0"/>
      <x:c r="K5214" s="6">
        <x:v>46300</x:v>
      </x:c>
      <x:c r="L5214" t="str" s="2">
        <x:v>Message Sent</x:v>
      </x:c>
    </x:row>
    <x:row r="5215">
      <x:c r="A5215" t="str" s="2">
        <x:f>="Melissa Lowe Lowe"</x:f>
      </x:c>
      <x:c r="B5215" t="str" s="2">
        <x:v>Heritage Housing of Tulsa</x:v>
      </x:c>
      <x:c r="C5215" t="str" s="2">
        <x:v/>
      </x:c>
      <x:c r="D5215" t="str" s="2">
        <x:v>5392186262</x:v>
      </x:c>
      <x:c r="E5215" t="str" s="2">
        <x:v>mellowe0311@gmail.com</x:v>
      </x:c>
      <x:c r="F5215" t="str" s="2">
        <x:v>Landing_BPM</x:v>
      </x:c>
      <x:c r="G5215" t="str" s="2">
        <x:v>Jenna Fransisco</x:v>
      </x:c>
      <x:c r="H5215" s="6">
        <x:v>46299.97884012732</x:v>
      </x:c>
      <x:c r="I5215" s="0"/>
      <x:c r="J5215" s="0"/>
      <x:c r="K5215" s="6">
        <x:v>46301</x:v>
      </x:c>
      <x:c r="L5215" t="str" s="2">
        <x:v>Message Sent</x:v>
      </x:c>
    </x:row>
    <x:row r="5216">
      <x:c r="A5216" t="str" s="2">
        <x:f>="Bianca Williams"</x:f>
      </x:c>
      <x:c r="B5216" t="str" s="2">
        <x:v>Heritage Housing of Jennings</x:v>
      </x:c>
      <x:c r="C5216" t="str" s="2">
        <x:v/>
      </x:c>
      <x:c r="D5216" t="str" s="2">
        <x:v>4148509656</x:v>
      </x:c>
      <x:c r="E5216" t="str" s="2">
        <x:v>bwjf0522@gmail.com</x:v>
      </x:c>
      <x:c r="F5216" t="str" s="2">
        <x:v>Landing_BPM</x:v>
      </x:c>
      <x:c r="G5216" t="str" s="2">
        <x:v>Clint O'Neal</x:v>
      </x:c>
      <x:c r="H5216" s="6">
        <x:v>46300.042765659724</x:v>
      </x:c>
      <x:c r="I5216" s="0"/>
      <x:c r="J5216" s="0"/>
      <x:c r="K5216" s="6">
        <x:v>46302.7436869213</x:v>
      </x:c>
      <x:c r="L5216" t="str" s="2">
        <x:v>Message Sent</x:v>
      </x:c>
    </x:row>
    <x:row r="5217">
      <x:c r="A5217" t="str" s="2">
        <x:f>="katie bright"</x:f>
      </x:c>
      <x:c r="B5217" t="str" s="2">
        <x:v>Heritage Housing of Albany</x:v>
      </x:c>
      <x:c r="C5217" t="str" s="2">
        <x:v/>
      </x:c>
      <x:c r="D5217" t="str" s="2">
        <x:v>2295896721</x:v>
      </x:c>
      <x:c r="E5217" t="str" s="2">
        <x:v>katiebright556@gmail.com</x:v>
      </x:c>
      <x:c r="F5217" t="str" s="2">
        <x:v>Landing_BPM</x:v>
      </x:c>
      <x:c r="G5217" t="str" s="2">
        <x:v>Yanet Alvarez</x:v>
      </x:c>
      <x:c r="H5217" s="6">
        <x:v>46300.06849302083</x:v>
      </x:c>
      <x:c r="I5217" s="0"/>
      <x:c r="J5217" s="0"/>
      <x:c r="K5217" s="6">
        <x:v>46307</x:v>
      </x:c>
      <x:c r="L5217" t="str" s="2">
        <x:v>Message Sent</x:v>
      </x:c>
    </x:row>
    <x:row r="5218">
      <x:c r="A5218" t="str" s="2">
        <x:f>="Latasha Ranson"</x:f>
      </x:c>
      <x:c r="B5218" t="str" s="2">
        <x:v>Heritage Housing of Albany</x:v>
      </x:c>
      <x:c r="C5218" t="str" s="2">
        <x:v/>
      </x:c>
      <x:c r="D5218" t="str" s="2">
        <x:v>2292720595</x:v>
      </x:c>
      <x:c r="E5218" t="str" s="2">
        <x:v>moniqueranson@yahoo.com</x:v>
      </x:c>
      <x:c r="F5218" t="str" s="2">
        <x:v>Landing_BPM</x:v>
      </x:c>
      <x:c r="G5218" t="str" s="2">
        <x:v>Yanet Alvarez</x:v>
      </x:c>
      <x:c r="H5218" s="6">
        <x:v>46300.075509375</x:v>
      </x:c>
      <x:c r="I5218" s="0"/>
      <x:c r="J5218" s="0"/>
      <x:c r="K5218" s="6">
        <x:v>46303</x:v>
      </x:c>
      <x:c r="L5218" t="str" s="2">
        <x:v>Message Sent</x:v>
      </x:c>
    </x:row>
    <x:row r="5219">
      <x:c r="A5219" t="str" s="2">
        <x:f>="Kristina Fuller"</x:f>
      </x:c>
      <x:c r="B5219" t="str" s="2">
        <x:v>Heritage Housing of Tulsa</x:v>
      </x:c>
      <x:c r="C5219" t="str" s="2">
        <x:v/>
      </x:c>
      <x:c r="D5219" t="str" s="2">
        <x:v>9183160108</x:v>
      </x:c>
      <x:c r="E5219" t="str" s="2">
        <x:v>krissynicole2017@gmail.com</x:v>
      </x:c>
      <x:c r="F5219" t="str" s="2">
        <x:v>Landing_BPM</x:v>
      </x:c>
      <x:c r="G5219" t="str" s="2">
        <x:v>Jenna Fransisco</x:v>
      </x:c>
      <x:c r="H5219" s="6">
        <x:v>46300.12383325231</x:v>
      </x:c>
      <x:c r="I5219" s="0"/>
      <x:c r="J5219" s="0"/>
      <x:c r="K5219" s="6">
        <x:v>46300</x:v>
      </x:c>
      <x:c r="L5219" t="str" s="2">
        <x:v>Message Sent</x:v>
      </x:c>
    </x:row>
    <x:row r="5220">
      <x:c r="A5220" t="str" s="2">
        <x:f>="Melinda King"</x:f>
      </x:c>
      <x:c r="B5220" t="str" s="2">
        <x:v>Heritage Housing of Athens</x:v>
      </x:c>
      <x:c r="C5220" t="str" s="2">
        <x:v>1/1</x:v>
      </x:c>
      <x:c r="D5220" t="str" s="2">
        <x:v>6789974128</x:v>
      </x:c>
      <x:c r="E5220" t="str" s="2">
        <x:v>crazygirl0625@gmail.com</x:v>
      </x:c>
      <x:c r="F5220" t="str" s="2">
        <x:v>Landing_BPM</x:v>
      </x:c>
      <x:c r="G5220" t="str" s="2">
        <x:v>Ethan Fossett</x:v>
      </x:c>
      <x:c r="H5220" s="6">
        <x:v>46300.12673645833</x:v>
      </x:c>
      <x:c r="I5220" s="0"/>
      <x:c r="J5220" s="0"/>
      <x:c r="K5220" s="6">
        <x:v>46307</x:v>
      </x:c>
      <x:c r="L5220" t="str" s="2">
        <x:v>Message Sent</x:v>
      </x:c>
    </x:row>
    <x:row r="5221">
      <x:c r="A5221" t="str" s="2">
        <x:f>="Juan Montemayor"</x:f>
      </x:c>
      <x:c r="B5221" t="str" s="2">
        <x:v>Legacy Housing Corp. DBA Americasa</x:v>
      </x:c>
      <x:c r="C5221" t="str" s="2">
        <x:v/>
      </x:c>
      <x:c r="D5221" t="str" s="2">
        <x:v>8322825801</x:v>
      </x:c>
      <x:c r="E5221" t="str" s="2">
        <x:v>carlosmontemayor45@gmail.com</x:v>
      </x:c>
      <x:c r="F5221" t="str" s="2">
        <x:v>Landing_BPM</x:v>
      </x:c>
      <x:c r="G5221" t="str" s="2">
        <x:v>Jose Parada</x:v>
      </x:c>
      <x:c r="H5221" s="6">
        <x:v>46300.13756755787</x:v>
      </x:c>
      <x:c r="I5221" s="0"/>
      <x:c r="J5221" s="0"/>
      <x:c r="K5221" s="6">
        <x:v>46300</x:v>
      </x:c>
      <x:c r="L5221" t="str" s="2">
        <x:v>Message Sent</x:v>
      </x:c>
    </x:row>
    <x:row r="5222">
      <x:c r="A5222" t="str" s="2">
        <x:f>="Ralph Depadua"</x:f>
      </x:c>
      <x:c r="B5222" t="str" s="2">
        <x:v>Heritage Housing of Tulsa</x:v>
      </x:c>
      <x:c r="C5222" t="str" s="2">
        <x:v/>
      </x:c>
      <x:c r="D5222" t="str" s="2">
        <x:v>9183194891</x:v>
      </x:c>
      <x:c r="E5222" t="str" s="2">
        <x:v>radtlc25@gmail.com</x:v>
      </x:c>
      <x:c r="F5222" t="str" s="2">
        <x:v>Landing_BPM</x:v>
      </x:c>
      <x:c r="G5222" t="str" s="2">
        <x:v>Jenna Fransisco</x:v>
      </x:c>
      <x:c r="H5222" s="6">
        <x:v>46300.161068483794</x:v>
      </x:c>
      <x:c r="I5222" s="0"/>
      <x:c r="J5222" s="0"/>
      <x:c r="K5222" s="6">
        <x:v>46300</x:v>
      </x:c>
      <x:c r="L5222" t="str" s="2">
        <x:v>Message Sent</x:v>
      </x:c>
    </x:row>
    <x:row r="5223">
      <x:c r="A5223" t="str" s="2">
        <x:f>="Robert Ercanbrack"</x:f>
      </x:c>
      <x:c r="B5223" t="str" s="2">
        <x:v>Heritage Housing Marble Falls</x:v>
      </x:c>
      <x:c r="C5223" t="str" s="2">
        <x:v/>
      </x:c>
      <x:c r="D5223" t="str" s="2">
        <x:v>8304158040</x:v>
      </x:c>
      <x:c r="E5223" t="str" s="2">
        <x:v>re576h@yahoo.com</x:v>
      </x:c>
      <x:c r="F5223" t="str" s="2">
        <x:v>Landing_BPM</x:v>
      </x:c>
      <x:c r="G5223" t="str" s="2">
        <x:v>Stephen Sanders</x:v>
      </x:c>
      <x:c r="H5223" s="6">
        <x:v>46300.21249853009</x:v>
      </x:c>
      <x:c r="I5223" s="0"/>
      <x:c r="J5223" s="0"/>
      <x:c r="K5223" s="6">
        <x:v>46300</x:v>
      </x:c>
      <x:c r="L5223" t="str" s="2">
        <x:v>Message Sent</x:v>
      </x:c>
    </x:row>
    <x:row r="5224">
      <x:c r="A5224" t="str" s="2">
        <x:f>="Richard Thornton"</x:f>
      </x:c>
      <x:c r="B5224" t="str" s="2">
        <x:v>Legacy Housing Corp. DBA Americasa</x:v>
      </x:c>
      <x:c r="C5224" t="str" s="2">
        <x:v/>
      </x:c>
      <x:c r="D5224" t="str" s="2">
        <x:v>4096929453</x:v>
      </x:c>
      <x:c r="E5224" t="str" s="2">
        <x:v>thorntonr86@gmail.com</x:v>
      </x:c>
      <x:c r="F5224" t="str" s="2">
        <x:v>Landing_BPM</x:v>
      </x:c>
      <x:c r="G5224" t="str" s="2">
        <x:v>Jose Parada</x:v>
      </x:c>
      <x:c r="H5224" s="6">
        <x:v>46300.320544594906</x:v>
      </x:c>
      <x:c r="I5224" s="0"/>
      <x:c r="J5224" s="0"/>
      <x:c r="K5224" s="6">
        <x:v>46300</x:v>
      </x:c>
      <x:c r="L5224" t="str" s="2">
        <x:v>Message Sent</x:v>
      </x:c>
    </x:row>
    <x:row r="5225">
      <x:c r="A5225" t="str" s="2">
        <x:f>="Vickie Lane"</x:f>
      </x:c>
      <x:c r="B5225" t="str" s="2">
        <x:v>Heritage Housing of Albany</x:v>
      </x:c>
      <x:c r="C5225" t="str" s="2">
        <x:v/>
      </x:c>
      <x:c r="D5225" t="str" s="2">
        <x:v>4703093789</x:v>
      </x:c>
      <x:c r="E5225" t="str" s="2">
        <x:v>lanevickie2016@gmail.com</x:v>
      </x:c>
      <x:c r="F5225" t="str" s="2">
        <x:v>LandingPage</x:v>
      </x:c>
      <x:c r="G5225" t="str" s="2">
        <x:v>Yanet Alvarez</x:v>
      </x:c>
      <x:c r="H5225" s="6">
        <x:v>46300.33559930555</x:v>
      </x:c>
      <x:c r="I5225" s="0"/>
      <x:c r="J5225" s="0"/>
      <x:c r="K5225" s="6">
        <x:v>46303.87282430555</x:v>
      </x:c>
      <x:c r="L5225" t="str" s="2">
        <x:v>Message Sent</x:v>
      </x:c>
    </x:row>
    <x:row r="5226">
      <x:c r="A5226" t="str" s="2">
        <x:f>=HYPERLINK("https://rsms.futurehomex.com/lead/40663", "Sherri Johnston")</x:f>
      </x:c>
      <x:c r="B5226" t="str" s="2">
        <x:v>Heritage Housing of Tulsa</x:v>
      </x:c>
      <x:c r="C5226" t="str" s="2">
        <x:v/>
      </x:c>
      <x:c r="D5226" t="str" s="2">
        <x:v>9185067411</x:v>
      </x:c>
      <x:c r="E5226" t="str" s="2">
        <x:v>sherbear0959@gmail.com</x:v>
      </x:c>
      <x:c r="F5226" t="str" s="2">
        <x:v>Website</x:v>
      </x:c>
      <x:c r="G5226" t="str" s="2">
        <x:v>Jenna Fransisco</x:v>
      </x:c>
      <x:c r="H5226" s="6">
        <x:v>46300.33752565972</x:v>
      </x:c>
      <x:c r="I5226" t="str" s="2">
        <x:v>Jenna Fransisco</x:v>
      </x:c>
      <x:c r="J5226" s="0"/>
      <x:c r="K5226" s="6">
        <x:v>46303</x:v>
      </x:c>
      <x:c r="L5226" t="str" s="2">
        <x:v>Message Sent</x:v>
      </x:c>
    </x:row>
    <x:row r="5227">
      <x:c r="A5227" t="str" s="2">
        <x:f>="Axl Hunnicutt"</x:f>
      </x:c>
      <x:c r="B5227" t="str" s="2">
        <x:v>Heritage Housing Mt Pleasant</x:v>
      </x:c>
      <x:c r="C5227" t="str" s="2">
        <x:v/>
      </x:c>
      <x:c r="D5227" t="str" s="2">
        <x:v>9033764097</x:v>
      </x:c>
      <x:c r="E5227" t="str" s="2">
        <x:v>axlhunnicutt15@gmail.com</x:v>
      </x:c>
      <x:c r="F5227" t="str" s="2">
        <x:v>Landing_BPM</x:v>
      </x:c>
      <x:c r="G5227" t="str" s="2">
        <x:v>Yarelis Torres</x:v>
      </x:c>
      <x:c r="H5227" s="6">
        <x:v>46300.4011346412</x:v>
      </x:c>
      <x:c r="I5227" s="0"/>
      <x:c r="J5227" s="0"/>
      <x:c r="K5227" s="6">
        <x:v>46301</x:v>
      </x:c>
      <x:c r="L5227" t="str" s="2">
        <x:v>Message Sent</x:v>
      </x:c>
    </x:row>
    <x:row r="5228">
      <x:c r="A5228" t="str" s="2">
        <x:f>="Peter Hodge"</x:f>
      </x:c>
      <x:c r="B5228" t="str" s="2">
        <x:v>Heritage Housing of Tulsa</x:v>
      </x:c>
      <x:c r="C5228" t="str" s="2">
        <x:v/>
      </x:c>
      <x:c r="D5228" t="str" s="2">
        <x:v>9185702852</x:v>
      </x:c>
      <x:c r="E5228" t="str" s="2">
        <x:v>petehodg1@gmail.com</x:v>
      </x:c>
      <x:c r="F5228" t="str" s="2">
        <x:v>Landing_BPM</x:v>
      </x:c>
      <x:c r="G5228" t="str" s="2">
        <x:v>Jenna Fransisco</x:v>
      </x:c>
      <x:c r="H5228" s="6">
        <x:v>46300.422564583336</x:v>
      </x:c>
      <x:c r="I5228" s="0"/>
      <x:c r="J5228" s="0"/>
      <x:c r="K5228" s="6">
        <x:v>46301</x:v>
      </x:c>
      <x:c r="L5228" t="str" s="2">
        <x:v>Message Sent</x:v>
      </x:c>
    </x:row>
    <x:row r="5229">
      <x:c r="A5229" t="str" s="2">
        <x:f>="Jeremy Foutz"</x:f>
      </x:c>
      <x:c r="B5229" t="str" s="2">
        <x:v>Heritage Housing of Asheboro</x:v>
      </x:c>
      <x:c r="C5229" t="str" s="2">
        <x:v/>
      </x:c>
      <x:c r="D5229" t="str" s="2">
        <x:v>3369067045</x:v>
      </x:c>
      <x:c r="E5229" t="str" s="2">
        <x:v>jeremy.foutz0309@gmail.com</x:v>
      </x:c>
      <x:c r="F5229" t="str" s="2">
        <x:v>Landing_BPM</x:v>
      </x:c>
      <x:c r="G5229" t="str" s="2">
        <x:v>Joe Lopez</x:v>
      </x:c>
      <x:c r="H5229" s="6">
        <x:v>46300.484532905095</x:v>
      </x:c>
      <x:c r="I5229" s="0"/>
      <x:c r="J5229" s="0"/>
      <x:c r="K5229" s="6">
        <x:v>46300</x:v>
      </x:c>
      <x:c r="L5229" t="str" s="2">
        <x:v>Message Sent</x:v>
      </x:c>
    </x:row>
    <x:row r="5230">
      <x:c r="A5230" t="str" s="2">
        <x:f>="Gale Moore"</x:f>
      </x:c>
      <x:c r="B5230" t="str" s="2">
        <x:v>Heritage Housing of Tulsa</x:v>
      </x:c>
      <x:c r="C5230" t="str" s="2">
        <x:v/>
      </x:c>
      <x:c r="D5230" t="str" s="2">
        <x:v>9182317392</x:v>
      </x:c>
      <x:c r="E5230" t="str" s="2">
        <x:v>bellaandchewy543@gmail.com</x:v>
      </x:c>
      <x:c r="F5230" t="str" s="2">
        <x:v>Landing_BPM</x:v>
      </x:c>
      <x:c r="G5230" t="str" s="2">
        <x:v>Jenna Fransisco</x:v>
      </x:c>
      <x:c r="H5230" s="6">
        <x:v>46300.67695667824</x:v>
      </x:c>
      <x:c r="I5230" s="0"/>
      <x:c r="J5230" s="0"/>
      <x:c r="K5230" s="6">
        <x:v>46300</x:v>
      </x:c>
      <x:c r="L5230" t="str" s="2">
        <x:v>Message Sent</x:v>
      </x:c>
    </x:row>
    <x:row r="5231">
      <x:c r="A5231" t="str" s="2">
        <x:f>="Ernest Troisi Troisi"</x:f>
      </x:c>
      <x:c r="B5231" t="str" s="2">
        <x:v>Heritage Housing of Asheboro</x:v>
      </x:c>
      <x:c r="C5231" t="str" s="2">
        <x:v/>
      </x:c>
      <x:c r="D5231" t="str" s="2">
        <x:v>6316823670</x:v>
      </x:c>
      <x:c r="E5231" t="str" s="2">
        <x:v>chefernest@yahoo.com</x:v>
      </x:c>
      <x:c r="F5231" t="str" s="2">
        <x:v>Landing_BPM</x:v>
      </x:c>
      <x:c r="G5231" t="str" s="2">
        <x:v>Maria Lopez</x:v>
      </x:c>
      <x:c r="H5231" s="6">
        <x:v>46300.68532222222</x:v>
      </x:c>
      <x:c r="I5231" s="0"/>
      <x:c r="J5231" s="0"/>
      <x:c r="K5231" s="6">
        <x:v>46304</x:v>
      </x:c>
      <x:c r="L5231" t="str" s="2">
        <x:v>Message Sent</x:v>
      </x:c>
    </x:row>
    <x:row r="5232">
      <x:c r="A5232" t="str" s="2">
        <x:f>="maria guevara"</x:f>
      </x:c>
      <x:c r="B5232" t="str" s="2">
        <x:v>Heritage Housing of Canton</x:v>
      </x:c>
      <x:c r="C5232" t="str" s="2">
        <x:v/>
      </x:c>
      <x:c r="D5232" t="str" s="2">
        <x:v>2144505724</x:v>
      </x:c>
      <x:c r="E5232" t="str" s="2">
        <x:v>Mariaguevara@gmail.cam</x:v>
      </x:c>
      <x:c r="F5232" t="str" s="2">
        <x:v>Youtube</x:v>
      </x:c>
      <x:c r="G5232" t="str" s="2">
        <x:v>Maira Garcia</x:v>
      </x:c>
      <x:c r="H5232" s="6">
        <x:v>46300.70042642361</x:v>
      </x:c>
      <x:c r="I5232" s="0"/>
      <x:c r="J5232" s="0"/>
      <x:c r="K5232" s="6">
        <x:v>46300</x:v>
      </x:c>
      <x:c r="L5232" t="str" s="2">
        <x:v>Message Sent</x:v>
      </x:c>
    </x:row>
    <x:row r="5233">
      <x:c r="A5233" t="str" s="2">
        <x:f>="Harley Hawk"</x:f>
      </x:c>
      <x:c r="B5233" t="str" s="2">
        <x:v>Heritage Housing of Tulsa</x:v>
      </x:c>
      <x:c r="C5233" t="str" s="2">
        <x:v/>
      </x:c>
      <x:c r="D5233" t="str" s="2">
        <x:v>9187274603</x:v>
      </x:c>
      <x:c r="E5233" t="str" s="2">
        <x:v>boogie2229@icloud.com</x:v>
      </x:c>
      <x:c r="F5233" t="str" s="2">
        <x:v>Landing_BPM</x:v>
      </x:c>
      <x:c r="G5233" t="str" s="2">
        <x:v>Jenna Fransisco</x:v>
      </x:c>
      <x:c r="H5233" s="6">
        <x:v>46300.74779837963</x:v>
      </x:c>
      <x:c r="I5233" s="0"/>
      <x:c r="J5233" s="0"/>
      <x:c r="K5233" s="6">
        <x:v>46300</x:v>
      </x:c>
      <x:c r="L5233" t="str" s="2">
        <x:v>Message Sent</x:v>
      </x:c>
    </x:row>
    <x:row r="5234">
      <x:c r="A5234" t="str" s="2">
        <x:f>="Sharon Gullette"</x:f>
      </x:c>
      <x:c r="B5234" t="str" s="2">
        <x:v>Legacy Housing Corp. DBA Americasa</x:v>
      </x:c>
      <x:c r="C5234" t="str" s="2">
        <x:v/>
      </x:c>
      <x:c r="D5234" t="str" s="2">
        <x:v>2818325106</x:v>
      </x:c>
      <x:c r="E5234" t="str" s="2">
        <x:v>sgull2440@gmail.com</x:v>
      </x:c>
      <x:c r="F5234" t="str" s="2">
        <x:v>Landing_BPM</x:v>
      </x:c>
      <x:c r="G5234" t="str" s="2">
        <x:v>Jose Parada</x:v>
      </x:c>
      <x:c r="H5234" s="6">
        <x:v>46300.796697337966</x:v>
      </x:c>
      <x:c r="I5234" s="0"/>
      <x:c r="J5234" s="0"/>
      <x:c r="K5234" s="6">
        <x:v>46301</x:v>
      </x:c>
      <x:c r="L5234" t="str" s="2">
        <x:v>Message Sent</x:v>
      </x:c>
    </x:row>
    <x:row r="5235">
      <x:c r="A5235" t="str" s="2">
        <x:f>="Abraham Martinez"</x:f>
      </x:c>
      <x:c r="B5235" t="str" s="2">
        <x:v>Heritage Housing of Canton</x:v>
      </x:c>
      <x:c r="C5235" t="str" s="2">
        <x:v/>
      </x:c>
      <x:c r="D5235" t="str" s="2">
        <x:v>3466055328</x:v>
      </x:c>
      <x:c r="E5235" t="str" s="2">
        <x:v>abmartinez1012@gmail.com</x:v>
      </x:c>
      <x:c r="F5235" t="str" s="2">
        <x:v>Youtube</x:v>
      </x:c>
      <x:c r="G5235" t="str" s="2">
        <x:v>Jacob Hatten</x:v>
      </x:c>
      <x:c r="H5235" s="6">
        <x:v>46300.830376273145</x:v>
      </x:c>
      <x:c r="I5235" s="0"/>
      <x:c r="J5235" s="0"/>
      <x:c r="K5235" s="6">
        <x:v>46302</x:v>
      </x:c>
      <x:c r="L5235" t="str" s="2">
        <x:v>Message Sent</x:v>
      </x:c>
    </x:row>
    <x:row r="5236">
      <x:c r="A5236" t="str" s="2">
        <x:f>=HYPERLINK("https://rsms.futurehomex.com/lead/40590", "Ricky Jones")</x:f>
      </x:c>
      <x:c r="B5236" t="str" s="2">
        <x:v>Heritage Housing of Augusta</x:v>
      </x:c>
      <x:c r="C5236" t="str" s="2">
        <x:v/>
      </x:c>
      <x:c r="D5236" t="str" s="2">
        <x:v>7064663485</x:v>
      </x:c>
      <x:c r="E5236" t="str" s="2">
        <x:v>7064663485</x:v>
      </x:c>
      <x:c r="F5236" t="str" s="2">
        <x:v>Website</x:v>
      </x:c>
      <x:c r="G5236" t="str" s="2">
        <x:v>Jennifer Johnson</x:v>
      </x:c>
      <x:c r="H5236" s="6">
        <x:v>46300.833404398145</x:v>
      </x:c>
      <x:c r="I5236" t="str" s="2">
        <x:v>Jennifer Johnson</x:v>
      </x:c>
      <x:c r="J5236" s="0"/>
      <x:c r="K5236" s="6">
        <x:v>46303</x:v>
      </x:c>
      <x:c r="L5236" t="str" s="2">
        <x:v>Message Sent</x:v>
      </x:c>
    </x:row>
    <x:row r="5237">
      <x:c r="A5237" t="str" s="2">
        <x:f>="Susan Herpche"</x:f>
      </x:c>
      <x:c r="B5237" t="str" s="2">
        <x:v>Heritage Housing of Jennings</x:v>
      </x:c>
      <x:c r="C5237" t="str" s="2">
        <x:v/>
      </x:c>
      <x:c r="D5237" t="str" s="2">
        <x:v>3379368345</x:v>
      </x:c>
      <x:c r="E5237" t="str" s="2">
        <x:v>herpchesusan1@gmail.com</x:v>
      </x:c>
      <x:c r="F5237" t="str" s="2">
        <x:v>Landing_BPM</x:v>
      </x:c>
      <x:c r="G5237" t="str" s="2">
        <x:v>Clint O'Neal</x:v>
      </x:c>
      <x:c r="H5237" s="6">
        <x:v>46300.834329895835</x:v>
      </x:c>
      <x:c r="I5237" s="0"/>
      <x:c r="J5237" s="0"/>
      <x:c r="K5237" s="6">
        <x:v>46302.74395552083</x:v>
      </x:c>
      <x:c r="L5237" t="str" s="2">
        <x:v>Message Sent</x:v>
      </x:c>
    </x:row>
    <x:row r="5238">
      <x:c r="A5238" t="str" s="2">
        <x:f>="Alesia Houston"</x:f>
      </x:c>
      <x:c r="B5238" t="str" s="2">
        <x:v>Heritage Housing of Albany</x:v>
      </x:c>
      <x:c r="C5238" t="str" s="2">
        <x:v/>
      </x:c>
      <x:c r="D5238" t="str" s="2">
        <x:v>4702301235</x:v>
      </x:c>
      <x:c r="E5238" t="str" s="2">
        <x:v>alesiahouston@outlook.com</x:v>
      </x:c>
      <x:c r="F5238" t="str" s="2">
        <x:v>LandingPage</x:v>
      </x:c>
      <x:c r="G5238" t="str" s="2">
        <x:v>Yanet Alvarez</x:v>
      </x:c>
      <x:c r="H5238" s="6">
        <x:v>46300.87743568287</x:v>
      </x:c>
      <x:c r="I5238" s="0"/>
      <x:c r="J5238" s="0"/>
      <x:c r="K5238" s="6">
        <x:v>46307</x:v>
      </x:c>
      <x:c r="L5238" t="str" s="2">
        <x:v>Message Sent</x:v>
      </x:c>
    </x:row>
    <x:row r="5239">
      <x:c r="A5239" t="str" s="2">
        <x:f>="Shaquil Lewis"</x:f>
      </x:c>
      <x:c r="B5239" t="str" s="2">
        <x:v>Heritage Housing of Asheboro</x:v>
      </x:c>
      <x:c r="C5239" t="str" s="2">
        <x:v/>
      </x:c>
      <x:c r="D5239" t="str" s="2">
        <x:v>9199396169</x:v>
      </x:c>
      <x:c r="E5239" t="str" s="2">
        <x:v>lowwebeats@yahoo.com</x:v>
      </x:c>
      <x:c r="F5239" t="str" s="2">
        <x:v>Landing_BPM</x:v>
      </x:c>
      <x:c r="G5239" t="str" s="2">
        <x:v>Joe Lopez</x:v>
      </x:c>
      <x:c r="H5239" s="6">
        <x:v>46300.886576122684</x:v>
      </x:c>
      <x:c r="I5239" s="0"/>
      <x:c r="J5239" s="0"/>
      <x:c r="K5239" s="6">
        <x:v>46301</x:v>
      </x:c>
      <x:c r="L5239" t="str" s="2">
        <x:v>Message Sent</x:v>
      </x:c>
    </x:row>
    <x:row r="5240">
      <x:c r="A5240" t="str" s="2">
        <x:f>="Linda Leon"</x:f>
      </x:c>
      <x:c r="B5240" t="str" s="2">
        <x:v>Heritage Housing of Asheboro</x:v>
      </x:c>
      <x:c r="C5240" t="str" s="2">
        <x:v/>
      </x:c>
      <x:c r="D5240" t="str" s="2">
        <x:v>9198679850</x:v>
      </x:c>
      <x:c r="E5240" t="str" s="2">
        <x:v>realtorlindaleonmorales@gmail.com</x:v>
      </x:c>
      <x:c r="F5240" t="str" s="2">
        <x:v>Landing_BPM</x:v>
      </x:c>
      <x:c r="G5240" t="str" s="2">
        <x:v>Maria Lopez</x:v>
      </x:c>
      <x:c r="H5240" s="6">
        <x:v>46300.91925</x:v>
      </x:c>
      <x:c r="I5240" s="0"/>
      <x:c r="J5240" s="0"/>
      <x:c r="K5240" s="6">
        <x:v>46307</x:v>
      </x:c>
      <x:c r="L5240" t="str" s="2">
        <x:v>Message Sent</x:v>
      </x:c>
    </x:row>
    <x:row r="5241">
      <x:c r="A5241" t="str" s="2">
        <x:f>="Joseph Benefield"</x:f>
      </x:c>
      <x:c r="B5241" t="str" s="2">
        <x:v>Heritage Housing of Albany</x:v>
      </x:c>
      <x:c r="C5241" t="str" s="2">
        <x:v/>
      </x:c>
      <x:c r="D5241" t="str" s="2">
        <x:v>2298690339</x:v>
      </x:c>
      <x:c r="E5241" t="str" s="2">
        <x:v>deniselamb625@gmail.com</x:v>
      </x:c>
      <x:c r="F5241" t="str" s="2">
        <x:v>Landing_BPM</x:v>
      </x:c>
      <x:c r="G5241" t="str" s="2">
        <x:v>Yanet Alvarez</x:v>
      </x:c>
      <x:c r="H5241" s="6">
        <x:v>46301.01635740741</x:v>
      </x:c>
      <x:c r="I5241" s="0"/>
      <x:c r="J5241" s="0"/>
      <x:c r="K5241" s="6">
        <x:v>46303</x:v>
      </x:c>
      <x:c r="L5241" t="str" s="2">
        <x:v>Message Sent</x:v>
      </x:c>
    </x:row>
    <x:row r="5242">
      <x:c r="A5242" t="str" s="2">
        <x:f>="Godwill Daniel"</x:f>
      </x:c>
      <x:c r="B5242" t="str" s="2">
        <x:v>Heritage Housing Mt Pleasant</x:v>
      </x:c>
      <x:c r="C5242" t="str" s="2">
        <x:v/>
      </x:c>
      <x:c r="D5242" t="str" s="2">
        <x:v>2144346729</x:v>
      </x:c>
      <x:c r="E5242" t="str" s="2">
        <x:v>lamonki61@yahoo.com</x:v>
      </x:c>
      <x:c r="F5242" t="str" s="2">
        <x:v>Financing Form</x:v>
      </x:c>
      <x:c r="G5242" t="str" s="2">
        <x:v>Elias Gallardo</x:v>
      </x:c>
      <x:c r="H5242" s="6">
        <x:v>46301.050362152775</x:v>
      </x:c>
      <x:c r="I5242" s="0"/>
      <x:c r="J5242" s="0"/>
      <x:c r="K5242" s="6">
        <x:v>46303</x:v>
      </x:c>
      <x:c r="L5242" t="str" s="2">
        <x:v>Message Sent</x:v>
      </x:c>
    </x:row>
    <x:row r="5243">
      <x:c r="A5243" t="str" s="2">
        <x:f>="Aryan McElroy"</x:f>
      </x:c>
      <x:c r="B5243" t="str" s="2">
        <x:v>Heritage Housing of Tulsa</x:v>
      </x:c>
      <x:c r="C5243" t="str" s="2">
        <x:v/>
      </x:c>
      <x:c r="D5243" t="str" s="2">
        <x:v>9183164871</x:v>
      </x:c>
      <x:c r="E5243" t="str" s="2">
        <x:v>aryanmc.elroy82@gmail.com</x:v>
      </x:c>
      <x:c r="F5243" t="str" s="2">
        <x:v>Landing_BPM</x:v>
      </x:c>
      <x:c r="G5243" t="str" s="2">
        <x:v>Jenna Fransisco</x:v>
      </x:c>
      <x:c r="H5243" s="6">
        <x:v>46301.05707268519</x:v>
      </x:c>
      <x:c r="I5243" s="0"/>
      <x:c r="J5243" s="0"/>
      <x:c r="K5243" s="6">
        <x:v>46302</x:v>
      </x:c>
      <x:c r="L5243" t="str" s="2">
        <x:v>Message Sent</x:v>
      </x:c>
    </x:row>
    <x:row r="5244">
      <x:c r="A5244" t="str" s="2">
        <x:f>="Elvin acosta"</x:f>
      </x:c>
      <x:c r="B5244" t="str" s="2">
        <x:v>Heritage Housing of Asheboro</x:v>
      </x:c>
      <x:c r="C5244" t="str" s="2">
        <x:v/>
      </x:c>
      <x:c r="D5244" t="str" s="2">
        <x:v>9196216414</x:v>
      </x:c>
      <x:c r="E5244" t="str" s="2">
        <x:v>orellanadany496@gmail.com</x:v>
      </x:c>
      <x:c r="F5244" t="str" s="2">
        <x:v>Meta Ads - Traffic</x:v>
      </x:c>
      <x:c r="G5244" t="str" s="2">
        <x:v>Maria Lopez</x:v>
      </x:c>
      <x:c r="H5244" s="6">
        <x:v>46301.086477743054</x:v>
      </x:c>
      <x:c r="I5244" s="0"/>
      <x:c r="J5244" s="0"/>
      <x:c r="K5244" s="6">
        <x:v>46302</x:v>
      </x:c>
      <x:c r="L5244" t="str" s="2">
        <x:v>Message Sent</x:v>
      </x:c>
    </x:row>
    <x:row r="5245">
      <x:c r="A5245" t="str" s="2">
        <x:f>="Roneisha Batiste"</x:f>
      </x:c>
      <x:c r="B5245" t="str" s="2">
        <x:v>Heritage Housing of Jennings</x:v>
      </x:c>
      <x:c r="C5245" t="str" s="2">
        <x:v/>
      </x:c>
      <x:c r="D5245" t="str" s="2">
        <x:v>2253176453</x:v>
      </x:c>
      <x:c r="E5245" t="str" s="2">
        <x:v>rbatiste272@gmail.com</x:v>
      </x:c>
      <x:c r="F5245" t="str" s="2">
        <x:v>Landing_BPM</x:v>
      </x:c>
      <x:c r="G5245" t="str" s="2">
        <x:v>Clint O'Neal</x:v>
      </x:c>
      <x:c r="H5245" s="6">
        <x:v>46301.2835383912</x:v>
      </x:c>
      <x:c r="I5245" s="0"/>
      <x:c r="J5245" s="0"/>
      <x:c r="K5245" s="6">
        <x:v>46302.74421311342</x:v>
      </x:c>
      <x:c r="L5245" t="str" s="2">
        <x:v>Message Sent</x:v>
      </x:c>
    </x:row>
    <x:row r="5246">
      <x:c r="A5246" t="str" s="2">
        <x:f>="Maranda Feuer"</x:f>
      </x:c>
      <x:c r="B5246" t="str" s="2">
        <x:v>Legacy Housing Corp. DBA Americasa</x:v>
      </x:c>
      <x:c r="C5246" t="str" s="2">
        <x:v/>
      </x:c>
      <x:c r="D5246" t="str" s="2">
        <x:v>8326216400</x:v>
      </x:c>
      <x:c r="E5246" t="str" s="2">
        <x:v>marandarenef@gmail.com</x:v>
      </x:c>
      <x:c r="F5246" t="str" s="2">
        <x:v>Landing_BPM</x:v>
      </x:c>
      <x:c r="G5246" t="str" s="2">
        <x:v>Joey Marquez</x:v>
      </x:c>
      <x:c r="H5246" s="6">
        <x:v>46301.29956107639</x:v>
      </x:c>
      <x:c r="I5246" s="0"/>
      <x:c r="J5246" s="0"/>
      <x:c r="K5246" s="6">
        <x:v>46301</x:v>
      </x:c>
      <x:c r="L5246" t="str" s="2">
        <x:v>Message Sent</x:v>
      </x:c>
    </x:row>
    <x:row r="5247">
      <x:c r="A5247" t="str" s="2">
        <x:f>="Micheal Sarubbi"</x:f>
      </x:c>
      <x:c r="B5247" t="str" s="2">
        <x:v>Heritage Housing of Asheboro</x:v>
      </x:c>
      <x:c r="C5247" t="str" s="2">
        <x:v/>
      </x:c>
      <x:c r="D5247" t="str" s="2">
        <x:v>9362042599</x:v>
      </x:c>
      <x:c r="E5247" t="str" s="2">
        <x:v>sarubbimicheal@gmail.com</x:v>
      </x:c>
      <x:c r="F5247" t="str" s="2">
        <x:v>Financing Form</x:v>
      </x:c>
      <x:c r="G5247" t="str" s="2">
        <x:v>Kate Gutierrez</x:v>
      </x:c>
      <x:c r="H5247" s="6">
        <x:v>46301.369306597226</x:v>
      </x:c>
      <x:c r="I5247" s="0"/>
      <x:c r="J5247" s="0"/>
      <x:c r="K5247" s="6">
        <x:v>46301</x:v>
      </x:c>
      <x:c r="L5247" t="str" s="2">
        <x:v>Message Sent</x:v>
      </x:c>
    </x:row>
    <x:row r="5248">
      <x:c r="A5248" t="str" s="2">
        <x:f>="Hannah Greenaway"</x:f>
      </x:c>
      <x:c r="B5248" t="str" s="2">
        <x:v>Heritage Housing of Tulsa</x:v>
      </x:c>
      <x:c r="C5248" t="str" s="2">
        <x:v/>
      </x:c>
      <x:c r="D5248" t="str" s="2">
        <x:v>4174121653</x:v>
      </x:c>
      <x:c r="E5248" t="str" s="2">
        <x:v>hgreenaway616@gmail.com</x:v>
      </x:c>
      <x:c r="F5248" t="str" s="2">
        <x:v>Landing_BPM</x:v>
      </x:c>
      <x:c r="G5248" t="str" s="2">
        <x:v>Jenna Fransisco</x:v>
      </x:c>
      <x:c r="H5248" s="6">
        <x:v>46301.536045057874</x:v>
      </x:c>
      <x:c r="I5248" s="0"/>
      <x:c r="J5248" s="0"/>
      <x:c r="K5248" s="6">
        <x:v>46302</x:v>
      </x:c>
      <x:c r="L5248" t="str" s="2">
        <x:v>Message Sent</x:v>
      </x:c>
    </x:row>
    <x:row r="5249">
      <x:c r="A5249" t="str" s="2">
        <x:f>="Daniel Carty"</x:f>
      </x:c>
      <x:c r="B5249" t="str" s="2">
        <x:v>Legacy Housing Corp. DBA Americasa</x:v>
      </x:c>
      <x:c r="C5249" t="str" s="2">
        <x:v/>
      </x:c>
      <x:c r="D5249" t="str" s="2">
        <x:v>3059273360</x:v>
      </x:c>
      <x:c r="E5249" t="str" s="2">
        <x:v>dcarty58@gmail.com</x:v>
      </x:c>
      <x:c r="F5249" t="str" s="2">
        <x:v>Landing_BPM</x:v>
      </x:c>
      <x:c r="G5249" t="str" s="2">
        <x:v>Jose Parada</x:v>
      </x:c>
      <x:c r="H5249" s="6">
        <x:v>46301.5618809838</x:v>
      </x:c>
      <x:c r="I5249" s="0"/>
      <x:c r="J5249" s="0"/>
      <x:c r="K5249" s="6">
        <x:v>46301</x:v>
      </x:c>
      <x:c r="L5249" t="str" s="2">
        <x:v>Message Sent</x:v>
      </x:c>
    </x:row>
    <x:row r="5250">
      <x:c r="A5250" t="str" s="2">
        <x:f>=HYPERLINK("https://rsms.futurehomex.com/lead/40605", "Rebecca King")</x:f>
      </x:c>
      <x:c r="B5250" t="str" s="2">
        <x:v>Heritage Housing of Oklahoma City</x:v>
      </x:c>
      <x:c r="C5250" t="str" s="2">
        <x:v/>
      </x:c>
      <x:c r="D5250" t="str" s="2">
        <x:v>4056415355</x:v>
      </x:c>
      <x:c r="E5250" t="str" s="2">
        <x:v>beckaloo9910@gmail.com</x:v>
      </x:c>
      <x:c r="F5250" t="str" s="2">
        <x:v>Landing_BPM</x:v>
      </x:c>
      <x:c r="G5250" t="str" s="2">
        <x:v>Alejandra Calderon</x:v>
      </x:c>
      <x:c r="H5250" s="6">
        <x:v>46301.56646342592</x:v>
      </x:c>
      <x:c r="I5250" t="str" s="2">
        <x:v>Alejandra Calderon</x:v>
      </x:c>
      <x:c r="J5250" s="0"/>
      <x:c r="K5250" s="6">
        <x:v>46305</x:v>
      </x:c>
      <x:c r="L5250" t="str" s="2">
        <x:v>Message Sent</x:v>
      </x:c>
    </x:row>
    <x:row r="5251">
      <x:c r="A5251" t="str" s="2">
        <x:f>="Denice Lovett"</x:f>
      </x:c>
      <x:c r="B5251" t="str" s="2">
        <x:v>Heritage Housing of Asheboro</x:v>
      </x:c>
      <x:c r="C5251" t="str" s="2">
        <x:v/>
      </x:c>
      <x:c r="D5251" t="str" s="2">
        <x:v>9102802812</x:v>
      </x:c>
      <x:c r="E5251" t="str" s="2">
        <x:v>dlnaysia@gmail.com</x:v>
      </x:c>
      <x:c r="F5251" t="str" s="2">
        <x:v>Landing_BPM</x:v>
      </x:c>
      <x:c r="G5251" t="str" s="2">
        <x:v>Kate Gutierrez</x:v>
      </x:c>
      <x:c r="H5251" s="6">
        <x:v>46301.60916774305</x:v>
      </x:c>
      <x:c r="I5251" s="0"/>
      <x:c r="J5251" s="0"/>
      <x:c r="K5251" s="6">
        <x:v>46303</x:v>
      </x:c>
      <x:c r="L5251" t="str" s="2">
        <x:v>Message Sent</x:v>
      </x:c>
    </x:row>
    <x:row r="5252">
      <x:c r="A5252" t="str" s="2">
        <x:f>="Glenn Williams"</x:f>
      </x:c>
      <x:c r="B5252" t="str" s="2">
        <x:v>Heritage Housing of Asheboro</x:v>
      </x:c>
      <x:c r="C5252" t="str" s="2">
        <x:v/>
      </x:c>
      <x:c r="D5252" t="str" s="2">
        <x:v>3368030022</x:v>
      </x:c>
      <x:c r="E5252" t="str" s="2">
        <x:v>williamsglenn1026@gmail.com</x:v>
      </x:c>
      <x:c r="F5252" t="str" s="2">
        <x:v>Landing_BPM</x:v>
      </x:c>
      <x:c r="G5252" t="str" s="2">
        <x:v>Maria Lopez</x:v>
      </x:c>
      <x:c r="H5252" s="6">
        <x:v>46301.63815914352</x:v>
      </x:c>
      <x:c r="I5252" s="0"/>
      <x:c r="J5252" s="0"/>
      <x:c r="K5252" s="6">
        <x:v>46301</x:v>
      </x:c>
      <x:c r="L5252" t="str" s="2">
        <x:v>Message Sent</x:v>
      </x:c>
    </x:row>
    <x:row r="5253">
      <x:c r="A5253" t="str" s="2">
        <x:f>=HYPERLINK("https://rsms.futurehomex.com/lead/40601", "Kimberly Styles")</x:f>
      </x:c>
      <x:c r="B5253" t="str" s="2">
        <x:v>Legacy Housing Corp. DBA Americasa</x:v>
      </x:c>
      <x:c r="C5253" t="str" s="2">
        <x:v/>
      </x:c>
      <x:c r="D5253" t="str" s="2">
        <x:v>8327925093</x:v>
      </x:c>
      <x:c r="E5253" t="str" s="2">
        <x:v>8327925093</x:v>
      </x:c>
      <x:c r="F5253" t="str" s="2">
        <x:v>Other</x:v>
      </x:c>
      <x:c r="G5253" t="str" s="2">
        <x:v>Joey Marquez</x:v>
      </x:c>
      <x:c r="H5253" s="6">
        <x:v>46301.648744479164</x:v>
      </x:c>
      <x:c r="I5253" t="str" s="2">
        <x:v>Joey Marquez</x:v>
      </x:c>
      <x:c r="J5253" s="0"/>
      <x:c r="K5253" s="6">
        <x:v>46301</x:v>
      </x:c>
      <x:c r="L5253" t="str" s="2">
        <x:v>Message Sent</x:v>
      </x:c>
    </x:row>
    <x:row r="5254">
      <x:c r="A5254" t="str" s="2">
        <x:f>="Janet Langston"</x:f>
      </x:c>
      <x:c r="B5254" t="str" s="2">
        <x:v>Heritage Housing of Canton</x:v>
      </x:c>
      <x:c r="C5254" t="str" s="2">
        <x:v/>
      </x:c>
      <x:c r="D5254" t="str" s="2">
        <x:v>2143999283</x:v>
      </x:c>
      <x:c r="E5254" t="str" s="2">
        <x:v>janetlangston77@gmail.com</x:v>
      </x:c>
      <x:c r="F5254" t="str" s="2">
        <x:v>Landing_BPM</x:v>
      </x:c>
      <x:c r="G5254" t="str" s="2">
        <x:v>Maira Garcia</x:v>
      </x:c>
      <x:c r="H5254" s="6">
        <x:v>46301.660771296294</x:v>
      </x:c>
      <x:c r="I5254" s="0"/>
      <x:c r="J5254" s="0"/>
      <x:c r="K5254" s="6">
        <x:v>46301</x:v>
      </x:c>
      <x:c r="L5254" t="str" s="2">
        <x:v>Message Sent</x:v>
      </x:c>
    </x:row>
    <x:row r="5255">
      <x:c r="A5255" t="str" s="2">
        <x:f>=HYPERLINK("https://rsms.futurehomex.com/lead/40606", "Lauren Sumpter")</x:f>
      </x:c>
      <x:c r="B5255" t="str" s="2">
        <x:v>Heritage Housing of Oklahoma City</x:v>
      </x:c>
      <x:c r="C5255" t="str" s="2">
        <x:v/>
      </x:c>
      <x:c r="D5255" t="str" s="2">
        <x:v>5806446017</x:v>
      </x:c>
      <x:c r="E5255" t="str" s="2">
        <x:v>llaurensumpter22@icloud.com</x:v>
      </x:c>
      <x:c r="F5255" t="str" s="2">
        <x:v>Landing_BPM</x:v>
      </x:c>
      <x:c r="G5255" t="str" s="2">
        <x:v>Alejandra Calderon</x:v>
      </x:c>
      <x:c r="H5255" s="6">
        <x:v>46301.68435552083</x:v>
      </x:c>
      <x:c r="I5255" t="str" s="2">
        <x:v>Alejandra Calderon</x:v>
      </x:c>
      <x:c r="J5255" s="0"/>
      <x:c r="K5255" s="6">
        <x:v>46305</x:v>
      </x:c>
      <x:c r="L5255" t="str" s="2">
        <x:v>Message Sent</x:v>
      </x:c>
    </x:row>
    <x:row r="5256">
      <x:c r="A5256" t="str" s="2">
        <x:f>="Destiny Burden"</x:f>
      </x:c>
      <x:c r="B5256" t="str" s="2">
        <x:v>Heritage Housing of Athens</x:v>
      </x:c>
      <x:c r="C5256" t="str" s="2">
        <x:v/>
      </x:c>
      <x:c r="D5256" t="str" s="2">
        <x:v>4702706964</x:v>
      </x:c>
      <x:c r="E5256" t="str" s="2">
        <x:v>destinyburden21@gmail.com</x:v>
      </x:c>
      <x:c r="F5256" t="str" s="2">
        <x:v>Landing_BPM</x:v>
      </x:c>
      <x:c r="G5256" t="str" s="2">
        <x:v>Nathan Bishop</x:v>
      </x:c>
      <x:c r="H5256" s="6">
        <x:v>46301.69523819444</x:v>
      </x:c>
      <x:c r="I5256" s="0"/>
      <x:c r="J5256" s="0"/>
      <x:c r="K5256" s="6">
        <x:v>46301.87860258102</x:v>
      </x:c>
      <x:c r="L5256" t="str" s="2">
        <x:v>Message Sent</x:v>
      </x:c>
    </x:row>
    <x:row r="5257">
      <x:c r="A5257" t="str" s="2">
        <x:f>="Jacneliz Rivera"</x:f>
      </x:c>
      <x:c r="B5257" t="str" s="2">
        <x:v>Heritage Housing of Asheboro</x:v>
      </x:c>
      <x:c r="C5257" t="str" s="2">
        <x:v/>
      </x:c>
      <x:c r="D5257" t="str" s="2">
        <x:v>3368589568</x:v>
      </x:c>
      <x:c r="E5257" t="str" s="2">
        <x:v>jacneliz97@gmail.com</x:v>
      </x:c>
      <x:c r="F5257" t="str" s="2">
        <x:v>LandingPage</x:v>
      </x:c>
      <x:c r="G5257" t="str" s="2">
        <x:v>Maria Lopez</x:v>
      </x:c>
      <x:c r="H5257" s="6">
        <x:v>46301.741093136574</x:v>
      </x:c>
      <x:c r="I5257" s="0"/>
      <x:c r="J5257" s="0"/>
      <x:c r="K5257" s="6">
        <x:v>46302</x:v>
      </x:c>
      <x:c r="L5257" t="str" s="2">
        <x:v>Message Sent</x:v>
      </x:c>
    </x:row>
    <x:row r="5258">
      <x:c r="A5258" t="str" s="2">
        <x:f>=HYPERLINK("https://rsms.futurehomex.com/lead/40614", "Adela Guzman")</x:f>
      </x:c>
      <x:c r="B5258" t="str" s="2">
        <x:v>Legacy Housing Corp. DBA Americasa</x:v>
      </x:c>
      <x:c r="C5258" t="str" s="2">
        <x:v/>
      </x:c>
      <x:c r="D5258" t="str" s="2">
        <x:v>8323297606</x:v>
      </x:c>
      <x:c r="E5258" t="str" s="2">
        <x:v>8323297606</x:v>
      </x:c>
      <x:c r="F5258" t="str" s="2">
        <x:v>Other</x:v>
      </x:c>
      <x:c r="G5258" t="str" s="2">
        <x:v>Joey Marquez</x:v>
      </x:c>
      <x:c r="H5258" s="6">
        <x:v>46301.816541168984</x:v>
      </x:c>
      <x:c r="I5258" t="str" s="2">
        <x:v>Joey Marquez</x:v>
      </x:c>
      <x:c r="J5258" s="0"/>
      <x:c r="K5258" s="6">
        <x:v>46301</x:v>
      </x:c>
      <x:c r="L5258" t="str" s="2">
        <x:v>Message Sent</x:v>
      </x:c>
    </x:row>
    <x:row r="5259">
      <x:c r="A5259" t="str" s="2">
        <x:f>="Joey Roberts"</x:f>
      </x:c>
      <x:c r="B5259" t="str" s="2">
        <x:v>Heritage Housing of Asheboro</x:v>
      </x:c>
      <x:c r="C5259" t="str" s="2">
        <x:v/>
      </x:c>
      <x:c r="D5259" t="str" s="2">
        <x:v>9198979418</x:v>
      </x:c>
      <x:c r="E5259" t="str" s="2">
        <x:v>joeyroberts261@gmail.com</x:v>
      </x:c>
      <x:c r="F5259" t="str" s="2">
        <x:v>Landing_BPM</x:v>
      </x:c>
      <x:c r="G5259" t="str" s="2">
        <x:v>Kate Gutierrez</x:v>
      </x:c>
      <x:c r="H5259" s="6">
        <x:v>46301.819432986114</x:v>
      </x:c>
      <x:c r="I5259" s="0"/>
      <x:c r="J5259" s="0"/>
      <x:c r="K5259" s="6">
        <x:v>46303</x:v>
      </x:c>
      <x:c r="L5259" t="str" s="2">
        <x:v>Message Sent</x:v>
      </x:c>
    </x:row>
    <x:row r="5260">
      <x:c r="A5260" t="str" s="2">
        <x:f>="camilo maldonado"</x:f>
      </x:c>
      <x:c r="B5260" t="str" s="2">
        <x:v>Heritage Housing of Canton</x:v>
      </x:c>
      <x:c r="C5260" t="str" s="2">
        <x:v/>
      </x:c>
      <x:c r="D5260" t="str" s="2">
        <x:v>832-546-8401</x:v>
      </x:c>
      <x:c r="E5260" t="str" s="2">
        <x:v>mLdonDocamilo8833@gmail.com</x:v>
      </x:c>
      <x:c r="F5260" t="str" s="2">
        <x:v>Youtube</x:v>
      </x:c>
      <x:c r="G5260" t="str" s="2">
        <x:v>Jacob Hatten</x:v>
      </x:c>
      <x:c r="H5260" s="6">
        <x:v>46301.83421450231</x:v>
      </x:c>
      <x:c r="I5260" s="0"/>
      <x:c r="J5260" s="0"/>
      <x:c r="K5260" s="6">
        <x:v>46302</x:v>
      </x:c>
      <x:c r="L5260" t="str" s="2">
        <x:v>Message Sent</x:v>
      </x:c>
    </x:row>
    <x:row r="5261">
      <x:c r="A5261" t="str" s="2">
        <x:f>="Mark Duckett"</x:f>
      </x:c>
      <x:c r="B5261" t="str" s="2">
        <x:v>Heritage Housing of Albany</x:v>
      </x:c>
      <x:c r="C5261" t="str" s="2">
        <x:v/>
      </x:c>
      <x:c r="D5261" t="str" s="2">
        <x:v>7702920036</x:v>
      </x:c>
      <x:c r="E5261" t="str" s="2">
        <x:v>duckettmark59@gmail.com</x:v>
      </x:c>
      <x:c r="F5261" t="str" s="2">
        <x:v>Landing_BPM</x:v>
      </x:c>
      <x:c r="G5261" t="str" s="2">
        <x:v>Yanet Alvarez</x:v>
      </x:c>
      <x:c r="H5261" s="6">
        <x:v>46301.84507025463</x:v>
      </x:c>
      <x:c r="I5261" s="0"/>
      <x:c r="J5261" s="0"/>
      <x:c r="K5261" s="6">
        <x:v>46302</x:v>
      </x:c>
      <x:c r="L5261" t="str" s="2">
        <x:v>Message Sent</x:v>
      </x:c>
    </x:row>
    <x:row r="5262">
      <x:c r="A5262" t="str" s="2">
        <x:f>="Fenix Thornsbrough"</x:f>
      </x:c>
      <x:c r="B5262" t="str" s="2">
        <x:v>Heritage Housing of Tulsa</x:v>
      </x:c>
      <x:c r="C5262" t="str" s="2">
        <x:v/>
      </x:c>
      <x:c r="D5262" t="str" s="2">
        <x:v>9189722817</x:v>
      </x:c>
      <x:c r="E5262" t="str" s="2">
        <x:v>fthornsbrough@gmail.com</x:v>
      </x:c>
      <x:c r="F5262" t="str" s="2">
        <x:v>Landing_BPM</x:v>
      </x:c>
      <x:c r="G5262" t="str" s="2">
        <x:v>Jenna Fransisco</x:v>
      </x:c>
      <x:c r="H5262" s="6">
        <x:v>46301.89314429398</x:v>
      </x:c>
      <x:c r="I5262" s="0"/>
      <x:c r="J5262" s="0"/>
      <x:c r="K5262" s="6">
        <x:v>46302</x:v>
      </x:c>
      <x:c r="L5262" t="str" s="2">
        <x:v>Message Sent</x:v>
      </x:c>
    </x:row>
    <x:row r="5263">
      <x:c r="A5263" t="str" s="2">
        <x:f>="Theresa Hayes"</x:f>
      </x:c>
      <x:c r="B5263" t="str" s="2">
        <x:v>Heritage Housing Mt Pleasant</x:v>
      </x:c>
      <x:c r="C5263" t="str" s="2">
        <x:v/>
      </x:c>
      <x:c r="D5263" t="str" s="2">
        <x:v>9039173873</x:v>
      </x:c>
      <x:c r="E5263" t="str" s="2">
        <x:v>theresahayes57@gmail.com</x:v>
      </x:c>
      <x:c r="F5263" t="str" s="2">
        <x:v>Landing_BPM</x:v>
      </x:c>
      <x:c r="G5263" t="str" s="2">
        <x:v>Sandra Saldana</x:v>
      </x:c>
      <x:c r="H5263" s="6">
        <x:v>46301.91893445602</x:v>
      </x:c>
      <x:c r="I5263" s="0"/>
      <x:c r="J5263" s="0"/>
      <x:c r="K5263" s="6">
        <x:v>46301</x:v>
      </x:c>
      <x:c r="L5263" t="str" s="2">
        <x:v>Message Sent</x:v>
      </x:c>
    </x:row>
    <x:row r="5264">
      <x:c r="A5264" t="str" s="2">
        <x:f>="Sarah Williams Williams"</x:f>
      </x:c>
      <x:c r="B5264" t="str" s="2">
        <x:v>Heritage Housing of Albany</x:v>
      </x:c>
      <x:c r="C5264" t="str" s="2">
        <x:v/>
      </x:c>
      <x:c r="D5264" t="str" s="2">
        <x:v>2025551230</x:v>
      </x:c>
      <x:c r="E5264" t="str" s="2">
        <x:v>karan.mehta695@gmail.com</x:v>
      </x:c>
      <x:c r="F5264" t="str" s="2">
        <x:v>Website</x:v>
      </x:c>
      <x:c r="G5264" t="str" s="2">
        <x:v>Yanet Alvarez</x:v>
      </x:c>
      <x:c r="H5264" s="6">
        <x:v>46301.96612017361</x:v>
      </x:c>
      <x:c r="I5264" s="0"/>
      <x:c r="J5264" s="0"/>
      <x:c r="K5264" s="6">
        <x:v>46303.87151704861</x:v>
      </x:c>
      <x:c r="L5264" t="str" s="2">
        <x:v>Message Sent</x:v>
      </x:c>
    </x:row>
    <x:row r="5265">
      <x:c r="A5265" t="str" s="2">
        <x:f>="Bobby Lemon"</x:f>
      </x:c>
      <x:c r="B5265" t="str" s="2">
        <x:v>Heritage Housing of Albany</x:v>
      </x:c>
      <x:c r="C5265" t="str" s="2">
        <x:v/>
      </x:c>
      <x:c r="D5265" t="str" s="2">
        <x:v>9125509939</x:v>
      </x:c>
      <x:c r="E5265" t="str" s="2">
        <x:v>bobbylemon2504@gmail.com</x:v>
      </x:c>
      <x:c r="F5265" t="str" s="2">
        <x:v>Landing_BPM</x:v>
      </x:c>
      <x:c r="G5265" t="str" s="2">
        <x:v>Yanet Alvarez</x:v>
      </x:c>
      <x:c r="H5265" s="6">
        <x:v>46301.992825810186</x:v>
      </x:c>
      <x:c r="I5265" s="0"/>
      <x:c r="J5265" s="0"/>
      <x:c r="K5265" s="6">
        <x:v>46303</x:v>
      </x:c>
      <x:c r="L5265" t="str" s="2">
        <x:v>Message Sent</x:v>
      </x:c>
    </x:row>
    <x:row r="5266">
      <x:c r="A5266" t="str" s="2">
        <x:f>="James Mitchell"</x:f>
      </x:c>
      <x:c r="B5266" t="str" s="2">
        <x:v>Heritage Housing of Albany</x:v>
      </x:c>
      <x:c r="C5266" t="str" s="2">
        <x:v/>
      </x:c>
      <x:c r="D5266" t="str" s="2">
        <x:v>2293227277</x:v>
      </x:c>
      <x:c r="E5266" t="str" s="2">
        <x:v>jtmitchell91@gmail.com</x:v>
      </x:c>
      <x:c r="F5266" t="str" s="2">
        <x:v>Landing_BPM</x:v>
      </x:c>
      <x:c r="G5266" t="str" s="2">
        <x:v>Yanet Alvarez</x:v>
      </x:c>
      <x:c r="H5266" s="6">
        <x:v>46302.02208880787</x:v>
      </x:c>
      <x:c r="I5266" s="0"/>
      <x:c r="J5266" s="0"/>
      <x:c r="K5266" s="6">
        <x:v>46302</x:v>
      </x:c>
      <x:c r="L5266" t="str" s="2">
        <x:v>Message Sent</x:v>
      </x:c>
    </x:row>
    <x:row r="5267">
      <x:c r="A5267" t="str" s="2">
        <x:f>="Alex O Gonzalez"</x:f>
      </x:c>
      <x:c r="B5267" t="str" s="2">
        <x:v>Heritage Housing of Greenville</x:v>
      </x:c>
      <x:c r="C5267" t="str" s="2">
        <x:v/>
      </x:c>
      <x:c r="D5267" t="str" s="2">
        <x:v>4696709745</x:v>
      </x:c>
      <x:c r="E5267" t="str" s="2">
        <x:v>alexogonza2789@gmail.com</x:v>
      </x:c>
      <x:c r="F5267" t="str" s="2">
        <x:v>Financing Form</x:v>
      </x:c>
      <x:c r="G5267" t="str" s="2">
        <x:v>Jacob Hatten</x:v>
      </x:c>
      <x:c r="H5267" s="6">
        <x:v>46302.04777612269</x:v>
      </x:c>
      <x:c r="I5267" s="0"/>
      <x:c r="J5267" s="0"/>
      <x:c r="K5267" s="6">
        <x:v>46302</x:v>
      </x:c>
      <x:c r="L5267" t="str" s="2">
        <x:v>Message Sent</x:v>
      </x:c>
    </x:row>
    <x:row r="5268">
      <x:c r="A5268" t="str" s="2">
        <x:f>="Elsa Vega"</x:f>
      </x:c>
      <x:c r="B5268" t="str" s="2">
        <x:v>Heritage Housing of Asheboro</x:v>
      </x:c>
      <x:c r="C5268" t="str" s="2">
        <x:v/>
      </x:c>
      <x:c r="D5268" t="str" s="2">
        <x:v>7049369660</x:v>
      </x:c>
      <x:c r="E5268" t="str" s="2">
        <x:v>f150denali@hotmail.com</x:v>
      </x:c>
      <x:c r="F5268" t="str" s="2">
        <x:v>Landing_BPM</x:v>
      </x:c>
      <x:c r="G5268" t="str" s="2">
        <x:v>Maria Lopez</x:v>
      </x:c>
      <x:c r="H5268" s="6">
        <x:v>46302.07261778935</x:v>
      </x:c>
      <x:c r="I5268" s="0"/>
      <x:c r="J5268" s="0"/>
      <x:c r="K5268" s="6">
        <x:v>46302</x:v>
      </x:c>
      <x:c r="L5268" t="str" s="2">
        <x:v>Message Sent</x:v>
      </x:c>
    </x:row>
    <x:row r="5269">
      <x:c r="A5269" t="str" s="2">
        <x:f>="Anai Vega"</x:f>
      </x:c>
      <x:c r="B5269" t="str" s="2">
        <x:v>Heritage Housing Mt Pleasant</x:v>
      </x:c>
      <x:c r="C5269" t="str" s="2">
        <x:v/>
      </x:c>
      <x:c r="D5269" t="str" s="2">
        <x:v>9036096691</x:v>
      </x:c>
      <x:c r="E5269" t="str" s="2">
        <x:v>anaiv2116@gmail.com</x:v>
      </x:c>
      <x:c r="F5269" t="str" s="2">
        <x:v>Landing_BPM</x:v>
      </x:c>
      <x:c r="G5269" t="str" s="2">
        <x:v>Yarelis Torres</x:v>
      </x:c>
      <x:c r="H5269" s="6">
        <x:v>46302.09363831019</x:v>
      </x:c>
      <x:c r="I5269" s="0"/>
      <x:c r="J5269" s="0"/>
      <x:c r="K5269" s="6">
        <x:v>46302</x:v>
      </x:c>
      <x:c r="L5269" t="str" s="2">
        <x:v>Message Sent</x:v>
      </x:c>
    </x:row>
    <x:row r="5270">
      <x:c r="A5270" t="str" s="2">
        <x:f>="Milton Vidal"</x:f>
      </x:c>
      <x:c r="B5270" t="str" s="2">
        <x:v>Heritage Housing of Jennings</x:v>
      </x:c>
      <x:c r="C5270" t="str" s="2">
        <x:v/>
      </x:c>
      <x:c r="D5270" t="str" s="2">
        <x:v>3377031666</x:v>
      </x:c>
      <x:c r="E5270" t="str" s="2">
        <x:v>miltonvidal321@gmail.com</x:v>
      </x:c>
      <x:c r="F5270" t="str" s="2">
        <x:v>Landing_BPM</x:v>
      </x:c>
      <x:c r="G5270" t="str" s="2">
        <x:v>Mervin Leslie Smith</x:v>
      </x:c>
      <x:c r="H5270" s="6">
        <x:v>46302.09942619213</x:v>
      </x:c>
      <x:c r="I5270" s="0"/>
      <x:c r="J5270" s="0"/>
      <x:c r="K5270" s="6">
        <x:v>46302.7346025463</x:v>
      </x:c>
      <x:c r="L5270" t="str" s="2">
        <x:v>Message Sent</x:v>
      </x:c>
    </x:row>
    <x:row r="5271">
      <x:c r="A5271" t="str" s="2">
        <x:f>="Danny Smith"</x:f>
      </x:c>
      <x:c r="B5271" t="str" s="2">
        <x:v>Heritage Housing of Greenville</x:v>
      </x:c>
      <x:c r="C5271" t="str" s="2">
        <x:v>0/1</x:v>
      </x:c>
      <x:c r="D5271" t="str" s="2">
        <x:v>8178777479</x:v>
      </x:c>
      <x:c r="E5271" t="str" s="2">
        <x:v>dannysmi0117@gmail.com</x:v>
      </x:c>
      <x:c r="F5271" t="str" s="2">
        <x:v>Landing_BPM</x:v>
      </x:c>
      <x:c r="G5271" t="str" s="2">
        <x:v>Greg Christman</x:v>
      </x:c>
      <x:c r="H5271" s="6">
        <x:v>46302.122631481485</x:v>
      </x:c>
      <x:c r="I5271" s="0"/>
      <x:c r="J5271" s="0"/>
      <x:c r="K5271" s="6">
        <x:v>46302</x:v>
      </x:c>
      <x:c r="L5271" t="str" s="2">
        <x:v>Message Sent</x:v>
      </x:c>
    </x:row>
    <x:row r="5272">
      <x:c r="A5272" t="str" s="2">
        <x:f>="madison bussard bussard"</x:f>
      </x:c>
      <x:c r="B5272" t="str" s="2">
        <x:v>Heritage Housing of Asheboro</x:v>
      </x:c>
      <x:c r="C5272" t="str" s="2">
        <x:v/>
      </x:c>
      <x:c r="D5272" t="str" s="2">
        <x:v>3365616537</x:v>
      </x:c>
      <x:c r="E5272" t="str" s="2">
        <x:v>maddyb1505@gmail.com</x:v>
      </x:c>
      <x:c r="F5272" t="str" s="2">
        <x:v>Landing_BPM</x:v>
      </x:c>
      <x:c r="G5272" t="str" s="2">
        <x:v>Kate Gutierrez</x:v>
      </x:c>
      <x:c r="H5272" s="6">
        <x:v>46302.215794675925</x:v>
      </x:c>
      <x:c r="I5272" s="0"/>
      <x:c r="J5272" s="0"/>
      <x:c r="K5272" s="6">
        <x:v>46303</x:v>
      </x:c>
      <x:c r="L5272" t="str" s="2">
        <x:v>Message Sent</x:v>
      </x:c>
    </x:row>
    <x:row r="5273">
      <x:c r="A5273" t="str" s="2">
        <x:f>="Christopher Pippin"</x:f>
      </x:c>
      <x:c r="B5273" t="str" s="2">
        <x:v>Legacy Housing Corp. DBA Americasa</x:v>
      </x:c>
      <x:c r="C5273" t="str" s="2">
        <x:v/>
      </x:c>
      <x:c r="D5273" t="str" s="2">
        <x:v>6232037325</x:v>
      </x:c>
      <x:c r="E5273" t="str" s="2">
        <x:v>chrispippin2012@gmail.com</x:v>
      </x:c>
      <x:c r="F5273" t="str" s="2">
        <x:v>Financing Form</x:v>
      </x:c>
      <x:c r="G5273" t="str" s="2">
        <x:v>Jose Parada</x:v>
      </x:c>
      <x:c r="H5273" s="6">
        <x:v>46302.286998993055</x:v>
      </x:c>
      <x:c r="I5273" s="0"/>
      <x:c r="J5273" s="0"/>
      <x:c r="K5273" s="6">
        <x:v>46302</x:v>
      </x:c>
      <x:c r="L5273" t="str" s="2">
        <x:v>Message Sent</x:v>
      </x:c>
    </x:row>
    <x:row r="5274">
      <x:c r="A5274" t="str" s="2">
        <x:f>="Joshua Harris Harris"</x:f>
      </x:c>
      <x:c r="B5274" t="str" s="2">
        <x:v>Heritage Housing of Albany</x:v>
      </x:c>
      <x:c r="C5274" t="str" s="2">
        <x:v/>
      </x:c>
      <x:c r="D5274" t="str" s="2">
        <x:v>2025554260</x:v>
      </x:c>
      <x:c r="E5274" t="str" s="2">
        <x:v>lubaszkaoliwia@icloud.com</x:v>
      </x:c>
      <x:c r="F5274" t="str" s="2">
        <x:v>Website</x:v>
      </x:c>
      <x:c r="G5274" t="str" s="2">
        <x:v>Yanet Alvarez</x:v>
      </x:c>
      <x:c r="H5274" s="6">
        <x:v>46302.33232260417</x:v>
      </x:c>
      <x:c r="I5274" s="0"/>
      <x:c r="J5274" s="0"/>
      <x:c r="K5274" s="6">
        <x:v>46302</x:v>
      </x:c>
      <x:c r="L5274" t="str" s="2">
        <x:v>Message Sent</x:v>
      </x:c>
    </x:row>
    <x:row r="5275">
      <x:c r="A5275" t="str" s="2">
        <x:f>="Chelsea Truelove"</x:f>
      </x:c>
      <x:c r="B5275" t="str" s="2">
        <x:v>Heritage Housing of Athens</x:v>
      </x:c>
      <x:c r="C5275" t="str" s="2">
        <x:v/>
      </x:c>
      <x:c r="D5275" t="str" s="2">
        <x:v>6788588699</x:v>
      </x:c>
      <x:c r="E5275" t="str" s="2">
        <x:v>cheyybaeeg93@gmail.com</x:v>
      </x:c>
      <x:c r="F5275" t="str" s="2">
        <x:v>Landing_BPM</x:v>
      </x:c>
      <x:c r="G5275" t="str" s="2">
        <x:v>Nathan Bishop</x:v>
      </x:c>
      <x:c r="H5275" s="6">
        <x:v>46302.350041701386</x:v>
      </x:c>
      <x:c r="I5275" s="0"/>
      <x:c r="J5275" s="0"/>
      <x:c r="K5275" s="6">
        <x:v>46302.59588626157</x:v>
      </x:c>
      <x:c r="L5275" t="str" s="2">
        <x:v>Message Sent</x:v>
      </x:c>
    </x:row>
    <x:row r="5276">
      <x:c r="A5276" t="str" s="2">
        <x:f>="Sierra Wilson"</x:f>
      </x:c>
      <x:c r="B5276" t="str" s="2">
        <x:v>Heritage Housing of Albany</x:v>
      </x:c>
      <x:c r="C5276" t="str" s="2">
        <x:v/>
      </x:c>
      <x:c r="D5276" t="str" s="2">
        <x:v>4707162270</x:v>
      </x:c>
      <x:c r="E5276" t="str" s="2">
        <x:v>sierralogic1920@gmail.com</x:v>
      </x:c>
      <x:c r="F5276" t="str" s="2">
        <x:v>Landing_BPM</x:v>
      </x:c>
      <x:c r="G5276" t="str" s="2">
        <x:v>Yanet Alvarez</x:v>
      </x:c>
      <x:c r="H5276" s="6">
        <x:v>46302.44067820602</x:v>
      </x:c>
      <x:c r="I5276" s="0"/>
      <x:c r="J5276" s="0"/>
      <x:c r="K5276" s="6">
        <x:v>46303</x:v>
      </x:c>
      <x:c r="L5276" t="str" s="2">
        <x:v>Message Sent</x:v>
      </x:c>
    </x:row>
    <x:row r="5277">
      <x:c r="A5277" t="str" s="2">
        <x:f>="Jeni Douglas"</x:f>
      </x:c>
      <x:c r="B5277" t="str" s="2">
        <x:v>Heritage Housing Mt Pleasant</x:v>
      </x:c>
      <x:c r="C5277" t="str" s="2">
        <x:v/>
      </x:c>
      <x:c r="D5277" t="str" s="2">
        <x:v>9039751736</x:v>
      </x:c>
      <x:c r="E5277" t="str" s="2">
        <x:v>Jenid77@yahoo.com</x:v>
      </x:c>
      <x:c r="F5277" t="str" s="2">
        <x:v>Financing Form</x:v>
      </x:c>
      <x:c r="G5277" t="str" s="2">
        <x:v>Elias Gallardo</x:v>
      </x:c>
      <x:c r="H5277" s="6">
        <x:v>46302.52196574074</x:v>
      </x:c>
      <x:c r="I5277" s="0"/>
      <x:c r="J5277" s="0"/>
      <x:c r="K5277" s="6">
        <x:v>46303</x:v>
      </x:c>
      <x:c r="L5277" t="str" s="2">
        <x:v>Message Sent</x:v>
      </x:c>
    </x:row>
    <x:row r="5278">
      <x:c r="A5278" t="str" s="2">
        <x:f>="Christopher Scorsolini"</x:f>
      </x:c>
      <x:c r="B5278" t="str" s="2">
        <x:v>Legacy Housing Corp. DBA Americasa</x:v>
      </x:c>
      <x:c r="C5278" t="str" s="2">
        <x:v/>
      </x:c>
      <x:c r="D5278" t="str" s="2">
        <x:v>4095020224</x:v>
      </x:c>
      <x:c r="E5278" t="str" s="2">
        <x:v>cscors1@aol.com</x:v>
      </x:c>
      <x:c r="F5278" t="str" s="2">
        <x:v>Landing_BPM</x:v>
      </x:c>
      <x:c r="G5278" t="str" s="2">
        <x:v>Jose Parada</x:v>
      </x:c>
      <x:c r="H5278" s="6">
        <x:v>46302.56344467593</x:v>
      </x:c>
      <x:c r="I5278" s="0"/>
      <x:c r="J5278" s="0"/>
      <x:c r="K5278" s="6">
        <x:v>46302</x:v>
      </x:c>
      <x:c r="L5278" t="str" s="2">
        <x:v>Message Sent</x:v>
      </x:c>
    </x:row>
    <x:row r="5279">
      <x:c r="A5279" t="str" s="2">
        <x:f>="Hope Arispe Martinez"</x:f>
      </x:c>
      <x:c r="B5279" t="str" s="2">
        <x:v>Legacy Housing Corp. DBA Americasa</x:v>
      </x:c>
      <x:c r="C5279" t="str" s="2">
        <x:v/>
      </x:c>
      <x:c r="D5279" t="str" s="2">
        <x:v>8329391816</x:v>
      </x:c>
      <x:c r="E5279" t="str" s="2">
        <x:v>martinezhopea33@gmail.com</x:v>
      </x:c>
      <x:c r="F5279" t="str" s="2">
        <x:v>TikTok Ads - Traffic</x:v>
      </x:c>
      <x:c r="G5279" t="str" s="2">
        <x:v>Jose Parada</x:v>
      </x:c>
      <x:c r="H5279" s="6">
        <x:v>46302.588604780096</x:v>
      </x:c>
      <x:c r="I5279" s="0"/>
      <x:c r="J5279" s="0"/>
      <x:c r="K5279" s="6">
        <x:v>46302</x:v>
      </x:c>
      <x:c r="L5279" t="str" s="2">
        <x:v>Message Sent</x:v>
      </x:c>
    </x:row>
    <x:row r="5280">
      <x:c r="A5280" t="str" s="2">
        <x:f>="Tanya Doster"</x:f>
      </x:c>
      <x:c r="B5280" t="str" s="2">
        <x:v>Heritage Housing of Albany</x:v>
      </x:c>
      <x:c r="C5280" t="str" s="2">
        <x:v/>
      </x:c>
      <x:c r="D5280" t="str" s="2">
        <x:v>7065675553</x:v>
      </x:c>
      <x:c r="E5280" t="str" s="2">
        <x:v>tanyajosh1993@gmail.com</x:v>
      </x:c>
      <x:c r="F5280" t="str" s="2">
        <x:v>Financing Form</x:v>
      </x:c>
      <x:c r="G5280" t="str" s="2">
        <x:v>Yanet Alvarez</x:v>
      </x:c>
      <x:c r="H5280" s="6">
        <x:v>46302.60685806713</x:v>
      </x:c>
      <x:c r="I5280" s="0"/>
      <x:c r="J5280" s="0"/>
      <x:c r="K5280" s="6">
        <x:v>46302</x:v>
      </x:c>
      <x:c r="L5280" t="str" s="2">
        <x:v>Message Sent</x:v>
      </x:c>
    </x:row>
    <x:row r="5281">
      <x:c r="A5281" t="str" s="2">
        <x:f>=HYPERLINK("https://rsms.futurehomex.com/lead/40639", "Candace Cheek")</x:f>
      </x:c>
      <x:c r="B5281" t="str" s="2">
        <x:v>Heritage Housing of Oklahoma City</x:v>
      </x:c>
      <x:c r="C5281" t="str" s="2">
        <x:v/>
      </x:c>
      <x:c r="D5281" t="str" s="2">
        <x:v>4056510752</x:v>
      </x:c>
      <x:c r="E5281" t="str" s="2">
        <x:v>cct0029@gmail.com</x:v>
      </x:c>
      <x:c r="F5281" t="str" s="2">
        <x:v>LandingPage</x:v>
      </x:c>
      <x:c r="G5281" t="str" s="2">
        <x:v>Alejandra Calderon</x:v>
      </x:c>
      <x:c r="H5281" s="6">
        <x:v>46302.68432017361</x:v>
      </x:c>
      <x:c r="I5281" t="str" s="2">
        <x:v>Alejandra Calderon</x:v>
      </x:c>
      <x:c r="J5281" s="0"/>
      <x:c r="K5281" s="6">
        <x:v>46305</x:v>
      </x:c>
      <x:c r="L5281" t="str" s="2">
        <x:v>Message Sent</x:v>
      </x:c>
    </x:row>
    <x:row r="5282">
      <x:c r="A5282" t="str" s="2">
        <x:f>="Robin Garcia"</x:f>
      </x:c>
      <x:c r="B5282" t="str" s="2">
        <x:v>Heritage Housing of Canton</x:v>
      </x:c>
      <x:c r="C5282" t="str" s="2">
        <x:v/>
      </x:c>
      <x:c r="D5282" t="str" s="2">
        <x:v>3467098012</x:v>
      </x:c>
      <x:c r="E5282" t="str" s="2">
        <x:v>riveragina452@gmail.com</x:v>
      </x:c>
      <x:c r="F5282" t="str" s="2">
        <x:v>Youtube</x:v>
      </x:c>
      <x:c r="G5282" t="str" s="2">
        <x:v>Jacob Hatten</x:v>
      </x:c>
      <x:c r="H5282" s="6">
        <x:v>46302.69328684028</x:v>
      </x:c>
      <x:c r="I5282" s="0"/>
      <x:c r="J5282" s="0"/>
      <x:c r="K5282" s="6">
        <x:v>46302</x:v>
      </x:c>
      <x:c r="L5282" t="str" s="2">
        <x:v>Message Sent</x:v>
      </x:c>
    </x:row>
    <x:row r="5283">
      <x:c r="A5283" t="str" s="2">
        <x:f>="Jolene Boudrias"</x:f>
      </x:c>
      <x:c r="B5283" t="str" s="2">
        <x:v>Heritage Housing Marble Falls</x:v>
      </x:c>
      <x:c r="C5283" t="str" s="2">
        <x:v/>
      </x:c>
      <x:c r="D5283" t="str" s="2">
        <x:v>2546544262</x:v>
      </x:c>
      <x:c r="E5283" t="str" s="2">
        <x:v>bigtooke@gmail.com</x:v>
      </x:c>
      <x:c r="F5283" t="str" s="2">
        <x:v>Landing_BPM</x:v>
      </x:c>
      <x:c r="G5283" t="str" s="2">
        <x:v>Stephen Sanders</x:v>
      </x:c>
      <x:c r="H5283" s="6">
        <x:v>46302.7109053588</x:v>
      </x:c>
      <x:c r="I5283" s="0"/>
      <x:c r="J5283" s="0"/>
      <x:c r="K5283" s="6">
        <x:v>46304</x:v>
      </x:c>
      <x:c r="L5283" t="str" s="2">
        <x:v>Message Sent</x:v>
      </x:c>
    </x:row>
    <x:row r="5284">
      <x:c r="A5284" t="str" s="2">
        <x:f>="Felicia Cormier"</x:f>
      </x:c>
      <x:c r="B5284" t="str" s="2">
        <x:v>Heritage Housing of Asheboro</x:v>
      </x:c>
      <x:c r="C5284" t="str" s="2">
        <x:v/>
      </x:c>
      <x:c r="D5284" t="str" s="2">
        <x:v>3362647498</x:v>
      </x:c>
      <x:c r="E5284" t="str" s="2">
        <x:v>amywilson61@yahoo.com</x:v>
      </x:c>
      <x:c r="F5284" t="str" s="2">
        <x:v>Landing_BPM</x:v>
      </x:c>
      <x:c r="G5284" t="str" s="2">
        <x:v>Kate Gutierrez</x:v>
      </x:c>
      <x:c r="H5284" s="6">
        <x:v>46302.71310162037</x:v>
      </x:c>
      <x:c r="I5284" s="0"/>
      <x:c r="J5284" s="0"/>
      <x:c r="K5284" s="6">
        <x:v>46303</x:v>
      </x:c>
      <x:c r="L5284" t="str" s="2">
        <x:v>Message Sent</x:v>
      </x:c>
    </x:row>
    <x:row r="5285">
      <x:c r="A5285" t="str" s="2">
        <x:f>="ShaKera Foster"</x:f>
      </x:c>
      <x:c r="B5285" t="str" s="2">
        <x:v>Heritage Housing of Albany</x:v>
      </x:c>
      <x:c r="C5285" t="str" s="2">
        <x:v/>
      </x:c>
      <x:c r="D5285" t="str" s="2">
        <x:v>2292559719</x:v>
      </x:c>
      <x:c r="E5285" t="str" s="2">
        <x:v>shakerafoster761@gmail.com</x:v>
      </x:c>
      <x:c r="F5285" t="str" s="2">
        <x:v>Financing Form</x:v>
      </x:c>
      <x:c r="G5285" t="str" s="2">
        <x:v>Yanet Alvarez</x:v>
      </x:c>
      <x:c r="H5285" s="6">
        <x:v>46302.772230636576</x:v>
      </x:c>
      <x:c r="I5285" s="0"/>
      <x:c r="J5285" s="0"/>
      <x:c r="K5285" s="6">
        <x:v>46303</x:v>
      </x:c>
      <x:c r="L5285" t="str" s="2">
        <x:v>Message Sent</x:v>
      </x:c>
    </x:row>
    <x:row r="5286">
      <x:c r="A5286" t="str" s="2">
        <x:f>="Amanda Purvis"</x:f>
      </x:c>
      <x:c r="B5286" t="str" s="2">
        <x:v>Heritage Housing of Asheboro</x:v>
      </x:c>
      <x:c r="C5286" t="str" s="2">
        <x:v/>
      </x:c>
      <x:c r="D5286" t="str" s="2">
        <x:v>2529026167</x:v>
      </x:c>
      <x:c r="E5286" t="str" s="2">
        <x:v>alw071183@gmail.com</x:v>
      </x:c>
      <x:c r="F5286" t="str" s="2">
        <x:v>Landing_BPM</x:v>
      </x:c>
      <x:c r="G5286" t="str" s="2">
        <x:v>Maria Lopez</x:v>
      </x:c>
      <x:c r="H5286" s="6">
        <x:v>46302.79427600694</x:v>
      </x:c>
      <x:c r="I5286" s="0"/>
      <x:c r="J5286" s="0"/>
      <x:c r="K5286" s="6">
        <x:v>46302</x:v>
      </x:c>
      <x:c r="L5286" t="str" s="2">
        <x:v>Message Sent</x:v>
      </x:c>
    </x:row>
    <x:row r="5287">
      <x:c r="A5287" t="str" s="2">
        <x:f>="Richard Walker"</x:f>
      </x:c>
      <x:c r="B5287" t="str" s="2">
        <x:v>Heritage Housing of Albany</x:v>
      </x:c>
      <x:c r="C5287" t="str" s="2">
        <x:v/>
      </x:c>
      <x:c r="D5287" t="str" s="2">
        <x:v>8039998684</x:v>
      </x:c>
      <x:c r="E5287" t="str" s="2">
        <x:v>richwalker9010@gmail.com</x:v>
      </x:c>
      <x:c r="F5287" t="str" s="2">
        <x:v>Financing Form</x:v>
      </x:c>
      <x:c r="G5287" t="str" s="2">
        <x:v>Yanet Alvarez</x:v>
      </x:c>
      <x:c r="H5287" s="6">
        <x:v>46302.80841542824</x:v>
      </x:c>
      <x:c r="I5287" s="0"/>
      <x:c r="J5287" s="0"/>
      <x:c r="K5287" s="6">
        <x:v>46303</x:v>
      </x:c>
      <x:c r="L5287" t="str" s="2">
        <x:v>Message Sent</x:v>
      </x:c>
    </x:row>
    <x:row r="5288">
      <x:c r="A5288" t="str" s="2">
        <x:f>="Elba Rivera"</x:f>
      </x:c>
      <x:c r="B5288" t="str" s="2">
        <x:v>Heritage Housing of Asheboro</x:v>
      </x:c>
      <x:c r="C5288" t="str" s="2">
        <x:v/>
      </x:c>
      <x:c r="D5288" t="str" s="2">
        <x:v>3369621618</x:v>
      </x:c>
      <x:c r="E5288" t="str" s="2">
        <x:v>tamialexandra27@gmail.com</x:v>
      </x:c>
      <x:c r="F5288" t="str" s="2">
        <x:v>Meta Ads - Forms</x:v>
      </x:c>
      <x:c r="G5288" t="str" s="2">
        <x:v>Kate Gutierrez</x:v>
      </x:c>
      <x:c r="H5288" s="6">
        <x:v>46302.86918491898</x:v>
      </x:c>
      <x:c r="I5288" s="0"/>
      <x:c r="J5288" s="0"/>
      <x:c r="K5288" s="6">
        <x:v>46303</x:v>
      </x:c>
      <x:c r="L5288" t="str" s="2">
        <x:v>Message Sent</x:v>
      </x:c>
    </x:row>
    <x:row r="5289">
      <x:c r="A5289" t="str" s="2">
        <x:f>="Frank Lopez"</x:f>
      </x:c>
      <x:c r="B5289" t="str" s="2">
        <x:v>Heritage Housing of Canton</x:v>
      </x:c>
      <x:c r="C5289" t="str" s="2">
        <x:v/>
      </x:c>
      <x:c r="D5289" t="str" s="2">
        <x:v>8068093577</x:v>
      </x:c>
      <x:c r="E5289" t="str" s="2">
        <x:v>primate456@gmail.com</x:v>
      </x:c>
      <x:c r="F5289" t="str" s="2">
        <x:v>Landing_BPM</x:v>
      </x:c>
      <x:c r="G5289" t="str" s="2">
        <x:v>Jacob Hatten</x:v>
      </x:c>
      <x:c r="H5289" s="6">
        <x:v>46302.87873765046</x:v>
      </x:c>
      <x:c r="I5289" s="0"/>
      <x:c r="J5289" s="0"/>
      <x:c r="K5289" s="6">
        <x:v>46302</x:v>
      </x:c>
      <x:c r="L5289" t="str" s="2">
        <x:v>Message Sent</x:v>
      </x:c>
    </x:row>
    <x:row r="5290">
      <x:c r="A5290" t="str" s="2">
        <x:f>="Emily Morgan"</x:f>
      </x:c>
      <x:c r="B5290" t="str" s="2">
        <x:v>Heritage Housing of Tulsa</x:v>
      </x:c>
      <x:c r="C5290" t="str" s="2">
        <x:v/>
      </x:c>
      <x:c r="D5290" t="str" s="2">
        <x:v>9183705284</x:v>
      </x:c>
      <x:c r="E5290" t="str" s="2">
        <x:v>jaidemorgan25@gmail.com</x:v>
      </x:c>
      <x:c r="F5290" t="str" s="2">
        <x:v>Landing_BPM</x:v>
      </x:c>
      <x:c r="G5290" t="str" s="2">
        <x:v>Jenna Fransisco</x:v>
      </x:c>
      <x:c r="H5290" s="6">
        <x:v>46302.932118171295</x:v>
      </x:c>
      <x:c r="I5290" s="0"/>
      <x:c r="J5290" s="0"/>
      <x:c r="K5290" s="6">
        <x:v>46304</x:v>
      </x:c>
      <x:c r="L5290" t="str" s="2">
        <x:v>Message Sent</x:v>
      </x:c>
    </x:row>
    <x:row r="5291">
      <x:c r="A5291" t="str" s="2">
        <x:f>="Alejandra Mejia"</x:f>
      </x:c>
      <x:c r="B5291" t="str" s="2">
        <x:v>Heritage Housing of Asheboro</x:v>
      </x:c>
      <x:c r="C5291" t="str" s="2">
        <x:v/>
      </x:c>
      <x:c r="D5291" t="str" s="2">
        <x:v>8646238858</x:v>
      </x:c>
      <x:c r="E5291" t="str" s="2">
        <x:v>otromimi3@gmail.com</x:v>
      </x:c>
      <x:c r="F5291" t="str" s="2">
        <x:v>Meta Ads - Forms</x:v>
      </x:c>
      <x:c r="G5291" t="str" s="2">
        <x:v>Maria Lopez</x:v>
      </x:c>
      <x:c r="H5291" s="6">
        <x:v>46302.940891053244</x:v>
      </x:c>
      <x:c r="I5291" s="0"/>
      <x:c r="J5291" s="0"/>
      <x:c r="K5291" s="6">
        <x:v>46302</x:v>
      </x:c>
      <x:c r="L5291" t="str" s="2">
        <x:v>Message Sent</x:v>
      </x:c>
    </x:row>
    <x:row r="5292">
      <x:c r="A5292" t="str" s="2">
        <x:f>="Jeremy Devries"</x:f>
      </x:c>
      <x:c r="B5292" t="str" s="2">
        <x:v>Heritage Housing Marble Falls</x:v>
      </x:c>
      <x:c r="C5292" t="str" s="2">
        <x:v/>
      </x:c>
      <x:c r="D5292" t="str" s="2">
        <x:v>4842504095</x:v>
      </x:c>
      <x:c r="E5292" t="str" s="2">
        <x:v>jeremydevries90@gmail.com</x:v>
      </x:c>
      <x:c r="F5292" t="str" s="2">
        <x:v>Landing_BPM</x:v>
      </x:c>
      <x:c r="G5292" t="str" s="2">
        <x:v>Stephen Sanders</x:v>
      </x:c>
      <x:c r="H5292" s="6">
        <x:v>46302.968306828705</x:v>
      </x:c>
      <x:c r="I5292" s="0"/>
      <x:c r="J5292" s="0"/>
      <x:c r="K5292" s="6">
        <x:v>46304</x:v>
      </x:c>
      <x:c r="L5292" t="str" s="2">
        <x:v>Message Sent</x:v>
      </x:c>
    </x:row>
    <x:row r="5293">
      <x:c r="A5293" t="str" s="2">
        <x:f>="Doris Schwarzenegger"</x:f>
      </x:c>
      <x:c r="B5293" t="str" s="2">
        <x:v>Heritage Housing Mt Pleasant</x:v>
      </x:c>
      <x:c r="C5293" t="str" s="2">
        <x:v/>
      </x:c>
      <x:c r="D5293" t="str" s="2">
        <x:v>5015050817</x:v>
      </x:c>
      <x:c r="E5293" t="str" s="2">
        <x:v>dwarzend@gmail.com</x:v>
      </x:c>
      <x:c r="F5293" t="str" s="2">
        <x:v>Website</x:v>
      </x:c>
      <x:c r="G5293" t="str" s="2">
        <x:v>Sandra Saldana</x:v>
      </x:c>
      <x:c r="H5293" s="6">
        <x:v>46302.97565771991</x:v>
      </x:c>
      <x:c r="I5293" s="0"/>
      <x:c r="J5293" s="0"/>
      <x:c r="K5293" s="6">
        <x:v>46306</x:v>
      </x:c>
      <x:c r="L5293" t="str" s="2">
        <x:v>Message Sent</x:v>
      </x:c>
    </x:row>
    <x:row r="5294">
      <x:c r="A5294" t="str" s="2">
        <x:f>="Monique Lincoln"</x:f>
      </x:c>
      <x:c r="B5294" t="str" s="2">
        <x:v>Heritage Housing Mt Pleasant</x:v>
      </x:c>
      <x:c r="C5294" t="str" s="2">
        <x:v/>
      </x:c>
      <x:c r="D5294" t="str" s="2">
        <x:v>9033067236</x:v>
      </x:c>
      <x:c r="E5294" t="str" s="2">
        <x:v>moniquelincoln34@gmail.com</x:v>
      </x:c>
      <x:c r="F5294" t="str" s="2">
        <x:v>Landing_BPM</x:v>
      </x:c>
      <x:c r="G5294" t="str" s="2">
        <x:v>Yarelis Torres</x:v>
      </x:c>
      <x:c r="H5294" s="6">
        <x:v>46302.98369047454</x:v>
      </x:c>
      <x:c r="I5294" s="0"/>
      <x:c r="J5294" s="0"/>
      <x:c r="K5294" s="6">
        <x:v>46307</x:v>
      </x:c>
      <x:c r="L5294" t="str" s="2">
        <x:v>Message Sent</x:v>
      </x:c>
    </x:row>
    <x:row r="5295">
      <x:c r="A5295" t="str" s="2">
        <x:f>="Tomas Ramos"</x:f>
      </x:c>
      <x:c r="B5295" t="str" s="2">
        <x:v>Heritage Housing of Asheboro</x:v>
      </x:c>
      <x:c r="C5295" t="str" s="2">
        <x:v/>
      </x:c>
      <x:c r="D5295" t="str" s="2">
        <x:v>9845847817</x:v>
      </x:c>
      <x:c r="E5295" t="str" s="2">
        <x:v>tramos94@hotmail.com</x:v>
      </x:c>
      <x:c r="F5295" t="str" s="2">
        <x:v>Meta Ads - Forms</x:v>
      </x:c>
      <x:c r="G5295" t="str" s="2">
        <x:v>Joe Lopez</x:v>
      </x:c>
      <x:c r="H5295" s="6">
        <x:v>46302.98834089121</x:v>
      </x:c>
      <x:c r="I5295" s="0"/>
      <x:c r="J5295" s="0"/>
      <x:c r="K5295" s="6">
        <x:v>46304</x:v>
      </x:c>
      <x:c r="L5295" t="str" s="2">
        <x:v>Message Sent</x:v>
      </x:c>
    </x:row>
    <x:row r="5296">
      <x:c r="A5296" t="str" s="2">
        <x:f>="Sandra Hatton"</x:f>
      </x:c>
      <x:c r="B5296" t="str" s="2">
        <x:v>Heritage Housing of Albany</x:v>
      </x:c>
      <x:c r="C5296" t="str" s="2">
        <x:v/>
      </x:c>
      <x:c r="D5296" t="str" s="2">
        <x:v>4782503533</x:v>
      </x:c>
      <x:c r="E5296" t="str" s="2">
        <x:v>sandra.hatton69@gmail.com</x:v>
      </x:c>
      <x:c r="F5296" t="str" s="2">
        <x:v>Website</x:v>
      </x:c>
      <x:c r="G5296" t="str" s="2">
        <x:v>Yanet Alvarez</x:v>
      </x:c>
      <x:c r="H5296" s="6">
        <x:v>46303.03146331019</x:v>
      </x:c>
      <x:c r="I5296" s="0"/>
      <x:c r="J5296" s="0"/>
      <x:c r="K5296" s="6">
        <x:v>46307</x:v>
      </x:c>
      <x:c r="L5296" t="str" s="2">
        <x:v>Message Sent</x:v>
      </x:c>
    </x:row>
    <x:row r="5297">
      <x:c r="A5297" t="str" s="2">
        <x:f>="Shrika Clark"</x:f>
      </x:c>
      <x:c r="B5297" t="str" s="2">
        <x:v>Heritage Housing Mt Pleasant</x:v>
      </x:c>
      <x:c r="C5297" t="str" s="2">
        <x:v/>
      </x:c>
      <x:c r="D5297" t="str" s="2">
        <x:v>2144579360</x:v>
      </x:c>
      <x:c r="E5297" t="str" s="2">
        <x:v>crowndallasfamilyllc@yahoo.com</x:v>
      </x:c>
      <x:c r="F5297" t="str" s="2">
        <x:v>Landing_BPM</x:v>
      </x:c>
      <x:c r="G5297" t="str" s="2">
        <x:v>Elias Gallardo</x:v>
      </x:c>
      <x:c r="H5297" s="6">
        <x:v>46303.07816640046</x:v>
      </x:c>
      <x:c r="I5297" s="0"/>
      <x:c r="J5297" s="0"/>
      <x:c r="K5297" s="6">
        <x:v>46303</x:v>
      </x:c>
      <x:c r="L5297" t="str" s="2">
        <x:v>Message Sent</x:v>
      </x:c>
    </x:row>
    <x:row r="5298">
      <x:c r="A5298" t="str" s="2">
        <x:f>="Toby Page"</x:f>
      </x:c>
      <x:c r="B5298" t="str" s="2">
        <x:v>Legacy Housing Corp. DBA Americasa</x:v>
      </x:c>
      <x:c r="C5298" t="str" s="2">
        <x:v/>
      </x:c>
      <x:c r="D5298" t="str" s="2">
        <x:v>4256005841</x:v>
      </x:c>
      <x:c r="E5298" t="str" s="2">
        <x:v>tobypage21@gmail.com</x:v>
      </x:c>
      <x:c r="F5298" t="str" s="2">
        <x:v>Website</x:v>
      </x:c>
      <x:c r="G5298" t="str" s="2">
        <x:v>Victoria Sanchez</x:v>
      </x:c>
      <x:c r="H5298" s="6">
        <x:v>46303.105362118054</x:v>
      </x:c>
      <x:c r="I5298" s="0"/>
      <x:c r="J5298" s="0"/>
      <x:c r="K5298" s="6">
        <x:v>46304</x:v>
      </x:c>
      <x:c r="L5298" t="str" s="2">
        <x:v>Message Sent</x:v>
      </x:c>
    </x:row>
    <x:row r="5299">
      <x:c r="A5299" t="str" s="2">
        <x:f>=".Misty Alley"</x:f>
      </x:c>
      <x:c r="B5299" t="str" s="2">
        <x:v>Heritage Housing of Asheboro</x:v>
      </x:c>
      <x:c r="C5299" t="str" s="2">
        <x:v/>
      </x:c>
      <x:c r="D5299" t="str" s="2">
        <x:v>3364165779</x:v>
      </x:c>
      <x:c r="E5299" t="str" s="2">
        <x:v>granandjasper@gmail.com</x:v>
      </x:c>
      <x:c r="F5299" t="str" s="2">
        <x:v>Landing_BPM</x:v>
      </x:c>
      <x:c r="G5299" t="str" s="2">
        <x:v>Kate Gutierrez</x:v>
      </x:c>
      <x:c r="H5299" s="6">
        <x:v>46303.15220107639</x:v>
      </x:c>
      <x:c r="I5299" s="0"/>
      <x:c r="J5299" s="0"/>
      <x:c r="K5299" s="6">
        <x:v>46303</x:v>
      </x:c>
      <x:c r="L5299" t="str" s="2">
        <x:v>Message Sent</x:v>
      </x:c>
    </x:row>
    <x:row r="5300">
      <x:c r="A5300" t="str" s="2">
        <x:f>="Kerin Williams"</x:f>
      </x:c>
      <x:c r="B5300" t="str" s="2">
        <x:v>Legacy Housing Corp. DBA Americasa</x:v>
      </x:c>
      <x:c r="C5300" t="str" s="2">
        <x:v/>
      </x:c>
      <x:c r="D5300" t="str" s="2">
        <x:v>5045784203</x:v>
      </x:c>
      <x:c r="E5300" t="str" s="2">
        <x:v>williamskerin476@gmail.com</x:v>
      </x:c>
      <x:c r="F5300" t="str" s="2">
        <x:v>Landing_BPM</x:v>
      </x:c>
      <x:c r="G5300" t="str" s="2">
        <x:v>Rodrigo Ramirez</x:v>
      </x:c>
      <x:c r="H5300" s="6">
        <x:v>46303.20029853009</x:v>
      </x:c>
      <x:c r="I5300" s="0"/>
      <x:c r="J5300" s="0"/>
      <x:c r="K5300" s="6">
        <x:v>46304</x:v>
      </x:c>
      <x:c r="L5300" t="str" s="2">
        <x:v>Message Sent</x:v>
      </x:c>
    </x:row>
    <x:row r="5301">
      <x:c r="A5301" t="str" s="2">
        <x:f>="Steven. Sellers"</x:f>
      </x:c>
      <x:c r="B5301" t="str" s="2">
        <x:v>Heritage Housing of Asheboro</x:v>
      </x:c>
      <x:c r="C5301" t="str" s="2">
        <x:v/>
      </x:c>
      <x:c r="D5301" t="str" s="2">
        <x:v>4303509837</x:v>
      </x:c>
      <x:c r="E5301" t="str" s="2">
        <x:v>sellerssr3056@gmail.com</x:v>
      </x:c>
      <x:c r="F5301" t="str" s="2">
        <x:v>LandingPage</x:v>
      </x:c>
      <x:c r="G5301" t="str" s="2">
        <x:v>Joe Lopez</x:v>
      </x:c>
      <x:c r="H5301" s="6">
        <x:v>46303.23201701389</x:v>
      </x:c>
      <x:c r="I5301" s="0"/>
      <x:c r="J5301" s="0"/>
      <x:c r="K5301" s="6">
        <x:v>46304</x:v>
      </x:c>
      <x:c r="L5301" t="str" s="2">
        <x:v>Message Sent</x:v>
      </x:c>
    </x:row>
    <x:row r="5302">
      <x:c r="A5302" t="str" s="2">
        <x:f>="Michelle Medina Medina"</x:f>
      </x:c>
      <x:c r="B5302" t="str" s="2">
        <x:v>Heritage Housing Marble Falls</x:v>
      </x:c>
      <x:c r="C5302" t="str" s="2">
        <x:v/>
      </x:c>
      <x:c r="D5302" t="str" s="2">
        <x:v>7373540960</x:v>
      </x:c>
      <x:c r="E5302" t="str" s="2">
        <x:v>mmk6460073@gmail.com</x:v>
      </x:c>
      <x:c r="F5302" t="str" s="2">
        <x:v>Landing_BPM</x:v>
      </x:c>
      <x:c r="G5302" t="str" s="2">
        <x:v>Stephen Sanders</x:v>
      </x:c>
      <x:c r="H5302" s="6">
        <x:v>46303.275114965276</x:v>
      </x:c>
      <x:c r="I5302" s="0"/>
      <x:c r="J5302" s="0"/>
      <x:c r="K5302" s="6">
        <x:v>46304</x:v>
      </x:c>
      <x:c r="L5302" t="str" s="2">
        <x:v>Message Sent</x:v>
      </x:c>
    </x:row>
    <x:row r="5303">
      <x:c r="A5303" t="str" s="2">
        <x:f>="Russell E Williams"</x:f>
      </x:c>
      <x:c r="B5303" t="str" s="2">
        <x:v>Heritage Housing of Asheboro</x:v>
      </x:c>
      <x:c r="C5303" t="str" s="2">
        <x:v/>
      </x:c>
      <x:c r="D5303" t="str" s="2">
        <x:v>9193536109</x:v>
      </x:c>
      <x:c r="E5303" t="str" s="2">
        <x:v>russellson1914@gmail.com</x:v>
      </x:c>
      <x:c r="F5303" t="str" s="2">
        <x:v>Landing_BPM</x:v>
      </x:c>
      <x:c r="G5303" t="str" s="2">
        <x:v>Maria Lopez</x:v>
      </x:c>
      <x:c r="H5303" s="6">
        <x:v>46303.39162832176</x:v>
      </x:c>
      <x:c r="I5303" s="0"/>
      <x:c r="J5303" s="0"/>
      <x:c r="K5303" s="6">
        <x:v>46304</x:v>
      </x:c>
      <x:c r="L5303" t="str" s="2">
        <x:v>Message Sent</x:v>
      </x:c>
    </x:row>
    <x:row r="5304">
      <x:c r="A5304" t="str" s="2">
        <x:f>="Saprina Locklear Locklear"</x:f>
      </x:c>
      <x:c r="B5304" t="str" s="2">
        <x:v>Heritage Housing of Asheboro</x:v>
      </x:c>
      <x:c r="C5304" t="str" s="2">
        <x:v/>
      </x:c>
      <x:c r="D5304" t="str" s="2">
        <x:v>9105365395</x:v>
      </x:c>
      <x:c r="E5304" t="str" s="2">
        <x:v>locklearsaprina35@gmail.com</x:v>
      </x:c>
      <x:c r="F5304" t="str" s="2">
        <x:v>Landing_BPM</x:v>
      </x:c>
      <x:c r="G5304" t="str" s="2">
        <x:v>Joe Lopez</x:v>
      </x:c>
      <x:c r="H5304" s="6">
        <x:v>46303.413752546294</x:v>
      </x:c>
      <x:c r="I5304" s="0"/>
      <x:c r="J5304" s="0"/>
      <x:c r="K5304" s="6">
        <x:v>46307</x:v>
      </x:c>
      <x:c r="L5304" t="str" s="2">
        <x:v>Message Sent</x:v>
      </x:c>
    </x:row>
    <x:row r="5305">
      <x:c r="A5305" t="str" s="2">
        <x:f>="Dawn Bethel"</x:f>
      </x:c>
      <x:c r="B5305" t="str" s="2">
        <x:v>Heritage Housing of Tulsa</x:v>
      </x:c>
      <x:c r="C5305" t="str" s="2">
        <x:v/>
      </x:c>
      <x:c r="D5305" t="str" s="2">
        <x:v>9188612928</x:v>
      </x:c>
      <x:c r="E5305" t="str" s="2">
        <x:v>dawnbethel34@gmail.com</x:v>
      </x:c>
      <x:c r="F5305" t="str" s="2">
        <x:v>Landing_BPM</x:v>
      </x:c>
      <x:c r="G5305" t="str" s="2">
        <x:v>Jenna Fransisco</x:v>
      </x:c>
      <x:c r="H5305" s="6">
        <x:v>46303.5439959838</x:v>
      </x:c>
      <x:c r="I5305" s="0"/>
      <x:c r="J5305" s="0"/>
      <x:c r="K5305" s="6">
        <x:v>46303</x:v>
      </x:c>
      <x:c r="L5305" t="str" s="2">
        <x:v>Message Sent</x:v>
      </x:c>
    </x:row>
    <x:row r="5306">
      <x:c r="A5306" t="str" s="2">
        <x:f>="Ramon Barroso"</x:f>
      </x:c>
      <x:c r="B5306" t="str" s="2">
        <x:v>Legacy Housing Corp. DBA Americasa</x:v>
      </x:c>
      <x:c r="C5306" t="str" s="2">
        <x:v/>
      </x:c>
      <x:c r="D5306" t="str" s="2">
        <x:v>2819178989</x:v>
      </x:c>
      <x:c r="E5306" t="str" s="2">
        <x:v>lssc8989@gmail.com</x:v>
      </x:c>
      <x:c r="F5306" t="str" s="2">
        <x:v>Meta Ads - Traffic</x:v>
      </x:c>
      <x:c r="G5306" t="str" s="2">
        <x:v>Jose Parada</x:v>
      </x:c>
      <x:c r="H5306" s="6">
        <x:v>46303.55327202546</x:v>
      </x:c>
      <x:c r="I5306" s="0"/>
      <x:c r="J5306" s="0"/>
      <x:c r="K5306" s="6">
        <x:v>46304</x:v>
      </x:c>
      <x:c r="L5306" t="str" s="2">
        <x:v>Message Sent</x:v>
      </x:c>
    </x:row>
    <x:row r="5307">
      <x:c r="A5307" t="str" s="2">
        <x:f>="Shaneqa WRIGHT"</x:f>
      </x:c>
      <x:c r="B5307" t="str" s="2">
        <x:v>Heritage Housing of Albany</x:v>
      </x:c>
      <x:c r="C5307" t="str" s="2">
        <x:v/>
      </x:c>
      <x:c r="D5307" t="str" s="2">
        <x:v>2293226276</x:v>
      </x:c>
      <x:c r="E5307" t="str" s="2">
        <x:v>shaneqaw24@gmail.com</x:v>
      </x:c>
      <x:c r="F5307" t="str" s="2">
        <x:v>Landing_BPM</x:v>
      </x:c>
      <x:c r="G5307" t="str" s="2">
        <x:v>Yanet Alvarez</x:v>
      </x:c>
      <x:c r="H5307" s="6">
        <x:v>46303.57227650463</x:v>
      </x:c>
      <x:c r="I5307" s="0"/>
      <x:c r="J5307" s="0"/>
      <x:c r="K5307" s="6">
        <x:v>46303</x:v>
      </x:c>
      <x:c r="L5307" t="str" s="2">
        <x:v>Message Sent</x:v>
      </x:c>
    </x:row>
    <x:row r="5308">
      <x:c r="A5308" t="str" s="2">
        <x:f>=HYPERLINK("https://rsms.futurehomex.com/lead/40653", "Tyron Webb")</x:f>
      </x:c>
      <x:c r="B5308" t="str" s="2">
        <x:v>Heritage Housing of Asheboro</x:v>
      </x:c>
      <x:c r="C5308" t="str" s="2">
        <x:v/>
      </x:c>
      <x:c r="D5308" t="str" s="2">
        <x:v>3363279575</x:v>
      </x:c>
      <x:c r="E5308" t="str" s="2">
        <x:v>3363279575</x:v>
      </x:c>
      <x:c r="F5308" t="str" s="2">
        <x:v>Facebook Messenger</x:v>
      </x:c>
      <x:c r="G5308" t="str" s="2">
        <x:v>Kate Gutierrez</x:v>
      </x:c>
      <x:c r="H5308" s="6">
        <x:v>46303.59756693287</x:v>
      </x:c>
      <x:c r="I5308" t="str" s="2">
        <x:v>Kate Gutierrez</x:v>
      </x:c>
      <x:c r="J5308" s="0"/>
      <x:c r="K5308" s="6">
        <x:v>46303</x:v>
      </x:c>
      <x:c r="L5308" t="str" s="2">
        <x:v>Message Sent</x:v>
      </x:c>
    </x:row>
    <x:row r="5309">
      <x:c r="A5309" t="str" s="2">
        <x:f>=HYPERLINK("https://rsms.futurehomex.com/lead/40654", "Emili Daffern")</x:f>
      </x:c>
      <x:c r="B5309" t="str" s="2">
        <x:v>Heritage Housing of Oklahoma City</x:v>
      </x:c>
      <x:c r="C5309" t="str" s="2">
        <x:v/>
      </x:c>
      <x:c r="D5309" t="str" s="2">
        <x:v>5803991697</x:v>
      </x:c>
      <x:c r="E5309" t="str" s="2">
        <x:v>emili.daffern@yahoo.com</x:v>
      </x:c>
      <x:c r="F5309" t="str" s="2">
        <x:v>Landing_BPM</x:v>
      </x:c>
      <x:c r="G5309" t="str" s="2">
        <x:v>Alejandra Calderon</x:v>
      </x:c>
      <x:c r="H5309" s="6">
        <x:v>46303.6082909375</x:v>
      </x:c>
      <x:c r="I5309" t="str" s="2">
        <x:v>Alejandra Calderon</x:v>
      </x:c>
      <x:c r="J5309" s="0"/>
      <x:c r="K5309" s="6">
        <x:v>46305</x:v>
      </x:c>
      <x:c r="L5309" t="str" s="2">
        <x:v>Message Sent</x:v>
      </x:c>
    </x:row>
    <x:row r="5310">
      <x:c r="A5310" t="str" s="2">
        <x:f>="Susan Bailey"</x:f>
      </x:c>
      <x:c r="B5310" t="str" s="2">
        <x:v>Heritage Housing of Athens</x:v>
      </x:c>
      <x:c r="C5310" t="str" s="2">
        <x:v/>
      </x:c>
      <x:c r="D5310" t="str" s="2">
        <x:v>7063915089</x:v>
      </x:c>
      <x:c r="E5310" t="str" s="2">
        <x:v>suebailey5188@gmail.com</x:v>
      </x:c>
      <x:c r="F5310" t="str" s="2">
        <x:v>Landing_BPM</x:v>
      </x:c>
      <x:c r="G5310" t="str" s="2">
        <x:v>Nathan Bishop</x:v>
      </x:c>
      <x:c r="H5310" s="6">
        <x:v>46303.616364270834</x:v>
      </x:c>
      <x:c r="I5310" s="0"/>
      <x:c r="J5310" s="0"/>
      <x:c r="K5310" s="6">
        <x:v>46304.83316686343</x:v>
      </x:c>
      <x:c r="L5310" t="str" s="2">
        <x:v>Message Sent</x:v>
      </x:c>
    </x:row>
    <x:row r="5311">
      <x:c r="A5311" t="str" s="2">
        <x:f>=HYPERLINK("https://rsms.futurehomex.com/lead/40657", "Heather Leach")</x:f>
      </x:c>
      <x:c r="B5311" t="str" s="2">
        <x:v>Heritage Housing of Asheboro</x:v>
      </x:c>
      <x:c r="C5311" t="str" s="2">
        <x:v/>
      </x:c>
      <x:c r="D5311" t="str" s="2">
        <x:v>9109189256</x:v>
      </x:c>
      <x:c r="E5311" t="str" s="2">
        <x:v>9109189256</x:v>
      </x:c>
      <x:c r="F5311" t="str" s="2">
        <x:v>Meta Ads - Messenger</x:v>
      </x:c>
      <x:c r="G5311" t="str" s="2">
        <x:v>Kate Gutierrez</x:v>
      </x:c>
      <x:c r="H5311" s="6">
        <x:v>46303.62630297454</x:v>
      </x:c>
      <x:c r="I5311" t="str" s="2">
        <x:v>Kate Gutierrez</x:v>
      </x:c>
      <x:c r="J5311" s="0"/>
      <x:c r="K5311" s="6">
        <x:v>46303</x:v>
      </x:c>
      <x:c r="L5311" t="str" s="2">
        <x:v>Message Sent</x:v>
      </x:c>
    </x:row>
    <x:row r="5312">
      <x:c r="A5312" t="str" s="2">
        <x:f>="Kevin Britton"</x:f>
      </x:c>
      <x:c r="B5312" t="str" s="2">
        <x:v>Heritage Housing Mt Pleasant</x:v>
      </x:c>
      <x:c r="C5312" t="str" s="2">
        <x:v/>
      </x:c>
      <x:c r="D5312" t="str" s="2">
        <x:v>9039163242</x:v>
      </x:c>
      <x:c r="E5312" t="str" s="2">
        <x:v>triciakshannon1973@gmail.com</x:v>
      </x:c>
      <x:c r="F5312" t="str" s="2">
        <x:v>Financing Form</x:v>
      </x:c>
      <x:c r="G5312" t="str" s="2">
        <x:v>Sandra Saldana</x:v>
      </x:c>
      <x:c r="H5312" s="6">
        <x:v>46303.653718368056</x:v>
      </x:c>
      <x:c r="I5312" s="0"/>
      <x:c r="J5312" s="0"/>
      <x:c r="K5312" s="6">
        <x:v>46303</x:v>
      </x:c>
      <x:c r="L5312" t="str" s="2">
        <x:v>Message Sent</x:v>
      </x:c>
    </x:row>
    <x:row r="5313">
      <x:c r="A5313" t="str" s="2">
        <x:f>="Lakeya Cephas"</x:f>
      </x:c>
      <x:c r="B5313" t="str" s="2">
        <x:v>Heritage Housing of Asheboro</x:v>
      </x:c>
      <x:c r="C5313" t="str" s="2">
        <x:v/>
      </x:c>
      <x:c r="D5313" t="str" s="2">
        <x:v>3363013415</x:v>
      </x:c>
      <x:c r="E5313" t="str" s="2">
        <x:v>lakeyacephas4040@gmail.com</x:v>
      </x:c>
      <x:c r="F5313" t="str" s="2">
        <x:v>Landing_BPM</x:v>
      </x:c>
      <x:c r="G5313" t="str" s="2">
        <x:v>Kate Gutierrez</x:v>
      </x:c>
      <x:c r="H5313" s="6">
        <x:v>46303.71476542824</x:v>
      </x:c>
      <x:c r="I5313" s="0"/>
      <x:c r="J5313" s="0"/>
      <x:c r="K5313" s="6">
        <x:v>46303</x:v>
      </x:c>
      <x:c r="L5313" t="str" s="2">
        <x:v>Message Sent</x:v>
      </x:c>
    </x:row>
    <x:row r="5314">
      <x:c r="A5314" t="str" s="2">
        <x:f>="miguel morales"</x:f>
      </x:c>
      <x:c r="B5314" t="str" s="2">
        <x:v>Legacy Housing Corp. DBA Americasa</x:v>
      </x:c>
      <x:c r="C5314" t="str" s="2">
        <x:v/>
      </x:c>
      <x:c r="D5314" t="str" s="2">
        <x:v>8323399076</x:v>
      </x:c>
      <x:c r="E5314" t="str" s="2">
        <x:v>cantu6554@gmail.com</x:v>
      </x:c>
      <x:c r="F5314" t="str" s="2">
        <x:v>Meta Ads - Forms</x:v>
      </x:c>
      <x:c r="G5314" t="str" s="2">
        <x:v>Joey Marquez</x:v>
      </x:c>
      <x:c r="H5314" s="6">
        <x:v>46303.72119884259</x:v>
      </x:c>
      <x:c r="I5314" s="0"/>
      <x:c r="J5314" s="0"/>
      <x:c r="K5314" s="6">
        <x:v>46303</x:v>
      </x:c>
      <x:c r="L5314" t="str" s="2">
        <x:v>Message Sent</x:v>
      </x:c>
    </x:row>
    <x:row r="5315">
      <x:c r="A5315" t="str" s="2">
        <x:f>="Yeny"</x:f>
      </x:c>
      <x:c r="B5315" t="str" s="2">
        <x:v>Heritage Housing Mt Pleasant</x:v>
      </x:c>
      <x:c r="C5315" t="str" s="2">
        <x:v/>
      </x:c>
      <x:c r="D5315" t="str" s="2">
        <x:v>7863396861</x:v>
      </x:c>
      <x:c r="E5315" t="str" s="2">
        <x:v>mchalacabrera@gmail.com</x:v>
      </x:c>
      <x:c r="F5315" t="str" s="2">
        <x:v>Meta Ads - Forms</x:v>
      </x:c>
      <x:c r="G5315" t="str" s="2">
        <x:v>Yarelis Torres</x:v>
      </x:c>
      <x:c r="H5315" s="6">
        <x:v>46303.721271145834</x:v>
      </x:c>
      <x:c r="I5315" s="0"/>
      <x:c r="J5315" s="0"/>
      <x:c r="K5315" s="6">
        <x:v>46307</x:v>
      </x:c>
      <x:c r="L5315" t="str" s="2">
        <x:v>Message Sent</x:v>
      </x:c>
    </x:row>
    <x:row r="5316">
      <x:c r="A5316" t="str" s="2">
        <x:f>="Dismond Miller"</x:f>
      </x:c>
      <x:c r="B5316" t="str" s="2">
        <x:v>Heritage Housing of Tulsa</x:v>
      </x:c>
      <x:c r="C5316" t="str" s="2">
        <x:v/>
      </x:c>
      <x:c r="D5316" t="str" s="2">
        <x:v>9183130283</x:v>
      </x:c>
      <x:c r="E5316" t="str" s="2">
        <x:v>sam7miller2026@gmail.com</x:v>
      </x:c>
      <x:c r="F5316" t="str" s="2">
        <x:v>Landing_BPM</x:v>
      </x:c>
      <x:c r="G5316" t="str" s="2">
        <x:v>Jenna Fransisco</x:v>
      </x:c>
      <x:c r="H5316" s="6">
        <x:v>46303.739004016206</x:v>
      </x:c>
      <x:c r="I5316" s="0"/>
      <x:c r="J5316" s="0"/>
      <x:c r="K5316" s="6">
        <x:v>46304</x:v>
      </x:c>
      <x:c r="L5316" t="str" s="2">
        <x:v>Message Sent</x:v>
      </x:c>
    </x:row>
    <x:row r="5317">
      <x:c r="A5317" t="str" s="2">
        <x:f>="Henry Gaughan"</x:f>
      </x:c>
      <x:c r="B5317" t="str" s="2">
        <x:v>Legacy Housing Corp. DBA Americasa</x:v>
      </x:c>
      <x:c r="C5317" t="str" s="2">
        <x:v/>
      </x:c>
      <x:c r="D5317" t="str" s="2">
        <x:v>3469706652</x:v>
      </x:c>
      <x:c r="E5317" t="str" s="2">
        <x:v>firstodin420@gmail.com</x:v>
      </x:c>
      <x:c r="F5317" t="str" s="2">
        <x:v>Landing_BPM</x:v>
      </x:c>
      <x:c r="G5317" t="str" s="2">
        <x:v>Victoria Sanchez</x:v>
      </x:c>
      <x:c r="H5317" s="6">
        <x:v>46303.744516053244</x:v>
      </x:c>
      <x:c r="I5317" s="0"/>
      <x:c r="J5317" s="0"/>
      <x:c r="K5317" s="6">
        <x:v>46304</x:v>
      </x:c>
      <x:c r="L5317" t="str" s="2">
        <x:v>Message Sent</x:v>
      </x:c>
    </x:row>
    <x:row r="5318">
      <x:c r="A5318" t="str" s="2">
        <x:f>="Kyle Arrington Arrington"</x:f>
      </x:c>
      <x:c r="B5318" t="str" s="2">
        <x:v>Heritage Housing of Tulsa</x:v>
      </x:c>
      <x:c r="C5318" t="str" s="2">
        <x:v/>
      </x:c>
      <x:c r="D5318" t="str" s="2">
        <x:v>9188523121</x:v>
      </x:c>
      <x:c r="E5318" t="str" s="2">
        <x:v>karrington1536@yahoo.com</x:v>
      </x:c>
      <x:c r="F5318" t="str" s="2">
        <x:v>Landing_BPM</x:v>
      </x:c>
      <x:c r="G5318" t="str" s="2">
        <x:v>Jenna Fransisco</x:v>
      </x:c>
      <x:c r="H5318" s="6">
        <x:v>46303.82111631944</x:v>
      </x:c>
      <x:c r="I5318" s="0"/>
      <x:c r="J5318" s="0"/>
      <x:c r="K5318" s="6">
        <x:v>46304</x:v>
      </x:c>
      <x:c r="L5318" t="str" s="2">
        <x:v>Message Sent</x:v>
      </x:c>
    </x:row>
    <x:row r="5319">
      <x:c r="A5319" t="str" s="2">
        <x:f>="Amelia Bovingdon"</x:f>
      </x:c>
      <x:c r="B5319" t="str" s="2">
        <x:v>Heritage Housing of Albany</x:v>
      </x:c>
      <x:c r="C5319" t="str" s="2">
        <x:v/>
      </x:c>
      <x:c r="D5319" t="str" s="2">
        <x:v>4044086349</x:v>
      </x:c>
      <x:c r="E5319" t="str" s="2">
        <x:v>warewolfalchemist2@yahoo.com</x:v>
      </x:c>
      <x:c r="F5319" t="str" s="2">
        <x:v>LandingPage</x:v>
      </x:c>
      <x:c r="G5319" t="str" s="2">
        <x:v>Yanet Alvarez</x:v>
      </x:c>
      <x:c r="H5319" s="6">
        <x:v>46303.835557175924</x:v>
      </x:c>
      <x:c r="I5319" s="0"/>
      <x:c r="J5319" s="0"/>
      <x:c r="K5319" s="6">
        <x:v>46303</x:v>
      </x:c>
      <x:c r="L5319" t="str" s="2">
        <x:v>Message Sent</x:v>
      </x:c>
    </x:row>
    <x:row r="5320">
      <x:c r="A5320" t="str" s="2">
        <x:f>=HYPERLINK("https://rsms.futurehomex.com/lead/40682", "Cloe Owens")</x:f>
      </x:c>
      <x:c r="B5320" t="str" s="2">
        <x:v>Heritage Housing of Oklahoma City</x:v>
      </x:c>
      <x:c r="C5320" t="str" s="2">
        <x:v/>
      </x:c>
      <x:c r="D5320" t="str" s="2">
        <x:v>9187151490</x:v>
      </x:c>
      <x:c r="E5320" t="str" s="2">
        <x:v>cloeowens61@gmail.com</x:v>
      </x:c>
      <x:c r="F5320" t="str" s="2">
        <x:v>Landing_BPM</x:v>
      </x:c>
      <x:c r="G5320" t="str" s="2">
        <x:v>Alejandra Calderon</x:v>
      </x:c>
      <x:c r="H5320" s="6">
        <x:v>46303.887101851855</x:v>
      </x:c>
      <x:c r="I5320" t="str" s="2">
        <x:v>Alejandra Calderon</x:v>
      </x:c>
      <x:c r="J5320" s="0"/>
      <x:c r="K5320" s="6">
        <x:v>46305</x:v>
      </x:c>
      <x:c r="L5320" t="str" s="2">
        <x:v>Message Sent</x:v>
      </x:c>
    </x:row>
    <x:row r="5321">
      <x:c r="A5321" t="str" s="2">
        <x:f>="Josephine Hampton"</x:f>
      </x:c>
      <x:c r="B5321" t="str" s="2">
        <x:v>Heritage Housing of Tulsa</x:v>
      </x:c>
      <x:c r="C5321" t="str" s="2">
        <x:v/>
      </x:c>
      <x:c r="D5321" t="str" s="2">
        <x:v>9184078630</x:v>
      </x:c>
      <x:c r="E5321" t="str" s="2">
        <x:v>hamptonjosephine4219@yahoo.com</x:v>
      </x:c>
      <x:c r="F5321" t="str" s="2">
        <x:v>Landing_BPM</x:v>
      </x:c>
      <x:c r="G5321" t="str" s="2">
        <x:v>Jenna Fransisco</x:v>
      </x:c>
      <x:c r="H5321" s="6">
        <x:v>46303.91269479167</x:v>
      </x:c>
      <x:c r="I5321" s="0"/>
      <x:c r="J5321" s="0"/>
      <x:c r="K5321" s="6">
        <x:v>46304</x:v>
      </x:c>
      <x:c r="L5321" t="str" s="2">
        <x:v>Message Sent</x:v>
      </x:c>
    </x:row>
    <x:row r="5322">
      <x:c r="A5322" t="str" s="2">
        <x:f>="Melissa Poplin"</x:f>
      </x:c>
      <x:c r="B5322" t="str" s="2">
        <x:v>Heritage Housing of Asheboro</x:v>
      </x:c>
      <x:c r="C5322" t="str" s="2">
        <x:v/>
      </x:c>
      <x:c r="D5322" t="str" s="2">
        <x:v>7049652078</x:v>
      </x:c>
      <x:c r="E5322" t="str" s="2">
        <x:v>jamescadams1937@gmail.com</x:v>
      </x:c>
      <x:c r="F5322" t="str" s="2">
        <x:v>Landing_BPM</x:v>
      </x:c>
      <x:c r="G5322" t="str" s="2">
        <x:v>Joe Lopez</x:v>
      </x:c>
      <x:c r="H5322" s="6">
        <x:v>46303.92455555555</x:v>
      </x:c>
      <x:c r="I5322" s="0"/>
      <x:c r="J5322" s="0"/>
      <x:c r="K5322" s="6">
        <x:v>46304</x:v>
      </x:c>
      <x:c r="L5322" t="str" s="2">
        <x:v>Message Sent</x:v>
      </x:c>
    </x:row>
    <x:row r="5323">
      <x:c r="A5323" t="str" s="2">
        <x:f>="JaeLaen Abbs"</x:f>
      </x:c>
      <x:c r="B5323" t="str" s="2">
        <x:v>Legacy Housing Corp. DBA Americasa</x:v>
      </x:c>
      <x:c r="C5323" t="str" s="2">
        <x:v/>
      </x:c>
      <x:c r="D5323" t="str" s="2">
        <x:v>8328069799</x:v>
      </x:c>
      <x:c r="E5323" t="str" s="2">
        <x:v>ajaelaen@yahoo.com</x:v>
      </x:c>
      <x:c r="F5323" t="str" s="2">
        <x:v>Landing_BPM</x:v>
      </x:c>
      <x:c r="G5323" t="str" s="2">
        <x:v>Rodrigo Ramirez</x:v>
      </x:c>
      <x:c r="H5323" s="6">
        <x:v>46303.96868533565</x:v>
      </x:c>
      <x:c r="I5323" s="0"/>
      <x:c r="J5323" s="0"/>
      <x:c r="K5323" s="6">
        <x:v>46304</x:v>
      </x:c>
      <x:c r="L5323" t="str" s="2">
        <x:v>Message Sent</x:v>
      </x:c>
    </x:row>
    <x:row r="5324">
      <x:c r="A5324" t="str" s="2">
        <x:f>="Paul Skelton"</x:f>
      </x:c>
      <x:c r="B5324" t="str" s="2">
        <x:v>Heritage Housing of Tulsa</x:v>
      </x:c>
      <x:c r="C5324" t="str" s="2">
        <x:v/>
      </x:c>
      <x:c r="D5324" t="str" s="2">
        <x:v>9189829910</x:v>
      </x:c>
      <x:c r="E5324" t="str" s="2">
        <x:v>paulskelton1948@gmail.com</x:v>
      </x:c>
      <x:c r="F5324" t="str" s="2">
        <x:v>Landing_BPM</x:v>
      </x:c>
      <x:c r="G5324" t="str" s="2">
        <x:v>Jenna Fransisco</x:v>
      </x:c>
      <x:c r="H5324" s="6">
        <x:v>46303.98400315972</x:v>
      </x:c>
      <x:c r="I5324" s="0"/>
      <x:c r="J5324" s="0"/>
      <x:c r="K5324" s="6">
        <x:v>46304</x:v>
      </x:c>
      <x:c r="L5324" t="str" s="2">
        <x:v>Message Sent</x:v>
      </x:c>
    </x:row>
    <x:row r="5325">
      <x:c r="A5325" t="str" s="2">
        <x:f>="William Jeno"</x:f>
      </x:c>
      <x:c r="B5325" t="str" s="2">
        <x:v>Heritage Housing Marble Falls</x:v>
      </x:c>
      <x:c r="C5325" t="str" s="2">
        <x:v/>
      </x:c>
      <x:c r="D5325" t="str" s="2">
        <x:v>5079511096</x:v>
      </x:c>
      <x:c r="E5325" t="str" s="2">
        <x:v>willjeno2375@gmail.com</x:v>
      </x:c>
      <x:c r="F5325" t="str" s="2">
        <x:v>Financing Form</x:v>
      </x:c>
      <x:c r="G5325" t="str" s="2">
        <x:v>Stephen Sanders</x:v>
      </x:c>
      <x:c r="H5325" s="6">
        <x:v>46303.99629278935</x:v>
      </x:c>
      <x:c r="I5325" s="0"/>
      <x:c r="J5325" s="0"/>
      <x:c r="K5325" s="6">
        <x:v>46304</x:v>
      </x:c>
      <x:c r="L5325" t="str" s="2">
        <x:v>Message Sent</x:v>
      </x:c>
    </x:row>
    <x:row r="5326">
      <x:c r="A5326" t="str" s="2">
        <x:f>="Julián Maldonado"</x:f>
      </x:c>
      <x:c r="B5326" t="str" s="2">
        <x:v>Heritage Housing of Asheboro</x:v>
      </x:c>
      <x:c r="C5326" t="str" s="2">
        <x:v/>
      </x:c>
      <x:c r="D5326" t="str" s="2">
        <x:v>9192880720</x:v>
      </x:c>
      <x:c r="E5326" t="str" s="2">
        <x:v>maldonado.julian1@icloud.com</x:v>
      </x:c>
      <x:c r="F5326" t="str" s="2">
        <x:v>Meta Ads - Forms</x:v>
      </x:c>
      <x:c r="G5326" t="str" s="2">
        <x:v>Maria Lopez</x:v>
      </x:c>
      <x:c r="H5326" s="6">
        <x:v>46304.090937581015</x:v>
      </x:c>
      <x:c r="I5326" s="0"/>
      <x:c r="J5326" s="0"/>
      <x:c r="K5326" s="6">
        <x:v>46304</x:v>
      </x:c>
      <x:c r="L5326" t="str" s="2">
        <x:v>Message Sent</x:v>
      </x:c>
    </x:row>
    <x:row r="5327">
      <x:c r="A5327" t="str" s="2">
        <x:f>="Katrina Randall"</x:f>
      </x:c>
      <x:c r="B5327" t="str" s="2">
        <x:v>Legacy Housing Corp. DBA Americasa</x:v>
      </x:c>
      <x:c r="C5327" t="str" s="2">
        <x:v/>
      </x:c>
      <x:c r="D5327" t="str" s="2">
        <x:v>3376020041</x:v>
      </x:c>
      <x:c r="E5327" t="str" s="2">
        <x:v>katrinarandallkatrina@gmail.com</x:v>
      </x:c>
      <x:c r="F5327" t="str" s="2">
        <x:v>Landing_BPM</x:v>
      </x:c>
      <x:c r="G5327" t="str" s="2">
        <x:v>Jose Parada</x:v>
      </x:c>
      <x:c r="H5327" s="6">
        <x:v>46304.17205274306</x:v>
      </x:c>
      <x:c r="I5327" s="0"/>
      <x:c r="J5327" s="0"/>
      <x:c r="K5327" s="6">
        <x:v>46304</x:v>
      </x:c>
      <x:c r="L5327" t="str" s="2">
        <x:v>Message Sent</x:v>
      </x:c>
    </x:row>
    <x:row r="5328">
      <x:c r="A5328" t="str" s="2">
        <x:f>="Megan Gotcher"</x:f>
      </x:c>
      <x:c r="B5328" t="str" s="2">
        <x:v>Heritage Housing of Tulsa</x:v>
      </x:c>
      <x:c r="C5328" t="str" s="2">
        <x:v/>
      </x:c>
      <x:c r="D5328" t="str" s="2">
        <x:v>9185000061</x:v>
      </x:c>
      <x:c r="E5328" t="str" s="2">
        <x:v>mbyte1993@gmail.com</x:v>
      </x:c>
      <x:c r="F5328" t="str" s="2">
        <x:v>Landing_BPM</x:v>
      </x:c>
      <x:c r="G5328" t="str" s="2">
        <x:v>Jenna Fransisco</x:v>
      </x:c>
      <x:c r="H5328" s="6">
        <x:v>46304.18835335648</x:v>
      </x:c>
      <x:c r="I5328" s="0"/>
      <x:c r="J5328" s="0"/>
      <x:c r="K5328" s="6">
        <x:v>46304</x:v>
      </x:c>
      <x:c r="L5328" t="str" s="2">
        <x:v>Message Sent</x:v>
      </x:c>
    </x:row>
    <x:row r="5329">
      <x:c r="A5329" t="str" s="2">
        <x:f>="Pamela Hinton"</x:f>
      </x:c>
      <x:c r="B5329" t="str" s="2">
        <x:v>Heritage Housing Mt Pleasant</x:v>
      </x:c>
      <x:c r="C5329" t="str" s="2">
        <x:v/>
      </x:c>
      <x:c r="D5329" t="str" s="2">
        <x:v>9037521856</x:v>
      </x:c>
      <x:c r="E5329" t="str" s="2">
        <x:v>2pugs2go@gmail.com</x:v>
      </x:c>
      <x:c r="F5329" t="str" s="2">
        <x:v>Landing_BPM</x:v>
      </x:c>
      <x:c r="G5329" t="str" s="2">
        <x:v>Elias Gallardo</x:v>
      </x:c>
      <x:c r="H5329" s="6">
        <x:v>46304.204211145836</x:v>
      </x:c>
      <x:c r="I5329" s="0"/>
      <x:c r="J5329" s="0"/>
      <x:c r="K5329" s="6">
        <x:v>46307</x:v>
      </x:c>
      <x:c r="L5329" t="str" s="2">
        <x:v>Message Sent</x:v>
      </x:c>
    </x:row>
    <x:row r="5330">
      <x:c r="A5330" t="str" s="2">
        <x:f>="Patrick Hare"</x:f>
      </x:c>
      <x:c r="B5330" t="str" s="2">
        <x:v>Heritage Housing of Tulsa</x:v>
      </x:c>
      <x:c r="C5330" t="str" s="2">
        <x:v/>
      </x:c>
      <x:c r="D5330" t="str" s="2">
        <x:v>1-620-636-1228</x:v>
      </x:c>
      <x:c r="E5330" t="str" s="2">
        <x:v>patrickhare@69.com</x:v>
      </x:c>
      <x:c r="F5330" t="str" s="2">
        <x:v>Landing_BPM</x:v>
      </x:c>
      <x:c r="G5330" t="str" s="2">
        <x:v>Jenna Fransisco</x:v>
      </x:c>
      <x:c r="H5330" s="6">
        <x:v>46304.2356584838</x:v>
      </x:c>
      <x:c r="I5330" s="0"/>
      <x:c r="J5330" s="0"/>
      <x:c r="K5330" s="6">
        <x:v>46304</x:v>
      </x:c>
      <x:c r="L5330" t="str" s="2">
        <x:v>Message Sent</x:v>
      </x:c>
    </x:row>
    <x:row r="5331">
      <x:c r="A5331" t="str" s="2">
        <x:f>="Ashley Estrada"</x:f>
      </x:c>
      <x:c r="B5331" t="str" s="2">
        <x:v>Legacy Housing Corp. DBA Americasa</x:v>
      </x:c>
      <x:c r="C5331" t="str" s="2">
        <x:v/>
      </x:c>
      <x:c r="D5331" t="str" s="2">
        <x:v>3468057663</x:v>
      </x:c>
      <x:c r="E5331" t="str" s="2">
        <x:v>ashleygz1905@gmail.com</x:v>
      </x:c>
      <x:c r="F5331" t="str" s="2">
        <x:v>Website</x:v>
      </x:c>
      <x:c r="G5331" t="str" s="2">
        <x:v>Joey Marquez</x:v>
      </x:c>
      <x:c r="H5331" s="6">
        <x:v>46304.25737207176</x:v>
      </x:c>
      <x:c r="I5331" s="0"/>
      <x:c r="J5331" s="0"/>
      <x:c r="K5331" s="6">
        <x:v>46304</x:v>
      </x:c>
      <x:c r="L5331" t="str" s="2">
        <x:v>Message Sent</x:v>
      </x:c>
    </x:row>
    <x:row r="5332">
      <x:c r="A5332" t="str" s="2">
        <x:f>=HYPERLINK("https://rsms.futurehomex.com/lead/40713", "Kristan Maloy")</x:f>
      </x:c>
      <x:c r="B5332" t="str" s="2">
        <x:v>Heritage Housing of Oklahoma City</x:v>
      </x:c>
      <x:c r="C5332" t="str" s="2">
        <x:v/>
      </x:c>
      <x:c r="D5332" t="str" s="2">
        <x:v>4053230750</x:v>
      </x:c>
      <x:c r="E5332" t="str" s="2">
        <x:v>kshellz5389@gmail.com</x:v>
      </x:c>
      <x:c r="F5332" t="str" s="2">
        <x:v>Landing_BPM</x:v>
      </x:c>
      <x:c r="G5332" t="str" s="2">
        <x:v>Alejandra Calderon</x:v>
      </x:c>
      <x:c r="H5332" s="6">
        <x:v>46304.26221512732</x:v>
      </x:c>
      <x:c r="I5332" t="str" s="2">
        <x:v>Alejandra Calderon</x:v>
      </x:c>
      <x:c r="J5332" s="0"/>
      <x:c r="K5332" s="6">
        <x:v>46305</x:v>
      </x:c>
      <x:c r="L5332" t="str" s="2">
        <x:v>Message Sent</x:v>
      </x:c>
    </x:row>
    <x:row r="5333">
      <x:c r="A5333" t="str" s="2">
        <x:f>="Quanterist Johnson"</x:f>
      </x:c>
      <x:c r="B5333" t="str" s="2">
        <x:v>Heritage Housing of Albany</x:v>
      </x:c>
      <x:c r="C5333" t="str" s="2">
        <x:v/>
      </x:c>
      <x:c r="D5333" t="str" s="2">
        <x:v>2294076083</x:v>
      </x:c>
      <x:c r="E5333" t="str" s="2">
        <x:v>quanteristj531@gmail.com</x:v>
      </x:c>
      <x:c r="F5333" t="str" s="2">
        <x:v>Landing_BPM</x:v>
      </x:c>
      <x:c r="G5333" t="str" s="2">
        <x:v>Yanet Alvarez</x:v>
      </x:c>
      <x:c r="H5333" s="6">
        <x:v>46304.26227820602</x:v>
      </x:c>
      <x:c r="I5333" s="0"/>
      <x:c r="J5333" s="0"/>
      <x:c r="K5333" s="6">
        <x:v>46304</x:v>
      </x:c>
      <x:c r="L5333" t="str" s="2">
        <x:v>Message Sent</x:v>
      </x:c>
    </x:row>
    <x:row r="5334">
      <x:c r="A5334" t="str" s="2">
        <x:f>="Erica Gonzales"</x:f>
      </x:c>
      <x:c r="B5334" t="str" s="2">
        <x:v>Heritage Housing Mt Pleasant</x:v>
      </x:c>
      <x:c r="C5334" t="str" s="2">
        <x:v/>
      </x:c>
      <x:c r="D5334" t="str" s="2">
        <x:v>5129858413</x:v>
      </x:c>
      <x:c r="E5334" t="str" s="2">
        <x:v>yellowmoon306@gmail.com</x:v>
      </x:c>
      <x:c r="F5334" t="str" s="2">
        <x:v>Landing_BPM</x:v>
      </x:c>
      <x:c r="G5334" t="str" s="2">
        <x:v>Sandra Saldana</x:v>
      </x:c>
      <x:c r="H5334" s="6">
        <x:v>46304.28876924769</x:v>
      </x:c>
      <x:c r="I5334" s="0"/>
      <x:c r="J5334" s="0"/>
      <x:c r="K5334" s="6">
        <x:v>46304</x:v>
      </x:c>
      <x:c r="L5334" t="str" s="2">
        <x:v>Message Sent</x:v>
      </x:c>
    </x:row>
    <x:row r="5335">
      <x:c r="A5335" t="str" s="2">
        <x:f>="Carmen Salazar"</x:f>
      </x:c>
      <x:c r="B5335" t="str" s="2">
        <x:v>Heritage Housing of Asheboro</x:v>
      </x:c>
      <x:c r="C5335" t="str" s="2">
        <x:v/>
      </x:c>
      <x:c r="D5335" t="str" s="2">
        <x:v>9196078699</x:v>
      </x:c>
      <x:c r="E5335" t="str" s="2">
        <x:v>Carmensalazar6000@gmail.com</x:v>
      </x:c>
      <x:c r="F5335" t="str" s="2">
        <x:v>Meta Ads - Forms</x:v>
      </x:c>
      <x:c r="G5335" t="str" s="2">
        <x:v>Kate Gutierrez</x:v>
      </x:c>
      <x:c r="H5335" s="6">
        <x:v>46304.35617060185</x:v>
      </x:c>
      <x:c r="I5335" s="0"/>
      <x:c r="J5335" s="0"/>
      <x:c r="K5335" s="6">
        <x:v>46304</x:v>
      </x:c>
      <x:c r="L5335" t="str" s="2">
        <x:v>Message Sent</x:v>
      </x:c>
    </x:row>
    <x:row r="5336">
      <x:c r="A5336" t="str" s="2">
        <x:f>="Austin Allen"</x:f>
      </x:c>
      <x:c r="B5336" t="str" s="2">
        <x:v>Heritage Housing of Asheboro</x:v>
      </x:c>
      <x:c r="C5336" t="str" s="2">
        <x:v/>
      </x:c>
      <x:c r="D5336" t="str" s="2">
        <x:v>8285513584</x:v>
      </x:c>
      <x:c r="E5336" t="str" s="2">
        <x:v>austinallen1989@gmail.com</x:v>
      </x:c>
      <x:c r="F5336" t="str" s="2">
        <x:v>Landing_BPM</x:v>
      </x:c>
      <x:c r="G5336" t="str" s="2">
        <x:v>Joe Lopez</x:v>
      </x:c>
      <x:c r="H5336" s="6">
        <x:v>46304.38473070602</x:v>
      </x:c>
      <x:c r="I5336" s="0"/>
      <x:c r="J5336" s="0"/>
      <x:c r="K5336" s="6">
        <x:v>46304</x:v>
      </x:c>
      <x:c r="L5336" t="str" s="2">
        <x:v>Message Sent</x:v>
      </x:c>
    </x:row>
    <x:row r="5337">
      <x:c r="A5337" t="str" s="2">
        <x:f>="Byron Javier Duque Javier Duque"</x:f>
      </x:c>
      <x:c r="B5337" t="str" s="2">
        <x:v>Heritage Housing of Asheboro</x:v>
      </x:c>
      <x:c r="C5337" t="str" s="2">
        <x:v/>
      </x:c>
      <x:c r="D5337" t="str" s="2">
        <x:v>9843664308</x:v>
      </x:c>
      <x:c r="E5337" t="str" s="2">
        <x:v>byronduquem@gmail.com</x:v>
      </x:c>
      <x:c r="F5337" t="str" s="2">
        <x:v>Landing_BPM</x:v>
      </x:c>
      <x:c r="G5337" t="str" s="2">
        <x:v>Maria Lopez</x:v>
      </x:c>
      <x:c r="H5337" s="6">
        <x:v>46304.48803761574</x:v>
      </x:c>
      <x:c r="I5337" s="0"/>
      <x:c r="J5337" s="0"/>
      <x:c r="K5337" s="6">
        <x:v>46305</x:v>
      </x:c>
      <x:c r="L5337" t="str" s="2">
        <x:v>Message Sent</x:v>
      </x:c>
    </x:row>
    <x:row r="5338">
      <x:c r="A5338" t="str" s="2">
        <x:f>="Steven Matchett"</x:f>
      </x:c>
      <x:c r="B5338" t="str" s="2">
        <x:v>Heritage Housing Mt Pleasant</x:v>
      </x:c>
      <x:c r="C5338" t="str" s="2">
        <x:v/>
      </x:c>
      <x:c r="D5338" t="str" s="2">
        <x:v>9036918525</x:v>
      </x:c>
      <x:c r="E5338" t="str" s="2">
        <x:v>firebladez07@live.com</x:v>
      </x:c>
      <x:c r="F5338" t="str" s="2">
        <x:v>Landing_BPM</x:v>
      </x:c>
      <x:c r="G5338" t="str" s="2">
        <x:v>Yarelis Torres</x:v>
      </x:c>
      <x:c r="H5338" s="6">
        <x:v>46304.526940358795</x:v>
      </x:c>
      <x:c r="I5338" s="0"/>
      <x:c r="J5338" s="0"/>
      <x:c r="K5338" s="6">
        <x:v>46307</x:v>
      </x:c>
      <x:c r="L5338" t="str" s="2">
        <x:v>Message Sent</x:v>
      </x:c>
    </x:row>
    <x:row r="5339">
      <x:c r="A5339" t="str" s="2">
        <x:f>="Emilio Madrigal"</x:f>
      </x:c>
      <x:c r="B5339" t="str" s="2">
        <x:v>Heritage Housing of Greenville</x:v>
      </x:c>
      <x:c r="C5339" t="str" s="2">
        <x:v>1/1</x:v>
      </x:c>
      <x:c r="D5339" t="str" s="2">
        <x:v>2142346039</x:v>
      </x:c>
      <x:c r="E5339" t="str" s="2">
        <x:v>emilio194911@gmail.com</x:v>
      </x:c>
      <x:c r="F5339" t="str" s="2">
        <x:v>Meta Ads - Forms</x:v>
      </x:c>
      <x:c r="G5339" t="str" s="2">
        <x:v>Greg Christman</x:v>
      </x:c>
      <x:c r="H5339" s="6">
        <x:v>46304.66215748843</x:v>
      </x:c>
      <x:c r="I5339" s="0"/>
      <x:c r="J5339" s="0"/>
      <x:c r="K5339" s="6">
        <x:v>46307</x:v>
      </x:c>
      <x:c r="L5339" t="str" s="2">
        <x:v>Message Sent</x:v>
      </x:c>
    </x:row>
    <x:row r="5340">
      <x:c r="A5340" t="str" s="2">
        <x:f>="Emma Seyfarth"</x:f>
      </x:c>
      <x:c r="B5340" t="str" s="2">
        <x:v>Heritage Housing Marble Falls</x:v>
      </x:c>
      <x:c r="C5340" t="str" s="2">
        <x:v/>
      </x:c>
      <x:c r="D5340" t="str" s="2">
        <x:v>2286237479</x:v>
      </x:c>
      <x:c r="E5340" t="str" s="2">
        <x:v>vseyfarth@yahoo.com</x:v>
      </x:c>
      <x:c r="F5340" t="str" s="2">
        <x:v>Landing_BPM</x:v>
      </x:c>
      <x:c r="G5340" t="str" s="2">
        <x:v>Stephen Sanders</x:v>
      </x:c>
      <x:c r="H5340" s="6">
        <x:v>46304.66897291667</x:v>
      </x:c>
      <x:c r="I5340" s="0"/>
      <x:c r="J5340" s="0"/>
      <x:c r="K5340" s="6">
        <x:v>46304</x:v>
      </x:c>
      <x:c r="L5340" t="str" s="2">
        <x:v>Message Sent</x:v>
      </x:c>
    </x:row>
    <x:row r="5341">
      <x:c r="A5341" t="str" s="2">
        <x:f>="Maria Castillo"</x:f>
      </x:c>
      <x:c r="B5341" t="str" s="2">
        <x:v>Legacy Housing Corp. DBA Americasa</x:v>
      </x:c>
      <x:c r="C5341" t="str" s="2">
        <x:v/>
      </x:c>
      <x:c r="D5341" t="str" s="2">
        <x:v>8322505403</x:v>
      </x:c>
      <x:c r="E5341" t="str" s="2">
        <x:v>Cirma42@yahoo.com</x:v>
      </x:c>
      <x:c r="F5341" t="str" s="2">
        <x:v>Meta Ads - Forms</x:v>
      </x:c>
      <x:c r="G5341" t="str" s="2">
        <x:v>Joey Marquez</x:v>
      </x:c>
      <x:c r="H5341" s="6">
        <x:v>46304.68516709491</x:v>
      </x:c>
      <x:c r="I5341" s="0"/>
      <x:c r="J5341" s="0"/>
      <x:c r="K5341" s="6">
        <x:v>46304</x:v>
      </x:c>
      <x:c r="L5341" t="str" s="2">
        <x:v>Message Sent</x:v>
      </x:c>
    </x:row>
    <x:row r="5342">
      <x:c r="A5342" t="str" s="2">
        <x:f>="DEBBIE CANTU"</x:f>
      </x:c>
      <x:c r="B5342" t="str" s="2">
        <x:v>Heritage Housing Marble Falls</x:v>
      </x:c>
      <x:c r="C5342" t="str" s="2">
        <x:v/>
      </x:c>
      <x:c r="D5342" t="str" s="2">
        <x:v>8309287240</x:v>
      </x:c>
      <x:c r="E5342" t="str" s="2">
        <x:v>bighillslandclearing75@gmail.com</x:v>
      </x:c>
      <x:c r="F5342" t="str" s="2">
        <x:v>Landing_BPM</x:v>
      </x:c>
      <x:c r="G5342" t="str" s="2">
        <x:v>Garrett Riedesel</x:v>
      </x:c>
      <x:c r="H5342" s="6">
        <x:v>46304.731742013886</x:v>
      </x:c>
      <x:c r="I5342" s="0"/>
      <x:c r="J5342" s="0"/>
      <x:c r="K5342" s="6">
        <x:v>46304</x:v>
      </x:c>
      <x:c r="L5342" t="str" s="2">
        <x:v>Message Sent</x:v>
      </x:c>
    </x:row>
    <x:row r="5343">
      <x:c r="A5343" t="str" s="2">
        <x:f>="Horven Cepeda"</x:f>
      </x:c>
      <x:c r="B5343" t="str" s="2">
        <x:v>Heritage Housing of Albany</x:v>
      </x:c>
      <x:c r="C5343" t="str" s="2">
        <x:v/>
      </x:c>
      <x:c r="D5343" t="str" s="2">
        <x:v>3157149229</x:v>
      </x:c>
      <x:c r="E5343" t="str" s="2">
        <x:v>horvenhcc@gmail.com</x:v>
      </x:c>
      <x:c r="F5343" t="str" s="2">
        <x:v>Financing Form</x:v>
      </x:c>
      <x:c r="G5343" t="str" s="2">
        <x:v>Yanet Alvarez</x:v>
      </x:c>
      <x:c r="H5343" s="6">
        <x:v>46304.74599876157</x:v>
      </x:c>
      <x:c r="I5343" s="0"/>
      <x:c r="J5343" s="0"/>
      <x:c r="K5343" s="6">
        <x:v>46305</x:v>
      </x:c>
      <x:c r="L5343" t="str" s="2">
        <x:v>Message Sent</x:v>
      </x:c>
    </x:row>
    <x:row r="5344">
      <x:c r="A5344" t="str" s="2">
        <x:f>="Karlos C"</x:f>
      </x:c>
      <x:c r="B5344" t="str" s="2">
        <x:v>Heritage Housing of Asheboro</x:v>
      </x:c>
      <x:c r="C5344" t="str" s="2">
        <x:v/>
      </x:c>
      <x:c r="D5344" t="str" s="2">
        <x:v>9803351196</x:v>
      </x:c>
      <x:c r="E5344" t="str" s="2">
        <x:v>karloscelticspr00916@gmail.com</x:v>
      </x:c>
      <x:c r="F5344" t="str" s="2">
        <x:v>Meta Ads - Forms</x:v>
      </x:c>
      <x:c r="G5344" t="str" s="2">
        <x:v>Joe Lopez</x:v>
      </x:c>
      <x:c r="H5344" s="6">
        <x:v>46304.751361574075</x:v>
      </x:c>
      <x:c r="I5344" s="0"/>
      <x:c r="J5344" s="0"/>
      <x:c r="K5344" s="6">
        <x:v>46304</x:v>
      </x:c>
      <x:c r="L5344" t="str" s="2">
        <x:v>Message Sent</x:v>
      </x:c>
    </x:row>
    <x:row r="5345">
      <x:c r="A5345" t="str" s="2">
        <x:f>="Sandra Sierra"</x:f>
      </x:c>
      <x:c r="B5345" t="str" s="2">
        <x:v>Heritage Housing of Asheboro</x:v>
      </x:c>
      <x:c r="C5345" t="str" s="2">
        <x:v/>
      </x:c>
      <x:c r="D5345" t="str" s="2">
        <x:v>3366622229</x:v>
      </x:c>
      <x:c r="E5345" t="str" s="2">
        <x:v>sierrasandra5333@icloud.com</x:v>
      </x:c>
      <x:c r="F5345" t="str" s="2">
        <x:v>Meta Ads - Forms</x:v>
      </x:c>
      <x:c r="G5345" t="str" s="2">
        <x:v>Maria Lopez</x:v>
      </x:c>
      <x:c r="H5345" s="6">
        <x:v>46304.77097642361</x:v>
      </x:c>
      <x:c r="I5345" s="0"/>
      <x:c r="J5345" s="0"/>
      <x:c r="K5345" s="6">
        <x:v>46304</x:v>
      </x:c>
      <x:c r="L5345" t="str" s="2">
        <x:v>Message Sent</x:v>
      </x:c>
    </x:row>
    <x:row r="5346">
      <x:c r="A5346" t="str" s="2">
        <x:f>="Autumn Knight"</x:f>
      </x:c>
      <x:c r="B5346" t="str" s="2">
        <x:v>Heritage Housing of Tulsa</x:v>
      </x:c>
      <x:c r="C5346" t="str" s="2">
        <x:v/>
      </x:c>
      <x:c r="D5346" t="str" s="2">
        <x:v>9188849155</x:v>
      </x:c>
      <x:c r="E5346" t="str" s="2">
        <x:v>autumnknight2019@gmail.com</x:v>
      </x:c>
      <x:c r="F5346" t="str" s="2">
        <x:v>Landing_BPM</x:v>
      </x:c>
      <x:c r="G5346" t="str" s="2">
        <x:v>Jenna Fransisco</x:v>
      </x:c>
      <x:c r="H5346" s="6">
        <x:v>46304.784980324075</x:v>
      </x:c>
      <x:c r="I5346" s="0"/>
      <x:c r="J5346" s="0"/>
      <x:c r="K5346" s="6">
        <x:v>46307</x:v>
      </x:c>
      <x:c r="L5346" t="str" s="2">
        <x:v>Message Sent</x:v>
      </x:c>
    </x:row>
    <x:row r="5347">
      <x:c r="A5347" t="str" s="2">
        <x:f>="Jeanette Counsil"</x:f>
      </x:c>
      <x:c r="B5347" t="str" s="2">
        <x:v>Legacy Housing Corp. DBA Americasa</x:v>
      </x:c>
      <x:c r="C5347" t="str" s="2">
        <x:v/>
      </x:c>
      <x:c r="D5347" t="str" s="2">
        <x:v>3468256073</x:v>
      </x:c>
      <x:c r="E5347" t="str" s="2">
        <x:v>Nette2595@yahoo.com</x:v>
      </x:c>
      <x:c r="F5347" t="str" s="2">
        <x:v>Landing_BPM</x:v>
      </x:c>
      <x:c r="G5347" t="str" s="2">
        <x:v>Rodrigo Ramirez</x:v>
      </x:c>
      <x:c r="H5347" s="6">
        <x:v>46304.86868961806</x:v>
      </x:c>
      <x:c r="I5347" s="0"/>
      <x:c r="J5347" s="0"/>
      <x:c r="K5347" s="6">
        <x:v>46307</x:v>
      </x:c>
      <x:c r="L5347" t="str" s="2">
        <x:v>Message Sent</x:v>
      </x:c>
    </x:row>
    <x:row r="5348">
      <x:c r="A5348" t="str" s="2">
        <x:f>="Alfonso Ortiz"</x:f>
      </x:c>
      <x:c r="B5348" t="str" s="2">
        <x:v>Legacy Housing Corp. DBA Americasa</x:v>
      </x:c>
      <x:c r="C5348" t="str" s="2">
        <x:v/>
      </x:c>
      <x:c r="D5348" t="str" s="2">
        <x:v>4322319777</x:v>
      </x:c>
      <x:c r="E5348" t="str" s="2">
        <x:v>ortzalfonso60@gmail.com</x:v>
      </x:c>
      <x:c r="F5348" t="str" s="2">
        <x:v>Meta Ads - Forms</x:v>
      </x:c>
      <x:c r="G5348" t="str" s="2">
        <x:v>Jose Parada</x:v>
      </x:c>
      <x:c r="H5348" s="6">
        <x:v>46304.89066030092</x:v>
      </x:c>
      <x:c r="I5348" s="0"/>
      <x:c r="J5348" s="0"/>
      <x:c r="K5348" s="6">
        <x:v>46307</x:v>
      </x:c>
      <x:c r="L5348" t="str" s="2">
        <x:v>Message Sent</x:v>
      </x:c>
    </x:row>
    <x:row r="5349">
      <x:c r="A5349" t="str" s="2">
        <x:f>="Victoria Darling"</x:f>
      </x:c>
      <x:c r="B5349" t="str" s="2">
        <x:v>Legacy Housing Corp. DBA Americasa</x:v>
      </x:c>
      <x:c r="C5349" t="str" s="2">
        <x:v/>
      </x:c>
      <x:c r="D5349" t="str" s="2">
        <x:v>3612320108</x:v>
      </x:c>
      <x:c r="E5349" t="str" s="2">
        <x:v>victoriadarling24@gmail.com</x:v>
      </x:c>
      <x:c r="F5349" t="str" s="2">
        <x:v>Landing_BPM</x:v>
      </x:c>
      <x:c r="G5349" t="str" s="2">
        <x:v>Joey Marquez</x:v>
      </x:c>
      <x:c r="H5349" s="6">
        <x:v>46304.90736848379</x:v>
      </x:c>
      <x:c r="I5349" s="0"/>
      <x:c r="J5349" s="0"/>
      <x:c r="K5349" s="6">
        <x:v>46304</x:v>
      </x:c>
      <x:c r="L5349" t="str" s="2">
        <x:v>Message Sent</x:v>
      </x:c>
    </x:row>
    <x:row r="5350">
      <x:c r="A5350" t="str" s="2">
        <x:f>="Carolyn Sephestine"</x:f>
      </x:c>
      <x:c r="B5350" t="str" s="2">
        <x:v>Heritage Housing of Tulsa</x:v>
      </x:c>
      <x:c r="C5350" t="str" s="2">
        <x:v/>
      </x:c>
      <x:c r="D5350" t="str" s="2">
        <x:v>9045687020</x:v>
      </x:c>
      <x:c r="E5350" t="str" s="2">
        <x:v>carolynsephestine5@gmail.com</x:v>
      </x:c>
      <x:c r="F5350" t="str" s="2">
        <x:v>Landing_BPM</x:v>
      </x:c>
      <x:c r="G5350" t="str" s="2">
        <x:v>Jenna Fransisco</x:v>
      </x:c>
      <x:c r="H5350" s="6">
        <x:v>46304.91078067129</x:v>
      </x:c>
      <x:c r="I5350" s="0"/>
      <x:c r="J5350" s="0"/>
      <x:c r="K5350" s="6">
        <x:v>46307</x:v>
      </x:c>
      <x:c r="L5350" t="str" s="2">
        <x:v>Message Sent</x:v>
      </x:c>
    </x:row>
    <x:row r="5351">
      <x:c r="A5351" t="str" s="2">
        <x:f>="James Anderson"</x:f>
      </x:c>
      <x:c r="B5351" t="str" s="2">
        <x:v>Heritage Housing of Albany</x:v>
      </x:c>
      <x:c r="C5351" t="str" s="2">
        <x:v/>
      </x:c>
      <x:c r="D5351" t="str" s="2">
        <x:v>2012345678</x:v>
      </x:c>
      <x:c r="E5351" t="str" s="2">
        <x:v>mingzhang@qq.com</x:v>
      </x:c>
      <x:c r="F5351" t="str" s="2">
        <x:v>TikTok Ads - Traffic</x:v>
      </x:c>
      <x:c r="G5351" t="str" s="2">
        <x:v>Yanet Alvarez</x:v>
      </x:c>
      <x:c r="H5351" s="6">
        <x:v>46304.91298865741</x:v>
      </x:c>
      <x:c r="I5351" s="0"/>
      <x:c r="J5351" s="0"/>
      <x:c r="K5351" s="6">
        <x:v>46304</x:v>
      </x:c>
      <x:c r="L5351" t="str" s="2">
        <x:v>Message Sent</x:v>
      </x:c>
    </x:row>
    <x:row r="5352">
      <x:c r="A5352" t="str" s="2">
        <x:f>="JEREMY CEASAR"</x:f>
      </x:c>
      <x:c r="B5352" t="str" s="2">
        <x:v>Heritage Housing Mt Pleasant</x:v>
      </x:c>
      <x:c r="C5352" t="str" s="2">
        <x:v/>
      </x:c>
      <x:c r="D5352" t="str" s="2">
        <x:v>8172982591</x:v>
      </x:c>
      <x:c r="E5352" t="str" s="2">
        <x:v>ceasarjeremy@yahoo.com</x:v>
      </x:c>
      <x:c r="F5352" t="str" s="2">
        <x:v>Landing_BPM</x:v>
      </x:c>
      <x:c r="G5352" t="str" s="2">
        <x:v>Sandra Saldana</x:v>
      </x:c>
      <x:c r="H5352" s="6">
        <x:v>46304.93709479167</x:v>
      </x:c>
      <x:c r="I5352" s="0"/>
      <x:c r="J5352" s="0"/>
      <x:c r="K5352" s="6">
        <x:v>46305</x:v>
      </x:c>
      <x:c r="L5352" t="str" s="2">
        <x:v>Message Sent</x:v>
      </x:c>
    </x:row>
    <x:row r="5353">
      <x:c r="A5353" t="str" s="2">
        <x:f>="david cubbison"</x:f>
      </x:c>
      <x:c r="B5353" t="str" s="2">
        <x:v>Legacy Housing Corp. DBA Americasa</x:v>
      </x:c>
      <x:c r="C5353" t="str" s="2">
        <x:v/>
      </x:c>
      <x:c r="D5353" t="str" s="2">
        <x:v>8329894969</x:v>
      </x:c>
      <x:c r="E5353" t="str" s="2">
        <x:v>iosdavid@icloud.com</x:v>
      </x:c>
      <x:c r="F5353" t="str" s="2">
        <x:v>Landing_BPM</x:v>
      </x:c>
      <x:c r="G5353" t="str" s="2">
        <x:v>Victoria Sanchez</x:v>
      </x:c>
      <x:c r="H5353" s="6">
        <x:v>46304.9895040162</x:v>
      </x:c>
      <x:c r="I5353" s="0"/>
      <x:c r="J5353" s="0"/>
      <x:c r="K5353" s="6">
        <x:v>46307</x:v>
      </x:c>
      <x:c r="L5353" t="str" s="2">
        <x:v>Message Sent</x:v>
      </x:c>
    </x:row>
    <x:row r="5354">
      <x:c r="A5354" t="str" s="2">
        <x:f>="Avieser Lopez"</x:f>
      </x:c>
      <x:c r="B5354" t="str" s="2">
        <x:v>Heritage Housing of Tulsa</x:v>
      </x:c>
      <x:c r="C5354" t="str" s="2">
        <x:v/>
      </x:c>
      <x:c r="D5354" t="str" s="2">
        <x:v>4796297515</x:v>
      </x:c>
      <x:c r="E5354" t="str" s="2">
        <x:v>avilop24@icloud.com</x:v>
      </x:c>
      <x:c r="F5354" t="str" s="2">
        <x:v>Financing Form</x:v>
      </x:c>
      <x:c r="G5354" t="str" s="2">
        <x:v>Jenna Fransisco</x:v>
      </x:c>
      <x:c r="H5354" s="6">
        <x:v>46305.00165320602</x:v>
      </x:c>
      <x:c r="I5354" s="0"/>
      <x:c r="J5354" s="0"/>
      <x:c r="K5354" s="6">
        <x:v>46307</x:v>
      </x:c>
      <x:c r="L5354" t="str" s="2">
        <x:v>Message Sent</x:v>
      </x:c>
    </x:row>
    <x:row r="5355">
      <x:c r="A5355" t="str" s="2">
        <x:f>="Trivia Harpe"</x:f>
      </x:c>
      <x:c r="B5355" t="str" s="2">
        <x:v>Heritage Housing of Albany</x:v>
      </x:c>
      <x:c r="C5355" t="str" s="2">
        <x:v/>
      </x:c>
      <x:c r="D5355" t="str" s="2">
        <x:v>4782949971</x:v>
      </x:c>
      <x:c r="E5355" t="str" s="2">
        <x:v>harpe_trivia@yahoo.com</x:v>
      </x:c>
      <x:c r="F5355" t="str" s="2">
        <x:v>LandingPage</x:v>
      </x:c>
      <x:c r="G5355" t="str" s="2">
        <x:v>Yanet Alvarez</x:v>
      </x:c>
      <x:c r="H5355" s="6">
        <x:v>46305.0041178588</x:v>
      </x:c>
      <x:c r="I5355" s="0"/>
      <x:c r="J5355" s="0"/>
      <x:c r="K5355" s="6">
        <x:v>46305</x:v>
      </x:c>
      <x:c r="L5355" t="str" s="2">
        <x:v>Message Sent</x:v>
      </x:c>
    </x:row>
    <x:row r="5356">
      <x:c r="A5356" t="str" s="2">
        <x:f>="Johnie Booker"</x:f>
      </x:c>
      <x:c r="B5356" t="str" s="2">
        <x:v>Heritage Housing of Athens</x:v>
      </x:c>
      <x:c r="C5356" t="str" s="2">
        <x:v/>
      </x:c>
      <x:c r="D5356" t="str" s="2">
        <x:v>7067036604</x:v>
      </x:c>
      <x:c r="E5356" t="str" s="2">
        <x:v>johnniebooker118@gmail.com</x:v>
      </x:c>
      <x:c r="F5356" t="str" s="2">
        <x:v>Landing_BPM</x:v>
      </x:c>
      <x:c r="G5356" t="str" s="2">
        <x:v>Ethan Fossett</x:v>
      </x:c>
      <x:c r="H5356" s="6">
        <x:v>46305.048115081016</x:v>
      </x:c>
      <x:c r="I5356" s="0"/>
      <x:c r="J5356" s="0"/>
      <x:c r="K5356" s="6">
        <x:v>46307</x:v>
      </x:c>
      <x:c r="L5356" t="str" s="2">
        <x:v>Message Sent</x:v>
      </x:c>
    </x:row>
    <x:row r="5357">
      <x:c r="A5357" t="str" s="2">
        <x:f>="Octavian Lewis"</x:f>
      </x:c>
      <x:c r="B5357" t="str" s="2">
        <x:v>Legacy Housing Corp. DBA Americasa</x:v>
      </x:c>
      <x:c r="C5357" t="str" s="2">
        <x:v/>
      </x:c>
      <x:c r="D5357" t="str" s="2">
        <x:v>4092042431</x:v>
      </x:c>
      <x:c r="E5357" t="str" s="2">
        <x:v>lewisoctavian54@gmail.com</x:v>
      </x:c>
      <x:c r="F5357" t="str" s="2">
        <x:v>Landing_BPM</x:v>
      </x:c>
      <x:c r="G5357" t="str" s="2">
        <x:v>Rodrigo Ramirez</x:v>
      </x:c>
      <x:c r="H5357" s="6">
        <x:v>46305.075774386576</x:v>
      </x:c>
      <x:c r="I5357" s="0"/>
      <x:c r="J5357" s="0"/>
      <x:c r="K5357" s="6">
        <x:v>46307</x:v>
      </x:c>
      <x:c r="L5357" t="str" s="2">
        <x:v>Message Sent</x:v>
      </x:c>
    </x:row>
    <x:row r="5358">
      <x:c r="A5358" t="str" s="2">
        <x:f>="rolando Rodriguez"</x:f>
      </x:c>
      <x:c r="B5358" t="str" s="2">
        <x:v>Heritage Housing of Albany</x:v>
      </x:c>
      <x:c r="C5358" t="str" s="2">
        <x:v/>
      </x:c>
      <x:c r="D5358" t="str" s="2">
        <x:v>8433384348</x:v>
      </x:c>
      <x:c r="E5358" t="str" s="2">
        <x:v>padrino661@gmail.com</x:v>
      </x:c>
      <x:c r="F5358" t="str" s="2">
        <x:v>Meta Ads - Forms</x:v>
      </x:c>
      <x:c r="G5358" t="str" s="2">
        <x:v>Yanet Alvarez</x:v>
      </x:c>
      <x:c r="H5358" s="6">
        <x:v>46305.07748869213</x:v>
      </x:c>
      <x:c r="I5358" s="0"/>
      <x:c r="J5358" s="0"/>
      <x:c r="K5358" s="6">
        <x:v>46305</x:v>
      </x:c>
      <x:c r="L5358" t="str" s="2">
        <x:v>Message Sent</x:v>
      </x:c>
    </x:row>
    <x:row r="5359">
      <x:c r="A5359" t="str" s="2">
        <x:f>="Kayla Sanderson"</x:f>
      </x:c>
      <x:c r="B5359" t="str" s="2">
        <x:v>Heritage Housing of Tulsa</x:v>
      </x:c>
      <x:c r="C5359" t="str" s="2">
        <x:v/>
      </x:c>
      <x:c r="D5359" t="str" s="2">
        <x:v>9184023966</x:v>
      </x:c>
      <x:c r="E5359" t="str" s="2">
        <x:v>kaylascrivner83@gmail.com</x:v>
      </x:c>
      <x:c r="F5359" t="str" s="2">
        <x:v>Financing Form</x:v>
      </x:c>
      <x:c r="G5359" t="str" s="2">
        <x:v>Jenna Fransisco</x:v>
      </x:c>
      <x:c r="H5359" s="6">
        <x:v>46305.20907318287</x:v>
      </x:c>
      <x:c r="I5359" s="0"/>
      <x:c r="J5359" s="0"/>
      <x:c r="K5359" s="6">
        <x:v>46307</x:v>
      </x:c>
      <x:c r="L5359" t="str" s="2">
        <x:v>Message Sent</x:v>
      </x:c>
    </x:row>
    <x:row r="5360">
      <x:c r="A5360" t="str" s="2">
        <x:f>="Andre Hare"</x:f>
      </x:c>
      <x:c r="B5360" t="str" s="2">
        <x:v>Heritage Housing Mt Pleasant</x:v>
      </x:c>
      <x:c r="C5360" t="str" s="2">
        <x:v/>
      </x:c>
      <x:c r="D5360" t="str" s="2">
        <x:v>8439579883</x:v>
      </x:c>
      <x:c r="E5360" t="str" s="2">
        <x:v>ahare0810@gmail.com</x:v>
      </x:c>
      <x:c r="F5360" t="str" s="2">
        <x:v>Landing_BPM</x:v>
      </x:c>
      <x:c r="G5360" t="str" s="2">
        <x:v>Yarelis Torres</x:v>
      </x:c>
      <x:c r="H5360" s="6">
        <x:v>46305.46269325232</x:v>
      </x:c>
      <x:c r="I5360" s="0"/>
      <x:c r="J5360" s="0"/>
      <x:c r="K5360" s="6">
        <x:v>46307</x:v>
      </x:c>
      <x:c r="L5360" t="str" s="2">
        <x:v>Message Sent</x:v>
      </x:c>
    </x:row>
    <x:row r="5361">
      <x:c r="A5361" t="str" s="2">
        <x:f>="Lazaro Estable"</x:f>
      </x:c>
      <x:c r="B5361" t="str" s="2">
        <x:v>Legacy Housing Corp. DBA Americasa</x:v>
      </x:c>
      <x:c r="C5361" t="str" s="2">
        <x:v/>
      </x:c>
      <x:c r="D5361" t="str" s="2">
        <x:v>9512243240</x:v>
      </x:c>
      <x:c r="E5361" t="str" s="2">
        <x:v>lestable34@gmail.com</x:v>
      </x:c>
      <x:c r="F5361" t="str" s="2">
        <x:v>Meta Ads - Forms</x:v>
      </x:c>
      <x:c r="G5361" t="str" s="2">
        <x:v>Jose Parada</x:v>
      </x:c>
      <x:c r="H5361" s="6">
        <x:v>46305.53853672454</x:v>
      </x:c>
      <x:c r="I5361" s="0"/>
      <x:c r="J5361" s="0"/>
      <x:c r="K5361" s="6">
        <x:v>46307</x:v>
      </x:c>
      <x:c r="L5361" t="str" s="2">
        <x:v>Message Sent</x:v>
      </x:c>
    </x:row>
    <x:row r="5362">
      <x:c r="A5362" t="str" s="2">
        <x:f>="Molly Durbin"</x:f>
      </x:c>
      <x:c r="B5362" t="str" s="2">
        <x:v>Heritage Housing of Asheboro</x:v>
      </x:c>
      <x:c r="C5362" t="str" s="2">
        <x:v/>
      </x:c>
      <x:c r="D5362" t="str" s="2">
        <x:v>7046625179</x:v>
      </x:c>
      <x:c r="E5362" t="str" s="2">
        <x:v>durbin.molly@gmail.com</x:v>
      </x:c>
      <x:c r="F5362" t="str" s="2">
        <x:v>Landing_BPM</x:v>
      </x:c>
      <x:c r="G5362" t="str" s="2">
        <x:v>Joe Lopez</x:v>
      </x:c>
      <x:c r="H5362" s="6">
        <x:v>46305.56518993055</x:v>
      </x:c>
      <x:c r="I5362" s="0"/>
      <x:c r="J5362" s="0"/>
      <x:c r="K5362" s="6">
        <x:v>46307</x:v>
      </x:c>
      <x:c r="L5362" t="str" s="2">
        <x:v>Message Sent</x:v>
      </x:c>
    </x:row>
    <x:row r="5363">
      <x:c r="A5363" t="str" s="2">
        <x:f>="Veronica Moore"</x:f>
      </x:c>
      <x:c r="B5363" t="str" s="2">
        <x:v>Heritage Housing of Albany</x:v>
      </x:c>
      <x:c r="C5363" t="str" s="2">
        <x:v/>
      </x:c>
      <x:c r="D5363" t="str" s="2">
        <x:v>4783210772</x:v>
      </x:c>
      <x:c r="E5363" t="str" s="2">
        <x:v>Veronicamoore69@outlook.com</x:v>
      </x:c>
      <x:c r="F5363" t="str" s="2">
        <x:v>Landing_BPM</x:v>
      </x:c>
      <x:c r="G5363" t="str" s="2">
        <x:v>Yanet Alvarez</x:v>
      </x:c>
      <x:c r="H5363" s="6">
        <x:v>46305.58622673611</x:v>
      </x:c>
      <x:c r="I5363" s="0"/>
      <x:c r="J5363" s="0"/>
      <x:c r="K5363" s="6">
        <x:v>46305</x:v>
      </x:c>
      <x:c r="L5363" t="str" s="2">
        <x:v>Message Sent</x:v>
      </x:c>
    </x:row>
    <x:row r="5364">
      <x:c r="A5364" t="str" s="2">
        <x:f>="Juan Rizo"</x:f>
      </x:c>
      <x:c r="B5364" t="str" s="2">
        <x:v>Heritage Housing of Greenville</x:v>
      </x:c>
      <x:c r="C5364" t="str" s="2">
        <x:v>1/1</x:v>
      </x:c>
      <x:c r="D5364" t="str" s="2">
        <x:v>9564600086</x:v>
      </x:c>
      <x:c r="E5364" t="str" s="2">
        <x:v>rizocaitlin@gmail.com</x:v>
      </x:c>
      <x:c r="F5364" t="str" s="2">
        <x:v>Meta Ads - Forms</x:v>
      </x:c>
      <x:c r="G5364" t="str" s="2">
        <x:v>Greg Christman</x:v>
      </x:c>
      <x:c r="H5364" s="6">
        <x:v>46305.59246392361</x:v>
      </x:c>
      <x:c r="I5364" s="0"/>
      <x:c r="J5364" s="0"/>
      <x:c r="K5364" s="6">
        <x:v>46307</x:v>
      </x:c>
      <x:c r="L5364" t="str" s="2">
        <x:v>Message Sent</x:v>
      </x:c>
    </x:row>
    <x:row r="5365">
      <x:c r="A5365" t="str" s="2">
        <x:f>=HYPERLINK("https://rsms.futurehomex.com/lead/40722", "Kara Sandifer")</x:f>
      </x:c>
      <x:c r="B5365" t="str" s="2">
        <x:v>Heritage Housing of Tulsa</x:v>
      </x:c>
      <x:c r="C5365" t="str" s="2">
        <x:v/>
      </x:c>
      <x:c r="D5365" t="str" s="2">
        <x:v>5738428309</x:v>
      </x:c>
      <x:c r="E5365" t="str" s="2">
        <x:v>karasandifer4@gmail.com</x:v>
      </x:c>
      <x:c r="F5365" t="str" s="2">
        <x:v>Facebook Messenger</x:v>
      </x:c>
      <x:c r="G5365" t="str" s="2">
        <x:v>Jenna Fransisco</x:v>
      </x:c>
      <x:c r="H5365" s="6">
        <x:v>46305.60659768518</x:v>
      </x:c>
      <x:c r="I5365" t="str" s="2">
        <x:v>Jenna Fransisco</x:v>
      </x:c>
      <x:c r="J5365" s="0"/>
      <x:c r="K5365" s="6">
        <x:v>46305</x:v>
      </x:c>
      <x:c r="L5365" t="str" s="2">
        <x:v>Message Sent</x:v>
      </x:c>
    </x:row>
    <x:row r="5366">
      <x:c r="A5366" t="str" s="2">
        <x:f>="Ana M."</x:f>
      </x:c>
      <x:c r="B5366" t="str" s="2">
        <x:v>Legacy Housing Corp. DBA Americasa</x:v>
      </x:c>
      <x:c r="C5366" t="str" s="2">
        <x:v/>
      </x:c>
      <x:c r="D5366" t="str" s="2">
        <x:v>2815935646</x:v>
      </x:c>
      <x:c r="E5366" t="str" s="2">
        <x:v>buddyvega1924@gmail.com</x:v>
      </x:c>
      <x:c r="F5366" t="str" s="2">
        <x:v>Meta Ads - Forms</x:v>
      </x:c>
      <x:c r="G5366" t="str" s="2">
        <x:v>Joey Marquez</x:v>
      </x:c>
      <x:c r="H5366" s="6">
        <x:v>46305.64131357639</x:v>
      </x:c>
      <x:c r="I5366" s="0"/>
      <x:c r="J5366" s="0"/>
      <x:c r="K5366" s="6">
        <x:v>46305</x:v>
      </x:c>
      <x:c r="L5366" t="str" s="2">
        <x:v>Message Sent</x:v>
      </x:c>
    </x:row>
    <x:row r="5367">
      <x:c r="A5367" t="str" s="2">
        <x:f>="Miolan"</x:f>
      </x:c>
      <x:c r="B5367" t="str" s="2">
        <x:v>Legacy Housing Corp. DBA Americasa</x:v>
      </x:c>
      <x:c r="C5367" t="str" s="2">
        <x:v/>
      </x:c>
      <x:c r="D5367" t="str" s="2">
        <x:v>7863986509</x:v>
      </x:c>
      <x:c r="E5367" t="str" s="2">
        <x:v>rodriguezcarlos1738@gmail.com</x:v>
      </x:c>
      <x:c r="F5367" t="str" s="2">
        <x:v>Meta Ads - Forms</x:v>
      </x:c>
      <x:c r="G5367" t="str" s="2">
        <x:v>Victoria Sanchez</x:v>
      </x:c>
      <x:c r="H5367" s="6">
        <x:v>46305.671885069445</x:v>
      </x:c>
      <x:c r="I5367" s="0"/>
      <x:c r="J5367" s="0"/>
      <x:c r="K5367" s="6">
        <x:v>46307</x:v>
      </x:c>
      <x:c r="L5367" t="str" s="2">
        <x:v>Message Sent</x:v>
      </x:c>
    </x:row>
    <x:row r="5368">
      <x:c r="A5368" t="str" s="2">
        <x:f>="Terry McNeill Terry McNeill"</x:f>
      </x:c>
      <x:c r="B5368" t="str" s="2">
        <x:v>Heritage Housing of Asheboro</x:v>
      </x:c>
      <x:c r="C5368" t="str" s="2">
        <x:v/>
      </x:c>
      <x:c r="D5368" t="str" s="2">
        <x:v>9105392096</x:v>
      </x:c>
      <x:c r="E5368" t="str" s="2">
        <x:v>tmcneill150@gmail.com</x:v>
      </x:c>
      <x:c r="F5368" t="str" s="2">
        <x:v>Landing_BPM</x:v>
      </x:c>
      <x:c r="G5368" t="str" s="2">
        <x:v>Maria Lopez</x:v>
      </x:c>
      <x:c r="H5368" s="6">
        <x:v>46305.68675512732</x:v>
      </x:c>
      <x:c r="I5368" s="0"/>
      <x:c r="J5368" s="0"/>
      <x:c r="K5368" s="6">
        <x:v>46307</x:v>
      </x:c>
      <x:c r="L5368" t="str" s="2">
        <x:v>Message Sent</x:v>
      </x:c>
    </x:row>
    <x:row r="5369">
      <x:c r="A5369" t="str" s="2">
        <x:f>="Tina Thomas"</x:f>
      </x:c>
      <x:c r="B5369" t="str" s="2">
        <x:v>Heritage Housing of Jennings</x:v>
      </x:c>
      <x:c r="C5369" t="str" s="2">
        <x:v/>
      </x:c>
      <x:c r="D5369" t="str" s="2">
        <x:v>3373584812</x:v>
      </x:c>
      <x:c r="E5369" t="str" s="2">
        <x:v>tinarenee5669@gmail.com</x:v>
      </x:c>
      <x:c r="F5369" t="str" s="2">
        <x:v>Landing_BPM</x:v>
      </x:c>
      <x:c r="G5369" t="str" s="2">
        <x:v>Clint O'Neal</x:v>
      </x:c>
      <x:c r="H5369" s="6">
        <x:v>46305.734545914354</x:v>
      </x:c>
      <x:c r="I5369" s="0"/>
      <x:c r="J5369" s="0"/>
      <x:c r="K5369" s="6">
        <x:v>46307</x:v>
      </x:c>
      <x:c r="L5369" t="str" s="2">
        <x:v>Message Sent</x:v>
      </x:c>
    </x:row>
    <x:row r="5370">
      <x:c r="A5370" t="str" s="2">
        <x:f>="Yashunari"</x:f>
      </x:c>
      <x:c r="B5370" t="str" s="2">
        <x:v>Legacy Housing Corp. DBA Americasa</x:v>
      </x:c>
      <x:c r="C5370" t="str" s="2">
        <x:v/>
      </x:c>
      <x:c r="D5370" t="str" s="2">
        <x:v>8322315553</x:v>
      </x:c>
      <x:c r="E5370" t="str" s="2">
        <x:v>olgadelgado2019@gmail.com</x:v>
      </x:c>
      <x:c r="F5370" t="str" s="2">
        <x:v>Meta Ads - Forms</x:v>
      </x:c>
      <x:c r="G5370" t="str" s="2">
        <x:v>Joey Marquez</x:v>
      </x:c>
      <x:c r="H5370" s="6">
        <x:v>46305.75589429398</x:v>
      </x:c>
      <x:c r="I5370" s="0"/>
      <x:c r="J5370" s="0"/>
      <x:c r="K5370" s="6">
        <x:v>46307</x:v>
      </x:c>
      <x:c r="L5370" t="str" s="2">
        <x:v>Message Sent</x:v>
      </x:c>
    </x:row>
    <x:row r="5371">
      <x:c r="A5371" t="str" s="2">
        <x:f>="Toni Bostick"</x:f>
      </x:c>
      <x:c r="B5371" t="str" s="2">
        <x:v>Heritage Housing Mt Pleasant</x:v>
      </x:c>
      <x:c r="C5371" t="str" s="2">
        <x:v/>
      </x:c>
      <x:c r="D5371" t="str" s="2">
        <x:v>3252481754</x:v>
      </x:c>
      <x:c r="E5371" t="str" s="2">
        <x:v>tabostick1968@live.com</x:v>
      </x:c>
      <x:c r="F5371" t="str" s="2">
        <x:v>Landing_BPM</x:v>
      </x:c>
      <x:c r="G5371" t="str" s="2">
        <x:v>Elias Gallardo</x:v>
      </x:c>
      <x:c r="H5371" s="6">
        <x:v>46305.77168715278</x:v>
      </x:c>
      <x:c r="I5371" s="0"/>
      <x:c r="J5371" s="0"/>
      <x:c r="K5371" s="6">
        <x:v>46307</x:v>
      </x:c>
      <x:c r="L5371" t="str" s="2">
        <x:v>Message Sent</x:v>
      </x:c>
    </x:row>
    <x:row r="5372">
      <x:c r="A5372" t="str" s="2">
        <x:f>="Cody Taylor"</x:f>
      </x:c>
      <x:c r="B5372" t="str" s="2">
        <x:v>Heritage Housing of Tulsa</x:v>
      </x:c>
      <x:c r="C5372" t="str" s="2">
        <x:v/>
      </x:c>
      <x:c r="D5372" t="str" s="2">
        <x:v>9182243334</x:v>
      </x:c>
      <x:c r="E5372" t="str" s="2">
        <x:v>codyt2338@gmail.com</x:v>
      </x:c>
      <x:c r="F5372" t="str" s="2">
        <x:v>Landing_BPM</x:v>
      </x:c>
      <x:c r="G5372" t="str" s="2">
        <x:v>Jenna Fransisco</x:v>
      </x:c>
      <x:c r="H5372" s="6">
        <x:v>46305.77578263889</x:v>
      </x:c>
      <x:c r="I5372" s="0"/>
      <x:c r="J5372" s="0"/>
      <x:c r="K5372" s="6">
        <x:v>46307</x:v>
      </x:c>
      <x:c r="L5372" t="str" s="2">
        <x:v>Message Sent</x:v>
      </x:c>
    </x:row>
    <x:row r="5373">
      <x:c r="A5373" t="str" s="2">
        <x:f>="Marshall Courville"</x:f>
      </x:c>
      <x:c r="B5373" t="str" s="2">
        <x:v>Heritage Housing of Jennings</x:v>
      </x:c>
      <x:c r="C5373" t="str" s="2">
        <x:v/>
      </x:c>
      <x:c r="D5373" t="str" s="2">
        <x:v>3373414007</x:v>
      </x:c>
      <x:c r="E5373" t="str" s="2">
        <x:v>tycourville4@gmail.com</x:v>
      </x:c>
      <x:c r="F5373" t="str" s="2">
        <x:v>Landing_BPM</x:v>
      </x:c>
      <x:c r="G5373" t="str" s="2">
        <x:v>Clint O'Neal</x:v>
      </x:c>
      <x:c r="H5373" s="6">
        <x:v>46305.78903908565</x:v>
      </x:c>
      <x:c r="I5373" s="0"/>
      <x:c r="J5373" s="0"/>
      <x:c r="K5373" s="6">
        <x:v>46307</x:v>
      </x:c>
      <x:c r="L5373" t="str" s="2">
        <x:v>Message Sent</x:v>
      </x:c>
    </x:row>
    <x:row r="5374">
      <x:c r="A5374" t="str" s="2">
        <x:f>="Candace Matthews"</x:f>
      </x:c>
      <x:c r="B5374" t="str" s="2">
        <x:v>Heritage Housing of Tulsa</x:v>
      </x:c>
      <x:c r="C5374" t="str" s="2">
        <x:v/>
      </x:c>
      <x:c r="D5374" t="str" s="2">
        <x:v>5809499364</x:v>
      </x:c>
      <x:c r="E5374" t="str" s="2">
        <x:v>90mercedes.2025@gmail.com</x:v>
      </x:c>
      <x:c r="F5374" t="str" s="2">
        <x:v>Landing_BPM</x:v>
      </x:c>
      <x:c r="G5374" t="str" s="2">
        <x:v>Jenna Fransisco</x:v>
      </x:c>
      <x:c r="H5374" s="6">
        <x:v>46305.82164976852</x:v>
      </x:c>
      <x:c r="I5374" s="0"/>
      <x:c r="J5374" s="0"/>
      <x:c r="K5374" s="6">
        <x:v>46307</x:v>
      </x:c>
      <x:c r="L5374" t="str" s="2">
        <x:v>Message Sent</x:v>
      </x:c>
    </x:row>
    <x:row r="5375">
      <x:c r="A5375" t="str" s="2">
        <x:f>="Tavo Carreon"</x:f>
      </x:c>
      <x:c r="B5375" t="str" s="2">
        <x:v>Heritage Housing Mt Pleasant</x:v>
      </x:c>
      <x:c r="C5375" t="str" s="2">
        <x:v/>
      </x:c>
      <x:c r="D5375" t="str" s="2">
        <x:v>9039182818</x:v>
      </x:c>
      <x:c r="E5375" t="str" s="2">
        <x:v>gc855682@gmail.com</x:v>
      </x:c>
      <x:c r="F5375" t="str" s="2">
        <x:v>Meta Ads - Forms</x:v>
      </x:c>
      <x:c r="G5375" t="str" s="2">
        <x:v>Sandra Saldana</x:v>
      </x:c>
      <x:c r="H5375" s="6">
        <x:v>46305.826868206015</x:v>
      </x:c>
      <x:c r="I5375" s="0"/>
      <x:c r="J5375" s="0"/>
      <x:c r="K5375" s="6">
        <x:v>46306</x:v>
      </x:c>
      <x:c r="L5375" t="str" s="2">
        <x:v>Message Sent</x:v>
      </x:c>
    </x:row>
    <x:row r="5376">
      <x:c r="A5376" t="str" s="2">
        <x:f>="Carlynn McCarthy"</x:f>
      </x:c>
      <x:c r="B5376" t="str" s="2">
        <x:v>Heritage Housing of Jennings</x:v>
      </x:c>
      <x:c r="C5376" t="str" s="2">
        <x:v/>
      </x:c>
      <x:c r="D5376" t="str" s="2">
        <x:v>3374180766</x:v>
      </x:c>
      <x:c r="E5376" t="str" s="2">
        <x:v>mccarthycarlynn5@gmail.com</x:v>
      </x:c>
      <x:c r="F5376" t="str" s="2">
        <x:v>Landing_BPM</x:v>
      </x:c>
      <x:c r="G5376" t="str" s="2">
        <x:v>Mervin Leslie Smith</x:v>
      </x:c>
      <x:c r="H5376" s="6">
        <x:v>46305.832916782405</x:v>
      </x:c>
      <x:c r="I5376" s="0"/>
      <x:c r="J5376" s="0"/>
      <x:c r="K5376" s="6">
        <x:v>46305</x:v>
      </x:c>
      <x:c r="L5376" t="str" s="2">
        <x:v>Message Sent</x:v>
      </x:c>
    </x:row>
    <x:row r="5377">
      <x:c r="A5377" t="str" s="2">
        <x:f>="Hope Fick"</x:f>
      </x:c>
      <x:c r="B5377" t="str" s="2">
        <x:v>Heritage Housing of Albany</x:v>
      </x:c>
      <x:c r="C5377" t="str" s="2">
        <x:v/>
      </x:c>
      <x:c r="D5377" t="str" s="2">
        <x:v>9125422490</x:v>
      </x:c>
      <x:c r="E5377" t="str" s="2">
        <x:v>fickhope00@gmail.com</x:v>
      </x:c>
      <x:c r="F5377" t="str" s="2">
        <x:v>Landing_BPM</x:v>
      </x:c>
      <x:c r="G5377" t="str" s="2">
        <x:v>Yanet Alvarez</x:v>
      </x:c>
      <x:c r="H5377" s="6">
        <x:v>46305.93084447917</x:v>
      </x:c>
      <x:c r="I5377" s="0"/>
      <x:c r="J5377" s="0"/>
      <x:c r="K5377" s="6">
        <x:v>46307</x:v>
      </x:c>
      <x:c r="L5377" t="str" s="2">
        <x:v>Message Sent</x:v>
      </x:c>
    </x:row>
    <x:row r="5378">
      <x:c r="A5378" t="str" s="2">
        <x:f>="Mcecilia Ramosdecallejas"</x:f>
      </x:c>
      <x:c r="B5378" t="str" s="2">
        <x:v>Legacy Housing Corp. DBA Americasa</x:v>
      </x:c>
      <x:c r="C5378" t="str" s="2">
        <x:v/>
      </x:c>
      <x:c r="D5378" t="str" s="2">
        <x:v>8322741161</x:v>
      </x:c>
      <x:c r="E5378" t="str" s="2">
        <x:v>martaramos8849@gmail.com</x:v>
      </x:c>
      <x:c r="F5378" t="str" s="2">
        <x:v>Meta Ads - Forms</x:v>
      </x:c>
      <x:c r="G5378" t="str" s="2">
        <x:v>Jose Parada</x:v>
      </x:c>
      <x:c r="H5378" s="6">
        <x:v>46305.99889548611</x:v>
      </x:c>
      <x:c r="I5378" s="0"/>
      <x:c r="J5378" s="0"/>
      <x:c r="K5378" s="6">
        <x:v>46307</x:v>
      </x:c>
      <x:c r="L5378" t="str" s="2">
        <x:v>Message Sent</x:v>
      </x:c>
    </x:row>
    <x:row r="5379">
      <x:c r="A5379" t="str" s="2">
        <x:f>="Melba Perez"</x:f>
      </x:c>
      <x:c r="B5379" t="str" s="2">
        <x:v>Heritage Housing of Greenville</x:v>
      </x:c>
      <x:c r="C5379" t="str" s="2">
        <x:v>1/1</x:v>
      </x:c>
      <x:c r="D5379" t="str" s="2">
        <x:v>4696144895</x:v>
      </x:c>
      <x:c r="E5379" t="str" s="2">
        <x:v>melbapmacariomelbacamiloschich@gmail.com</x:v>
      </x:c>
      <x:c r="F5379" t="str" s="2">
        <x:v>Meta Ads - Forms</x:v>
      </x:c>
      <x:c r="G5379" t="str" s="2">
        <x:v>Greg Christman</x:v>
      </x:c>
      <x:c r="H5379" s="6">
        <x:v>46306.05016211805</x:v>
      </x:c>
      <x:c r="I5379" s="0"/>
      <x:c r="J5379" s="0"/>
      <x:c r="K5379" s="6">
        <x:v>46307</x:v>
      </x:c>
      <x:c r="L5379" t="str" s="2">
        <x:v>Message Sent</x:v>
      </x:c>
    </x:row>
    <x:row r="5380">
      <x:c r="A5380" t="str" s="2">
        <x:f>="Oni Favela Favela"</x:f>
      </x:c>
      <x:c r="B5380" t="str" s="2">
        <x:v>Heritage Housing of Jennings</x:v>
      </x:c>
      <x:c r="C5380" t="str" s="2">
        <x:v/>
      </x:c>
      <x:c r="D5380" t="str" s="2">
        <x:v>3373004294</x:v>
      </x:c>
      <x:c r="E5380" t="str" s="2">
        <x:v>oni.favela0803@gmail.com</x:v>
      </x:c>
      <x:c r="F5380" t="str" s="2">
        <x:v>Landing_BPM</x:v>
      </x:c>
      <x:c r="G5380" t="str" s="2">
        <x:v>Clint O'Neal</x:v>
      </x:c>
      <x:c r="H5380" s="6">
        <x:v>46306.074087534726</x:v>
      </x:c>
      <x:c r="I5380" s="0"/>
      <x:c r="J5380" s="0"/>
      <x:c r="K5380" s="6">
        <x:v>46307</x:v>
      </x:c>
      <x:c r="L5380" t="str" s="2">
        <x:v>Message Sent</x:v>
      </x:c>
    </x:row>
    <x:row r="5381">
      <x:c r="A5381" t="str" s="2">
        <x:f>="Joey Murphy"</x:f>
      </x:c>
      <x:c r="B5381" t="str" s="2">
        <x:v>Heritage Housing Mt Pleasant</x:v>
      </x:c>
      <x:c r="C5381" t="str" s="2">
        <x:v/>
      </x:c>
      <x:c r="D5381" t="str" s="2">
        <x:v>9033633823</x:v>
      </x:c>
      <x:c r="E5381" t="str" s="2">
        <x:v>jeannymurphy73@gmail.com</x:v>
      </x:c>
      <x:c r="F5381" t="str" s="2">
        <x:v>Landing_BPM</x:v>
      </x:c>
      <x:c r="G5381" t="str" s="2">
        <x:v>Yarelis Torres</x:v>
      </x:c>
      <x:c r="H5381" s="6">
        <x:v>46306.0779428588</x:v>
      </x:c>
      <x:c r="I5381" s="0"/>
      <x:c r="J5381" s="0"/>
      <x:c r="K5381" s="6">
        <x:v>46307</x:v>
      </x:c>
      <x:c r="L5381" t="str" s="2">
        <x:v>Message Sent</x:v>
      </x:c>
    </x:row>
    <x:row r="5382">
      <x:c r="A5382" t="str" s="2">
        <x:f>="Tuesday Meadows"</x:f>
      </x:c>
      <x:c r="B5382" t="str" s="2">
        <x:v>Heritage Housing of Tulsa</x:v>
      </x:c>
      <x:c r="C5382" t="str" s="2">
        <x:v/>
      </x:c>
      <x:c r="D5382" t="str" s="2">
        <x:v>9182859202</x:v>
      </x:c>
      <x:c r="E5382" t="str" s="2">
        <x:v>tuesdaymeadows96@gmail.com</x:v>
      </x:c>
      <x:c r="F5382" t="str" s="2">
        <x:v>Landing_BPM</x:v>
      </x:c>
      <x:c r="G5382" t="str" s="2">
        <x:v>Jenna Fransisco</x:v>
      </x:c>
      <x:c r="H5382" s="6">
        <x:v>46306.10799783565</x:v>
      </x:c>
      <x:c r="I5382" s="0"/>
      <x:c r="J5382" s="0"/>
      <x:c r="K5382" s="6">
        <x:v>46307</x:v>
      </x:c>
      <x:c r="L5382" t="str" s="2">
        <x:v>Message Sent</x:v>
      </x:c>
    </x:row>
    <x:row r="5383">
      <x:c r="A5383" t="str" s="2">
        <x:f>="Tiffany Banks"</x:f>
      </x:c>
      <x:c r="B5383" t="str" s="2">
        <x:v>Heritage Housing of Athens</x:v>
      </x:c>
      <x:c r="C5383" t="str" s="2">
        <x:v/>
      </x:c>
      <x:c r="D5383" t="str" s="2">
        <x:v>7063470978</x:v>
      </x:c>
      <x:c r="E5383" t="str" s="2">
        <x:v>tiffanyboyce42@gmail.com</x:v>
      </x:c>
      <x:c r="F5383" t="str" s="2">
        <x:v>Financing Form</x:v>
      </x:c>
      <x:c r="G5383" t="str" s="2">
        <x:v>Ethan Fossett</x:v>
      </x:c>
      <x:c r="H5383" s="6">
        <x:v>46306.2074784375</x:v>
      </x:c>
      <x:c r="I5383" s="0"/>
      <x:c r="J5383" s="0"/>
      <x:c r="K5383" s="6">
        <x:v>46307</x:v>
      </x:c>
      <x:c r="L5383" t="str" s="2">
        <x:v>Message Sent</x:v>
      </x:c>
    </x:row>
    <x:row r="5384">
      <x:c r="A5384" t="str" s="2">
        <x:f>="Cesar Cesar Uribe"</x:f>
      </x:c>
      <x:c r="B5384" t="str" s="2">
        <x:v>Legacy Housing Corp. DBA Americasa</x:v>
      </x:c>
      <x:c r="C5384" t="str" s="2">
        <x:v/>
      </x:c>
      <x:c r="D5384" t="str" s="2">
        <x:v>8322078126</x:v>
      </x:c>
      <x:c r="E5384" t="str" s="2">
        <x:v>cesarisaacuribe3@gmail.com</x:v>
      </x:c>
      <x:c r="F5384" t="str" s="2">
        <x:v>Meta Ads - Traffic</x:v>
      </x:c>
      <x:c r="G5384" t="str" s="2">
        <x:v>Joey Marquez</x:v>
      </x:c>
      <x:c r="H5384" s="6">
        <x:v>46306.379795057874</x:v>
      </x:c>
      <x:c r="I5384" s="0"/>
      <x:c r="J5384" s="0"/>
      <x:c r="K5384" s="6">
        <x:v>46307</x:v>
      </x:c>
      <x:c r="L5384" t="str" s="2">
        <x:v>Message Sent</x:v>
      </x:c>
    </x:row>
    <x:row r="5385">
      <x:c r="A5385" t="str" s="2">
        <x:f>="Alyssa Chambers"</x:f>
      </x:c>
      <x:c r="B5385" t="str" s="2">
        <x:v>Heritage Housing of Tulsa</x:v>
      </x:c>
      <x:c r="C5385" t="str" s="2">
        <x:v/>
      </x:c>
      <x:c r="D5385" t="str" s="2">
        <x:v>9189518475</x:v>
      </x:c>
      <x:c r="E5385" t="str" s="2">
        <x:v>alyssachambers90@gmail.com</x:v>
      </x:c>
      <x:c r="F5385" t="str" s="2">
        <x:v>Landing_BPM</x:v>
      </x:c>
      <x:c r="G5385" t="str" s="2">
        <x:v>Jenna Fransisco</x:v>
      </x:c>
      <x:c r="H5385" s="6">
        <x:v>46306.38531762731</x:v>
      </x:c>
      <x:c r="I5385" s="0"/>
      <x:c r="J5385" s="0"/>
      <x:c r="K5385" s="6">
        <x:v>46307</x:v>
      </x:c>
      <x:c r="L5385" t="str" s="2">
        <x:v>Message Sent</x:v>
      </x:c>
    </x:row>
    <x:row r="5386">
      <x:c r="A5386" t="str" s="2">
        <x:f>="Joseph"</x:f>
      </x:c>
      <x:c r="B5386" t="str" s="2">
        <x:v>Heritage Housing Mt Pleasant</x:v>
      </x:c>
      <x:c r="C5386" t="str" s="2">
        <x:v/>
      </x:c>
      <x:c r="D5386" t="str" s="2">
        <x:v>9035088994</x:v>
      </x:c>
      <x:c r="E5386" t="str" s="2">
        <x:v>jadcreative75@gmail.com</x:v>
      </x:c>
      <x:c r="F5386" t="str" s="2">
        <x:v>Meta Ads - Forms</x:v>
      </x:c>
      <x:c r="G5386" t="str" s="2">
        <x:v>Elias Gallardo</x:v>
      </x:c>
      <x:c r="H5386" s="6">
        <x:v>46306.40183325231</x:v>
      </x:c>
      <x:c r="I5386" s="0"/>
      <x:c r="J5386" s="0"/>
      <x:c r="K5386" s="6">
        <x:v>46307</x:v>
      </x:c>
      <x:c r="L5386" t="str" s="2">
        <x:v>Message Sent</x:v>
      </x:c>
    </x:row>
    <x:row r="5387">
      <x:c r="A5387" t="str" s="2">
        <x:f>="Marcus Broner"</x:f>
      </x:c>
      <x:c r="B5387" t="str" s="2">
        <x:v>Heritage Housing of Greenville</x:v>
      </x:c>
      <x:c r="C5387" t="str" s="2">
        <x:v/>
      </x:c>
      <x:c r="D5387" t="str" s="2">
        <x:v>4302228881</x:v>
      </x:c>
      <x:c r="E5387" t="str" s="2">
        <x:v>mdb9@gmail.com</x:v>
      </x:c>
      <x:c r="F5387" t="str" s="2">
        <x:v>Landing_BPM</x:v>
      </x:c>
      <x:c r="G5387" t="str" s="2">
        <x:v>Sandra Saldana</x:v>
      </x:c>
      <x:c r="H5387" s="6">
        <x:v>46306.44742920139</x:v>
      </x:c>
      <x:c r="I5387" s="0"/>
      <x:c r="J5387" s="0"/>
      <x:c r="K5387" s="6">
        <x:v>46306</x:v>
      </x:c>
      <x:c r="L5387" t="str" s="2">
        <x:v>Message Sent</x:v>
      </x:c>
    </x:row>
    <x:row r="5388">
      <x:c r="A5388" t="str" s="2">
        <x:f>="Mina Moore"</x:f>
      </x:c>
      <x:c r="B5388" t="str" s="2">
        <x:v>Heritage Housing of Tulsa</x:v>
      </x:c>
      <x:c r="C5388" t="str" s="2">
        <x:v/>
      </x:c>
      <x:c r="D5388" t="str" s="2">
        <x:v>5397773131</x:v>
      </x:c>
      <x:c r="E5388" t="str" s="2">
        <x:v>minarachamoore@gmail.com</x:v>
      </x:c>
      <x:c r="F5388" t="str" s="2">
        <x:v>Landing_BPM</x:v>
      </x:c>
      <x:c r="G5388" t="str" s="2">
        <x:v>Jenna Fransisco</x:v>
      </x:c>
      <x:c r="H5388" s="6">
        <x:v>46306.44855671296</x:v>
      </x:c>
      <x:c r="I5388" s="0"/>
      <x:c r="J5388" s="0"/>
      <x:c r="K5388" s="6">
        <x:v>46307</x:v>
      </x:c>
      <x:c r="L5388" t="str" s="2">
        <x:v>Message Sent</x:v>
      </x:c>
    </x:row>
    <x:row r="5389">
      <x:c r="A5389" t="str" s="2">
        <x:f>="Laurie Kimbrell"</x:f>
      </x:c>
      <x:c r="B5389" t="str" s="2">
        <x:v>Legacy Housing Corp. DBA Americasa</x:v>
      </x:c>
      <x:c r="C5389" t="str" s="2">
        <x:v/>
      </x:c>
      <x:c r="D5389" t="str" s="2">
        <x:v>4092706310</x:v>
      </x:c>
      <x:c r="E5389" t="str" s="2">
        <x:v>laurie.kimbrell43@gmail.com</x:v>
      </x:c>
      <x:c r="F5389" t="str" s="2">
        <x:v>Landing_BPM</x:v>
      </x:c>
      <x:c r="G5389" t="str" s="2">
        <x:v>Victoria Sanchez</x:v>
      </x:c>
      <x:c r="H5389" s="6">
        <x:v>46306.452297488424</x:v>
      </x:c>
      <x:c r="I5389" s="0"/>
      <x:c r="J5389" s="0"/>
      <x:c r="K5389" s="6">
        <x:v>46307</x:v>
      </x:c>
      <x:c r="L5389" t="str" s="2">
        <x:v>Message Sent</x:v>
      </x:c>
    </x:row>
    <x:row r="5390">
      <x:c r="A5390" t="str" s="2">
        <x:f>="Nancy Cordero"</x:f>
      </x:c>
      <x:c r="B5390" t="str" s="2">
        <x:v>Heritage Housing of Asheboro</x:v>
      </x:c>
      <x:c r="C5390" t="str" s="2">
        <x:v/>
      </x:c>
      <x:c r="D5390" t="str" s="2">
        <x:v>2523435128</x:v>
      </x:c>
      <x:c r="E5390" t="str" s="2">
        <x:v>nancyjcc@icloud.com</x:v>
      </x:c>
      <x:c r="F5390" t="str" s="2">
        <x:v>Meta Ads - Traffic</x:v>
      </x:c>
      <x:c r="G5390" t="str" s="2">
        <x:v>Joe Lopez</x:v>
      </x:c>
      <x:c r="H5390" s="6">
        <x:v>46306.50289251158</x:v>
      </x:c>
      <x:c r="I5390" s="0"/>
      <x:c r="J5390" s="0"/>
      <x:c r="K5390" s="6">
        <x:v>46307</x:v>
      </x:c>
      <x:c r="L5390" t="str" s="2">
        <x:v>Message Sent</x:v>
      </x:c>
    </x:row>
    <x:row r="5391">
      <x:c r="A5391" t="str" s="2">
        <x:f>="Shelly Craig"</x:f>
      </x:c>
      <x:c r="B5391" t="str" s="2">
        <x:v>Heritage Housing of Tulsa</x:v>
      </x:c>
      <x:c r="C5391" t="str" s="2">
        <x:v/>
      </x:c>
      <x:c r="D5391" t="str" s="2">
        <x:v>5392443460</x:v>
      </x:c>
      <x:c r="E5391" t="str" s="2">
        <x:v>slcraig972@gmail.com</x:v>
      </x:c>
      <x:c r="F5391" t="str" s="2">
        <x:v>Landing_BPM</x:v>
      </x:c>
      <x:c r="G5391" t="str" s="2">
        <x:v>Jenna Fransisco</x:v>
      </x:c>
      <x:c r="H5391" s="6">
        <x:v>46306.55724193287</x:v>
      </x:c>
      <x:c r="I5391" s="0"/>
      <x:c r="J5391" s="0"/>
      <x:c r="K5391" s="6">
        <x:v>46307</x:v>
      </x:c>
      <x:c r="L5391" t="str" s="2">
        <x:v>Message Sent</x:v>
      </x:c>
    </x:row>
    <x:row r="5392">
      <x:c r="A5392" t="str" s="2">
        <x:f>="Jose Leon"</x:f>
      </x:c>
      <x:c r="B5392" t="str" s="2">
        <x:v>Heritage Housing of Asheboro</x:v>
      </x:c>
      <x:c r="C5392" t="str" s="2">
        <x:v/>
      </x:c>
      <x:c r="D5392" t="str" s="2">
        <x:v>3369410273</x:v>
      </x:c>
      <x:c r="E5392" t="str" s="2">
        <x:v>leonblasjl21@gmail.com</x:v>
      </x:c>
      <x:c r="F5392" t="str" s="2">
        <x:v>Meta Ads - Forms</x:v>
      </x:c>
      <x:c r="G5392" t="str" s="2">
        <x:v>Maria Lopez</x:v>
      </x:c>
      <x:c r="H5392" s="6">
        <x:v>46306.5574369213</x:v>
      </x:c>
      <x:c r="I5392" s="0"/>
      <x:c r="J5392" s="0"/>
      <x:c r="K5392" s="6">
        <x:v>46307</x:v>
      </x:c>
      <x:c r="L5392" t="str" s="2">
        <x:v>Message Sent</x:v>
      </x:c>
    </x:row>
    <x:row r="5393">
      <x:c r="A5393" t="str" s="2">
        <x:f>="DELGADO OLIVERA"</x:f>
      </x:c>
      <x:c r="B5393" t="str" s="2">
        <x:v>Heritage Housing of Greenville</x:v>
      </x:c>
      <x:c r="C5393" t="str" s="2">
        <x:v>1/1</x:v>
      </x:c>
      <x:c r="D5393" t="str" s="2">
        <x:v>6823198031</x:v>
      </x:c>
      <x:c r="E5393" t="str" s="2">
        <x:v>Marc_olivera@icloud.com</x:v>
      </x:c>
      <x:c r="F5393" t="str" s="2">
        <x:v>Meta Ads - Forms</x:v>
      </x:c>
      <x:c r="G5393" t="str" s="2">
        <x:v>Greg Christman</x:v>
      </x:c>
      <x:c r="H5393" s="6">
        <x:v>46306.57412445602</x:v>
      </x:c>
      <x:c r="I5393" s="0"/>
      <x:c r="J5393" s="0"/>
      <x:c r="K5393" s="6">
        <x:v>46307</x:v>
      </x:c>
      <x:c r="L5393" t="str" s="2">
        <x:v>Message Sent</x:v>
      </x:c>
    </x:row>
    <x:row r="5394">
      <x:c r="A5394" t="str" s="2">
        <x:f>="Sylvia Willoughby Willoughby"</x:f>
      </x:c>
      <x:c r="B5394" t="str" s="2">
        <x:v>Legacy Housing Corp. DBA Americasa</x:v>
      </x:c>
      <x:c r="C5394" t="str" s="2">
        <x:v/>
      </x:c>
      <x:c r="D5394" t="str" s="2">
        <x:v>9366712346</x:v>
      </x:c>
      <x:c r="E5394" t="str" s="2">
        <x:v>sslyvak@aol.com</x:v>
      </x:c>
      <x:c r="F5394" t="str" s="2">
        <x:v>Landing_BPM</x:v>
      </x:c>
      <x:c r="G5394" t="str" s="2">
        <x:v>Rodrigo Ramirez</x:v>
      </x:c>
      <x:c r="H5394" s="6">
        <x:v>46306.59187438658</x:v>
      </x:c>
      <x:c r="I5394" s="0"/>
      <x:c r="J5394" s="0"/>
      <x:c r="K5394" s="6">
        <x:v>46307</x:v>
      </x:c>
      <x:c r="L5394" t="str" s="2">
        <x:v>Message Sent</x:v>
      </x:c>
    </x:row>
    <x:row r="5395">
      <x:c r="A5395" t="str" s="2">
        <x:f>="Julio Claudio"</x:f>
      </x:c>
      <x:c r="B5395" t="str" s="2">
        <x:v>Legacy Housing Corp. DBA Americasa</x:v>
      </x:c>
      <x:c r="C5395" t="str" s="2">
        <x:v/>
      </x:c>
      <x:c r="D5395" t="str" s="2">
        <x:v>7133554230</x:v>
      </x:c>
      <x:c r="E5395" t="str" s="2">
        <x:v>claudio11torres@hotmail.com</x:v>
      </x:c>
      <x:c r="F5395" t="str" s="2">
        <x:v>Meta Ads - Forms</x:v>
      </x:c>
      <x:c r="G5395" t="str" s="2">
        <x:v>Jose Parada</x:v>
      </x:c>
      <x:c r="H5395" s="6">
        <x:v>46306.61969189815</x:v>
      </x:c>
      <x:c r="I5395" s="0"/>
      <x:c r="J5395" s="0"/>
      <x:c r="K5395" s="6">
        <x:v>46307</x:v>
      </x:c>
      <x:c r="L5395" t="str" s="2">
        <x:v>Message Sent</x:v>
      </x:c>
    </x:row>
    <x:row r="5396">
      <x:c r="A5396" t="str" s="2">
        <x:f>="Rhonda Jones"</x:f>
      </x:c>
      <x:c r="B5396" t="str" s="2">
        <x:v>Legacy Housing Corp. DBA Americasa</x:v>
      </x:c>
      <x:c r="C5396" t="str" s="2">
        <x:v/>
      </x:c>
      <x:c r="D5396" t="str" s="2">
        <x:v>9037421068</x:v>
      </x:c>
      <x:c r="E5396" t="str" s="2">
        <x:v>rdrakejones14@gmail.com</x:v>
      </x:c>
      <x:c r="F5396" t="str" s="2">
        <x:v>Landing_BPM</x:v>
      </x:c>
      <x:c r="G5396" t="str" s="2">
        <x:v>Joey Marquez</x:v>
      </x:c>
      <x:c r="H5396" s="6">
        <x:v>46306.67736350695</x:v>
      </x:c>
      <x:c r="I5396" s="0"/>
      <x:c r="J5396" s="0"/>
      <x:c r="K5396" s="6">
        <x:v>46307</x:v>
      </x:c>
      <x:c r="L5396" t="str" s="2">
        <x:v>Message Sent</x:v>
      </x:c>
    </x:row>
    <x:row r="5397">
      <x:c r="A5397" t="str" s="2">
        <x:f>="Miguel Rivera"</x:f>
      </x:c>
      <x:c r="B5397" t="str" s="2">
        <x:v>Legacy Housing Corp. DBA Americasa</x:v>
      </x:c>
      <x:c r="C5397" t="str" s="2">
        <x:v/>
      </x:c>
      <x:c r="D5397" t="str" s="2">
        <x:v>2816084908</x:v>
      </x:c>
      <x:c r="E5397" t="str" s="2">
        <x:v>mr389317@gmail.com</x:v>
      </x:c>
      <x:c r="F5397" t="str" s="2">
        <x:v>Meta Ads - Forms</x:v>
      </x:c>
      <x:c r="G5397" t="str" s="2">
        <x:v>Victoria Sanchez</x:v>
      </x:c>
      <x:c r="H5397" s="6">
        <x:v>46306.70159070602</x:v>
      </x:c>
      <x:c r="I5397" s="0"/>
      <x:c r="J5397" s="0"/>
      <x:c r="K5397" s="6">
        <x:v>46307</x:v>
      </x:c>
      <x:c r="L5397" t="str" s="2">
        <x:v>Message Sent</x:v>
      </x:c>
    </x:row>
    <x:row r="5398">
      <x:c r="A5398" t="str" s="2">
        <x:f>="Tyner Decker"</x:f>
      </x:c>
      <x:c r="B5398" t="str" s="2">
        <x:v>Heritage Housing Mt Pleasant</x:v>
      </x:c>
      <x:c r="C5398" t="str" s="2">
        <x:v/>
      </x:c>
      <x:c r="D5398" t="str" s="2">
        <x:v>9855514326</x:v>
      </x:c>
      <x:c r="E5398" t="str" s="2">
        <x:v>tyndec44@gmail.com</x:v>
      </x:c>
      <x:c r="F5398" t="str" s="2">
        <x:v>LandingPage</x:v>
      </x:c>
      <x:c r="G5398" t="str" s="2">
        <x:v>Yarelis Torres</x:v>
      </x:c>
      <x:c r="H5398" s="6">
        <x:v>46306.734678043984</x:v>
      </x:c>
      <x:c r="I5398" s="0"/>
      <x:c r="J5398" s="0"/>
      <x:c r="K5398" s="6">
        <x:v>46307</x:v>
      </x:c>
      <x:c r="L5398" t="str" s="2">
        <x:v>Message Sent</x:v>
      </x:c>
    </x:row>
    <x:row r="5399">
      <x:c r="A5399" t="str" s="2">
        <x:f>="Carmen Ivette"</x:f>
      </x:c>
      <x:c r="B5399" t="str" s="2">
        <x:v>Heritage Housing of Asheboro</x:v>
      </x:c>
      <x:c r="C5399" t="str" s="2">
        <x:v/>
      </x:c>
      <x:c r="D5399" t="str" s="2">
        <x:v>+4722485528</x:v>
      </x:c>
      <x:c r="E5399" t="str" s="2">
        <x:v>maribelcordero89@gmail.com</x:v>
      </x:c>
      <x:c r="F5399" t="str" s="2">
        <x:v>Meta Ads - Forms</x:v>
      </x:c>
      <x:c r="G5399" t="str" s="2">
        <x:v>Joe Lopez</x:v>
      </x:c>
      <x:c r="H5399" s="6">
        <x:v>46306.74553579861</x:v>
      </x:c>
      <x:c r="I5399" s="0"/>
      <x:c r="J5399" s="0"/>
      <x:c r="K5399" s="6">
        <x:v>46307</x:v>
      </x:c>
      <x:c r="L5399" t="str" s="2">
        <x:v>Message Sent</x:v>
      </x:c>
    </x:row>
    <x:row r="5400">
      <x:c r="A5400" t="str" s="2">
        <x:f>="James Johnson"</x:f>
      </x:c>
      <x:c r="B5400" t="str" s="2">
        <x:v>Heritage Housing of Albany</x:v>
      </x:c>
      <x:c r="C5400" t="str" s="2">
        <x:v/>
      </x:c>
      <x:c r="D5400" t="str" s="2">
        <x:v>4782303902</x:v>
      </x:c>
      <x:c r="E5400" t="str" s="2">
        <x:v>silveradoc101986@gmail.com</x:v>
      </x:c>
      <x:c r="F5400" t="str" s="2">
        <x:v>Landing_BPM</x:v>
      </x:c>
      <x:c r="G5400" t="str" s="2">
        <x:v>Yanet Alvarez</x:v>
      </x:c>
      <x:c r="H5400" s="6">
        <x:v>46306.76389054398</x:v>
      </x:c>
      <x:c r="I5400" s="0"/>
      <x:c r="J5400" s="0"/>
      <x:c r="K5400" s="6">
        <x:v>46308</x:v>
      </x:c>
      <x:c r="L5400" t="str" s="2">
        <x:v>Message Sent</x:v>
      </x:c>
    </x:row>
    <x:row r="5401">
      <x:c r="A5401" t="str" s="2">
        <x:f>="Reyna Elizondo"</x:f>
      </x:c>
      <x:c r="B5401" t="str" s="2">
        <x:v>Heritage Housing of Greenville</x:v>
      </x:c>
      <x:c r="C5401" t="str" s="2">
        <x:v>1/1</x:v>
      </x:c>
      <x:c r="D5401" t="str" s="2">
        <x:v>8322841734</x:v>
      </x:c>
      <x:c r="E5401" t="str" s="2">
        <x:v>reynaelizondo39@gmail.com</x:v>
      </x:c>
      <x:c r="F5401" t="str" s="2">
        <x:v>Meta Ads - Forms</x:v>
      </x:c>
      <x:c r="G5401" t="str" s="2">
        <x:v>Greg Christman</x:v>
      </x:c>
      <x:c r="H5401" s="6">
        <x:v>46306.86047908565</x:v>
      </x:c>
      <x:c r="I5401" s="0"/>
      <x:c r="J5401" s="0"/>
      <x:c r="K5401" s="6">
        <x:v>46307</x:v>
      </x:c>
      <x:c r="L5401" t="str" s="2">
        <x:v>Message Sent</x:v>
      </x:c>
    </x:row>
    <x:row r="5402">
      <x:c r="A5402" t="str" s="2">
        <x:f>="Damaris corsino"</x:f>
      </x:c>
      <x:c r="B5402" t="str" s="2">
        <x:v>Legacy Housing Corp. DBA Americasa</x:v>
      </x:c>
      <x:c r="C5402" t="str" s="2">
        <x:v/>
      </x:c>
      <x:c r="D5402" t="str" s="2">
        <x:v>8325999785</x:v>
      </x:c>
      <x:c r="E5402" t="str" s="2">
        <x:v>corsinod.22@yahoo.com</x:v>
      </x:c>
      <x:c r="F5402" t="str" s="2">
        <x:v>Meta Ads - Forms</x:v>
      </x:c>
      <x:c r="G5402" t="str" s="2">
        <x:v>Joey Marquez</x:v>
      </x:c>
      <x:c r="H5402" s="6">
        <x:v>46306.8765366088</x:v>
      </x:c>
      <x:c r="I5402" s="0"/>
      <x:c r="J5402" s="0"/>
      <x:c r="K5402" s="6">
        <x:v>46307</x:v>
      </x:c>
      <x:c r="L5402" t="str" s="2">
        <x:v>Message Sent</x:v>
      </x:c>
    </x:row>
    <x:row r="5403">
      <x:c r="A5403" t="str" s="2">
        <x:f>="Abigail Stamper"</x:f>
      </x:c>
      <x:c r="B5403" t="str" s="2">
        <x:v>Heritage Housing of Tulsa</x:v>
      </x:c>
      <x:c r="C5403" t="str" s="2">
        <x:v/>
      </x:c>
      <x:c r="D5403" t="str" s="2">
        <x:v>9184087078</x:v>
      </x:c>
      <x:c r="E5403" t="str" s="2">
        <x:v>stamper_abigail@yahoo.com</x:v>
      </x:c>
      <x:c r="F5403" t="str" s="2">
        <x:v>Landing_BPM</x:v>
      </x:c>
      <x:c r="G5403" t="str" s="2">
        <x:v>Jenna Fransisco</x:v>
      </x:c>
      <x:c r="H5403" s="6">
        <x:v>46306.90120883102</x:v>
      </x:c>
      <x:c r="I5403" s="0"/>
      <x:c r="J5403" s="0"/>
      <x:c r="K5403" s="6">
        <x:v>46307</x:v>
      </x:c>
      <x:c r="L5403" t="str" s="2">
        <x:v>Message Sent</x:v>
      </x:c>
    </x:row>
    <x:row r="5404">
      <x:c r="A5404" t="str" s="2">
        <x:f>="Dajah Garner"</x:f>
      </x:c>
      <x:c r="B5404" t="str" s="2">
        <x:v>Heritage Housing Mt Pleasant</x:v>
      </x:c>
      <x:c r="C5404" t="str" s="2">
        <x:v/>
      </x:c>
      <x:c r="D5404" t="str" s="2">
        <x:v>9036506792</x:v>
      </x:c>
      <x:c r="E5404" t="str" s="2">
        <x:v>auragarner@icloud.com</x:v>
      </x:c>
      <x:c r="F5404" t="str" s="2">
        <x:v>Financing Form</x:v>
      </x:c>
      <x:c r="G5404" t="str" s="2">
        <x:v>Elias Gallardo</x:v>
      </x:c>
      <x:c r="H5404" s="6">
        <x:v>46306.91432137731</x:v>
      </x:c>
      <x:c r="I5404" s="0"/>
      <x:c r="J5404" s="0"/>
      <x:c r="K5404" s="6">
        <x:v>46307</x:v>
      </x:c>
      <x:c r="L5404" t="str" s="2">
        <x:v>Message Sent</x:v>
      </x:c>
    </x:row>
    <x:row r="5405">
      <x:c r="A5405" t="str" s="2">
        <x:f>="Mike Hicks Hicks"</x:f>
      </x:c>
      <x:c r="B5405" t="str" s="2">
        <x:v>Legacy Housing Corp. DBA Americasa</x:v>
      </x:c>
      <x:c r="C5405" t="str" s="2">
        <x:v/>
      </x:c>
      <x:c r="D5405" t="str" s="2">
        <x:v>8323779834</x:v>
      </x:c>
      <x:c r="E5405" t="str" s="2">
        <x:v>mehixter2@yahoo.com</x:v>
      </x:c>
      <x:c r="F5405" t="str" s="2">
        <x:v>Landing_BPM</x:v>
      </x:c>
      <x:c r="G5405" t="str" s="2">
        <x:v>Jose Parada</x:v>
      </x:c>
      <x:c r="H5405" s="6">
        <x:v>46306.917570868056</x:v>
      </x:c>
      <x:c r="I5405" s="0"/>
      <x:c r="J5405" s="0"/>
      <x:c r="K5405" s="6">
        <x:v>46307</x:v>
      </x:c>
      <x:c r="L5405" t="str" s="2">
        <x:v>Message Sent</x:v>
      </x:c>
    </x:row>
    <x:row r="5406">
      <x:c r="A5406" t="str" s="2">
        <x:f>="Felicia Williams"</x:f>
      </x:c>
      <x:c r="B5406" t="str" s="2">
        <x:v>Legacy Housing Corp. DBA Americasa</x:v>
      </x:c>
      <x:c r="C5406" t="str" s="2">
        <x:v/>
      </x:c>
      <x:c r="D5406" t="str" s="2">
        <x:v>8325250817</x:v>
      </x:c>
      <x:c r="E5406" t="str" s="2">
        <x:v>bennettaaliyah314@gmail.com</x:v>
      </x:c>
      <x:c r="F5406" t="str" s="2">
        <x:v>Landing_BPM</x:v>
      </x:c>
      <x:c r="G5406" t="str" s="2">
        <x:v>Joey Marquez</x:v>
      </x:c>
      <x:c r="H5406" s="6">
        <x:v>46306.939186539355</x:v>
      </x:c>
      <x:c r="I5406" s="0"/>
      <x:c r="J5406" s="0"/>
      <x:c r="K5406" s="6">
        <x:v>46307</x:v>
      </x:c>
      <x:c r="L5406" t="str" s="2">
        <x:v>Message Sent</x:v>
      </x:c>
    </x:row>
    <x:row r="5407">
      <x:c r="A5407" t="str" s="2">
        <x:f>="Rachel Hood"</x:f>
      </x:c>
      <x:c r="B5407" t="str" s="2">
        <x:v>Heritage Housing of Athens</x:v>
      </x:c>
      <x:c r="C5407" t="str" s="2">
        <x:v/>
      </x:c>
      <x:c r="D5407" t="str" s="2">
        <x:v>6782278036</x:v>
      </x:c>
      <x:c r="E5407" t="str" s="2">
        <x:v>rachelhood0514@gmail.com</x:v>
      </x:c>
      <x:c r="F5407" t="str" s="2">
        <x:v>Financing Form</x:v>
      </x:c>
      <x:c r="G5407" t="str" s="2">
        <x:v>Nathan Bishop</x:v>
      </x:c>
      <x:c r="H5407" s="6">
        <x:v>46306.94067751157</x:v>
      </x:c>
      <x:c r="I5407" s="0"/>
      <x:c r="J5407" s="0"/>
      <x:c r="K5407" s="6">
        <x:v>46307.71034528935</x:v>
      </x:c>
      <x:c r="L5407" t="str" s="2">
        <x:v>Message Sent</x:v>
      </x:c>
    </x:row>
    <x:row r="5408">
      <x:c r="A5408" t="str" s="2">
        <x:f>="Carmen Milagros"</x:f>
      </x:c>
      <x:c r="B5408" t="str" s="2">
        <x:v>Legacy Housing Corp. DBA Americasa</x:v>
      </x:c>
      <x:c r="C5408" t="str" s="2">
        <x:v/>
      </x:c>
      <x:c r="D5408" t="str" s="2">
        <x:v>6175101303</x:v>
      </x:c>
      <x:c r="E5408" t="str" s="2">
        <x:v>milagros0163@yahoo.com</x:v>
      </x:c>
      <x:c r="F5408" t="str" s="2">
        <x:v>Meta Ads - Forms</x:v>
      </x:c>
      <x:c r="G5408" t="str" s="2">
        <x:v>Jose Parada</x:v>
      </x:c>
      <x:c r="H5408" s="6">
        <x:v>46306.98070940972</x:v>
      </x:c>
      <x:c r="I5408" s="0"/>
      <x:c r="J5408" s="0"/>
      <x:c r="K5408" s="6">
        <x:v>46307</x:v>
      </x:c>
      <x:c r="L5408" t="str" s="2">
        <x:v>Message Sent</x:v>
      </x:c>
    </x:row>
    <x:row r="5409">
      <x:c r="A5409" t="str" s="2">
        <x:f>="Dalton Smith"</x:f>
      </x:c>
      <x:c r="B5409" t="str" s="2">
        <x:v>Heritage Housing Mt Pleasant</x:v>
      </x:c>
      <x:c r="C5409" t="str" s="2">
        <x:v/>
      </x:c>
      <x:c r="D5409" t="str" s="2">
        <x:v>6189801364</x:v>
      </x:c>
      <x:c r="E5409" t="str" s="2">
        <x:v>sdalton1900@gmail.com</x:v>
      </x:c>
      <x:c r="F5409" t="str" s="2">
        <x:v>Landing_BPM</x:v>
      </x:c>
      <x:c r="G5409" t="str" s="2">
        <x:v>Sandra Saldana</x:v>
      </x:c>
      <x:c r="H5409" s="6">
        <x:v>46306.987133993054</x:v>
      </x:c>
      <x:c r="I5409" s="0"/>
      <x:c r="J5409" s="0"/>
      <x:c r="K5409" s="6">
        <x:v>46307</x:v>
      </x:c>
      <x:c r="L5409" t="str" s="2">
        <x:v>Message Sent</x:v>
      </x:c>
    </x:row>
    <x:row r="5410">
      <x:c r="A5410" t="str" s="2">
        <x:f>="Ronald Knapp"</x:f>
      </x:c>
      <x:c r="B5410" t="str" s="2">
        <x:v>Heritage Housing of Tulsa</x:v>
      </x:c>
      <x:c r="C5410" t="str" s="2">
        <x:v/>
      </x:c>
      <x:c r="D5410" t="str" s="2">
        <x:v>9187105115</x:v>
      </x:c>
      <x:c r="E5410" t="str" s="2">
        <x:v>ronniesaint98@icloud.com</x:v>
      </x:c>
      <x:c r="F5410" t="str" s="2">
        <x:v>Landing_BPM</x:v>
      </x:c>
      <x:c r="G5410" t="str" s="2">
        <x:v>Jenna Fransisco</x:v>
      </x:c>
      <x:c r="H5410" s="6">
        <x:v>46307.00641423611</x:v>
      </x:c>
      <x:c r="I5410" s="0"/>
      <x:c r="J5410" s="0"/>
      <x:c r="K5410" s="6">
        <x:v>46307</x:v>
      </x:c>
      <x:c r="L5410" t="str" s="2">
        <x:v>Message Sent</x:v>
      </x:c>
    </x:row>
    <x:row r="5411">
      <x:c r="A5411" t="str" s="2">
        <x:f>="Christopher Johnson"</x:f>
      </x:c>
      <x:c r="B5411" t="str" s="2">
        <x:v>Legacy Housing Corp. DBA Americasa</x:v>
      </x:c>
      <x:c r="C5411" t="str" s="2">
        <x:v/>
      </x:c>
      <x:c r="D5411" t="str" s="2">
        <x:v>3468318422</x:v>
      </x:c>
      <x:c r="E5411" t="str" s="2">
        <x:v>chris.8147@hotmail.com</x:v>
      </x:c>
      <x:c r="F5411" t="str" s="2">
        <x:v>Landing_BPM</x:v>
      </x:c>
      <x:c r="G5411" t="str" s="2">
        <x:v>Joey Marquez</x:v>
      </x:c>
      <x:c r="H5411" s="6">
        <x:v>46307.01307908565</x:v>
      </x:c>
      <x:c r="I5411" s="0"/>
      <x:c r="J5411" s="0"/>
      <x:c r="K5411" s="6">
        <x:v>46307</x:v>
      </x:c>
      <x:c r="L5411" t="str" s="2">
        <x:v>Message Sent</x:v>
      </x:c>
    </x:row>
    <x:row r="5412">
      <x:c r="A5412" t="str" s="2">
        <x:f>="Carlos Espinal"</x:f>
      </x:c>
      <x:c r="B5412" t="str" s="2">
        <x:v>Heritage Housing of Asheboro</x:v>
      </x:c>
      <x:c r="C5412" t="str" s="2">
        <x:v/>
      </x:c>
      <x:c r="D5412" t="str" s="2">
        <x:v>7046055397</x:v>
      </x:c>
      <x:c r="E5412" t="str" s="2">
        <x:v>cespinal164@gmail.com</x:v>
      </x:c>
      <x:c r="F5412" t="str" s="2">
        <x:v>Meta Ads - Forms</x:v>
      </x:c>
      <x:c r="G5412" t="str" s="2">
        <x:v>Maria Lopez</x:v>
      </x:c>
      <x:c r="H5412" s="6">
        <x:v>46307.01509019676</x:v>
      </x:c>
      <x:c r="I5412" s="0"/>
      <x:c r="J5412" s="0"/>
      <x:c r="K5412" s="6">
        <x:v>46307</x:v>
      </x:c>
      <x:c r="L5412" t="str" s="2">
        <x:v>Message Sent</x:v>
      </x:c>
    </x:row>
    <x:row r="5413">
      <x:c r="A5413" t="str" s="2">
        <x:f>="Phillip Deleon"</x:f>
      </x:c>
      <x:c r="B5413" t="str" s="2">
        <x:v>Legacy Housing Corp. DBA Americasa</x:v>
      </x:c>
      <x:c r="C5413" t="str" s="2">
        <x:v/>
      </x:c>
      <x:c r="D5413" t="str" s="2">
        <x:v>8327230002</x:v>
      </x:c>
      <x:c r="E5413" t="str" s="2">
        <x:v>sidestepper56@gmail.com</x:v>
      </x:c>
      <x:c r="F5413" t="str" s="2">
        <x:v>Landing_BPM</x:v>
      </x:c>
      <x:c r="G5413" t="str" s="2">
        <x:v>Jose Parada</x:v>
      </x:c>
      <x:c r="H5413" s="6">
        <x:v>46307.02115586805</x:v>
      </x:c>
      <x:c r="I5413" s="0"/>
      <x:c r="J5413" s="0"/>
      <x:c r="K5413" s="6">
        <x:v>46307</x:v>
      </x:c>
      <x:c r="L5413" t="str" s="2">
        <x:v>Message Sent</x:v>
      </x:c>
    </x:row>
    <x:row r="5414">
      <x:c r="A5414" t="str" s="2">
        <x:f>="Justin Ryker"</x:f>
      </x:c>
      <x:c r="B5414" t="str" s="2">
        <x:v>Heritage Housing of Tulsa</x:v>
      </x:c>
      <x:c r="C5414" t="str" s="2">
        <x:v/>
      </x:c>
      <x:c r="D5414" t="str" s="2">
        <x:v>5392931584</x:v>
      </x:c>
      <x:c r="E5414" t="str" s="2">
        <x:v>justinryker14@icloud.com</x:v>
      </x:c>
      <x:c r="F5414" t="str" s="2">
        <x:v>Financing Form</x:v>
      </x:c>
      <x:c r="G5414" t="str" s="2">
        <x:v>Jenna Fransisco</x:v>
      </x:c>
      <x:c r="H5414" s="6">
        <x:v>46307.085371493056</x:v>
      </x:c>
      <x:c r="I5414" s="0"/>
      <x:c r="J5414" s="0"/>
      <x:c r="K5414" s="6">
        <x:v>46307</x:v>
      </x:c>
      <x:c r="L5414" t="str" s="2">
        <x:v>Message Sent</x:v>
      </x:c>
    </x:row>
    <x:row r="5415">
      <x:c r="A5415" t="str" s="2">
        <x:f>="Shanton McNeill"</x:f>
      </x:c>
      <x:c r="B5415" t="str" s="2">
        <x:v>Heritage Housing of Athens</x:v>
      </x:c>
      <x:c r="C5415" t="str" s="2">
        <x:v/>
      </x:c>
      <x:c r="D5415" t="str" s="2">
        <x:v>2232891653</x:v>
      </x:c>
      <x:c r="E5415" t="str" s="2">
        <x:v>smcneill302@gmail.com</x:v>
      </x:c>
      <x:c r="F5415" t="str" s="2">
        <x:v>Landing_BPM</x:v>
      </x:c>
      <x:c r="G5415" t="str" s="2">
        <x:v>Ethan Fossett</x:v>
      </x:c>
      <x:c r="H5415" s="6">
        <x:v>46307.1465158912</x:v>
      </x:c>
      <x:c r="I5415" s="0"/>
      <x:c r="J5415" s="0"/>
      <x:c r="K5415" s="6">
        <x:v>46307</x:v>
      </x:c>
      <x:c r="L5415" t="str" s="2">
        <x:v>Message Sent</x:v>
      </x:c>
    </x:row>
    <x:row r="5416">
      <x:c r="A5416" t="str" s="2">
        <x:f>="Stephen Zola"</x:f>
      </x:c>
      <x:c r="B5416" t="str" s="2">
        <x:v>Legacy Housing Corp. DBA Americasa</x:v>
      </x:c>
      <x:c r="C5416" t="str" s="2">
        <x:v/>
      </x:c>
      <x:c r="D5416" t="str" s="2">
        <x:v>2816593191</x:v>
      </x:c>
      <x:c r="E5416" t="str" s="2">
        <x:v>zzzzzz423@aol.com</x:v>
      </x:c>
      <x:c r="F5416" t="str" s="2">
        <x:v>Landing_BPM</x:v>
      </x:c>
      <x:c r="G5416" t="str" s="2">
        <x:v>Joey Marquez</x:v>
      </x:c>
      <x:c r="H5416" s="6">
        <x:v>46307.22146840278</x:v>
      </x:c>
      <x:c r="I5416" s="0"/>
      <x:c r="J5416" s="0"/>
      <x:c r="K5416" s="6">
        <x:v>46307</x:v>
      </x:c>
      <x:c r="L5416" t="str" s="2">
        <x:v>Message Sent</x:v>
      </x:c>
    </x:row>
    <x:row r="5417">
      <x:c r="A5417" t="str" s="2">
        <x:f>="Frederick Landers"</x:f>
      </x:c>
      <x:c r="B5417" t="str" s="2">
        <x:v>Legacy Housing Corp. DBA Americasa</x:v>
      </x:c>
      <x:c r="C5417" t="str" s="2">
        <x:v/>
      </x:c>
      <x:c r="D5417" t="str" s="2">
        <x:v>8323185068</x:v>
      </x:c>
      <x:c r="E5417" t="str" s="2">
        <x:v>fredlanders42@yahoo.com</x:v>
      </x:c>
      <x:c r="F5417" t="str" s="2">
        <x:v>Landing_BPM</x:v>
      </x:c>
      <x:c r="G5417" t="str" s="2">
        <x:v>Jose Parada</x:v>
      </x:c>
      <x:c r="H5417" s="6">
        <x:v>46307.333023645835</x:v>
      </x:c>
      <x:c r="I5417" s="0"/>
      <x:c r="J5417" s="0"/>
      <x:c r="K5417" s="6">
        <x:v>46307</x:v>
      </x:c>
      <x:c r="L5417" t="str" s="2">
        <x:v>Message Sent</x:v>
      </x:c>
    </x:row>
    <x:row r="5418">
      <x:c r="A5418" t="str" s="2">
        <x:f>="nicole colburn"</x:f>
      </x:c>
      <x:c r="B5418" t="str" s="2">
        <x:v>Heritage Housing of Asheboro</x:v>
      </x:c>
      <x:c r="C5418" t="str" s="2">
        <x:v/>
      </x:c>
      <x:c r="D5418" t="str" s="2">
        <x:v>9784839808</x:v>
      </x:c>
      <x:c r="E5418" t="str" s="2">
        <x:v>nicole.c6018@gmail.com</x:v>
      </x:c>
      <x:c r="F5418" t="str" s="2">
        <x:v>Landing_BPM</x:v>
      </x:c>
      <x:c r="G5418" t="str" s="2">
        <x:v>Joe Lopez</x:v>
      </x:c>
      <x:c r="H5418" s="6">
        <x:v>46307.34358298611</x:v>
      </x:c>
      <x:c r="I5418" s="0"/>
      <x:c r="J5418" s="0"/>
      <x:c r="K5418" s="6">
        <x:v>46307</x:v>
      </x:c>
      <x:c r="L5418" t="str" s="2">
        <x:v>Message Sent</x:v>
      </x:c>
    </x:row>
    <x:row r="5419">
      <x:c r="A5419" t="str" s="2">
        <x:f>="Carmen Milagros"</x:f>
      </x:c>
      <x:c r="B5419" t="str" s="2">
        <x:v>Heritage Housing of Asheboro</x:v>
      </x:c>
      <x:c r="C5419" t="str" s="2">
        <x:v/>
      </x:c>
      <x:c r="D5419" t="str" s="2">
        <x:v>7745780521</x:v>
      </x:c>
      <x:c r="E5419" t="str" s="2">
        <x:v>mili.nichols@gmail.com</x:v>
      </x:c>
      <x:c r="F5419" t="str" s="2">
        <x:v>Meta Ads - Forms</x:v>
      </x:c>
      <x:c r="G5419" t="str" s="2">
        <x:v>Maria Lopez</x:v>
      </x:c>
      <x:c r="H5419" s="6">
        <x:v>46307.34819332176</x:v>
      </x:c>
      <x:c r="I5419" s="0"/>
      <x:c r="J5419" s="0"/>
      <x:c r="K5419" s="6">
        <x:v>46307</x:v>
      </x:c>
      <x:c r="L5419" t="str" s="2">
        <x:v>Message Sent</x:v>
      </x:c>
    </x:row>
    <x:row r="5420">
      <x:c r="A5420" t="str" s="2">
        <x:f>="Michael Davis"</x:f>
      </x:c>
      <x:c r="B5420" t="str" s="2">
        <x:v>Legacy Housing Corp. DBA Americasa</x:v>
      </x:c>
      <x:c r="C5420" t="str" s="2">
        <x:v/>
      </x:c>
      <x:c r="D5420" t="str" s="2">
        <x:v>3467047103</x:v>
      </x:c>
      <x:c r="E5420" t="str" s="2">
        <x:v>onemikedavis@gmail.com</x:v>
      </x:c>
      <x:c r="F5420" t="str" s="2">
        <x:v>Website</x:v>
      </x:c>
      <x:c r="G5420" t="str" s="2">
        <x:v>Jose Parada</x:v>
      </x:c>
      <x:c r="H5420" s="6">
        <x:v>46307.36834707176</x:v>
      </x:c>
      <x:c r="I5420" s="0"/>
      <x:c r="J5420" s="0"/>
      <x:c r="K5420" s="6">
        <x:v>46307</x:v>
      </x:c>
      <x:c r="L5420" t="str" s="2">
        <x:v>Message Sent</x:v>
      </x:c>
    </x:row>
    <x:row r="5421">
      <x:c r="A5421" t="str" s="2">
        <x:f>="Sharnette Davis"</x:f>
      </x:c>
      <x:c r="B5421" t="str" s="2">
        <x:v>Legacy Housing Corp. DBA Americasa</x:v>
      </x:c>
      <x:c r="C5421" t="str" s="2">
        <x:v/>
      </x:c>
      <x:c r="D5421" t="str" s="2">
        <x:v>2815150307</x:v>
      </x:c>
      <x:c r="E5421" t="str" s="2">
        <x:v>sharnettedavis@gmail.com</x:v>
      </x:c>
      <x:c r="F5421" t="str" s="2">
        <x:v>Landing_BPM</x:v>
      </x:c>
      <x:c r="G5421" t="str" s="2">
        <x:v>Joey Marquez</x:v>
      </x:c>
      <x:c r="H5421" s="6">
        <x:v>46307.409099502314</x:v>
      </x:c>
      <x:c r="I5421" s="0"/>
      <x:c r="J5421" s="0"/>
      <x:c r="K5421" s="6">
        <x:v>46307</x:v>
      </x:c>
      <x:c r="L5421" t="str" s="2">
        <x:v>Message Sent</x:v>
      </x:c>
    </x:row>
    <x:row r="5422">
      <x:c r="A5422" t="str" s="2">
        <x:f>="Rene Ochoa"</x:f>
      </x:c>
      <x:c r="B5422" t="str" s="2">
        <x:v>Heritage Housing of Asheboro</x:v>
      </x:c>
      <x:c r="C5422" t="str" s="2">
        <x:v/>
      </x:c>
      <x:c r="D5422" t="str" s="2">
        <x:v>7044912721</x:v>
      </x:c>
      <x:c r="E5422" t="str" s="2">
        <x:v>eneroochoa@gmail.com</x:v>
      </x:c>
      <x:c r="F5422" t="str" s="2">
        <x:v>Meta Ads - Traffic</x:v>
      </x:c>
      <x:c r="G5422" t="str" s="2">
        <x:v>Maria Lopez</x:v>
      </x:c>
      <x:c r="H5422" s="6">
        <x:v>46307.47758070602</x:v>
      </x:c>
      <x:c r="I5422" s="0"/>
      <x:c r="J5422" s="0"/>
      <x:c r="K5422" s="6">
        <x:v>46308</x:v>
      </x:c>
      <x:c r="L5422" t="str" s="2">
        <x:v>Message Sent</x:v>
      </x:c>
    </x:row>
    <x:row r="5423">
      <x:c r="A5423" t="str" s="2">
        <x:f>="Matthew Ramm Ramm"</x:f>
      </x:c>
      <x:c r="B5423" t="str" s="2">
        <x:v>Heritage Housing of Greenville</x:v>
      </x:c>
      <x:c r="C5423" t="str" s="2">
        <x:v>1/1</x:v>
      </x:c>
      <x:c r="D5423" t="str" s="2">
        <x:v>4693672149</x:v>
      </x:c>
      <x:c r="E5423" t="str" s="2">
        <x:v>mattramm93@gmail.com</x:v>
      </x:c>
      <x:c r="F5423" t="str" s="2">
        <x:v>Landing_BPM</x:v>
      </x:c>
      <x:c r="G5423" t="str" s="2">
        <x:v>Greg Christman</x:v>
      </x:c>
      <x:c r="H5423" s="6">
        <x:v>46307.552674502316</x:v>
      </x:c>
      <x:c r="I5423" s="0"/>
      <x:c r="J5423" s="0"/>
      <x:c r="K5423" s="6">
        <x:v>46307</x:v>
      </x:c>
      <x:c r="L5423" t="str" s="2">
        <x:v>Message Sent</x:v>
      </x:c>
    </x:row>
    <x:row r="5424">
      <x:c r="A5424" t="str" s="2">
        <x:f>="Gertrude Dieudonne"</x:f>
      </x:c>
      <x:c r="B5424" t="str" s="2">
        <x:v>Legacy Housing Corp. DBA Americasa</x:v>
      </x:c>
      <x:c r="C5424" t="str" s="2">
        <x:v/>
      </x:c>
      <x:c r="D5424" t="str" s="2">
        <x:v>8453002452</x:v>
      </x:c>
      <x:c r="E5424" t="str" s="2">
        <x:v>gertrude670@gmail.com</x:v>
      </x:c>
      <x:c r="F5424" t="str" s="2">
        <x:v>Landing_BPM</x:v>
      </x:c>
      <x:c r="G5424" t="str" s="2">
        <x:v>Jose Parada</x:v>
      </x:c>
      <x:c r="H5424" s="6">
        <x:v>46307.56714216435</x:v>
      </x:c>
      <x:c r="I5424" s="0"/>
      <x:c r="J5424" s="0"/>
      <x:c r="K5424" s="6">
        <x:v>46307</x:v>
      </x:c>
      <x:c r="L5424" t="str" s="2">
        <x:v>Message Sent</x:v>
      </x:c>
    </x:row>
    <x:row r="5425">
      <x:c r="A5425" t="str" s="2">
        <x:f>="Tracy Scott"</x:f>
      </x:c>
      <x:c r="B5425" t="str" s="2">
        <x:v>Heritage Housing of Athens</x:v>
      </x:c>
      <x:c r="C5425" t="str" s="2">
        <x:v/>
      </x:c>
      <x:c r="D5425" t="str" s="2">
        <x:v>7705403827</x:v>
      </x:c>
      <x:c r="E5425" t="str" s="2">
        <x:v>trayseesphotography@gmail.com</x:v>
      </x:c>
      <x:c r="F5425" t="str" s="2">
        <x:v>Landing_BPM</x:v>
      </x:c>
      <x:c r="G5425" t="str" s="2">
        <x:v>Nathan Bishop</x:v>
      </x:c>
      <x:c r="H5425" s="6">
        <x:v>46307.59065277778</x:v>
      </x:c>
      <x:c r="I5425" s="0"/>
      <x:c r="J5425" s="0"/>
      <x:c r="K5425" s="6">
        <x:v>46307.71095246528</x:v>
      </x:c>
      <x:c r="L5425" t="str" s="2">
        <x:v>Message Sent</x:v>
      </x:c>
    </x:row>
    <x:row r="5426">
      <x:c r="A5426" t="str" s="2">
        <x:f>="Leigh Jacobs"</x:f>
      </x:c>
      <x:c r="B5426" t="str" s="2">
        <x:v>Legacy Housing Corp. DBA Americasa</x:v>
      </x:c>
      <x:c r="C5426" t="str" s="2">
        <x:v/>
      </x:c>
      <x:c r="D5426" t="str" s="2">
        <x:v>9738962117</x:v>
      </x:c>
      <x:c r="E5426" t="str" s="2">
        <x:v>pumpkinpeejays@yahoo.com</x:v>
      </x:c>
      <x:c r="F5426" t="str" s="2">
        <x:v>Landing_BPM</x:v>
      </x:c>
      <x:c r="G5426" t="str" s="2">
        <x:v>Jose Parada</x:v>
      </x:c>
      <x:c r="H5426" s="6">
        <x:v>46307.63831380787</x:v>
      </x:c>
      <x:c r="I5426" s="0"/>
      <x:c r="J5426" s="0"/>
      <x:c r="K5426" s="6">
        <x:v>46307</x:v>
      </x:c>
      <x:c r="L5426" t="str" s="2">
        <x:v>Message Sent</x:v>
      </x:c>
    </x:row>
    <x:row r="5427">
      <x:c r="A5427" t="str" s="2">
        <x:f>=HYPERLINK("https://rsms.futurehomex.com/lead/40758", "Marcus Smith")</x:f>
      </x:c>
      <x:c r="B5427" t="str" s="2">
        <x:v>Heritage Housing of Tulsa</x:v>
      </x:c>
      <x:c r="C5427" t="str" s="2">
        <x:v/>
      </x:c>
      <x:c r="D5427" t="str" s="2">
        <x:v>9185008785</x:v>
      </x:c>
      <x:c r="E5427" t="str" s="2">
        <x:v>dragonn701@gmail.com</x:v>
      </x:c>
      <x:c r="F5427" t="str" s="2">
        <x:v>Walk-in</x:v>
      </x:c>
      <x:c r="G5427" t="str" s="2">
        <x:v>Jenna Fransisco</x:v>
      </x:c>
      <x:c r="H5427" s="6">
        <x:v>46307.65075540509</x:v>
      </x:c>
      <x:c r="I5427" t="str" s="2">
        <x:v>Jenna Fransisco</x:v>
      </x:c>
      <x:c r="J5427" s="0"/>
      <x:c r="K5427" s="6">
        <x:v>46307</x:v>
      </x:c>
      <x:c r="L5427" t="str" s="2">
        <x:v>Message Sent</x:v>
      </x:c>
    </x:row>
    <x:row r="5428">
      <x:c r="A5428" t="str" s="2">
        <x:f>="Cardis Finley"</x:f>
      </x:c>
      <x:c r="B5428" t="str" s="2">
        <x:v>Heritage Housing Mt Pleasant</x:v>
      </x:c>
      <x:c r="C5428" t="str" s="2">
        <x:v/>
      </x:c>
      <x:c r="D5428" t="str" s="2">
        <x:v>9032386219</x:v>
      </x:c>
      <x:c r="E5428" t="str" s="2">
        <x:v>finleycardis1@gmail.com</x:v>
      </x:c>
      <x:c r="F5428" t="str" s="2">
        <x:v>Landing_BPM</x:v>
      </x:c>
      <x:c r="G5428" t="str" s="2">
        <x:v>Yarelis Torres</x:v>
      </x:c>
      <x:c r="H5428" s="6">
        <x:v>46307.662637002315</x:v>
      </x:c>
      <x:c r="I5428" s="0"/>
      <x:c r="J5428" s="0"/>
      <x:c r="K5428" s="6">
        <x:v>46307</x:v>
      </x:c>
      <x:c r="L5428" t="str" s="2">
        <x:v>Message Sent</x:v>
      </x:c>
    </x:row>
    <x:row r="5429">
      <x:c r="A5429" t="str" s="2">
        <x:f>="Ranielly Tequia Tequia"</x:f>
      </x:c>
      <x:c r="B5429" t="str" s="2">
        <x:v>Heritage Housing of Athens</x:v>
      </x:c>
      <x:c r="C5429" t="str" s="2">
        <x:v/>
      </x:c>
      <x:c r="D5429" t="str" s="2">
        <x:v>7708377254</x:v>
      </x:c>
      <x:c r="E5429" t="str" s="2">
        <x:v>rtequia28@gmail.com</x:v>
      </x:c>
      <x:c r="F5429" t="str" s="2">
        <x:v>Landing_BPM</x:v>
      </x:c>
      <x:c r="G5429" t="str" s="2">
        <x:v>Ethan Fossett</x:v>
      </x:c>
      <x:c r="H5429" s="6">
        <x:v>46307.70105795139</x:v>
      </x:c>
      <x:c r="I5429" s="0"/>
      <x:c r="J5429" s="0"/>
      <x:c r="K5429" s="6">
        <x:v>46307</x:v>
      </x:c>
      <x:c r="L5429" t="str" s="2">
        <x:v>Message Sent</x:v>
      </x:c>
    </x:row>
    <x:row r="5430">
      <x:c r="A5430" t="str" s="2">
        <x:f>="kaleigh brady"</x:f>
      </x:c>
      <x:c r="B5430" t="str" s="2">
        <x:v>Heritage Housing of Jennings</x:v>
      </x:c>
      <x:c r="C5430" t="str" s="2">
        <x:v/>
      </x:c>
      <x:c r="D5430" t="str" s="2">
        <x:v>9855075571</x:v>
      </x:c>
      <x:c r="E5430" t="str" s="2">
        <x:v>kaleighbrady913@gmail.com</x:v>
      </x:c>
      <x:c r="F5430" t="str" s="2">
        <x:v>Landing_BPM</x:v>
      </x:c>
      <x:c r="G5430" t="str" s="2">
        <x:v>Clint O'Neal</x:v>
      </x:c>
      <x:c r="H5430" s="6">
        <x:v>46307.71180975695</x:v>
      </x:c>
      <x:c r="I5430" s="0"/>
      <x:c r="J5430" s="0"/>
      <x:c r="K5430" s="6">
        <x:v>46308</x:v>
      </x:c>
      <x:c r="L5430" t="str" s="2">
        <x:v>Message Sent</x:v>
      </x:c>
    </x:row>
    <x:row r="5431">
      <x:c r="A5431" t="str" s="2">
        <x:f>="ryan dudley"</x:f>
      </x:c>
      <x:c r="B5431" t="str" s="2">
        <x:v>Legacy Housing Corp. DBA Americasa</x:v>
      </x:c>
      <x:c r="C5431" t="str" s="2">
        <x:v/>
      </x:c>
      <x:c r="D5431" t="str" s="2">
        <x:v>8329213730</x:v>
      </x:c>
      <x:c r="E5431" t="str" s="2">
        <x:v>dudleyryan95@gmail.com</x:v>
      </x:c>
      <x:c r="F5431" t="str" s="2">
        <x:v>Landing_BPM</x:v>
      </x:c>
      <x:c r="G5431" t="str" s="2">
        <x:v>Jose Parada</x:v>
      </x:c>
      <x:c r="H5431" s="6">
        <x:v>46307.73916866898</x:v>
      </x:c>
      <x:c r="I5431" s="0"/>
      <x:c r="J5431" s="0"/>
      <x:c r="K5431" s="6">
        <x:v>46307</x:v>
      </x:c>
      <x:c r="L5431" t="str" s="2">
        <x:v>Message Sent</x:v>
      </x:c>
    </x:row>
    <x:row r="5432">
      <x:c r="A5432" t="str" s="2">
        <x:f>="Joshua Blalock"</x:f>
      </x:c>
      <x:c r="B5432" t="str" s="2">
        <x:v>Heritage Housing of Tulsa</x:v>
      </x:c>
      <x:c r="C5432" t="str" s="2">
        <x:v/>
      </x:c>
      <x:c r="D5432" t="str" s="2">
        <x:v>806-277-9175</x:v>
      </x:c>
      <x:c r="E5432" t="str" s="2">
        <x:v>jcblalock83@gmail.com</x:v>
      </x:c>
      <x:c r="F5432" t="str" s="2">
        <x:v>Landing_BPM</x:v>
      </x:c>
      <x:c r="G5432" t="str" s="2">
        <x:v>Jenna Fransisco</x:v>
      </x:c>
      <x:c r="H5432" s="6">
        <x:v>46307.76176064815</x:v>
      </x:c>
      <x:c r="I5432" s="0"/>
      <x:c r="J5432" s="0"/>
      <x:c r="K5432" s="6">
        <x:v>46308</x:v>
      </x:c>
      <x:c r="L5432" t="str" s="2">
        <x:v>Message Sent</x:v>
      </x:c>
    </x:row>
    <x:row r="5433">
      <x:c r="A5433" t="str" s="2">
        <x:f>="Doris Long"</x:f>
      </x:c>
      <x:c r="B5433" t="str" s="2">
        <x:v>Heritage Housing of Tulsa</x:v>
      </x:c>
      <x:c r="C5433" t="str" s="2">
        <x:v/>
      </x:c>
      <x:c r="D5433" t="str" s="2">
        <x:v>5393702404</x:v>
      </x:c>
      <x:c r="E5433" t="str" s="2">
        <x:v>staydriven1960@gmail.com</x:v>
      </x:c>
      <x:c r="F5433" t="str" s="2">
        <x:v>Website</x:v>
      </x:c>
      <x:c r="G5433" t="str" s="2">
        <x:v>Jenna Fransisco</x:v>
      </x:c>
      <x:c r="H5433" s="6">
        <x:v>46307.78260957176</x:v>
      </x:c>
      <x:c r="I5433" s="0"/>
      <x:c r="J5433" s="0"/>
      <x:c r="K5433" s="6">
        <x:v>46308</x:v>
      </x:c>
      <x:c r="L5433" t="str" s="2">
        <x:v>Message Sent</x:v>
      </x:c>
    </x:row>
    <x:row r="5434">
      <x:c r="A5434" t="str" s="2">
        <x:f>="Jyasjah Gilyard"</x:f>
      </x:c>
      <x:c r="B5434" t="str" s="2">
        <x:v>Heritage Housing of Albany</x:v>
      </x:c>
      <x:c r="C5434" t="str" s="2">
        <x:v/>
      </x:c>
      <x:c r="D5434" t="str" s="2">
        <x:v>2299030001</x:v>
      </x:c>
      <x:c r="E5434" t="str" s="2">
        <x:v>emperistzackery@gmail.com</x:v>
      </x:c>
      <x:c r="F5434" t="str" s="2">
        <x:v>Financing Form</x:v>
      </x:c>
      <x:c r="G5434" t="str" s="2">
        <x:v>Yanet Alvarez</x:v>
      </x:c>
      <x:c r="H5434" s="6">
        <x:v>46307.794400810184</x:v>
      </x:c>
      <x:c r="I5434" s="0"/>
      <x:c r="J5434" s="0"/>
      <x:c r="K5434" s="6">
        <x:v>46307</x:v>
      </x:c>
      <x:c r="L5434" t="str" s="2">
        <x:v>Message Sent</x:v>
      </x:c>
    </x:row>
    <x:row r="5435">
      <x:c r="A5435" t="str" s="2">
        <x:f>="Joanna rozell rozell"</x:f>
      </x:c>
      <x:c r="B5435" t="str" s="2">
        <x:v>Legacy Housing Corp. DBA Americasa</x:v>
      </x:c>
      <x:c r="C5435" t="str" s="2">
        <x:v/>
      </x:c>
      <x:c r="D5435" t="str" s="2">
        <x:v>9367661951</x:v>
      </x:c>
      <x:c r="E5435" t="str" s="2">
        <x:v>joanna.rozell@icloud.com</x:v>
      </x:c>
      <x:c r="F5435" t="str" s="2">
        <x:v>Landing_BPM</x:v>
      </x:c>
      <x:c r="G5435" t="str" s="2">
        <x:v>Joey Marquez</x:v>
      </x:c>
      <x:c r="H5435" s="6">
        <x:v>46307.829237418984</x:v>
      </x:c>
      <x:c r="I5435" s="0"/>
      <x:c r="J5435" s="0"/>
      <x:c r="K5435" s="6">
        <x:v>46308</x:v>
      </x:c>
      <x:c r="L5435" t="str" s="2">
        <x:v>Message Sent</x:v>
      </x:c>
    </x:row>
    <x:row r="5436">
      <x:c r="A5436" t="str" s="2">
        <x:f>="Sno Thiemann Thiemann"</x:f>
      </x:c>
      <x:c r="B5436" t="str" s="2">
        <x:v>Heritage Housing of Tulsa</x:v>
      </x:c>
      <x:c r="C5436" t="str" s="2">
        <x:v/>
      </x:c>
      <x:c r="D5436" t="str" s="2">
        <x:v>6209600231</x:v>
      </x:c>
      <x:c r="E5436" t="str" s="2">
        <x:v>snothiemann@gmail.com</x:v>
      </x:c>
      <x:c r="F5436" t="str" s="2">
        <x:v>Landing_BPM</x:v>
      </x:c>
      <x:c r="G5436" t="str" s="2">
        <x:v>Jenna Fransisco</x:v>
      </x:c>
      <x:c r="H5436" s="6">
        <x:v>46307.83012974537</x:v>
      </x:c>
      <x:c r="I5436" s="0"/>
      <x:c r="J5436" s="0"/>
      <x:c r="K5436" s="6">
        <x:v>46308</x:v>
      </x:c>
      <x:c r="L5436" t="str" s="2">
        <x:v>Message Sent</x:v>
      </x:c>
    </x:row>
    <x:row r="5437">
      <x:c r="A5437" t="str" s="2">
        <x:f>="Mandy Parchman"</x:f>
      </x:c>
      <x:c r="B5437" t="str" s="2">
        <x:v>Heritage Housing Mt Pleasant</x:v>
      </x:c>
      <x:c r="C5437" t="str" s="2">
        <x:v/>
      </x:c>
      <x:c r="D5437" t="str" s="2">
        <x:v>3187797888</x:v>
      </x:c>
      <x:c r="E5437" t="str" s="2">
        <x:v>mandyparchman76@gmail.com</x:v>
      </x:c>
      <x:c r="F5437" t="str" s="2">
        <x:v>Landing_BPM</x:v>
      </x:c>
      <x:c r="G5437" t="str" s="2">
        <x:v>Elias Gallardo</x:v>
      </x:c>
      <x:c r="H5437" s="6">
        <x:v>46307.886542280095</x:v>
      </x:c>
      <x:c r="I5437" s="0"/>
      <x:c r="J5437" s="0"/>
      <x:c r="K5437" s="6">
        <x:v>46307</x:v>
      </x:c>
      <x:c r="L5437" t="str" s="2">
        <x:v>Message Sent</x:v>
      </x:c>
    </x:row>
    <x:row r="5438">
      <x:c r="A5438" t="str" s="2">
        <x:f>="Iyanla Mccloud"</x:f>
      </x:c>
      <x:c r="B5438" t="str" s="2">
        <x:v>Heritage Housing of Athens</x:v>
      </x:c>
      <x:c r="C5438" t="str" s="2">
        <x:v/>
      </x:c>
      <x:c r="D5438" t="str" s="2">
        <x:v>2298860463</x:v>
      </x:c>
      <x:c r="E5438" t="str" s="2">
        <x:v>mccloudiyanla@gmail.com</x:v>
      </x:c>
      <x:c r="F5438" t="str" s="2">
        <x:v>Landing_BPM</x:v>
      </x:c>
      <x:c r="G5438" t="str" s="2">
        <x:v>Ethan Fossett</x:v>
      </x:c>
      <x:c r="H5438" s="6">
        <x:v>46307.89623306713</x:v>
      </x:c>
      <x:c r="I5438" s="0"/>
      <x:c r="J5438" s="0"/>
      <x:c r="K5438" s="6">
        <x:v>46307</x:v>
      </x:c>
      <x:c r="L5438" t="str" s="2">
        <x:v>Message Sent</x:v>
      </x:c>
    </x:row>
    <x:row r="5439">
      <x:c r="A5439" t="str" s="2">
        <x:f>="Hugo Castro"</x:f>
      </x:c>
      <x:c r="B5439" t="str" s="2">
        <x:v>Heritage Housing of Asheboro</x:v>
      </x:c>
      <x:c r="C5439" t="str" s="2">
        <x:v/>
      </x:c>
      <x:c r="D5439" t="str" s="2">
        <x:v>3369423425</x:v>
      </x:c>
      <x:c r="E5439" t="str" s="2">
        <x:v>hugocastrovergara65@gmail.com</x:v>
      </x:c>
      <x:c r="F5439" t="str" s="2">
        <x:v>Meta Ads - Forms</x:v>
      </x:c>
      <x:c r="G5439" t="str" s="2">
        <x:v>Maria Lopez</x:v>
      </x:c>
      <x:c r="H5439" s="6">
        <x:v>46307.91492986111</x:v>
      </x:c>
      <x:c r="I5439" s="0"/>
      <x:c r="J5439" s="0"/>
      <x:c r="K5439" s="6">
        <x:v>46307</x:v>
      </x:c>
      <x:c r="L5439" t="str" s="2">
        <x:v>Message Sent</x:v>
      </x:c>
    </x:row>
    <x:row r="5440">
      <x:c r="A5440" t="str" s="2">
        <x:f>="Alexsandra Reed"</x:f>
      </x:c>
      <x:c r="B5440" t="str" s="2">
        <x:v>Legacy Housing Corp. DBA Americasa</x:v>
      </x:c>
      <x:c r="C5440" t="str" s="2">
        <x:v/>
      </x:c>
      <x:c r="D5440" t="str" s="2">
        <x:v>3466072236</x:v>
      </x:c>
      <x:c r="E5440" t="str" s="2">
        <x:v>Bebecakes26@icloud.com</x:v>
      </x:c>
      <x:c r="F5440" t="str" s="2">
        <x:v>Landing_BPM</x:v>
      </x:c>
      <x:c r="G5440" t="str" s="2">
        <x:v>Joey Marquez</x:v>
      </x:c>
      <x:c r="H5440" s="6">
        <x:v>46307.91661670139</x:v>
      </x:c>
      <x:c r="I5440" s="0"/>
      <x:c r="J5440" s="0"/>
      <x:c r="K5440" s="6">
        <x:v>46308</x:v>
      </x:c>
      <x:c r="L5440" t="str" s="2">
        <x:v>Message Sent</x:v>
      </x:c>
    </x:row>
    <x:row r="5441">
      <x:c r="A5441" t="str" s="2">
        <x:f>="Sheila Harrison"</x:f>
      </x:c>
      <x:c r="B5441" t="str" s="2">
        <x:v>Heritage Housing of Jennings</x:v>
      </x:c>
      <x:c r="C5441" t="str" s="2">
        <x:v/>
      </x:c>
      <x:c r="D5441" t="str" s="2">
        <x:v>3374250775</x:v>
      </x:c>
      <x:c r="E5441" t="str" s="2">
        <x:v>harrisonsheila33@gmail.com</x:v>
      </x:c>
      <x:c r="F5441" t="str" s="2">
        <x:v>LandingPage</x:v>
      </x:c>
      <x:c r="G5441" t="str" s="2">
        <x:v>Clint O'Neal</x:v>
      </x:c>
      <x:c r="H5441" s="6">
        <x:v>46307.93311813657</x:v>
      </x:c>
      <x:c r="I5441" s="0"/>
      <x:c r="J5441" s="0"/>
      <x:c r="K5441" s="6">
        <x:v>46308</x:v>
      </x:c>
      <x:c r="L5441" t="str" s="2">
        <x:v>Message Sent</x:v>
      </x:c>
    </x:row>
    <x:row r="5442">
      <x:c r="A5442" t="str" s="2">
        <x:f>="Gabrielle Lawson"</x:f>
      </x:c>
      <x:c r="B5442" t="str" s="2">
        <x:v>Heritage Housing of Albany</x:v>
      </x:c>
      <x:c r="C5442" t="str" s="2">
        <x:v/>
      </x:c>
      <x:c r="D5442" t="str" s="2">
        <x:v>2295000178</x:v>
      </x:c>
      <x:c r="E5442" t="str" s="2">
        <x:v>kashmiere23@gmail.com</x:v>
      </x:c>
      <x:c r="F5442" t="str" s="2">
        <x:v>Landing_BPM</x:v>
      </x:c>
      <x:c r="G5442" t="str" s="2">
        <x:v>Yanet Alvarez</x:v>
      </x:c>
      <x:c r="H5442" s="6">
        <x:v>46307.93699494213</x:v>
      </x:c>
      <x:c r="I5442" s="0"/>
      <x:c r="J5442" s="0"/>
      <x:c r="K5442" s="6">
        <x:v>46307</x:v>
      </x:c>
      <x:c r="L5442" t="str" s="2">
        <x:v>Message Sent</x:v>
      </x:c>
    </x:row>
    <x:row r="5443">
      <x:c r="A5443" t="str" s="2">
        <x:f>="Gerardo Gomez"</x:f>
      </x:c>
      <x:c r="B5443" t="str" s="2">
        <x:v>Heritage Housing Mt Pleasant</x:v>
      </x:c>
      <x:c r="C5443" t="str" s="2">
        <x:v/>
      </x:c>
      <x:c r="D5443" t="str" s="2">
        <x:v>2544039975</x:v>
      </x:c>
      <x:c r="E5443" t="str" s="2">
        <x:v>amadorsami09@gmail.com</x:v>
      </x:c>
      <x:c r="F5443" t="str" s="2">
        <x:v>Website</x:v>
      </x:c>
      <x:c r="G5443" t="str" s="2">
        <x:v>Sandra Saldana</x:v>
      </x:c>
      <x:c r="H5443" s="6">
        <x:v>46307.941722881944</x:v>
      </x:c>
      <x:c r="I5443" s="0"/>
      <x:c r="J5443" s="0"/>
      <x:c r="K5443" s="6">
        <x:v>46307</x:v>
      </x:c>
      <x:c r="L5443" t="str" s="2">
        <x:v>Message Sent</x:v>
      </x:c>
    </x:row>
    <x:row r="5444">
      <x:c r="A5444" t="str" s="2">
        <x:f>="Darrius Hooper"</x:f>
      </x:c>
      <x:c r="B5444" t="str" s="2">
        <x:v>Heritage Housing of Greenville</x:v>
      </x:c>
      <x:c r="C5444" t="str" s="2">
        <x:v>1/1</x:v>
      </x:c>
      <x:c r="D5444" t="str" s="2">
        <x:v>9294488936</x:v>
      </x:c>
      <x:c r="E5444" t="str" s="2">
        <x:v>darriushooper1990@gmail.com</x:v>
      </x:c>
      <x:c r="F5444" t="str" s="2">
        <x:v>Landing_BPM</x:v>
      </x:c>
      <x:c r="G5444" t="str" s="2">
        <x:v>Greg Christman</x:v>
      </x:c>
      <x:c r="H5444" s="6">
        <x:v>46307.94760234954</x:v>
      </x:c>
      <x:c r="I5444" s="0"/>
      <x:c r="J5444" s="0"/>
      <x:c r="K5444" s="6">
        <x:v>46308</x:v>
      </x:c>
      <x:c r="L5444" t="str" s="2">
        <x:v>Message Sent</x:v>
      </x:c>
    </x:row>
    <x:row r="5445">
      <x:c r="A5445" t="str" s="2">
        <x:f>="Sierra Roark"</x:f>
      </x:c>
      <x:c r="B5445" t="str" s="2">
        <x:v>Heritage Housing of Tulsa</x:v>
      </x:c>
      <x:c r="C5445" t="str" s="2">
        <x:v/>
      </x:c>
      <x:c r="D5445" t="str" s="2">
        <x:v>5392933016</x:v>
      </x:c>
      <x:c r="E5445" t="str" s="2">
        <x:v>jadeskull606@gmail.com</x:v>
      </x:c>
      <x:c r="F5445" t="str" s="2">
        <x:v>Landing_BPM</x:v>
      </x:c>
      <x:c r="G5445" t="str" s="2">
        <x:v>Jenna Fransisco</x:v>
      </x:c>
      <x:c r="H5445" s="6">
        <x:v>46307.9809321412</x:v>
      </x:c>
      <x:c r="I5445" s="0"/>
      <x:c r="J5445" s="0"/>
      <x:c r="K5445" s="6">
        <x:v>46308</x:v>
      </x:c>
      <x:c r="L5445" t="str" s="2">
        <x:v>Message Sent</x:v>
      </x:c>
    </x:row>
    <x:row r="5446">
      <x:c r="A5446" t="str" s="2">
        <x:f>="Jamie Jones"</x:f>
      </x:c>
      <x:c r="B5446" t="str" s="2">
        <x:v>Heritage Housing of Oklahoma City</x:v>
      </x:c>
      <x:c r="C5446" t="str" s="2">
        <x:v>0/1</x:v>
      </x:c>
      <x:c r="D5446" t="str" s="2">
        <x:v>5808901286</x:v>
      </x:c>
      <x:c r="E5446" t="str" s="2">
        <x:v>jj.skullz.15@gmail.com</x:v>
      </x:c>
      <x:c r="F5446" t="str" s="2">
        <x:v>Financing Form</x:v>
      </x:c>
      <x:c r="G5446" t="str" s="2">
        <x:v>Steve Castell</x:v>
      </x:c>
      <x:c r="H5446" s="6">
        <x:v>46206.148894756945</x:v>
      </x:c>
      <x:c r="I5446" s="0"/>
      <x:c r="J5446" s="0"/>
      <x:c r="K5446" s="6">
        <x:v>46212</x:v>
      </x:c>
      <x:c r="L5446" t="str" s="2">
        <x:v>New</x:v>
      </x:c>
    </x:row>
    <x:row r="5447">
      <x:c r="A5447" t="str" s="2">
        <x:f>="Richard Turner"</x:f>
      </x:c>
      <x:c r="B5447" t="str" s="2">
        <x:v>Heritage Housing of Canton</x:v>
      </x:c>
      <x:c r="C5447" t="str" s="2">
        <x:v/>
      </x:c>
      <x:c r="D5447" t="str" s="2">
        <x:v>9725228737</x:v>
      </x:c>
      <x:c r="E5447" t="str" s="2">
        <x:v>mktrnr9@gmail.com</x:v>
      </x:c>
      <x:c r="F5447" t="str" s="2">
        <x:v>Meta Ads - Forms</x:v>
      </x:c>
      <x:c r="G5447" t="str" s="2">
        <x:v>Jacob Hatten</x:v>
      </x:c>
      <x:c r="H5447" s="6">
        <x:v>46207.18095980324</x:v>
      </x:c>
      <x:c r="I5447" s="0"/>
      <x:c r="J5447" s="0"/>
      <x:c r="K5447" s="6">
        <x:v>46230</x:v>
      </x:c>
      <x:c r="L5447" t="str" s="2">
        <x:v>New</x:v>
      </x:c>
    </x:row>
    <x:row r="5448">
      <x:c r="A5448" t="str" s="2">
        <x:f>=HYPERLINK("https://rsms.futurehomex.com/lead/38287", "Beth Earnest")</x:f>
      </x:c>
      <x:c r="B5448" t="str" s="2">
        <x:v>Heritage Housing of Oklahoma City</x:v>
      </x:c>
      <x:c r="C5448" t="str" s="2">
        <x:v>0/1</x:v>
      </x:c>
      <x:c r="D5448" t="str" s="2">
        <x:v>4055712318</x:v>
      </x:c>
      <x:c r="E5448" t="str" s="2">
        <x:v>pug9962@gmail.com</x:v>
      </x:c>
      <x:c r="F5448" t="str" s="2">
        <x:v>Meta Ads - Forms</x:v>
      </x:c>
      <x:c r="G5448" t="str" s="2">
        <x:v>Trey Rixleben</x:v>
      </x:c>
      <x:c r="H5448" s="6">
        <x:v>46207.18278865741</x:v>
      </x:c>
      <x:c r="I5448" t="str" s="2">
        <x:v>Trey Rixleben</x:v>
      </x:c>
      <x:c r="J5448" s="0"/>
      <x:c r="K5448" s="6">
        <x:v>46209</x:v>
      </x:c>
      <x:c r="L5448" t="str" s="2">
        <x:v>New</x:v>
      </x:c>
    </x:row>
    <x:row r="5449">
      <x:c r="A5449" t="str" s="2">
        <x:f>="Karen Bowling"</x:f>
      </x:c>
      <x:c r="B5449" t="str" s="2">
        <x:v>Heritage Housing of Athens</x:v>
      </x:c>
      <x:c r="C5449" t="str" s="2">
        <x:v/>
      </x:c>
      <x:c r="D5449" t="str" s="2">
        <x:v>8135410972</x:v>
      </x:c>
      <x:c r="E5449" t="str" s="2">
        <x:v>kb2525steven@gmail.com</x:v>
      </x:c>
      <x:c r="F5449" t="str" s="2">
        <x:v>Meta Ads - Forms</x:v>
      </x:c>
      <x:c r="G5449" t="str" s="2">
        <x:v>Ethan Fossett</x:v>
      </x:c>
      <x:c r="H5449" s="6">
        <x:v>46208.48338695602</x:v>
      </x:c>
      <x:c r="I5449" s="0"/>
      <x:c r="J5449" s="0"/>
      <x:c r="K5449" s="6">
        <x:v>46266</x:v>
      </x:c>
      <x:c r="L5449" t="str" s="2">
        <x:v>New</x:v>
      </x:c>
    </x:row>
    <x:row r="5450">
      <x:c r="A5450" t="str" s="2">
        <x:f>=HYPERLINK("https://rsms.futurehomex.com/lead/38375", "Scuba Steve")</x:f>
      </x:c>
      <x:c r="B5450" t="str" s="2">
        <x:v>Heritage Housing of Oklahoma City</x:v>
      </x:c>
      <x:c r="C5450" t="str" s="2">
        <x:v/>
      </x:c>
      <x:c r="D5450" t="str" s="2">
        <x:v>4056844636</x:v>
      </x:c>
      <x:c r="E5450" t="str" s="2">
        <x:v>jscastell@gmail.com</x:v>
      </x:c>
      <x:c r="F5450" t="str" s="2">
        <x:v>Facebook Messenger</x:v>
      </x:c>
      <x:c r="G5450" t="str" s="2">
        <x:v>Steve Castell</x:v>
      </x:c>
      <x:c r="H5450" s="6">
        <x:v>46212.80048434028</x:v>
      </x:c>
      <x:c r="I5450" t="str" s="2">
        <x:v>Steve Castell</x:v>
      </x:c>
      <x:c r="J5450" s="0"/>
      <x:c r="K5450" s="6">
        <x:v>46212.80975162037</x:v>
      </x:c>
      <x:c r="L5450" t="str" s="2">
        <x:v>New</x:v>
      </x:c>
    </x:row>
    <x:row r="5451">
      <x:c r="A5451" t="str" s="2">
        <x:f>="Joseline Orta"</x:f>
      </x:c>
      <x:c r="B5451" t="str" s="2">
        <x:v>Heritage Housing of Oklahoma City</x:v>
      </x:c>
      <x:c r="C5451" t="str" s="2">
        <x:v>0/1</x:v>
      </x:c>
      <x:c r="D5451" t="str" s="2">
        <x:v>5725721132</x:v>
      </x:c>
      <x:c r="E5451" t="str" s="2">
        <x:v>crystalorta13@gmail.com</x:v>
      </x:c>
      <x:c r="F5451" t="str" s="2">
        <x:v>Financing Form</x:v>
      </x:c>
      <x:c r="G5451" t="str" s="2">
        <x:v>Trey Rixleben</x:v>
      </x:c>
      <x:c r="H5451" s="6">
        <x:v>46213.77856612269</x:v>
      </x:c>
      <x:c r="I5451" s="0"/>
      <x:c r="J5451" s="0"/>
      <x:c r="K5451" s="6">
        <x:v>46213</x:v>
      </x:c>
      <x:c r="L5451" t="str" s="2">
        <x:v>New</x:v>
      </x:c>
    </x:row>
    <x:row r="5452">
      <x:c r="A5452" t="str" s="2">
        <x:f>="Michelle Tarver"</x:f>
      </x:c>
      <x:c r="B5452" t="str" s="2">
        <x:v>Heritage Housing of Augusta</x:v>
      </x:c>
      <x:c r="C5452" t="str" s="2">
        <x:v/>
      </x:c>
      <x:c r="D5452" t="str" s="2">
        <x:v>7068718370</x:v>
      </x:c>
      <x:c r="E5452" t="str" s="2">
        <x:v>queenofbrownskin@gmail.com</x:v>
      </x:c>
      <x:c r="F5452" t="str" s="2">
        <x:v>Meta Ads - Forms</x:v>
      </x:c>
      <x:c r="G5452" t="str" s="2">
        <x:v>Kyara Casanova</x:v>
      </x:c>
      <x:c r="H5452" s="6">
        <x:v>46216.32362862268</x:v>
      </x:c>
      <x:c r="I5452" s="0"/>
      <x:c r="J5452" s="0"/>
      <x:c r="K5452" s="6">
        <x:v>46221</x:v>
      </x:c>
      <x:c r="L5452" t="str" s="2">
        <x:v>New</x:v>
      </x:c>
    </x:row>
    <x:row r="5453">
      <x:c r="A5453" t="str" s="2">
        <x:f>="Leeza Malone"</x:f>
      </x:c>
      <x:c r="B5453" t="str" s="2">
        <x:v>Heritage Housing of Jennings</x:v>
      </x:c>
      <x:c r="C5453" t="str" s="2">
        <x:v/>
      </x:c>
      <x:c r="D5453" t="str" s="2">
        <x:v>3373443406</x:v>
      </x:c>
      <x:c r="E5453" t="str" s="2">
        <x:v>leezamalone121@gmail.com</x:v>
      </x:c>
      <x:c r="F5453" t="str" s="2">
        <x:v>Financing Form</x:v>
      </x:c>
      <x:c r="G5453" t="str" s="2">
        <x:v>Clint O'Neal</x:v>
      </x:c>
      <x:c r="H5453" s="6">
        <x:v>46216.9882974537</x:v>
      </x:c>
      <x:c r="I5453" s="0"/>
      <x:c r="J5453" s="0"/>
      <x:c r="K5453" s="6">
        <x:v>46217</x:v>
      </x:c>
      <x:c r="L5453" t="str" s="2">
        <x:v>New</x:v>
      </x:c>
    </x:row>
    <x:row r="5454">
      <x:c r="A5454" t="str" s="2">
        <x:f>="Angel Barnett"</x:f>
      </x:c>
      <x:c r="B5454" t="str" s="2">
        <x:v>Heritage Housing of Oklahoma City</x:v>
      </x:c>
      <x:c r="C5454" t="str" s="2">
        <x:v>0/2</x:v>
      </x:c>
      <x:c r="D5454" t="str" s="2">
        <x:v>4053261415</x:v>
      </x:c>
      <x:c r="E5454" t="str" s="2">
        <x:v>angelbarnett307@gmail.com</x:v>
      </x:c>
      <x:c r="F5454" t="str" s="2">
        <x:v>Financing Form</x:v>
      </x:c>
      <x:c r="G5454" t="str" s="2">
        <x:v>Steve Castell</x:v>
      </x:c>
      <x:c r="H5454" s="6">
        <x:v>46217.569016863425</x:v>
      </x:c>
      <x:c r="I5454" s="0"/>
      <x:c r="J5454" s="0"/>
      <x:c r="K5454" s="6">
        <x:v>46231</x:v>
      </x:c>
      <x:c r="L5454" t="str" s="2">
        <x:v>New</x:v>
      </x:c>
    </x:row>
    <x:row r="5455">
      <x:c r="A5455" t="str" s="2">
        <x:f>="Evelyn Barnes"</x:f>
      </x:c>
      <x:c r="B5455" t="str" s="2">
        <x:v>Heritage Housing of Augusta</x:v>
      </x:c>
      <x:c r="C5455" t="str" s="2">
        <x:v/>
      </x:c>
      <x:c r="D5455" t="str" s="2">
        <x:v>7065729194</x:v>
      </x:c>
      <x:c r="E5455" t="str" s="2">
        <x:v>rbarnes3091974@gmail.com</x:v>
      </x:c>
      <x:c r="F5455" t="str" s="2">
        <x:v>Meta Ads - Forms</x:v>
      </x:c>
      <x:c r="G5455" t="str" s="2">
        <x:v>Jose Chavez</x:v>
      </x:c>
      <x:c r="H5455" s="6">
        <x:v>46218.45062434028</x:v>
      </x:c>
      <x:c r="I5455" s="0"/>
      <x:c r="J5455" s="0"/>
      <x:c r="K5455" s="6">
        <x:v>46273</x:v>
      </x:c>
      <x:c r="L5455" t="str" s="2">
        <x:v>New</x:v>
      </x:c>
    </x:row>
    <x:row r="5456">
      <x:c r="A5456" t="str" s="2">
        <x:f>="Juan Ramon Moran"</x:f>
      </x:c>
      <x:c r="B5456" t="str" s="2">
        <x:v>Heritage Housing of Augusta</x:v>
      </x:c>
      <x:c r="C5456" t="str" s="2">
        <x:v>0/1</x:v>
      </x:c>
      <x:c r="D5456" t="str" s="2">
        <x:v>3524761061</x:v>
      </x:c>
      <x:c r="E5456" t="str" s="2">
        <x:v>Juanramonmoran67@gmail.com</x:v>
      </x:c>
      <x:c r="F5456" t="str" s="2">
        <x:v>Meta Ads - Forms</x:v>
      </x:c>
      <x:c r="G5456" t="str" s="2">
        <x:v>Jose Chavez</x:v>
      </x:c>
      <x:c r="H5456" s="6">
        <x:v>46219.72283880787</x:v>
      </x:c>
      <x:c r="I5456" s="0"/>
      <x:c r="J5456" s="0"/>
      <x:c r="K5456" s="6">
        <x:v>46274</x:v>
      </x:c>
      <x:c r="L5456" t="str" s="2">
        <x:v>New</x:v>
      </x:c>
    </x:row>
    <x:row r="5457">
      <x:c r="A5457" t="str" s="2">
        <x:f>="Joyce Cash"</x:f>
      </x:c>
      <x:c r="B5457" t="str" s="2">
        <x:v>Heritage Housing of Oklahoma City</x:v>
      </x:c>
      <x:c r="C5457" t="str" s="2">
        <x:v>0/1</x:v>
      </x:c>
      <x:c r="D5457" t="str" s="2">
        <x:v>5722358794</x:v>
      </x:c>
      <x:c r="E5457" t="str" s="2">
        <x:v>cashjoyce510@gmail.com</x:v>
      </x:c>
      <x:c r="F5457" t="str" s="2">
        <x:v>LandingPage</x:v>
      </x:c>
      <x:c r="G5457" t="str" s="2">
        <x:v>Steve Castell</x:v>
      </x:c>
      <x:c r="H5457" s="6">
        <x:v>46221.90462372685</x:v>
      </x:c>
      <x:c r="I5457" s="0"/>
      <x:c r="J5457" s="0"/>
      <x:c r="K5457" s="6">
        <x:v>46227</x:v>
      </x:c>
      <x:c r="L5457" t="str" s="2">
        <x:v>New</x:v>
      </x:c>
    </x:row>
    <x:row r="5458">
      <x:c r="A5458" t="str" s="2">
        <x:f>="Tonya Spence"</x:f>
      </x:c>
      <x:c r="B5458" t="str" s="2">
        <x:v>Heritage Housing of Canton</x:v>
      </x:c>
      <x:c r="C5458" t="str" s="2">
        <x:v/>
      </x:c>
      <x:c r="D5458" t="str" s="2">
        <x:v>2149802751</x:v>
      </x:c>
      <x:c r="E5458" t="str" s="2">
        <x:v>spencet684@gmail.com</x:v>
      </x:c>
      <x:c r="F5458" t="str" s="2">
        <x:v>Meta Ads - Forms</x:v>
      </x:c>
      <x:c r="G5458" t="str" s="2">
        <x:v>Maira Garcia</x:v>
      </x:c>
      <x:c r="H5458" s="6">
        <x:v>46226.16327966435</x:v>
      </x:c>
      <x:c r="I5458" s="0"/>
      <x:c r="J5458" s="0"/>
      <x:c r="K5458" s="6">
        <x:v>46259</x:v>
      </x:c>
      <x:c r="L5458" t="str" s="2">
        <x:v>New</x:v>
      </x:c>
    </x:row>
    <x:row r="5459">
      <x:c r="A5459" t="str" s="2">
        <x:f>=HYPERLINK("https://rsms.futurehomex.com/lead/38857", "Deborah Mcdaniel Mcdaniel")</x:f>
      </x:c>
      <x:c r="B5459" t="str" s="2">
        <x:v>Heritage Housing of Athens</x:v>
      </x:c>
      <x:c r="C5459" t="str" s="2">
        <x:v/>
      </x:c>
      <x:c r="D5459" t="str" s="2">
        <x:v>7703105383</x:v>
      </x:c>
      <x:c r="E5459" t="str" s="2">
        <x:v>deborahmcdaniel1@yahoo.co</x:v>
      </x:c>
      <x:c r="F5459" t="str" s="2">
        <x:v>Landing_BPM</x:v>
      </x:c>
      <x:c r="G5459" t="str" s="2">
        <x:v>Brian Amato</x:v>
      </x:c>
      <x:c r="H5459" s="6">
        <x:v>46231.7261306713</x:v>
      </x:c>
      <x:c r="I5459" t="str" s="2">
        <x:v>Faye Lively</x:v>
      </x:c>
      <x:c r="J5459" s="0"/>
      <x:c r="K5459" s="6">
        <x:v>46234</x:v>
      </x:c>
      <x:c r="L5459" t="str" s="2">
        <x:v>New</x:v>
      </x:c>
    </x:row>
    <x:row r="5460">
      <x:c r="A5460" t="str" s="2">
        <x:f>="Eric McCoy"</x:f>
      </x:c>
      <x:c r="B5460" t="str" s="2">
        <x:v>Heritage Housing of Oklahoma City</x:v>
      </x:c>
      <x:c r="C5460" t="str" s="2">
        <x:v>0/2</x:v>
      </x:c>
      <x:c r="D5460" t="str" s="2">
        <x:v>5722466033</x:v>
      </x:c>
      <x:c r="E5460" t="str" s="2">
        <x:v>ericmccoy29@icloud.com</x:v>
      </x:c>
      <x:c r="F5460" t="str" s="2">
        <x:v>Financing Form</x:v>
      </x:c>
      <x:c r="G5460" t="str" s="2">
        <x:v>Steve Castell</x:v>
      </x:c>
      <x:c r="H5460" s="6">
        <x:v>46233.299312696756</x:v>
      </x:c>
      <x:c r="I5460" s="0"/>
      <x:c r="J5460" s="0"/>
      <x:c r="K5460" s="6">
        <x:v>46245</x:v>
      </x:c>
      <x:c r="L5460" t="str" s="2">
        <x:v>New</x:v>
      </x:c>
    </x:row>
    <x:row r="5461">
      <x:c r="A5461" t="str" s="2">
        <x:f>="Christina Arvie Arvie"</x:f>
      </x:c>
      <x:c r="B5461" t="str" s="2">
        <x:v>Heritage Housing of Greenville</x:v>
      </x:c>
      <x:c r="C5461" t="str" s="2">
        <x:v/>
      </x:c>
      <x:c r="D5461" t="str" s="2">
        <x:v>6822166196</x:v>
      </x:c>
      <x:c r="E5461" t="str" s="2">
        <x:v>tukeschristina957@gmail.com</x:v>
      </x:c>
      <x:c r="F5461" t="str" s="2">
        <x:v>Landing_BPM</x:v>
      </x:c>
      <x:c r="G5461" t="str" s="2">
        <x:v>Greg Christman</x:v>
      </x:c>
      <x:c r="H5461" s="6">
        <x:v>46234.97772052083</x:v>
      </x:c>
      <x:c r="I5461" s="0"/>
      <x:c r="J5461" s="0"/>
      <x:c r="K5461" s="0"/>
      <x:c r="L5461" t="str" s="2">
        <x:v>New</x:v>
      </x:c>
    </x:row>
    <x:row r="5462">
      <x:c r="A5462" t="str" s="2">
        <x:f>="Ricardo Lopez Lopez"</x:f>
      </x:c>
      <x:c r="B5462" t="str" s="2">
        <x:v>Heritage Housing of Oklahoma City</x:v>
      </x:c>
      <x:c r="C5462" t="str" s="2">
        <x:v>1/1</x:v>
      </x:c>
      <x:c r="D5462" t="str" s="2">
        <x:v>4055318510</x:v>
      </x:c>
      <x:c r="E5462" t="str" s="2">
        <x:v>richi2556@gmail.con</x:v>
      </x:c>
      <x:c r="F5462" t="str" s="2">
        <x:v>Landing_BPM</x:v>
      </x:c>
      <x:c r="G5462" t="str" s="2">
        <x:v>Steve Castell</x:v>
      </x:c>
      <x:c r="H5462" s="6">
        <x:v>46235.949803738426</x:v>
      </x:c>
      <x:c r="I5462" s="0"/>
      <x:c r="J5462" s="0"/>
      <x:c r="K5462" s="6">
        <x:v>46237</x:v>
      </x:c>
      <x:c r="L5462" t="str" s="2">
        <x:v>New</x:v>
      </x:c>
    </x:row>
    <x:row r="5463">
      <x:c r="A5463" t="str" s="2">
        <x:f>="Alexandra Gonzalez-Tricoche"</x:f>
      </x:c>
      <x:c r="B5463" t="str" s="2">
        <x:v>Legacy Housing Corp. DBA Americasa</x:v>
      </x:c>
      <x:c r="C5463" t="str" s="2">
        <x:v/>
      </x:c>
      <x:c r="D5463" t="str" s="2">
        <x:v>9792156114</x:v>
      </x:c>
      <x:c r="E5463" t="str" s="2">
        <x:v>allyjacjac@outlook.com</x:v>
      </x:c>
      <x:c r="F5463" t="str" s="2">
        <x:v>Financing Form</x:v>
      </x:c>
      <x:c r="G5463" t="str" s="2">
        <x:v>Jose Parada</x:v>
      </x:c>
      <x:c r="H5463" s="6">
        <x:v>46236.61619609954</x:v>
      </x:c>
      <x:c r="I5463" s="0"/>
      <x:c r="J5463" s="0"/>
      <x:c r="K5463" s="6">
        <x:v>46296</x:v>
      </x:c>
      <x:c r="L5463" t="str" s="2">
        <x:v>New</x:v>
      </x:c>
    </x:row>
    <x:row r="5464">
      <x:c r="A5464" t="str" s="2">
        <x:f>="Janice Savage Savage"</x:f>
      </x:c>
      <x:c r="B5464" t="str" s="2">
        <x:v>Heritage Housing of Athens</x:v>
      </x:c>
      <x:c r="C5464" t="str" s="2">
        <x:v/>
      </x:c>
      <x:c r="D5464" t="str" s="2">
        <x:v>7703597726</x:v>
      </x:c>
      <x:c r="E5464" t="str" s="2">
        <x:v>jlc112368@gmail.com</x:v>
      </x:c>
      <x:c r="F5464" t="str" s="2">
        <x:v>Landing_BPM</x:v>
      </x:c>
      <x:c r="G5464" t="str" s="2">
        <x:v>Nathan Bishop</x:v>
      </x:c>
      <x:c r="H5464" s="6">
        <x:v>46238.63182908565</x:v>
      </x:c>
      <x:c r="I5464" s="0"/>
      <x:c r="J5464" s="0"/>
      <x:c r="K5464" s="6">
        <x:v>46283</x:v>
      </x:c>
      <x:c r="L5464" t="str" s="2">
        <x:v>New</x:v>
      </x:c>
    </x:row>
    <x:row r="5465">
      <x:c r="A5465" t="str" s="2">
        <x:f>="TONAWA KALU"</x:f>
      </x:c>
      <x:c r="B5465" t="str" s="2">
        <x:v>Heritage Housing of Greenville</x:v>
      </x:c>
      <x:c r="C5465" t="str" s="2">
        <x:v/>
      </x:c>
      <x:c r="D5465" t="str" s="2">
        <x:v>4698617361</x:v>
      </x:c>
      <x:c r="E5465" t="str" s="2">
        <x:v>tonawathegreat@gmail.com</x:v>
      </x:c>
      <x:c r="F5465" t="str" s="2">
        <x:v>Financing Form</x:v>
      </x:c>
      <x:c r="G5465" t="str" s="2">
        <x:v>Greg Christman</x:v>
      </x:c>
      <x:c r="H5465" s="6">
        <x:v>46241.62228082176</x:v>
      </x:c>
      <x:c r="I5465" s="0"/>
      <x:c r="J5465" s="0"/>
      <x:c r="K5465" s="0"/>
      <x:c r="L5465" t="str" s="2">
        <x:v>New</x:v>
      </x:c>
    </x:row>
    <x:row r="5466">
      <x:c r="A5466" t="str" s="2">
        <x:f>="Kenazeya Lundy"</x:f>
      </x:c>
      <x:c r="B5466" t="str" s="2">
        <x:v>Heritage Housing of Athens</x:v>
      </x:c>
      <x:c r="C5466" t="str" s="2">
        <x:v/>
      </x:c>
      <x:c r="D5466" t="str" s="2">
        <x:v>4783572047</x:v>
      </x:c>
      <x:c r="E5466" t="str" s="2">
        <x:v>kenazeyalundy@gmail.com</x:v>
      </x:c>
      <x:c r="F5466" t="str" s="2">
        <x:v>Landing_BPM</x:v>
      </x:c>
      <x:c r="G5466" t="str" s="2">
        <x:v>Nathan Bishop</x:v>
      </x:c>
      <x:c r="H5466" s="6">
        <x:v>46245.82990416667</x:v>
      </x:c>
      <x:c r="I5466" s="0"/>
      <x:c r="J5466" s="0"/>
      <x:c r="K5466" s="6">
        <x:v>46274</x:v>
      </x:c>
      <x:c r="L5466" t="str" s="2">
        <x:v>New</x:v>
      </x:c>
    </x:row>
    <x:row r="5467">
      <x:c r="A5467" t="str" s="2">
        <x:f>="Benjamin Crews"</x:f>
      </x:c>
      <x:c r="B5467" t="str" s="2">
        <x:v>Heritage Housing of Oklahoma City</x:v>
      </x:c>
      <x:c r="C5467" t="str" s="2">
        <x:v>0/1</x:v>
      </x:c>
      <x:c r="D5467" t="str" s="2">
        <x:v>5802101114</x:v>
      </x:c>
      <x:c r="E5467" t="str" s="2">
        <x:v>benlee459@gmail.com</x:v>
      </x:c>
      <x:c r="F5467" t="str" s="2">
        <x:v>Financing Form</x:v>
      </x:c>
      <x:c r="G5467" t="str" s="2">
        <x:v>Trey Rixleben</x:v>
      </x:c>
      <x:c r="H5467" s="6">
        <x:v>46245.871919178244</x:v>
      </x:c>
      <x:c r="I5467" s="0"/>
      <x:c r="J5467" s="0"/>
      <x:c r="K5467" s="6">
        <x:v>46246.59119494213</x:v>
      </x:c>
      <x:c r="L5467" t="str" s="2">
        <x:v>New</x:v>
      </x:c>
    </x:row>
    <x:row r="5468">
      <x:c r="A5468" t="str" s="2">
        <x:f>="Melissa Redd Redd"</x:f>
      </x:c>
      <x:c r="B5468" t="str" s="2">
        <x:v>Heritage Housing of Augusta</x:v>
      </x:c>
      <x:c r="C5468" t="str" s="2">
        <x:v>0/1</x:v>
      </x:c>
      <x:c r="D5468" t="str" s="2">
        <x:v>8035428305</x:v>
      </x:c>
      <x:c r="E5468" t="str" s="2">
        <x:v>melissaredd06@gmail.com</x:v>
      </x:c>
      <x:c r="F5468" t="str" s="2">
        <x:v>Landing_BPM</x:v>
      </x:c>
      <x:c r="G5468" t="str" s="2">
        <x:v>Faye Lively</x:v>
      </x:c>
      <x:c r="H5468" s="6">
        <x:v>46246.056078622685</x:v>
      </x:c>
      <x:c r="I5468" s="0"/>
      <x:c r="J5468" s="0"/>
      <x:c r="K5468" s="6">
        <x:v>46274</x:v>
      </x:c>
      <x:c r="L5468" t="str" s="2">
        <x:v>New</x:v>
      </x:c>
    </x:row>
    <x:row r="5469">
      <x:c r="A5469" t="str" s="2">
        <x:f>="WILLIELEANA Taylor"</x:f>
      </x:c>
      <x:c r="B5469" t="str" s="2">
        <x:v>Heritage Housing of Oklahoma City</x:v>
      </x:c>
      <x:c r="C5469" t="str" s="2">
        <x:v>0/1</x:v>
      </x:c>
      <x:c r="D5469" t="str" s="2">
        <x:v>4053586943</x:v>
      </x:c>
      <x:c r="E5469" t="str" s="2">
        <x:v>willieleanataylor@gmail.com</x:v>
      </x:c>
      <x:c r="F5469" t="str" s="2">
        <x:v>Landing_BPM</x:v>
      </x:c>
      <x:c r="G5469" t="str" s="2">
        <x:v>Karla Brizuela</x:v>
      </x:c>
      <x:c r="H5469" s="6">
        <x:v>46246.753132094906</x:v>
      </x:c>
      <x:c r="I5469" s="0"/>
      <x:c r="J5469" s="0"/>
      <x:c r="K5469" s="6">
        <x:v>46246.78252137732</x:v>
      </x:c>
      <x:c r="L5469" t="str" s="2">
        <x:v>New</x:v>
      </x:c>
    </x:row>
    <x:row r="5470">
      <x:c r="A5470" t="str" s="2">
        <x:f>="Romel Vidal"</x:f>
      </x:c>
      <x:c r="B5470" s="0"/>
      <x:c r="C5470" t="str" s="2">
        <x:v/>
      </x:c>
      <x:c r="D5470" t="str" s="2">
        <x:v>8324055457</x:v>
      </x:c>
      <x:c r="E5470" t="str" s="2">
        <x:v>vidalromel@gmail.com</x:v>
      </x:c>
      <x:c r="F5470" t="str" s="2">
        <x:v>Cliengo Bot</x:v>
      </x:c>
      <x:c r="G5470" s="0"/>
      <x:c r="H5470" s="6">
        <x:v>46246.99408144676</x:v>
      </x:c>
      <x:c r="I5470" s="0"/>
      <x:c r="J5470" s="0"/>
      <x:c r="K5470" s="0"/>
      <x:c r="L5470" t="str" s="2">
        <x:v>New</x:v>
      </x:c>
    </x:row>
    <x:row r="5471">
      <x:c r="A5471" t="str" s="2">
        <x:f>="Sean Warrior"</x:f>
      </x:c>
      <x:c r="B5471" t="str" s="2">
        <x:v>Heritage Housing of Oklahoma City</x:v>
      </x:c>
      <x:c r="C5471" t="str" s="2">
        <x:v/>
      </x:c>
      <x:c r="D5471" t="str" s="2">
        <x:v>4058087625</x:v>
      </x:c>
      <x:c r="E5471" t="str" s="2">
        <x:v>seanwarrior00@yahoo.com</x:v>
      </x:c>
      <x:c r="F5471" t="str" s="2">
        <x:v>Financing Form</x:v>
      </x:c>
      <x:c r="G5471" t="str" s="2">
        <x:v>Brittany Cobb</x:v>
      </x:c>
      <x:c r="H5471" s="6">
        <x:v>46247.64053927083</x:v>
      </x:c>
      <x:c r="I5471" s="0"/>
      <x:c r="J5471" s="0"/>
      <x:c r="K5471" s="6">
        <x:v>46247.76189498843</x:v>
      </x:c>
      <x:c r="L5471" t="str" s="2">
        <x:v>New</x:v>
      </x:c>
    </x:row>
    <x:row r="5472">
      <x:c r="A5472" t="str" s="2">
        <x:f>="Sandra Flynn"</x:f>
      </x:c>
      <x:c r="B5472" t="str" s="2">
        <x:v>Heritage Housing of Augusta</x:v>
      </x:c>
      <x:c r="C5472" t="str" s="2">
        <x:v/>
      </x:c>
      <x:c r="D5472" t="str" s="2">
        <x:v>8038448413</x:v>
      </x:c>
      <x:c r="E5472" t="str" s="2">
        <x:v>sflynn0613@gmail.com</x:v>
      </x:c>
      <x:c r="F5472" t="str" s="2">
        <x:v>Financing Form</x:v>
      </x:c>
      <x:c r="G5472" t="str" s="2">
        <x:v>Faye Lively</x:v>
      </x:c>
      <x:c r="H5472" s="6">
        <x:v>46248.36182387731</x:v>
      </x:c>
      <x:c r="I5472" s="0"/>
      <x:c r="J5472" s="0"/>
      <x:c r="K5472" s="6">
        <x:v>46269</x:v>
      </x:c>
      <x:c r="L5472" t="str" s="2">
        <x:v>New</x:v>
      </x:c>
    </x:row>
    <x:row r="5473">
      <x:c r="A5473" t="str" s="2">
        <x:f>="Kenneth Hicks"</x:f>
      </x:c>
      <x:c r="B5473" t="str" s="2">
        <x:v>Heritage Housing of Asheboro</x:v>
      </x:c>
      <x:c r="C5473" t="str" s="2">
        <x:v/>
      </x:c>
      <x:c r="D5473" t="str" s="2">
        <x:v>3366184890</x:v>
      </x:c>
      <x:c r="E5473" t="str" s="2">
        <x:v>kennethhicks767@gmail.com</x:v>
      </x:c>
      <x:c r="F5473" t="str" s="2">
        <x:v>Website</x:v>
      </x:c>
      <x:c r="G5473" t="str" s="2">
        <x:v>Joe Lopez</x:v>
      </x:c>
      <x:c r="H5473" s="6">
        <x:v>46249.0265971412</x:v>
      </x:c>
      <x:c r="I5473" s="0"/>
      <x:c r="J5473" s="6">
        <x:v>46282.583333333336</x:v>
      </x:c>
      <x:c r="K5473" s="6">
        <x:v>46282.73631207176</x:v>
      </x:c>
      <x:c r="L5473" t="str" s="2">
        <x:v>New</x:v>
      </x:c>
    </x:row>
    <x:row r="5474">
      <x:c r="A5474" t="str" s="2">
        <x:f>="Jessica Alonzo"</x:f>
      </x:c>
      <x:c r="B5474" t="str" s="2">
        <x:v>Heritage Housing of Canton</x:v>
      </x:c>
      <x:c r="C5474" t="str" s="2">
        <x:v/>
      </x:c>
      <x:c r="D5474" t="str" s="2">
        <x:v>4697402163</x:v>
      </x:c>
      <x:c r="E5474" t="str" s="2">
        <x:v>jessicaalonzo08@gmail.com</x:v>
      </x:c>
      <x:c r="F5474" t="str" s="2">
        <x:v>Financing Form</x:v>
      </x:c>
      <x:c r="G5474" t="str" s="2">
        <x:v>Maira Garcia</x:v>
      </x:c>
      <x:c r="H5474" s="6">
        <x:v>46252.83425714121</x:v>
      </x:c>
      <x:c r="I5474" s="0"/>
      <x:c r="J5474" s="0"/>
      <x:c r="K5474" s="6">
        <x:v>46256</x:v>
      </x:c>
      <x:c r="L5474" t="str" s="2">
        <x:v>New</x:v>
      </x:c>
    </x:row>
    <x:row r="5475">
      <x:c r="A5475" t="str" s="2">
        <x:f>="holly hamilton"</x:f>
      </x:c>
      <x:c r="B5475" t="str" s="2">
        <x:v>Heritage Housing of Oklahoma City</x:v>
      </x:c>
      <x:c r="C5475" t="str" s="2">
        <x:v>0/1</x:v>
      </x:c>
      <x:c r="D5475" t="str" s="2">
        <x:v>8288292140</x:v>
      </x:c>
      <x:c r="E5475" t="str" s="2">
        <x:v>hollyhamilton1224@gmail.com</x:v>
      </x:c>
      <x:c r="F5475" t="str" s="2">
        <x:v>Website</x:v>
      </x:c>
      <x:c r="G5475" t="str" s="2">
        <x:v>Steve Castell</x:v>
      </x:c>
      <x:c r="H5475" s="6">
        <x:v>46254.02944355324</x:v>
      </x:c>
      <x:c r="I5475" s="0"/>
      <x:c r="J5475" s="0"/>
      <x:c r="K5475" s="6">
        <x:v>46254.56044695602</x:v>
      </x:c>
      <x:c r="L5475" t="str" s="2">
        <x:v>New</x:v>
      </x:c>
    </x:row>
    <x:row r="5476">
      <x:c r="A5476" t="str" s="2">
        <x:f>="Tari Perre"</x:f>
      </x:c>
      <x:c r="B5476" t="str" s="2">
        <x:v>Heritage Housing of Oklahoma City</x:v>
      </x:c>
      <x:c r="C5476" t="str" s="2">
        <x:v>0/2</x:v>
      </x:c>
      <x:c r="D5476" t="str" s="2">
        <x:v>6025273787</x:v>
      </x:c>
      <x:c r="E5476" t="str" s="2">
        <x:v>tariperre@gmail.com</x:v>
      </x:c>
      <x:c r="F5476" t="str" s="2">
        <x:v>Landing_BPM</x:v>
      </x:c>
      <x:c r="G5476" t="str" s="2">
        <x:v>Steve Castell</x:v>
      </x:c>
      <x:c r="H5476" s="6">
        <x:v>46254.082414351855</x:v>
      </x:c>
      <x:c r="I5476" s="0"/>
      <x:c r="J5476" s="0"/>
      <x:c r="K5476" s="6">
        <x:v>46254</x:v>
      </x:c>
      <x:c r="L5476" t="str" s="2">
        <x:v>New</x:v>
      </x:c>
    </x:row>
    <x:row r="5477">
      <x:c r="A5477" t="str" s="2">
        <x:f>=HYPERLINK("https://rsms.futurehomex.com/lead/39676", "Melinda Newsome")</x:f>
      </x:c>
      <x:c r="B5477" t="str" s="2">
        <x:v>Heritage Housing of Oklahoma City</x:v>
      </x:c>
      <x:c r="C5477" t="str" s="2">
        <x:v>0/1</x:v>
      </x:c>
      <x:c r="D5477" t="str" s="2">
        <x:v>9139446483</x:v>
      </x:c>
      <x:c r="E5477" t="str" s="2">
        <x:v>ladygemini1700@gmail.com</x:v>
      </x:c>
      <x:c r="F5477" t="str" s="2">
        <x:v>Landing_BPM</x:v>
      </x:c>
      <x:c r="G5477" t="str" s="2">
        <x:v>Steve Castell</x:v>
      </x:c>
      <x:c r="H5477" s="6">
        <x:v>46254.80281770833</x:v>
      </x:c>
      <x:c r="I5477" t="str" s="2">
        <x:v>Steve Castell</x:v>
      </x:c>
      <x:c r="J5477" s="0"/>
      <x:c r="K5477" s="6">
        <x:v>46269</x:v>
      </x:c>
      <x:c r="L5477" t="str" s="2">
        <x:v>New</x:v>
      </x:c>
    </x:row>
    <x:row r="5478">
      <x:c r="A5478" t="str" s="2">
        <x:f>=HYPERLINK("https://rsms.futurehomex.com/lead/39681", "Melinda Newsome")</x:f>
      </x:c>
      <x:c r="B5478" t="str" s="2">
        <x:v>Heritage Housing of Oklahoma City</x:v>
      </x:c>
      <x:c r="C5478" t="str" s="2">
        <x:v>0/1</x:v>
      </x:c>
      <x:c r="D5478" t="str" s="2">
        <x:v>9139446483</x:v>
      </x:c>
      <x:c r="E5478" t="str" s="2">
        <x:v>ladygemini1700@gmail.com</x:v>
      </x:c>
      <x:c r="F5478" t="str" s="2">
        <x:v>Landing_BPM</x:v>
      </x:c>
      <x:c r="G5478" t="str" s="2">
        <x:v>Steve Castell</x:v>
      </x:c>
      <x:c r="H5478" s="6">
        <x:v>46254.80281770833</x:v>
      </x:c>
      <x:c r="I5478" t="str" s="2">
        <x:v>Steve Castell</x:v>
      </x:c>
      <x:c r="J5478" s="0"/>
      <x:c r="K5478" s="6">
        <x:v>46269</x:v>
      </x:c>
      <x:c r="L5478" t="str" s="2">
        <x:v>New</x:v>
      </x:c>
    </x:row>
    <x:row r="5479">
      <x:c r="A5479" t="str" s="2">
        <x:f>=HYPERLINK("https://rsms.futurehomex.com/lead/39313", "Tosha Abshire")</x:f>
      </x:c>
      <x:c r="B5479" t="str" s="2">
        <x:v>Heritage Housing of Jennings</x:v>
      </x:c>
      <x:c r="C5479" t="str" s="2">
        <x:v/>
      </x:c>
      <x:c r="D5479" t="str" s="2">
        <x:v>3373989444</x:v>
      </x:c>
      <x:c r="E5479" t="str" s="2">
        <x:v>toshalejeune31@gmail.com</x:v>
      </x:c>
      <x:c r="F5479" t="str" s="2">
        <x:v>LandingPage</x:v>
      </x:c>
      <x:c r="G5479" t="str" s="2">
        <x:v>Clint O'Neal</x:v>
      </x:c>
      <x:c r="H5479" s="6">
        <x:v>46256.518904247685</x:v>
      </x:c>
      <x:c r="I5479" t="str" s="2">
        <x:v>Clint O'Neal</x:v>
      </x:c>
      <x:c r="J5479" s="0"/>
      <x:c r="K5479" s="6">
        <x:v>46256.63375320602</x:v>
      </x:c>
      <x:c r="L5479" t="str" s="2">
        <x:v>New</x:v>
      </x:c>
    </x:row>
    <x:row r="5480">
      <x:c r="A5480" t="str" s="2">
        <x:f>="Najwa Stemley"</x:f>
      </x:c>
      <x:c r="B5480" s="0"/>
      <x:c r="C5480" t="str" s="2">
        <x:v/>
      </x:c>
      <x:c r="D5480" t="str" s="2">
        <x:v>7133824696</x:v>
      </x:c>
      <x:c r="E5480" t="str" s="2">
        <x:v>nstemley06@gmail.com</x:v>
      </x:c>
      <x:c r="F5480" t="str" s="2">
        <x:v>Cliengo Bot</x:v>
      </x:c>
      <x:c r="G5480" s="0"/>
      <x:c r="H5480" s="6">
        <x:v>46257.33136709491</x:v>
      </x:c>
      <x:c r="I5480" s="0"/>
      <x:c r="J5480" s="0"/>
      <x:c r="K5480" s="0"/>
      <x:c r="L5480" t="str" s="2">
        <x:v>New</x:v>
      </x:c>
    </x:row>
    <x:row r="5481">
      <x:c r="A5481" t="str" s="2">
        <x:f>=HYPERLINK("https://rsms.futurehomex.com/lead/39374", "Gregory Flott")</x:f>
      </x:c>
      <x:c r="B5481" t="str" s="2">
        <x:v>Heritage Housing of Jennings</x:v>
      </x:c>
      <x:c r="C5481" t="str" s="2">
        <x:v/>
      </x:c>
      <x:c r="D5481" t="str" s="2">
        <x:v>3375329908</x:v>
      </x:c>
      <x:c r="E5481" t="str" s="2">
        <x:v>gflott1977@gmail.com</x:v>
      </x:c>
      <x:c r="F5481" t="str" s="2">
        <x:v>Landing_BPM</x:v>
      </x:c>
      <x:c r="G5481" t="str" s="2">
        <x:v>Clint O'Neal</x:v>
      </x:c>
      <x:c r="H5481" s="6">
        <x:v>46258.78727936342</x:v>
      </x:c>
      <x:c r="I5481" t="str" s="2">
        <x:v>Clint O'Neal</x:v>
      </x:c>
      <x:c r="J5481" s="0"/>
      <x:c r="K5481" s="6">
        <x:v>46258.80379375</x:v>
      </x:c>
      <x:c r="L5481" t="str" s="2">
        <x:v>New</x:v>
      </x:c>
    </x:row>
    <x:row r="5482">
      <x:c r="A5482" t="str" s="2">
        <x:f>=HYPERLINK("https://rsms.futurehomex.com/lead/39729", "Sheila Feist")</x:f>
      </x:c>
      <x:c r="B5482" s="0"/>
      <x:c r="C5482" t="str" s="2">
        <x:v/>
      </x:c>
      <x:c r="D5482" t="str" s="2">
        <x:v>9366612725</x:v>
      </x:c>
      <x:c r="E5482" t="str" s="2">
        <x:v>shefeist@yahoo.com</x:v>
      </x:c>
      <x:c r="F5482" t="str" s="2">
        <x:v>Cliengo Bot</x:v>
      </x:c>
      <x:c r="G5482" s="0"/>
      <x:c r="H5482" s="6">
        <x:v>46264.070721331016</x:v>
      </x:c>
      <x:c r="I5482" t="str" s="2">
        <x:v>Angelica Mendoza </x:v>
      </x:c>
      <x:c r="J5482" s="0"/>
      <x:c r="K5482" s="0"/>
      <x:c r="L5482" t="str" s="2">
        <x:v>New</x:v>
      </x:c>
    </x:row>
    <x:row r="5483">
      <x:c r="A5483" t="str" s="2">
        <x:f>="antoinette HEBERT"</x:f>
      </x:c>
      <x:c r="B5483" t="str" s="2">
        <x:v>Heritage Housing of Canton</x:v>
      </x:c>
      <x:c r="C5483" t="str" s="2">
        <x:v/>
      </x:c>
      <x:c r="D5483" t="str" s="2">
        <x:v>3379438842</x:v>
      </x:c>
      <x:c r="E5483" t="str" s="2">
        <x:v>jones76191@gmail.com</x:v>
      </x:c>
      <x:c r="F5483" t="str" s="2">
        <x:v>LandingPage</x:v>
      </x:c>
      <x:c r="G5483" t="str" s="2">
        <x:v>Maira Garcia</x:v>
      </x:c>
      <x:c r="H5483" s="6">
        <x:v>46264.62189016204</x:v>
      </x:c>
      <x:c r="I5483" s="0"/>
      <x:c r="J5483" s="0"/>
      <x:c r="K5483" s="6">
        <x:v>46270</x:v>
      </x:c>
      <x:c r="L5483" t="str" s="2">
        <x:v>New</x:v>
      </x:c>
    </x:row>
    <x:row r="5484">
      <x:c r="A5484" t="str" s="2">
        <x:f>="Anthony Kennedy"</x:f>
      </x:c>
      <x:c r="B5484" t="str" s="2">
        <x:v>Heritage Housing of Augusta</x:v>
      </x:c>
      <x:c r="C5484" t="str" s="2">
        <x:v/>
      </x:c>
      <x:c r="D5484" t="str" s="2">
        <x:v>8035801975</x:v>
      </x:c>
      <x:c r="E5484" t="str" s="2">
        <x:v>tonyk8169@gmail.com</x:v>
      </x:c>
      <x:c r="F5484" t="str" s="2">
        <x:v>Financing Form</x:v>
      </x:c>
      <x:c r="G5484" t="str" s="2">
        <x:v>Faye Lively</x:v>
      </x:c>
      <x:c r="H5484" s="6">
        <x:v>46264.74402878472</x:v>
      </x:c>
      <x:c r="I5484" s="0"/>
      <x:c r="J5484" s="0"/>
      <x:c r="K5484" s="6">
        <x:v>46282.60213394676</x:v>
      </x:c>
      <x:c r="L5484" t="str" s="2">
        <x:v>New</x:v>
      </x:c>
    </x:row>
    <x:row r="5485">
      <x:c r="A5485" t="str" s="2">
        <x:f>=HYPERLINK("https://rsms.futurehomex.com/lead/39555", "Joanne Fisher")</x:f>
      </x:c>
      <x:c r="B5485" t="str" s="2">
        <x:v>Heritage Housing of Oklahoma City</x:v>
      </x:c>
      <x:c r="C5485" t="str" s="2">
        <x:v/>
      </x:c>
      <x:c r="D5485" t="str" s="2">
        <x:v>256-274-8444</x:v>
      </x:c>
      <x:c r="E5485" t="str" s="2">
        <x:v>broom1692@gmail.com</x:v>
      </x:c>
      <x:c r="F5485" t="str" s="2">
        <x:v>Financing Form</x:v>
      </x:c>
      <x:c r="G5485" t="str" s="2">
        <x:v>Trey Rixleben</x:v>
      </x:c>
      <x:c r="H5485" s="6">
        <x:v>46265.194858877316</x:v>
      </x:c>
      <x:c r="I5485" t="str" s="2">
        <x:v>Trey Rixleben</x:v>
      </x:c>
      <x:c r="J5485" s="0"/>
      <x:c r="K5485" s="6">
        <x:v>46265.587845104164</x:v>
      </x:c>
      <x:c r="L5485" t="str" s="2">
        <x:v>New</x:v>
      </x:c>
    </x:row>
    <x:row r="5486">
      <x:c r="A5486" t="str" s="2">
        <x:f>="Melony Leach"</x:f>
      </x:c>
      <x:c r="B5486" t="str" s="2">
        <x:v>Heritage Housing of Greenville</x:v>
      </x:c>
      <x:c r="C5486" t="str" s="2">
        <x:v>0/1</x:v>
      </x:c>
      <x:c r="D5486" t="str" s="2">
        <x:v>706-973-2744</x:v>
      </x:c>
      <x:c r="E5486" t="str" s="2">
        <x:v>leachmelony@gmail.com</x:v>
      </x:c>
      <x:c r="F5486" t="str" s="2">
        <x:v>Landing_BPM</x:v>
      </x:c>
      <x:c r="G5486" t="str" s="2">
        <x:v>Greg Christman</x:v>
      </x:c>
      <x:c r="H5486" s="6">
        <x:v>46265.909410844906</x:v>
      </x:c>
      <x:c r="I5486" s="0"/>
      <x:c r="J5486" s="0"/>
      <x:c r="K5486" s="6">
        <x:v>46266</x:v>
      </x:c>
      <x:c r="L5486" t="str" s="2">
        <x:v>New</x:v>
      </x:c>
    </x:row>
    <x:row r="5487">
      <x:c r="A5487" t="str" s="2">
        <x:f>=HYPERLINK("https://rsms.futurehomex.com/lead/39596", "Martin Heinrich")</x:f>
      </x:c>
      <x:c r="B5487" t="str" s="2">
        <x:v>Heritage Housing of Oklahoma City</x:v>
      </x:c>
      <x:c r="C5487" t="str" s="2">
        <x:v/>
      </x:c>
      <x:c r="D5487" t="str" s="2">
        <x:v>4052402808</x:v>
      </x:c>
      <x:c r="E5487" t="str" s="2">
        <x:v>mtheinrich1965@gmail.com</x:v>
      </x:c>
      <x:c r="F5487" t="str" s="2">
        <x:v>Website</x:v>
      </x:c>
      <x:c r="G5487" t="str" s="2">
        <x:v>Steve Castell</x:v>
      </x:c>
      <x:c r="H5487" s="6">
        <x:v>46267.018575462964</x:v>
      </x:c>
      <x:c r="I5487" t="str" s="2">
        <x:v>Steve Castell</x:v>
      </x:c>
      <x:c r="J5487" s="0"/>
      <x:c r="K5487" s="6">
        <x:v>46267</x:v>
      </x:c>
      <x:c r="L5487" t="str" s="2">
        <x:v>New</x:v>
      </x:c>
    </x:row>
    <x:row r="5488">
      <x:c r="A5488" t="str" s="2">
        <x:f>="Claretta Robinson"</x:f>
      </x:c>
      <x:c r="B5488" t="str" s="2">
        <x:v>Heritage Housing of Canton</x:v>
      </x:c>
      <x:c r="C5488" t="str" s="2">
        <x:v/>
      </x:c>
      <x:c r="D5488" t="str" s="2">
        <x:v>8179868505</x:v>
      </x:c>
      <x:c r="E5488" t="str" s="2">
        <x:v>robinsonclaretta901@gmail.com</x:v>
      </x:c>
      <x:c r="F5488" t="str" s="2">
        <x:v>Youtube</x:v>
      </x:c>
      <x:c r="G5488" t="str" s="2">
        <x:v>Maira Garcia</x:v>
      </x:c>
      <x:c r="H5488" s="6">
        <x:v>46267.047793784724</x:v>
      </x:c>
      <x:c r="I5488" s="0"/>
      <x:c r="J5488" s="0"/>
      <x:c r="K5488" s="6">
        <x:v>46267</x:v>
      </x:c>
      <x:c r="L5488" t="str" s="2">
        <x:v>New</x:v>
      </x:c>
    </x:row>
    <x:row r="5489">
      <x:c r="A5489" t="str" s="2">
        <x:f>="Sandra Ramos"</x:f>
      </x:c>
      <x:c r="B5489" t="str" s="2">
        <x:v>Heritage Housing Mt Pleasant</x:v>
      </x:c>
      <x:c r="C5489" t="str" s="2">
        <x:v/>
      </x:c>
      <x:c r="D5489" t="str" s="2">
        <x:v>2245381410</x:v>
      </x:c>
      <x:c r="E5489" t="str" s="2">
        <x:v>ssalazar0682@yahoo.com</x:v>
      </x:c>
      <x:c r="F5489" t="str" s="2">
        <x:v>Landing_BPM</x:v>
      </x:c>
      <x:c r="G5489" t="str" s="2">
        <x:v>Elias Gallardo</x:v>
      </x:c>
      <x:c r="H5489" s="6">
        <x:v>46267.52072314815</x:v>
      </x:c>
      <x:c r="I5489" s="0"/>
      <x:c r="J5489" s="0"/>
      <x:c r="K5489" s="6">
        <x:v>46289</x:v>
      </x:c>
      <x:c r="L5489" t="str" s="2">
        <x:v>New</x:v>
      </x:c>
    </x:row>
    <x:row r="5490">
      <x:c r="A5490" t="str" s="2">
        <x:f>="Efrain Caban Caban"</x:f>
      </x:c>
      <x:c r="B5490" t="str" s="2">
        <x:v>Heritage Housing Mt Pleasant</x:v>
      </x:c>
      <x:c r="C5490" t="str" s="2">
        <x:v>0/2</x:v>
      </x:c>
      <x:c r="D5490" t="str" s="2">
        <x:v>9034078912</x:v>
      </x:c>
      <x:c r="E5490" t="str" s="2">
        <x:v>efrain.caban@outlook.com</x:v>
      </x:c>
      <x:c r="F5490" t="str" s="2">
        <x:v>Meta Ads - Traffic</x:v>
      </x:c>
      <x:c r="G5490" t="str" s="2">
        <x:v>Patrick Schuchart</x:v>
      </x:c>
      <x:c r="H5490" s="6">
        <x:v>46268.55527280093</x:v>
      </x:c>
      <x:c r="I5490" s="0"/>
      <x:c r="J5490" s="0"/>
      <x:c r="K5490" s="6">
        <x:v>46289.81508267361</x:v>
      </x:c>
      <x:c r="L5490" t="str" s="2">
        <x:v>New</x:v>
      </x:c>
    </x:row>
    <x:row r="5491">
      <x:c r="A5491" t="str" s="2">
        <x:f>="Lino Lopez"</x:f>
      </x:c>
      <x:c r="B5491" t="str" s="2">
        <x:v>Heritage Housing Gainesville</x:v>
      </x:c>
      <x:c r="C5491" t="str" s="2">
        <x:v/>
      </x:c>
      <x:c r="D5491" t="str" s="2">
        <x:v>9453360324</x:v>
      </x:c>
      <x:c r="E5491" t="str" s="2">
        <x:v>lopezlino262@gmail.com</x:v>
      </x:c>
      <x:c r="F5491" t="str" s="2">
        <x:v>Landing_BPM</x:v>
      </x:c>
      <x:c r="G5491" t="str" s="2">
        <x:v>Jacob Hatten</x:v>
      </x:c>
      <x:c r="H5491" s="6">
        <x:v>46269.661335034725</x:v>
      </x:c>
      <x:c r="I5491" s="0"/>
      <x:c r="J5491" s="0"/>
      <x:c r="K5491" s="6">
        <x:v>46293</x:v>
      </x:c>
      <x:c r="L5491" t="str" s="2">
        <x:v>New</x:v>
      </x:c>
    </x:row>
    <x:row r="5492">
      <x:c r="A5492" t="str" s="2">
        <x:f>=HYPERLINK("https://rsms.futurehomex.com/lead/39745", "Ruby Burgin")</x:f>
      </x:c>
      <x:c r="B5492" t="str" s="2">
        <x:v>Heritage Housing of Oklahoma City</x:v>
      </x:c>
      <x:c r="C5492" t="str" s="2">
        <x:v/>
      </x:c>
      <x:c r="D5492" t="str" s="2">
        <x:v>4057548706</x:v>
      </x:c>
      <x:c r="E5492" t="str" s="2">
        <x:v>rsueburgin@gmail.com</x:v>
      </x:c>
      <x:c r="F5492" t="str" s="2">
        <x:v>Youtube</x:v>
      </x:c>
      <x:c r="G5492" t="str" s="2">
        <x:v>Gianna Cervantes</x:v>
      </x:c>
      <x:c r="H5492" s="6">
        <x:v>46270.88540146991</x:v>
      </x:c>
      <x:c r="I5492" t="str" s="2">
        <x:v>Alejandra Calderon</x:v>
      </x:c>
      <x:c r="J5492" s="0"/>
      <x:c r="K5492" s="6">
        <x:v>46270.906913113424</x:v>
      </x:c>
      <x:c r="L5492" t="str" s="2">
        <x:v>New</x:v>
      </x:c>
    </x:row>
    <x:row r="5493">
      <x:c r="A5493" t="str" s="2">
        <x:f>="Kathy Garcia"</x:f>
      </x:c>
      <x:c r="B5493" t="str" s="2">
        <x:v>Heritage Housing of Canton</x:v>
      </x:c>
      <x:c r="C5493" t="str" s="2">
        <x:v/>
      </x:c>
      <x:c r="D5493" t="str" s="2">
        <x:v>2142595136</x:v>
      </x:c>
      <x:c r="E5493" t="str" s="2">
        <x:v>kg020633@gmail.com</x:v>
      </x:c>
      <x:c r="F5493" t="str" s="2">
        <x:v>Youtube</x:v>
      </x:c>
      <x:c r="G5493" t="str" s="2">
        <x:v>Maira Garcia</x:v>
      </x:c>
      <x:c r="H5493" s="6">
        <x:v>46271.103596608795</x:v>
      </x:c>
      <x:c r="I5493" s="0"/>
      <x:c r="J5493" s="0"/>
      <x:c r="K5493" s="6">
        <x:v>46273</x:v>
      </x:c>
      <x:c r="L5493" t="str" s="2">
        <x:v>New</x:v>
      </x:c>
    </x:row>
    <x:row r="5494">
      <x:c r="A5494" t="str" s="2">
        <x:f>="Lynn Morris Morris"</x:f>
      </x:c>
      <x:c r="B5494" t="str" s="2">
        <x:v>Heritage Housing of Minden</x:v>
      </x:c>
      <x:c r="C5494" t="str" s="2">
        <x:v>0/2</x:v>
      </x:c>
      <x:c r="D5494" t="str" s="2">
        <x:v>3182058666</x:v>
      </x:c>
      <x:c r="E5494" t="str" s="2">
        <x:v>lynnmorris1962@yahoo.com</x:v>
      </x:c>
      <x:c r="F5494" t="str" s="2">
        <x:v>Landing_BPM</x:v>
      </x:c>
      <x:c r="G5494" t="str" s="2">
        <x:v>Kyla Brown</x:v>
      </x:c>
      <x:c r="H5494" s="6">
        <x:v>46271.64879869213</x:v>
      </x:c>
      <x:c r="I5494" s="0"/>
      <x:c r="J5494" s="0"/>
      <x:c r="K5494" s="6">
        <x:v>46295.77594467592</x:v>
      </x:c>
      <x:c r="L5494" t="str" s="2">
        <x:v>New</x:v>
      </x:c>
    </x:row>
    <x:row r="5495">
      <x:c r="A5495" t="str" s="2">
        <x:f>="Esther Dutchover"</x:f>
      </x:c>
      <x:c r="B5495" t="str" s="2">
        <x:v>Legacy Housing Corp. DBA Americasa</x:v>
      </x:c>
      <x:c r="C5495" t="str" s="2">
        <x:v/>
      </x:c>
      <x:c r="D5495" t="str" s="2">
        <x:v>5803419206</x:v>
      </x:c>
      <x:c r="E5495" t="str" s="2">
        <x:v>dutchoveresther@yahoo.com</x:v>
      </x:c>
      <x:c r="F5495" t="str" s="2">
        <x:v>Landing_BPM</x:v>
      </x:c>
      <x:c r="G5495" t="str" s="2">
        <x:v>Jose Parada</x:v>
      </x:c>
      <x:c r="H5495" s="6">
        <x:v>46272.22046064815</x:v>
      </x:c>
      <x:c r="I5495" s="0"/>
      <x:c r="J5495" s="0"/>
      <x:c r="K5495" s="6">
        <x:v>46301</x:v>
      </x:c>
      <x:c r="L5495" t="str" s="2">
        <x:v>New</x:v>
      </x:c>
    </x:row>
    <x:row r="5496">
      <x:c r="A5496" t="str" s="2">
        <x:f>=HYPERLINK("https://rsms.futurehomex.com/lead/39777", "Sheri Lottt")</x:f>
      </x:c>
      <x:c r="B5496" t="str" s="2">
        <x:v>Heritage Housing of Oklahoma City</x:v>
      </x:c>
      <x:c r="C5496" t="str" s="2">
        <x:v/>
      </x:c>
      <x:c r="D5496" t="str" s="2">
        <x:v>9182852678</x:v>
      </x:c>
      <x:c r="E5496" t="str" s="2">
        <x:v>lottsheri2462@gmail.com</x:v>
      </x:c>
      <x:c r="F5496" t="str" s="2">
        <x:v>Website</x:v>
      </x:c>
      <x:c r="G5496" t="str" s="2">
        <x:v>Steve Castell</x:v>
      </x:c>
      <x:c r="H5496" s="6">
        <x:v>46272.225170833335</x:v>
      </x:c>
      <x:c r="I5496" t="str" s="2">
        <x:v>Steve Castell</x:v>
      </x:c>
      <x:c r="J5496" s="0"/>
      <x:c r="K5496" s="6">
        <x:v>46273</x:v>
      </x:c>
      <x:c r="L5496" t="str" s="2">
        <x:v>New</x:v>
      </x:c>
    </x:row>
    <x:row r="5497">
      <x:c r="A5497" t="str" s="2">
        <x:f>="Clara Gantes Gantes"</x:f>
      </x:c>
      <x:c r="B5497" t="str" s="2">
        <x:v>Heritage Housing of Augusta</x:v>
      </x:c>
      <x:c r="C5497" t="str" s="2">
        <x:v/>
      </x:c>
      <x:c r="D5497" t="str" s="2">
        <x:v>8032006182</x:v>
      </x:c>
      <x:c r="E5497" t="str" s="2">
        <x:v>cgantes15@gmail.comm</x:v>
      </x:c>
      <x:c r="F5497" t="str" s="2">
        <x:v>Landing_BPM</x:v>
      </x:c>
      <x:c r="G5497" t="str" s="2">
        <x:v>Faye Lively</x:v>
      </x:c>
      <x:c r="H5497" s="6">
        <x:v>46272.850038310185</x:v>
      </x:c>
      <x:c r="I5497" s="0"/>
      <x:c r="J5497" s="0"/>
      <x:c r="K5497" s="6">
        <x:v>46282.825199733794</x:v>
      </x:c>
      <x:c r="L5497" t="str" s="2">
        <x:v>New</x:v>
      </x:c>
    </x:row>
    <x:row r="5498">
      <x:c r="A5498" t="str" s="2">
        <x:f>=HYPERLINK("https://rsms.futurehomex.com/lead/39826", "Silver Boston")</x:f>
      </x:c>
      <x:c r="B5498" t="str" s="2">
        <x:v>Heritage Housing of Oklahoma City</x:v>
      </x:c>
      <x:c r="C5498" t="str" s="2">
        <x:v/>
      </x:c>
      <x:c r="D5498" t="str" s="2">
        <x:v>5807210483</x:v>
      </x:c>
      <x:c r="E5498" t="str" s="2">
        <x:v>twinmommy2581@gmail.com</x:v>
      </x:c>
      <x:c r="F5498" t="str" s="2">
        <x:v>Landing_BPM</x:v>
      </x:c>
      <x:c r="G5498" t="str" s="2">
        <x:v>Trey Rixleben</x:v>
      </x:c>
      <x:c r="H5498" s="6">
        <x:v>46274.60792167824</x:v>
      </x:c>
      <x:c r="I5498" t="str" s="2">
        <x:v>Trey Rixleben</x:v>
      </x:c>
      <x:c r="J5498" s="0"/>
      <x:c r="K5498" s="0"/>
      <x:c r="L5498" t="str" s="2">
        <x:v>New</x:v>
      </x:c>
    </x:row>
    <x:row r="5499">
      <x:c r="A5499" t="str" s="2">
        <x:f>="leticia gomez"</x:f>
      </x:c>
      <x:c r="B5499" t="str" s="2">
        <x:v>Heritage Housing of Canton</x:v>
      </x:c>
      <x:c r="C5499" t="str" s="2">
        <x:v/>
      </x:c>
      <x:c r="D5499" t="str" s="2">
        <x:v>4699281592</x:v>
      </x:c>
      <x:c r="E5499" t="str" s="2">
        <x:v>leticia.gg1197@gmail.com</x:v>
      </x:c>
      <x:c r="F5499" t="str" s="2">
        <x:v>Meta Ads - Traffic</x:v>
      </x:c>
      <x:c r="G5499" t="str" s="2">
        <x:v>Sandra Saldana</x:v>
      </x:c>
      <x:c r="H5499" s="6">
        <x:v>46275.45154679398</x:v>
      </x:c>
      <x:c r="I5499" s="0"/>
      <x:c r="J5499" s="0"/>
      <x:c r="K5499" s="6">
        <x:v>46307</x:v>
      </x:c>
      <x:c r="L5499" t="str" s="2">
        <x:v>New</x:v>
      </x:c>
    </x:row>
    <x:row r="5500">
      <x:c r="A5500" t="str" s="2">
        <x:f>=HYPERLINK("https://rsms.futurehomex.com/lead/39954", "Kathy Davis")</x:f>
      </x:c>
      <x:c r="B5500" t="str" s="2">
        <x:v>Heritage Housing of Oklahoma City</x:v>
      </x:c>
      <x:c r="C5500" t="str" s="2">
        <x:v/>
      </x:c>
      <x:c r="D5500" t="str" s="2">
        <x:v>405-868-6824</x:v>
      </x:c>
      <x:c r="E5500" t="str" s="2">
        <x:v>kjbranch1125@gmail.com</x:v>
      </x:c>
      <x:c r="F5500" t="str" s="2">
        <x:v>Landing_BPM</x:v>
      </x:c>
      <x:c r="G5500" t="str" s="2">
        <x:v>Steve Castell</x:v>
      </x:c>
      <x:c r="H5500" s="6">
        <x:v>46277.83045023148</x:v>
      </x:c>
      <x:c r="I5500" t="str" s="2">
        <x:v>Steve Castell</x:v>
      </x:c>
      <x:c r="J5500" s="0"/>
      <x:c r="K5500" s="6">
        <x:v>46277.837768715275</x:v>
      </x:c>
      <x:c r="L5500" t="str" s="2">
        <x:v>New</x:v>
      </x:c>
    </x:row>
    <x:row r="5501">
      <x:c r="A5501" t="str" s="2">
        <x:f>=HYPERLINK("https://rsms.futurehomex.com/lead/39977", "Joan Jenkins")</x:f>
      </x:c>
      <x:c r="B5501" t="str" s="2">
        <x:v>Heritage Housing of Oklahoma City</x:v>
      </x:c>
      <x:c r="C5501" t="str" s="2">
        <x:v/>
      </x:c>
      <x:c r="D5501" t="str" s="2">
        <x:v>9185686728</x:v>
      </x:c>
      <x:c r="E5501" t="str" s="2">
        <x:v>joanjenkins107@gmail.com</x:v>
      </x:c>
      <x:c r="F5501" t="str" s="2">
        <x:v>Youtube</x:v>
      </x:c>
      <x:c r="G5501" t="str" s="2">
        <x:v>Trey Rixleben</x:v>
      </x:c>
      <x:c r="H5501" s="6">
        <x:v>46278.58320552083</x:v>
      </x:c>
      <x:c r="I5501" t="str" s="2">
        <x:v>Trey Rixleben</x:v>
      </x:c>
      <x:c r="J5501" s="0"/>
      <x:c r="K5501" s="0"/>
      <x:c r="L5501" t="str" s="2">
        <x:v>New</x:v>
      </x:c>
    </x:row>
    <x:row r="5502">
      <x:c r="A5502" t="str" s="2">
        <x:f>=HYPERLINK("https://rsms.futurehomex.com/lead/39976", "Angela McCallister")</x:f>
      </x:c>
      <x:c r="B5502" t="str" s="2">
        <x:v>Heritage Housing of Oklahoma City</x:v>
      </x:c>
      <x:c r="C5502" t="str" s="2">
        <x:v/>
      </x:c>
      <x:c r="D5502" t="str" s="2">
        <x:v>4053858686</x:v>
      </x:c>
      <x:c r="E5502" t="str" s="2">
        <x:v>mccallisterangela24@gmail.com</x:v>
      </x:c>
      <x:c r="F5502" t="str" s="2">
        <x:v>LandingPage</x:v>
      </x:c>
      <x:c r="G5502" t="str" s="2">
        <x:v>Trey Rixleben</x:v>
      </x:c>
      <x:c r="H5502" s="6">
        <x:v>46279.02285165509</x:v>
      </x:c>
      <x:c r="I5502" t="str" s="2">
        <x:v>Trey Rixleben</x:v>
      </x:c>
      <x:c r="J5502" s="0"/>
      <x:c r="K5502" s="0"/>
      <x:c r="L5502" t="str" s="2">
        <x:v>New</x:v>
      </x:c>
    </x:row>
    <x:row r="5503">
      <x:c r="A5503" t="str" s="2">
        <x:f>="Leola Johnson"</x:f>
      </x:c>
      <x:c r="B5503" t="str" s="2">
        <x:v>Heritage Housing of Athens</x:v>
      </x:c>
      <x:c r="C5503" t="str" s="2">
        <x:v/>
      </x:c>
      <x:c r="D5503" t="str" s="2">
        <x:v>7064016474</x:v>
      </x:c>
      <x:c r="E5503" t="str" s="2">
        <x:v>billisu85@gmail.com</x:v>
      </x:c>
      <x:c r="F5503" t="str" s="2">
        <x:v>Youtube</x:v>
      </x:c>
      <x:c r="G5503" t="str" s="2">
        <x:v>Nathan Bishop</x:v>
      </x:c>
      <x:c r="H5503" s="6">
        <x:v>46280.09780127315</x:v>
      </x:c>
      <x:c r="I5503" s="0"/>
      <x:c r="J5503" s="0"/>
      <x:c r="K5503" s="6">
        <x:v>46281</x:v>
      </x:c>
      <x:c r="L5503" t="str" s="2">
        <x:v>New</x:v>
      </x:c>
    </x:row>
    <x:row r="5504">
      <x:c r="A5504" t="str" s="2">
        <x:f>=""</x:f>
      </x:c>
      <x:c r="B5504" s="0"/>
      <x:c r="C5504" t="str" s="2">
        <x:v/>
      </x:c>
      <x:c r="D5504" t="str" s="2">
        <x:v>6783427890</x:v>
      </x:c>
      <x:c r="E5504" t="str" s="2">
        <x:v/>
      </x:c>
      <x:c r="F5504" t="str" s="2">
        <x:v>Cliengo Bot</x:v>
      </x:c>
      <x:c r="G5504" s="0"/>
      <x:c r="H5504" s="6">
        <x:v>46281.87987068287</x:v>
      </x:c>
      <x:c r="I5504" s="0"/>
      <x:c r="J5504" s="0"/>
      <x:c r="K5504" s="0"/>
      <x:c r="L5504" t="str" s="2">
        <x:v>New</x:v>
      </x:c>
    </x:row>
    <x:row r="5505">
      <x:c r="A5505" t="str" s="2">
        <x:f>="Deserie Foxcroft"</x:f>
      </x:c>
      <x:c r="B5505" t="str" s="2">
        <x:v>Heritage Housing of Augusta</x:v>
      </x:c>
      <x:c r="C5505" t="str" s="2">
        <x:v/>
      </x:c>
      <x:c r="D5505" t="str" s="2">
        <x:v>8644072005</x:v>
      </x:c>
      <x:c r="E5505" t="str" s="2">
        <x:v>deserie552@gmail.com</x:v>
      </x:c>
      <x:c r="F5505" t="str" s="2">
        <x:v>Website</x:v>
      </x:c>
      <x:c r="G5505" t="str" s="2">
        <x:v>Faye Lively</x:v>
      </x:c>
      <x:c r="H5505" s="6">
        <x:v>46282.482389467594</x:v>
      </x:c>
      <x:c r="I5505" s="0"/>
      <x:c r="J5505" s="0"/>
      <x:c r="K5505" s="6">
        <x:v>46282.81570697916</x:v>
      </x:c>
      <x:c r="L5505" t="str" s="2">
        <x:v>New</x:v>
      </x:c>
    </x:row>
    <x:row r="5506">
      <x:c r="A5506" t="str" s="2">
        <x:f>="Deontavia Cohen"</x:f>
      </x:c>
      <x:c r="B5506" t="str" s="2">
        <x:v>Heritage Housing of Augusta</x:v>
      </x:c>
      <x:c r="C5506" t="str" s="2">
        <x:v/>
      </x:c>
      <x:c r="D5506" t="str" s="2">
        <x:v>7622249975</x:v>
      </x:c>
      <x:c r="E5506" t="str" s="2">
        <x:v>deontaviac@gmail.com</x:v>
      </x:c>
      <x:c r="F5506" t="str" s="2">
        <x:v>Landing_BPM</x:v>
      </x:c>
      <x:c r="G5506" t="str" s="2">
        <x:v>Jose Chavez</x:v>
      </x:c>
      <x:c r="H5506" s="6">
        <x:v>46282.838080520836</x:v>
      </x:c>
      <x:c r="I5506" s="0"/>
      <x:c r="J5506" s="0"/>
      <x:c r="K5506" s="0"/>
      <x:c r="L5506" t="str" s="2">
        <x:v>New</x:v>
      </x:c>
    </x:row>
    <x:row r="5507">
      <x:c r="A5507" t="str" s="2">
        <x:f>="Bertresa Teasley"</x:f>
      </x:c>
      <x:c r="B5507" t="str" s="2">
        <x:v>Heritage Housing of Augusta</x:v>
      </x:c>
      <x:c r="C5507" t="str" s="2">
        <x:v/>
      </x:c>
      <x:c r="D5507" t="str" s="2">
        <x:v>7065898301</x:v>
      </x:c>
      <x:c r="E5507" t="str" s="2">
        <x:v>bertresateasley@gmail.com</x:v>
      </x:c>
      <x:c r="F5507" t="str" s="2">
        <x:v>Landing_BPM</x:v>
      </x:c>
      <x:c r="G5507" t="str" s="2">
        <x:v>Faye Lively</x:v>
      </x:c>
      <x:c r="H5507" s="6">
        <x:v>46282.854860266205</x:v>
      </x:c>
      <x:c r="I5507" s="0"/>
      <x:c r="J5507" s="0"/>
      <x:c r="K5507" s="0"/>
      <x:c r="L5507" t="str" s="2">
        <x:v>New</x:v>
      </x:c>
    </x:row>
    <x:row r="5508">
      <x:c r="A5508" t="str" s="2">
        <x:f>="Joyce Carroll"</x:f>
      </x:c>
      <x:c r="B5508" t="str" s="2">
        <x:v>Heritage Housing of Augusta</x:v>
      </x:c>
      <x:c r="C5508" t="str" s="2">
        <x:v/>
      </x:c>
      <x:c r="D5508" t="str" s="2">
        <x:v>5166654569</x:v>
      </x:c>
      <x:c r="E5508" t="str" s="2">
        <x:v>joycecarroll317@gmail.com</x:v>
      </x:c>
      <x:c r="F5508" t="str" s="2">
        <x:v>Youtube</x:v>
      </x:c>
      <x:c r="G5508" t="str" s="2">
        <x:v>Faye Lively</x:v>
      </x:c>
      <x:c r="H5508" s="6">
        <x:v>46282.97940173611</x:v>
      </x:c>
      <x:c r="I5508" s="0"/>
      <x:c r="J5508" s="0"/>
      <x:c r="K5508" s="0"/>
      <x:c r="L5508" t="str" s="2">
        <x:v>New</x:v>
      </x:c>
    </x:row>
    <x:row r="5509">
      <x:c r="A5509" t="str" s="2">
        <x:f>="Richard Nyland"</x:f>
      </x:c>
      <x:c r="B5509" t="str" s="2">
        <x:v>Heritage Housing of Augusta</x:v>
      </x:c>
      <x:c r="C5509" t="str" s="2">
        <x:v/>
      </x:c>
      <x:c r="D5509" t="str" s="2">
        <x:v>7065640556</x:v>
      </x:c>
      <x:c r="E5509" t="str" s="2">
        <x:v>rn08212002@icloud.com</x:v>
      </x:c>
      <x:c r="F5509" t="str" s="2">
        <x:v>Website</x:v>
      </x:c>
      <x:c r="G5509" t="str" s="2">
        <x:v>Faye Lively</x:v>
      </x:c>
      <x:c r="H5509" s="6">
        <x:v>46282.986426041665</x:v>
      </x:c>
      <x:c r="I5509" s="0"/>
      <x:c r="J5509" s="0"/>
      <x:c r="K5509" s="0"/>
      <x:c r="L5509" t="str" s="2">
        <x:v>New</x:v>
      </x:c>
    </x:row>
    <x:row r="5510">
      <x:c r="A5510" t="str" s="2">
        <x:f>="Ernell Calhoun"</x:f>
      </x:c>
      <x:c r="B5510" t="str" s="2">
        <x:v>Heritage Housing of Augusta</x:v>
      </x:c>
      <x:c r="C5510" t="str" s="2">
        <x:v/>
      </x:c>
      <x:c r="D5510" t="str" s="2">
        <x:v>803-514-7155</x:v>
      </x:c>
      <x:c r="E5510" t="str" s="2">
        <x:v>ncalhoun22@yahoo.com</x:v>
      </x:c>
      <x:c r="F5510" t="str" s="2">
        <x:v>Landing_BPM</x:v>
      </x:c>
      <x:c r="G5510" t="str" s="2">
        <x:v>Faye Lively</x:v>
      </x:c>
      <x:c r="H5510" s="6">
        <x:v>46283.02212326389</x:v>
      </x:c>
      <x:c r="I5510" s="0"/>
      <x:c r="J5510" s="0"/>
      <x:c r="K5510" s="0"/>
      <x:c r="L5510" t="str" s="2">
        <x:v>New</x:v>
      </x:c>
    </x:row>
    <x:row r="5511">
      <x:c r="A5511" t="str" s="2">
        <x:f>="Cherish Crawford"</x:f>
      </x:c>
      <x:c r="B5511" t="str" s="2">
        <x:v>Heritage Housing of Canton</x:v>
      </x:c>
      <x:c r="C5511" t="str" s="2">
        <x:v/>
      </x:c>
      <x:c r="D5511" t="str" s="2">
        <x:v>4694279493</x:v>
      </x:c>
      <x:c r="E5511" t="str" s="2">
        <x:v>cherishcrawford06@gmail.com</x:v>
      </x:c>
      <x:c r="F5511" t="str" s="2">
        <x:v>Website</x:v>
      </x:c>
      <x:c r="G5511" t="str" s="2">
        <x:v>Maira Garcia</x:v>
      </x:c>
      <x:c r="H5511" s="6">
        <x:v>46283.15494988426</x:v>
      </x:c>
      <x:c r="I5511" s="0"/>
      <x:c r="J5511" s="0"/>
      <x:c r="K5511" s="6">
        <x:v>46283</x:v>
      </x:c>
      <x:c r="L5511" t="str" s="2">
        <x:v>New</x:v>
      </x:c>
    </x:row>
    <x:row r="5512">
      <x:c r="A5512" t="str" s="2">
        <x:f>="Eula Mann"</x:f>
      </x:c>
      <x:c r="B5512" t="str" s="2">
        <x:v>Heritage Housing of Augusta</x:v>
      </x:c>
      <x:c r="C5512" t="str" s="2">
        <x:v/>
      </x:c>
      <x:c r="D5512" t="str" s="2">
        <x:v>2292693199</x:v>
      </x:c>
      <x:c r="E5512" t="str" s="2">
        <x:v>manneula70@gmail.com</x:v>
      </x:c>
      <x:c r="F5512" t="str" s="2">
        <x:v>Bing - Search</x:v>
      </x:c>
      <x:c r="G5512" t="str" s="2">
        <x:v>Faye Lively</x:v>
      </x:c>
      <x:c r="H5512" s="6">
        <x:v>46283.63613387731</x:v>
      </x:c>
      <x:c r="I5512" s="0"/>
      <x:c r="J5512" s="0"/>
      <x:c r="K5512" s="0"/>
      <x:c r="L5512" t="str" s="2">
        <x:v>New</x:v>
      </x:c>
    </x:row>
    <x:row r="5513">
      <x:c r="A5513" t="str" s="2">
        <x:f>="Leonard Henderson"</x:f>
      </x:c>
      <x:c r="B5513" t="str" s="2">
        <x:v>Heritage Housing of Augusta</x:v>
      </x:c>
      <x:c r="C5513" t="str" s="2">
        <x:v/>
      </x:c>
      <x:c r="D5513" t="str" s="2">
        <x:v>6787792080</x:v>
      </x:c>
      <x:c r="E5513" t="str" s="2">
        <x:v>1sgthenderson@gmail.com</x:v>
      </x:c>
      <x:c r="F5513" t="str" s="2">
        <x:v>Youtube</x:v>
      </x:c>
      <x:c r="G5513" t="str" s="2">
        <x:v>Faye Lively</x:v>
      </x:c>
      <x:c r="H5513" s="6">
        <x:v>46283.784162731485</x:v>
      </x:c>
      <x:c r="I5513" s="0"/>
      <x:c r="J5513" s="0"/>
      <x:c r="K5513" s="0"/>
      <x:c r="L5513" t="str" s="2">
        <x:v>New</x:v>
      </x:c>
    </x:row>
    <x:row r="5514">
      <x:c r="A5514" t="str" s="2">
        <x:f>="BARBARA SMITH"</x:f>
      </x:c>
      <x:c r="B5514" t="str" s="2">
        <x:v>Heritage Housing of Augusta</x:v>
      </x:c>
      <x:c r="C5514" t="str" s="2">
        <x:v/>
      </x:c>
      <x:c r="D5514" t="str" s="2">
        <x:v>6787649626</x:v>
      </x:c>
      <x:c r="E5514" t="str" s="2">
        <x:v>angelbrownangel@yahoo.com</x:v>
      </x:c>
      <x:c r="F5514" t="str" s="2">
        <x:v>Landing_BPM</x:v>
      </x:c>
      <x:c r="G5514" t="str" s="2">
        <x:v>Faye Lively</x:v>
      </x:c>
      <x:c r="H5514" s="6">
        <x:v>46283.93846979167</x:v>
      </x:c>
      <x:c r="I5514" s="0"/>
      <x:c r="J5514" s="0"/>
      <x:c r="K5514" s="0"/>
      <x:c r="L5514" t="str" s="2">
        <x:v>New</x:v>
      </x:c>
    </x:row>
    <x:row r="5515">
      <x:c r="A5515" t="str" s="2">
        <x:f>="Jasmine Young"</x:f>
      </x:c>
      <x:c r="B5515" t="str" s="2">
        <x:v>Heritage Housing of Athens</x:v>
      </x:c>
      <x:c r="C5515" t="str" s="2">
        <x:v>0/1</x:v>
      </x:c>
      <x:c r="D5515" t="str" s="2">
        <x:v>7066127833</x:v>
      </x:c>
      <x:c r="E5515" t="str" s="2">
        <x:v>jas2015young@gmail.com</x:v>
      </x:c>
      <x:c r="F5515" t="str" s="2">
        <x:v>Website</x:v>
      </x:c>
      <x:c r="G5515" t="str" s="2">
        <x:v>Ethan Fossett</x:v>
      </x:c>
      <x:c r="H5515" s="6">
        <x:v>46284.096430324076</x:v>
      </x:c>
      <x:c r="I5515" s="0"/>
      <x:c r="J5515" s="6">
        <x:v>46288.875</x:v>
      </x:c>
      <x:c r="K5515" s="6">
        <x:v>46296.72683707176</x:v>
      </x:c>
      <x:c r="L5515" t="str" s="2">
        <x:v>New</x:v>
      </x:c>
    </x:row>
    <x:row r="5516">
      <x:c r="A5516" t="str" s="2">
        <x:f>=HYPERLINK("https://rsms.futurehomex.com/lead/40262", "April Foerster")</x:f>
      </x:c>
      <x:c r="B5516" t="str" s="2">
        <x:v>Heritage Housing of Athens</x:v>
      </x:c>
      <x:c r="C5516" t="str" s="2">
        <x:v/>
      </x:c>
      <x:c r="D5516" t="str" s="2">
        <x:v>7062071660</x:v>
      </x:c>
      <x:c r="E5516" t="str" s="2">
        <x:v>aprilfoerster63@yahoo.com</x:v>
      </x:c>
      <x:c r="F5516" t="str" s="2">
        <x:v>Website</x:v>
      </x:c>
      <x:c r="G5516" t="str" s="2">
        <x:v>Nathan Bishop</x:v>
      </x:c>
      <x:c r="H5516" s="6">
        <x:v>46284.71983460648</x:v>
      </x:c>
      <x:c r="I5516" t="str" s="2">
        <x:v>Nathan Bishop</x:v>
      </x:c>
      <x:c r="J5516" s="0"/>
      <x:c r="K5516" s="6">
        <x:v>46284</x:v>
      </x:c>
      <x:c r="L5516" t="str" s="2">
        <x:v>New</x:v>
      </x:c>
    </x:row>
    <x:row r="5517">
      <x:c r="A5517" t="str" s="2">
        <x:f>="Ellie Kight"</x:f>
      </x:c>
      <x:c r="B5517" t="str" s="2">
        <x:v>Heritage Housing of Augusta</x:v>
      </x:c>
      <x:c r="C5517" t="str" s="2">
        <x:v/>
      </x:c>
      <x:c r="D5517" t="str" s="2">
        <x:v>4048251774</x:v>
      </x:c>
      <x:c r="E5517" t="str" s="2">
        <x:v>ellie_k_99@yahoo.com</x:v>
      </x:c>
      <x:c r="F5517" t="str" s="2">
        <x:v>Landing_BPM</x:v>
      </x:c>
      <x:c r="G5517" t="str" s="2">
        <x:v>Jose Chavez</x:v>
      </x:c>
      <x:c r="H5517" s="6">
        <x:v>46285.951003125</x:v>
      </x:c>
      <x:c r="I5517" s="0"/>
      <x:c r="J5517" s="0"/>
      <x:c r="K5517" s="6">
        <x:v>46286.612894363425</x:v>
      </x:c>
      <x:c r="L5517" t="str" s="2">
        <x:v>New</x:v>
      </x:c>
    </x:row>
    <x:row r="5518">
      <x:c r="A5518" t="str" s="2">
        <x:f>="Lanie Davis"</x:f>
      </x:c>
      <x:c r="B5518" t="str" s="2">
        <x:v>Heritage Housing of Augusta</x:v>
      </x:c>
      <x:c r="C5518" t="str" s="2">
        <x:v/>
      </x:c>
      <x:c r="D5518" t="str" s="2">
        <x:v>8645495899</x:v>
      </x:c>
      <x:c r="E5518" t="str" s="2">
        <x:v>laniedavis7@gmail.com</x:v>
      </x:c>
      <x:c r="F5518" t="str" s="2">
        <x:v>Landing_BPM</x:v>
      </x:c>
      <x:c r="G5518" t="str" s="2">
        <x:v>Faye Lively</x:v>
      </x:c>
      <x:c r="H5518" s="6">
        <x:v>46286.71483271991</x:v>
      </x:c>
      <x:c r="I5518" s="0"/>
      <x:c r="J5518" s="0"/>
      <x:c r="K5518" s="0"/>
      <x:c r="L5518" t="str" s="2">
        <x:v>New</x:v>
      </x:c>
    </x:row>
    <x:row r="5519">
      <x:c r="A5519" t="str" s="2">
        <x:f>="Jerrilyn Hill"</x:f>
      </x:c>
      <x:c r="B5519" t="str" s="2">
        <x:v>Heritage Housing of Augusta</x:v>
      </x:c>
      <x:c r="C5519" t="str" s="2">
        <x:v/>
      </x:c>
      <x:c r="D5519" t="str" s="2">
        <x:v>9432407160</x:v>
      </x:c>
      <x:c r="E5519" t="str" s="2">
        <x:v>wearableart80@gmail.com</x:v>
      </x:c>
      <x:c r="F5519" t="str" s="2">
        <x:v>Youtube</x:v>
      </x:c>
      <x:c r="G5519" t="str" s="2">
        <x:v>Faye Lively</x:v>
      </x:c>
      <x:c r="H5519" s="6">
        <x:v>46286.97493116898</x:v>
      </x:c>
      <x:c r="I5519" s="0"/>
      <x:c r="J5519" s="0"/>
      <x:c r="K5519" s="0"/>
      <x:c r="L5519" t="str" s="2">
        <x:v>New</x:v>
      </x:c>
    </x:row>
    <x:row r="5520">
      <x:c r="A5520" t="str" s="2">
        <x:f>="Frenchie Henry-fields"</x:f>
      </x:c>
      <x:c r="B5520" t="str" s="2">
        <x:v>Heritage Housing of Athens</x:v>
      </x:c>
      <x:c r="C5520" t="str" s="2">
        <x:v/>
      </x:c>
      <x:c r="D5520" t="str" s="2">
        <x:v>6195462731</x:v>
      </x:c>
      <x:c r="E5520" t="str" s="2">
        <x:v>smartbusinesswoman@yahoo.com</x:v>
      </x:c>
      <x:c r="F5520" t="str" s="2">
        <x:v>Website</x:v>
      </x:c>
      <x:c r="G5520" t="str" s="2">
        <x:v>Mervin Leslie Smith</x:v>
      </x:c>
      <x:c r="H5520" s="6">
        <x:v>46286.97790130787</x:v>
      </x:c>
      <x:c r="I5520" s="0"/>
      <x:c r="J5520" s="0"/>
      <x:c r="K5520" s="0"/>
      <x:c r="L5520" t="str" s="2">
        <x:v>New</x:v>
      </x:c>
    </x:row>
    <x:row r="5521">
      <x:c r="A5521" t="str" s="2">
        <x:f>="Samantha Hicks"</x:f>
      </x:c>
      <x:c r="B5521" t="str" s="2">
        <x:v>Heritage Housing of Athens</x:v>
      </x:c>
      <x:c r="C5521" t="str" s="2">
        <x:v>1/1</x:v>
      </x:c>
      <x:c r="D5521" t="str" s="2">
        <x:v>4783571382</x:v>
      </x:c>
      <x:c r="E5521" t="str" s="2">
        <x:v>hicks.samantha65@gmail.com</x:v>
      </x:c>
      <x:c r="F5521" t="str" s="2">
        <x:v>Landing_BPM</x:v>
      </x:c>
      <x:c r="G5521" t="str" s="2">
        <x:v>Nathan Bishop</x:v>
      </x:c>
      <x:c r="H5521" s="6">
        <x:v>46287.00221755787</x:v>
      </x:c>
      <x:c r="I5521" s="0"/>
      <x:c r="J5521" s="0"/>
      <x:c r="K5521" s="6">
        <x:v>46287</x:v>
      </x:c>
      <x:c r="L5521" t="str" s="2">
        <x:v>New</x:v>
      </x:c>
    </x:row>
    <x:row r="5522">
      <x:c r="A5522" t="str" s="2">
        <x:f>="Ledia Blackshear"</x:f>
      </x:c>
      <x:c r="B5522" t="str" s="2">
        <x:v>Legacy Housing Corp. DBA Americasa</x:v>
      </x:c>
      <x:c r="C5522" t="str" s="2">
        <x:v/>
      </x:c>
      <x:c r="D5522" t="str" s="2">
        <x:v>8328179173</x:v>
      </x:c>
      <x:c r="E5522" t="str" s="2">
        <x:v>lediablackshear1989@gmail.com</x:v>
      </x:c>
      <x:c r="F5522" t="str" s="2">
        <x:v>Landing_BPM</x:v>
      </x:c>
      <x:c r="G5522" t="str" s="2">
        <x:v>Joey Marquez</x:v>
      </x:c>
      <x:c r="H5522" s="6">
        <x:v>46287.511707060185</x:v>
      </x:c>
      <x:c r="I5522" s="0"/>
      <x:c r="J5522" s="0"/>
      <x:c r="K5522" s="6">
        <x:v>46287</x:v>
      </x:c>
      <x:c r="L5522" t="str" s="2">
        <x:v>New</x:v>
      </x:c>
    </x:row>
    <x:row r="5523">
      <x:c r="A5523" t="str" s="2">
        <x:f>="Derrick Roberts"</x:f>
      </x:c>
      <x:c r="B5523" t="str" s="2">
        <x:v>Heritage Housing of Augusta</x:v>
      </x:c>
      <x:c r="C5523" t="str" s="2">
        <x:v/>
      </x:c>
      <x:c r="D5523" t="str" s="2">
        <x:v>7063055800</x:v>
      </x:c>
      <x:c r="E5523" t="str" s="2">
        <x:v>derrickroberts48@gmail.com</x:v>
      </x:c>
      <x:c r="F5523" t="str" s="2">
        <x:v>Financing Form</x:v>
      </x:c>
      <x:c r="G5523" t="str" s="2">
        <x:v>Faye Lively</x:v>
      </x:c>
      <x:c r="H5523" s="6">
        <x:v>46287.68841883102</x:v>
      </x:c>
      <x:c r="I5523" s="0"/>
      <x:c r="J5523" s="0"/>
      <x:c r="K5523" s="0"/>
      <x:c r="L5523" t="str" s="2">
        <x:v>New</x:v>
      </x:c>
    </x:row>
    <x:row r="5524">
      <x:c r="A5524" t="str" s="2">
        <x:f>="Joshua Cumbee"</x:f>
      </x:c>
      <x:c r="B5524" t="str" s="2">
        <x:v>Heritage Housing of Augusta</x:v>
      </x:c>
      <x:c r="C5524" t="str" s="2">
        <x:v/>
      </x:c>
      <x:c r="D5524" t="str" s="2">
        <x:v>4703096304</x:v>
      </x:c>
      <x:c r="E5524" t="str" s="2">
        <x:v>cumbie_joshua@yahoo.com</x:v>
      </x:c>
      <x:c r="F5524" t="str" s="2">
        <x:v>Landing_BPM</x:v>
      </x:c>
      <x:c r="G5524" t="str" s="2">
        <x:v>Faye Lively</x:v>
      </x:c>
      <x:c r="H5524" s="6">
        <x:v>46287.835129363426</x:v>
      </x:c>
      <x:c r="I5524" s="0"/>
      <x:c r="J5524" s="0"/>
      <x:c r="K5524" s="0"/>
      <x:c r="L5524" t="str" s="2">
        <x:v>New</x:v>
      </x:c>
    </x:row>
    <x:row r="5525">
      <x:c r="A5525" t="str" s="2">
        <x:f>="Kathryn Law"</x:f>
      </x:c>
      <x:c r="B5525" t="str" s="2">
        <x:v>Heritage Housing of Augusta</x:v>
      </x:c>
      <x:c r="C5525" t="str" s="2">
        <x:v/>
      </x:c>
      <x:c r="D5525" t="str" s="2">
        <x:v>9315107161</x:v>
      </x:c>
      <x:c r="E5525" t="str" s="2">
        <x:v>kathrynlaw02@gmail.com</x:v>
      </x:c>
      <x:c r="F5525" t="str" s="2">
        <x:v>Website</x:v>
      </x:c>
      <x:c r="G5525" t="str" s="2">
        <x:v>Alexander Bryant</x:v>
      </x:c>
      <x:c r="H5525" s="6">
        <x:v>46288.52724771991</x:v>
      </x:c>
      <x:c r="I5525" s="0"/>
      <x:c r="J5525" s="0"/>
      <x:c r="K5525" s="0"/>
      <x:c r="L5525" t="str" s="2">
        <x:v>New</x:v>
      </x:c>
    </x:row>
    <x:row r="5526">
      <x:c r="A5526" t="str" s="2">
        <x:f>="Edith Beshears"</x:f>
      </x:c>
      <x:c r="B5526" t="str" s="2">
        <x:v>Heritage Housing of Augusta</x:v>
      </x:c>
      <x:c r="C5526" t="str" s="2">
        <x:v/>
      </x:c>
      <x:c r="D5526" t="str" s="2">
        <x:v>8035071860</x:v>
      </x:c>
      <x:c r="E5526" t="str" s="2">
        <x:v>e.tooker08@gmail.com</x:v>
      </x:c>
      <x:c r="F5526" t="str" s="2">
        <x:v>Landing_BPM</x:v>
      </x:c>
      <x:c r="G5526" t="str" s="2">
        <x:v>Faye Lively</x:v>
      </x:c>
      <x:c r="H5526" s="6">
        <x:v>46288.67151724537</x:v>
      </x:c>
      <x:c r="I5526" s="0"/>
      <x:c r="J5526" s="0"/>
      <x:c r="K5526" s="0"/>
      <x:c r="L5526" t="str" s="2">
        <x:v>New</x:v>
      </x:c>
    </x:row>
    <x:row r="5527">
      <x:c r="A5527" t="str" s="2">
        <x:f>="Philip Labeaud"</x:f>
      </x:c>
      <x:c r="B5527" t="str" s="2">
        <x:v>Heritage Housing of Jennings</x:v>
      </x:c>
      <x:c r="C5527" t="str" s="2">
        <x:v/>
      </x:c>
      <x:c r="D5527" t="str" s="2">
        <x:v>3372566738</x:v>
      </x:c>
      <x:c r="E5527" t="str" s="2">
        <x:v>philiplabeaud1@gmail.com</x:v>
      </x:c>
      <x:c r="F5527" t="str" s="2">
        <x:v>Landing_BPM</x:v>
      </x:c>
      <x:c r="G5527" t="str" s="2">
        <x:v>Clint O'Neal</x:v>
      </x:c>
      <x:c r="H5527" s="6">
        <x:v>46289.001953935185</x:v>
      </x:c>
      <x:c r="I5527" s="0"/>
      <x:c r="J5527" s="0"/>
      <x:c r="K5527" s="6">
        <x:v>46302.73676342593</x:v>
      </x:c>
      <x:c r="L5527" t="str" s="2">
        <x:v>New</x:v>
      </x:c>
    </x:row>
    <x:row r="5528">
      <x:c r="A5528" t="str" s="2">
        <x:f>="Lorenzo Jackson"</x:f>
      </x:c>
      <x:c r="B5528" t="str" s="2">
        <x:v>Heritage Housing of Athens</x:v>
      </x:c>
      <x:c r="C5528" t="str" s="2">
        <x:v/>
      </x:c>
      <x:c r="D5528" t="str" s="2">
        <x:v>7706550033</x:v>
      </x:c>
      <x:c r="E5528" t="str" s="2">
        <x:v>lorenzoj964@gmail.com</x:v>
      </x:c>
      <x:c r="F5528" t="str" s="2">
        <x:v>Landing_BPM</x:v>
      </x:c>
      <x:c r="G5528" t="str" s="2">
        <x:v>Ethan Fossett</x:v>
      </x:c>
      <x:c r="H5528" s="6">
        <x:v>46289.26092974537</x:v>
      </x:c>
      <x:c r="I5528" s="0"/>
      <x:c r="J5528" s="0"/>
      <x:c r="K5528" s="0"/>
      <x:c r="L5528" t="str" s="2">
        <x:v>New</x:v>
      </x:c>
    </x:row>
    <x:row r="5529">
      <x:c r="A5529" t="str" s="2">
        <x:f>="Brandy Blocker Sanchez"</x:f>
      </x:c>
      <x:c r="B5529" t="str" s="2">
        <x:v>Heritage Housing of Augusta</x:v>
      </x:c>
      <x:c r="C5529" t="str" s="2">
        <x:v/>
      </x:c>
      <x:c r="D5529" t="str" s="2">
        <x:v>8032153301</x:v>
      </x:c>
      <x:c r="E5529" t="str" s="2">
        <x:v>bockersanchez@gmail.com</x:v>
      </x:c>
      <x:c r="F5529" t="str" s="2">
        <x:v>Landing_BPM</x:v>
      </x:c>
      <x:c r="G5529" t="str" s="2">
        <x:v>Faye Lively</x:v>
      </x:c>
      <x:c r="H5529" s="6">
        <x:v>46289.66901820602</x:v>
      </x:c>
      <x:c r="I5529" s="0"/>
      <x:c r="J5529" s="0"/>
      <x:c r="K5529" s="0"/>
      <x:c r="L5529" t="str" s="2">
        <x:v>New</x:v>
      </x:c>
    </x:row>
    <x:row r="5530">
      <x:c r="A5530" t="str" s="2">
        <x:f>=HYPERLINK("https://rsms.futurehomex.com/lead/40698", "Alisa Shackelford")</x:f>
      </x:c>
      <x:c r="B5530" t="str" s="2">
        <x:v>Heritage Housing of Canton</x:v>
      </x:c>
      <x:c r="C5530" t="str" s="2">
        <x:v/>
      </x:c>
      <x:c r="D5530" t="str" s="2">
        <x:v>8324024406</x:v>
      </x:c>
      <x:c r="E5530" t="str" s="2">
        <x:v>alisashackelford@gmail.com</x:v>
      </x:c>
      <x:c r="F5530" t="str" s="2">
        <x:v>Financing Form</x:v>
      </x:c>
      <x:c r="G5530" t="str" s="2">
        <x:v>Jacob Hatten</x:v>
      </x:c>
      <x:c r="H5530" s="6">
        <x:v>46290.21416357639</x:v>
      </x:c>
      <x:c r="I5530" t="str" s="2">
        <x:v>Jacob Hatten</x:v>
      </x:c>
      <x:c r="J5530" s="0"/>
      <x:c r="K5530" s="6">
        <x:v>46293</x:v>
      </x:c>
      <x:c r="L5530" t="str" s="2">
        <x:v>New</x:v>
      </x:c>
    </x:row>
    <x:row r="5531">
      <x:c r="A5531" t="str" s="2">
        <x:f>="Taylor Tramil"</x:f>
      </x:c>
      <x:c r="B5531" t="str" s="2">
        <x:v>Heritage Housing of Augusta</x:v>
      </x:c>
      <x:c r="C5531" t="str" s="2">
        <x:v/>
      </x:c>
      <x:c r="D5531" t="str" s="2">
        <x:v>4043071939</x:v>
      </x:c>
      <x:c r="E5531" t="str" s="2">
        <x:v>miss.andrea15@yahoo.com</x:v>
      </x:c>
      <x:c r="F5531" t="str" s="2">
        <x:v>Landing_BPM</x:v>
      </x:c>
      <x:c r="G5531" t="str" s="2">
        <x:v>Faye Lively</x:v>
      </x:c>
      <x:c r="H5531" s="6">
        <x:v>46290.67521947917</x:v>
      </x:c>
      <x:c r="I5531" s="0"/>
      <x:c r="J5531" s="0"/>
      <x:c r="K5531" s="0"/>
      <x:c r="L5531" t="str" s="2">
        <x:v>New</x:v>
      </x:c>
    </x:row>
    <x:row r="5532">
      <x:c r="A5532" t="str" s="2">
        <x:f>="Fallyn Dossman"</x:f>
      </x:c>
      <x:c r="B5532" t="str" s="2">
        <x:v>Heritage Housing of Albany</x:v>
      </x:c>
      <x:c r="C5532" t="str" s="2">
        <x:v/>
      </x:c>
      <x:c r="D5532" t="str" s="2">
        <x:v>6784672019</x:v>
      </x:c>
      <x:c r="E5532" t="str" s="2">
        <x:v>Allyhope395@gmail.com</x:v>
      </x:c>
      <x:c r="F5532" t="str" s="2">
        <x:v>Landing_BPM</x:v>
      </x:c>
      <x:c r="G5532" t="str" s="2">
        <x:v>Justin Johnson</x:v>
      </x:c>
      <x:c r="H5532" s="6">
        <x:v>46290.72501018518</x:v>
      </x:c>
      <x:c r="I5532" s="0"/>
      <x:c r="J5532" s="0"/>
      <x:c r="K5532" s="0"/>
      <x:c r="L5532" t="str" s="2">
        <x:v>New</x:v>
      </x:c>
    </x:row>
    <x:row r="5533">
      <x:c r="A5533" t="str" s="2">
        <x:f>="Eddie Session"</x:f>
      </x:c>
      <x:c r="B5533" t="str" s="2">
        <x:v>Heritage Housing of Canton</x:v>
      </x:c>
      <x:c r="C5533" t="str" s="2">
        <x:v/>
      </x:c>
      <x:c r="D5533" t="str" s="2">
        <x:v>4302441213</x:v>
      </x:c>
      <x:c r="E5533" t="str" s="2">
        <x:v>kaitlyn.02.williams@gmail.com</x:v>
      </x:c>
      <x:c r="F5533" t="str" s="2">
        <x:v>LandingPage</x:v>
      </x:c>
      <x:c r="G5533" t="str" s="2">
        <x:v>Maira Garcia</x:v>
      </x:c>
      <x:c r="H5533" s="6">
        <x:v>46290.84891542824</x:v>
      </x:c>
      <x:c r="I5533" s="0"/>
      <x:c r="J5533" s="0"/>
      <x:c r="K5533" s="6">
        <x:v>46291</x:v>
      </x:c>
      <x:c r="L5533" t="str" s="2">
        <x:v>New</x:v>
      </x:c>
    </x:row>
    <x:row r="5534">
      <x:c r="A5534" t="str" s="2">
        <x:f>="Jaylyn Godfrey"</x:f>
      </x:c>
      <x:c r="B5534" t="str" s="2">
        <x:v>Heritage Housing of Albany</x:v>
      </x:c>
      <x:c r="C5534" t="str" s="2">
        <x:v/>
      </x:c>
      <x:c r="D5534" t="str" s="2">
        <x:v>4485001809</x:v>
      </x:c>
      <x:c r="E5534" t="str" s="2">
        <x:v>jaylyngodfrey16@icloud.com</x:v>
      </x:c>
      <x:c r="F5534" t="str" s="2">
        <x:v>Landing_BPM</x:v>
      </x:c>
      <x:c r="G5534" t="str" s="2">
        <x:v>Justin Johnson</x:v>
      </x:c>
      <x:c r="H5534" s="6">
        <x:v>46290.949010185184</x:v>
      </x:c>
      <x:c r="I5534" s="0"/>
      <x:c r="J5534" s="0"/>
      <x:c r="K5534" s="0"/>
      <x:c r="L5534" t="str" s="2">
        <x:v>New</x:v>
      </x:c>
    </x:row>
    <x:row r="5535">
      <x:c r="A5535" t="str" s="2">
        <x:f>="Hannah otting"</x:f>
      </x:c>
      <x:c r="B5535" t="str" s="2">
        <x:v>Heritage Housing of Augusta</x:v>
      </x:c>
      <x:c r="C5535" t="str" s="2">
        <x:v/>
      </x:c>
      <x:c r="D5535" t="str" s="2">
        <x:v>7622187583</x:v>
      </x:c>
      <x:c r="E5535" t="str" s="2">
        <x:v>hotting41@gmail.com</x:v>
      </x:c>
      <x:c r="F5535" t="str" s="2">
        <x:v>Landing_BPM</x:v>
      </x:c>
      <x:c r="G5535" t="str" s="2">
        <x:v>Faye Lively</x:v>
      </x:c>
      <x:c r="H5535" s="6">
        <x:v>46291.26610667824</x:v>
      </x:c>
      <x:c r="I5535" s="0"/>
      <x:c r="J5535" s="0"/>
      <x:c r="K5535" s="0"/>
      <x:c r="L5535" t="str" s="2">
        <x:v>New</x:v>
      </x:c>
    </x:row>
    <x:row r="5536">
      <x:c r="A5536" t="str" s="2">
        <x:f>=HYPERLINK("https://rsms.futurehomex.com/lead/40379", "Anthony Kortright")</x:f>
      </x:c>
      <x:c r="B5536" t="str" s="2">
        <x:v>Heritage Housing of Oklahoma City</x:v>
      </x:c>
      <x:c r="C5536" t="str" s="2">
        <x:v/>
      </x:c>
      <x:c r="D5536" t="str" s="2">
        <x:v>4059169744</x:v>
      </x:c>
      <x:c r="E5536" t="str" s="2">
        <x:v>Anthony837@yahoo.com</x:v>
      </x:c>
      <x:c r="F5536" t="str" s="2">
        <x:v>Landing_BPM</x:v>
      </x:c>
      <x:c r="G5536" t="str" s="2">
        <x:v>Trey Rixleben</x:v>
      </x:c>
      <x:c r="H5536" s="6">
        <x:v>46291.47604487269</x:v>
      </x:c>
      <x:c r="I5536" t="str" s="2">
        <x:v>Trey Rixleben</x:v>
      </x:c>
      <x:c r="J5536" s="0"/>
      <x:c r="K5536" s="0"/>
      <x:c r="L5536" t="str" s="2">
        <x:v>New</x:v>
      </x:c>
    </x:row>
    <x:row r="5537">
      <x:c r="A5537" t="str" s="2">
        <x:f>="Jamin Moorehead"</x:f>
      </x:c>
      <x:c r="B5537" t="str" s="2">
        <x:v>Heritage Housing of Albany</x:v>
      </x:c>
      <x:c r="C5537" t="str" s="2">
        <x:v/>
      </x:c>
      <x:c r="D5537" t="str" s="2">
        <x:v>7024826277</x:v>
      </x:c>
      <x:c r="E5537" t="str" s="2">
        <x:v>jinocapone@gmail.com</x:v>
      </x:c>
      <x:c r="F5537" t="str" s="2">
        <x:v>Youtube</x:v>
      </x:c>
      <x:c r="G5537" t="str" s="2">
        <x:v>Justin Johnson</x:v>
      </x:c>
      <x:c r="H5537" s="6">
        <x:v>46291.59438923611</x:v>
      </x:c>
      <x:c r="I5537" s="0"/>
      <x:c r="J5537" s="0"/>
      <x:c r="K5537" s="0"/>
      <x:c r="L5537" t="str" s="2">
        <x:v>New</x:v>
      </x:c>
    </x:row>
    <x:row r="5538">
      <x:c r="A5538" t="str" s="2">
        <x:f>="Celeste Boyce"</x:f>
      </x:c>
      <x:c r="B5538" t="str" s="2">
        <x:v>Heritage Housing of Athens</x:v>
      </x:c>
      <x:c r="C5538" t="str" s="2">
        <x:v/>
      </x:c>
      <x:c r="D5538" t="str" s="2">
        <x:v>3364377660</x:v>
      </x:c>
      <x:c r="E5538" t="str" s="2">
        <x:v>b.kindalways3@gmail.com</x:v>
      </x:c>
      <x:c r="F5538" t="str" s="2">
        <x:v>Landing_BPM</x:v>
      </x:c>
      <x:c r="G5538" t="str" s="2">
        <x:v>Ethan Fossett</x:v>
      </x:c>
      <x:c r="H5538" s="6">
        <x:v>46291.67520462963</x:v>
      </x:c>
      <x:c r="I5538" s="0"/>
      <x:c r="J5538" s="0"/>
      <x:c r="K5538" s="6">
        <x:v>46302.89893336806</x:v>
      </x:c>
      <x:c r="L5538" t="str" s="2">
        <x:v>New</x:v>
      </x:c>
    </x:row>
    <x:row r="5539">
      <x:c r="A5539" t="str" s="2">
        <x:f>="kayla Bramlett"</x:f>
      </x:c>
      <x:c r="B5539" t="str" s="2">
        <x:v>Heritage Housing of Augusta</x:v>
      </x:c>
      <x:c r="C5539" t="str" s="2">
        <x:v/>
      </x:c>
      <x:c r="D5539" t="str" s="2">
        <x:v>4708611895</x:v>
      </x:c>
      <x:c r="E5539" t="str" s="2">
        <x:v>kbramlett69@icloud.com</x:v>
      </x:c>
      <x:c r="F5539" t="str" s="2">
        <x:v>Landing_BPM</x:v>
      </x:c>
      <x:c r="G5539" t="str" s="2">
        <x:v>Jose Chavez</x:v>
      </x:c>
      <x:c r="H5539" s="6">
        <x:v>46291.735914930556</x:v>
      </x:c>
      <x:c r="I5539" s="0"/>
      <x:c r="J5539" s="0"/>
      <x:c r="K5539" s="0"/>
      <x:c r="L5539" t="str" s="2">
        <x:v>New</x:v>
      </x:c>
    </x:row>
    <x:row r="5540">
      <x:c r="A5540" t="str" s="2">
        <x:f>="Gail Meads"</x:f>
      </x:c>
      <x:c r="B5540" t="str" s="2">
        <x:v>Heritage Housing of Athens</x:v>
      </x:c>
      <x:c r="C5540" t="str" s="2">
        <x:v/>
      </x:c>
      <x:c r="D5540" t="str" s="2">
        <x:v>7064845235</x:v>
      </x:c>
      <x:c r="E5540" t="str" s="2">
        <x:v>gailmeads210@gmail.com</x:v>
      </x:c>
      <x:c r="F5540" t="str" s="2">
        <x:v>LandingPage</x:v>
      </x:c>
      <x:c r="G5540" t="str" s="2">
        <x:v>Nathan Bishop</x:v>
      </x:c>
      <x:c r="H5540" s="6">
        <x:v>46291.79712265046</x:v>
      </x:c>
      <x:c r="I5540" s="0"/>
      <x:c r="J5540" s="0"/>
      <x:c r="K5540" s="0"/>
      <x:c r="L5540" t="str" s="2">
        <x:v>New</x:v>
      </x:c>
    </x:row>
    <x:row r="5541">
      <x:c r="A5541" t="str" s="2">
        <x:f>="Shaun MOREY"</x:f>
      </x:c>
      <x:c r="B5541" t="str" s="2">
        <x:v>Heritage Housing of Augusta</x:v>
      </x:c>
      <x:c r="C5541" t="str" s="2">
        <x:v/>
      </x:c>
      <x:c r="D5541" t="str" s="2">
        <x:v>4782511565</x:v>
      </x:c>
      <x:c r="E5541" t="str" s="2">
        <x:v>spacemanmorey@gmail.com</x:v>
      </x:c>
      <x:c r="F5541" t="str" s="2">
        <x:v>Landing_BPM</x:v>
      </x:c>
      <x:c r="G5541" t="str" s="2">
        <x:v>Faye Lively</x:v>
      </x:c>
      <x:c r="H5541" s="6">
        <x:v>46291.86232966435</x:v>
      </x:c>
      <x:c r="I5541" s="0"/>
      <x:c r="J5541" s="0"/>
      <x:c r="K5541" s="0"/>
      <x:c r="L5541" t="str" s="2">
        <x:v>New</x:v>
      </x:c>
    </x:row>
    <x:row r="5542">
      <x:c r="A5542" t="str" s="2">
        <x:f>="Cheryl Trusty"</x:f>
      </x:c>
      <x:c r="B5542" t="str" s="2">
        <x:v>Heritage Housing of Albany</x:v>
      </x:c>
      <x:c r="C5542" t="str" s="2">
        <x:v/>
      </x:c>
      <x:c r="D5542" t="str" s="2">
        <x:v>4709787118</x:v>
      </x:c>
      <x:c r="E5542" t="str" s="2">
        <x:v>ren.z.oliver741@gmail.com</x:v>
      </x:c>
      <x:c r="F5542" t="str" s="2">
        <x:v>Landing_BPM</x:v>
      </x:c>
      <x:c r="G5542" t="str" s="2">
        <x:v>Justin Johnson</x:v>
      </x:c>
      <x:c r="H5542" s="6">
        <x:v>46292.00819710648</x:v>
      </x:c>
      <x:c r="I5542" s="0"/>
      <x:c r="J5542" s="0"/>
      <x:c r="K5542" s="0"/>
      <x:c r="L5542" t="str" s="2">
        <x:v>New</x:v>
      </x:c>
    </x:row>
    <x:row r="5543">
      <x:c r="A5543" t="str" s="2">
        <x:f>="Khalilah Steele"</x:f>
      </x:c>
      <x:c r="B5543" t="str" s="2">
        <x:v>Heritage Housing of Albany</x:v>
      </x:c>
      <x:c r="C5543" t="str" s="2">
        <x:v/>
      </x:c>
      <x:c r="D5543" t="str" s="2">
        <x:v>7065168429</x:v>
      </x:c>
      <x:c r="E5543" t="str" s="2">
        <x:v>Khalilahsteele@gmail.com</x:v>
      </x:c>
      <x:c r="F5543" t="str" s="2">
        <x:v>Financing Form</x:v>
      </x:c>
      <x:c r="G5543" t="str" s="2">
        <x:v>Justin Johnson</x:v>
      </x:c>
      <x:c r="H5543" s="6">
        <x:v>46292.54904737268</x:v>
      </x:c>
      <x:c r="I5543" s="0"/>
      <x:c r="J5543" s="0"/>
      <x:c r="K5543" s="0"/>
      <x:c r="L5543" t="str" s="2">
        <x:v>New</x:v>
      </x:c>
    </x:row>
    <x:row r="5544">
      <x:c r="A5544" t="str" s="2">
        <x:f>="Heather Moore"</x:f>
      </x:c>
      <x:c r="B5544" t="str" s="2">
        <x:v>Heritage Housing of Augusta</x:v>
      </x:c>
      <x:c r="C5544" t="str" s="2">
        <x:v/>
      </x:c>
      <x:c r="D5544" t="str" s="2">
        <x:v>7705309556</x:v>
      </x:c>
      <x:c r="E5544" t="str" s="2">
        <x:v>heathermoore2020@yahoo.com</x:v>
      </x:c>
      <x:c r="F5544" t="str" s="2">
        <x:v>Landing_BPM</x:v>
      </x:c>
      <x:c r="G5544" t="str" s="2">
        <x:v>Faye Lively</x:v>
      </x:c>
      <x:c r="H5544" s="6">
        <x:v>46292.66877137731</x:v>
      </x:c>
      <x:c r="I5544" s="0"/>
      <x:c r="J5544" s="0"/>
      <x:c r="K5544" s="0"/>
      <x:c r="L5544" t="str" s="2">
        <x:v>New</x:v>
      </x:c>
    </x:row>
    <x:row r="5545">
      <x:c r="A5545" t="str" s="2">
        <x:f>="Ashley Thomas"</x:f>
      </x:c>
      <x:c r="B5545" t="str" s="2">
        <x:v>Heritage Housing of Albany</x:v>
      </x:c>
      <x:c r="C5545" t="str" s="2">
        <x:v/>
      </x:c>
      <x:c r="D5545" t="str" s="2">
        <x:v>5809906761</x:v>
      </x:c>
      <x:c r="E5545" t="str" s="2">
        <x:v>kubber2026@gmail.com</x:v>
      </x:c>
      <x:c r="F5545" t="str" s="2">
        <x:v>Financing Form</x:v>
      </x:c>
      <x:c r="G5545" t="str" s="2">
        <x:v>Justin Johnson</x:v>
      </x:c>
      <x:c r="H5545" s="6">
        <x:v>46292.699070601855</x:v>
      </x:c>
      <x:c r="I5545" s="0"/>
      <x:c r="J5545" s="0"/>
      <x:c r="K5545" s="0"/>
      <x:c r="L5545" t="str" s="2">
        <x:v>New</x:v>
      </x:c>
    </x:row>
    <x:row r="5546">
      <x:c r="A5546" t="str" s="2">
        <x:f>="Donald Searles"</x:f>
      </x:c>
      <x:c r="B5546" t="str" s="2">
        <x:v>Heritage Housing of Augusta</x:v>
      </x:c>
      <x:c r="C5546" t="str" s="2">
        <x:v/>
      </x:c>
      <x:c r="D5546" t="str" s="2">
        <x:v>4703144068</x:v>
      </x:c>
      <x:c r="E5546" t="str" s="2">
        <x:v>bigchina454@icloud.com</x:v>
      </x:c>
      <x:c r="F5546" t="str" s="2">
        <x:v>Landing_BPM</x:v>
      </x:c>
      <x:c r="G5546" t="str" s="2">
        <x:v>Jose Chavez</x:v>
      </x:c>
      <x:c r="H5546" s="6">
        <x:v>46292.70953267361</x:v>
      </x:c>
      <x:c r="I5546" s="0"/>
      <x:c r="J5546" s="0"/>
      <x:c r="K5546" s="0"/>
      <x:c r="L5546" t="str" s="2">
        <x:v>New</x:v>
      </x:c>
    </x:row>
    <x:row r="5547">
      <x:c r="A5547" t="str" s="2">
        <x:f>="Tyrone Steward"</x:f>
      </x:c>
      <x:c r="B5547" t="str" s="2">
        <x:v>Heritage Housing of Albany</x:v>
      </x:c>
      <x:c r="C5547" t="str" s="2">
        <x:v/>
      </x:c>
      <x:c r="D5547" t="str" s="2">
        <x:v>9296785878</x:v>
      </x:c>
      <x:c r="E5547" t="str" s="2">
        <x:v>theboss7500@gmail.com</x:v>
      </x:c>
      <x:c r="F5547" t="str" s="2">
        <x:v>Landing_BPM</x:v>
      </x:c>
      <x:c r="G5547" t="str" s="2">
        <x:v>Justin Johnson</x:v>
      </x:c>
      <x:c r="H5547" s="6">
        <x:v>46292.84077658565</x:v>
      </x:c>
      <x:c r="I5547" s="0"/>
      <x:c r="J5547" s="0"/>
      <x:c r="K5547" s="0"/>
      <x:c r="L5547" t="str" s="2">
        <x:v>New</x:v>
      </x:c>
    </x:row>
    <x:row r="5548">
      <x:c r="A5548" t="str" s="2">
        <x:f>="Cody Hinton"</x:f>
      </x:c>
      <x:c r="B5548" t="str" s="2">
        <x:v>Heritage Housing of Augusta</x:v>
      </x:c>
      <x:c r="C5548" t="str" s="2">
        <x:v/>
      </x:c>
      <x:c r="D5548" t="str" s="2">
        <x:v>7064450921</x:v>
      </x:c>
      <x:c r="E5548" t="str" s="2">
        <x:v>kylahinton@icloud.com</x:v>
      </x:c>
      <x:c r="F5548" t="str" s="2">
        <x:v>Financing Form</x:v>
      </x:c>
      <x:c r="G5548" t="str" s="2">
        <x:v>Faye Lively</x:v>
      </x:c>
      <x:c r="H5548" s="6">
        <x:v>46292.92621420139</x:v>
      </x:c>
      <x:c r="I5548" s="0"/>
      <x:c r="J5548" s="0"/>
      <x:c r="K5548" s="0"/>
      <x:c r="L5548" t="str" s="2">
        <x:v>New</x:v>
      </x:c>
    </x:row>
    <x:row r="5549">
      <x:c r="A5549" t="str" s="2">
        <x:f>="Mickey Corpening"</x:f>
      </x:c>
      <x:c r="B5549" t="str" s="2">
        <x:v>Heritage Housing of Athens</x:v>
      </x:c>
      <x:c r="C5549" t="str" s="2">
        <x:v/>
      </x:c>
      <x:c r="D5549" t="str" s="2">
        <x:v>7067167045</x:v>
      </x:c>
      <x:c r="E5549" t="str" s="2">
        <x:v>dirtroadsawmill@yahoo.com</x:v>
      </x:c>
      <x:c r="F5549" t="str" s="2">
        <x:v>Landing_BPM</x:v>
      </x:c>
      <x:c r="G5549" t="str" s="2">
        <x:v>Nathan Bishop</x:v>
      </x:c>
      <x:c r="H5549" s="6">
        <x:v>46293.09482341435</x:v>
      </x:c>
      <x:c r="I5549" s="0"/>
      <x:c r="J5549" s="0"/>
      <x:c r="K5549" s="0"/>
      <x:c r="L5549" t="str" s="2">
        <x:v>New</x:v>
      </x:c>
    </x:row>
    <x:row r="5550">
      <x:c r="A5550" t="str" s="2">
        <x:f>="kesha dent dent"</x:f>
      </x:c>
      <x:c r="B5550" t="str" s="2">
        <x:v>Heritage Housing of Augusta</x:v>
      </x:c>
      <x:c r="C5550" t="str" s="2">
        <x:v/>
      </x:c>
      <x:c r="D5550" t="str" s="2">
        <x:v>7066991195</x:v>
      </x:c>
      <x:c r="E5550" t="str" s="2">
        <x:v>kidsramazing95@gmail.com</x:v>
      </x:c>
      <x:c r="F5550" t="str" s="2">
        <x:v>Landing_BPM</x:v>
      </x:c>
      <x:c r="G5550" t="str" s="2">
        <x:v>Jose Chavez</x:v>
      </x:c>
      <x:c r="H5550" s="6">
        <x:v>46293.23518645833</x:v>
      </x:c>
      <x:c r="I5550" s="0"/>
      <x:c r="J5550" s="0"/>
      <x:c r="K5550" s="0"/>
      <x:c r="L5550" t="str" s="2">
        <x:v>New</x:v>
      </x:c>
    </x:row>
    <x:row r="5551">
      <x:c r="A5551" t="str" s="2">
        <x:f>="Ke’Angel Smith"</x:f>
      </x:c>
      <x:c r="B5551" t="str" s="2">
        <x:v>Heritage Housing of Albany</x:v>
      </x:c>
      <x:c r="C5551" t="str" s="2">
        <x:v/>
      </x:c>
      <x:c r="D5551" t="str" s="2">
        <x:v>2298158270</x:v>
      </x:c>
      <x:c r="E5551" t="str" s="2">
        <x:v>k3angelsmith05@gmail.com</x:v>
      </x:c>
      <x:c r="F5551" t="str" s="2">
        <x:v>Landing_BPM</x:v>
      </x:c>
      <x:c r="G5551" t="str" s="2">
        <x:v>Justin Johnson</x:v>
      </x:c>
      <x:c r="H5551" s="6">
        <x:v>46293.49202283565</x:v>
      </x:c>
      <x:c r="I5551" s="0"/>
      <x:c r="J5551" s="0"/>
      <x:c r="K5551" s="0"/>
      <x:c r="L5551" t="str" s="2">
        <x:v>New</x:v>
      </x:c>
    </x:row>
    <x:row r="5552">
      <x:c r="A5552" t="str" s="2">
        <x:f>="Linda Williams Williams"</x:f>
      </x:c>
      <x:c r="B5552" t="str" s="2">
        <x:v>Heritage Housing of Athens</x:v>
      </x:c>
      <x:c r="C5552" t="str" s="2">
        <x:v/>
      </x:c>
      <x:c r="D5552" t="str" s="2">
        <x:v>9842348172</x:v>
      </x:c>
      <x:c r="E5552" t="str" s="2">
        <x:v>lde8790@gmail.com</x:v>
      </x:c>
      <x:c r="F5552" t="str" s="2">
        <x:v>Landing_BPM</x:v>
      </x:c>
      <x:c r="G5552" t="str" s="2">
        <x:v>Nathan Bishop</x:v>
      </x:c>
      <x:c r="H5552" s="6">
        <x:v>46293.586285763886</x:v>
      </x:c>
      <x:c r="I5552" s="0"/>
      <x:c r="J5552" s="0"/>
      <x:c r="K5552" s="0"/>
      <x:c r="L5552" t="str" s="2">
        <x:v>New</x:v>
      </x:c>
    </x:row>
    <x:row r="5553">
      <x:c r="A5553" t="str" s="2">
        <x:f>=HYPERLINK("https://rsms.futurehomex.com/lead/40438", "Gwendolyn Tippett Tippett")</x:f>
      </x:c>
      <x:c r="B5553" t="str" s="2">
        <x:v>Heritage Housing of Oklahoma City</x:v>
      </x:c>
      <x:c r="C5553" t="str" s="2">
        <x:v/>
      </x:c>
      <x:c r="D5553" t="str" s="2">
        <x:v>4057740886</x:v>
      </x:c>
      <x:c r="E5553" t="str" s="2">
        <x:v>gktmwc77@gmail.com</x:v>
      </x:c>
      <x:c r="F5553" t="str" s="2">
        <x:v>Landing_BPM</x:v>
      </x:c>
      <x:c r="G5553" t="str" s="2">
        <x:v>Devon McCoy</x:v>
      </x:c>
      <x:c r="H5553" s="6">
        <x:v>46293.61786890047</x:v>
      </x:c>
      <x:c r="I5553" t="str" s="2">
        <x:v>Devon McCoy</x:v>
      </x:c>
      <x:c r="J5553" s="0"/>
      <x:c r="K5553" s="6">
        <x:v>46294.62719398148</x:v>
      </x:c>
      <x:c r="L5553" t="str" s="2">
        <x:v>New</x:v>
      </x:c>
    </x:row>
    <x:row r="5554">
      <x:c r="A5554" t="str" s="2">
        <x:f>="Kylie Johnson"</x:f>
      </x:c>
      <x:c r="B5554" t="str" s="2">
        <x:v>Heritage Housing of Albany</x:v>
      </x:c>
      <x:c r="C5554" t="str" s="2">
        <x:v/>
      </x:c>
      <x:c r="D5554" t="str" s="2">
        <x:v>2294378777</x:v>
      </x:c>
      <x:c r="E5554" t="str" s="2">
        <x:v>kyliemitchell2003@gmail.com</x:v>
      </x:c>
      <x:c r="F5554" t="str" s="2">
        <x:v>Landing_BPM</x:v>
      </x:c>
      <x:c r="G5554" t="str" s="2">
        <x:v>Justin Johnson</x:v>
      </x:c>
      <x:c r="H5554" s="6">
        <x:v>46293.61851519676</x:v>
      </x:c>
      <x:c r="I5554" s="0"/>
      <x:c r="J5554" s="0"/>
      <x:c r="K5554" s="0"/>
      <x:c r="L5554" t="str" s="2">
        <x:v>New</x:v>
      </x:c>
    </x:row>
    <x:row r="5555">
      <x:c r="A5555" t="str" s="2">
        <x:f>="Joan Cunningham"</x:f>
      </x:c>
      <x:c r="B5555" t="str" s="2">
        <x:v>Heritage Housing of Augusta</x:v>
      </x:c>
      <x:c r="C5555" t="str" s="2">
        <x:v/>
      </x:c>
      <x:c r="D5555" t="str" s="2">
        <x:v>4046710831</x:v>
      </x:c>
      <x:c r="E5555" t="str" s="2">
        <x:v>csmw6451@gmail.com</x:v>
      </x:c>
      <x:c r="F5555" t="str" s="2">
        <x:v>Landing_BPM</x:v>
      </x:c>
      <x:c r="G5555" t="str" s="2">
        <x:v>Jose Chavez</x:v>
      </x:c>
      <x:c r="H5555" s="6">
        <x:v>46293.7037628125</x:v>
      </x:c>
      <x:c r="I5555" s="0"/>
      <x:c r="J5555" s="0"/>
      <x:c r="K5555" s="0"/>
      <x:c r="L5555" t="str" s="2">
        <x:v>New</x:v>
      </x:c>
    </x:row>
    <x:row r="5556">
      <x:c r="A5556" t="str" s="2">
        <x:f>="Timothy Brown"</x:f>
      </x:c>
      <x:c r="B5556" t="str" s="2">
        <x:v>Heritage Housing of Albany</x:v>
      </x:c>
      <x:c r="C5556" t="str" s="2">
        <x:v/>
      </x:c>
      <x:c r="D5556" t="str" s="2">
        <x:v>2293798070</x:v>
      </x:c>
      <x:c r="E5556" t="str" s="2">
        <x:v>browntimothy065@gmail.com</x:v>
      </x:c>
      <x:c r="F5556" t="str" s="2">
        <x:v>Landing_BPM</x:v>
      </x:c>
      <x:c r="G5556" t="str" s="2">
        <x:v>Justin Johnson</x:v>
      </x:c>
      <x:c r="H5556" s="6">
        <x:v>46293.79250520833</x:v>
      </x:c>
      <x:c r="I5556" s="0"/>
      <x:c r="J5556" s="0"/>
      <x:c r="K5556" s="0"/>
      <x:c r="L5556" t="str" s="2">
        <x:v>New</x:v>
      </x:c>
    </x:row>
    <x:row r="5557">
      <x:c r="A5557" t="str" s="2">
        <x:f>="Roshonda Curtis"</x:f>
      </x:c>
      <x:c r="B5557" t="str" s="2">
        <x:v>Heritage Housing of Augusta</x:v>
      </x:c>
      <x:c r="C5557" t="str" s="2">
        <x:v/>
      </x:c>
      <x:c r="D5557" t="str" s="2">
        <x:v>9126570149</x:v>
      </x:c>
      <x:c r="E5557" t="str" s="2">
        <x:v>roshondapadgett@gmail.com</x:v>
      </x:c>
      <x:c r="F5557" t="str" s="2">
        <x:v>Landing_BPM</x:v>
      </x:c>
      <x:c r="G5557" t="str" s="2">
        <x:v>Faye Lively</x:v>
      </x:c>
      <x:c r="H5557" s="6">
        <x:v>46293.900792789354</x:v>
      </x:c>
      <x:c r="I5557" s="0"/>
      <x:c r="J5557" s="0"/>
      <x:c r="K5557" s="0"/>
      <x:c r="L5557" t="str" s="2">
        <x:v>New</x:v>
      </x:c>
    </x:row>
    <x:row r="5558">
      <x:c r="A5558" t="str" s="2">
        <x:f>="Taveras Stokes"</x:f>
      </x:c>
      <x:c r="B5558" t="str" s="2">
        <x:v>Heritage Housing of Augusta</x:v>
      </x:c>
      <x:c r="C5558" t="str" s="2">
        <x:v/>
      </x:c>
      <x:c r="D5558" t="str" s="2">
        <x:v>7067550084</x:v>
      </x:c>
      <x:c r="E5558" t="str" s="2">
        <x:v>taverasstokes20@gmail.com</x:v>
      </x:c>
      <x:c r="F5558" t="str" s="2">
        <x:v>Financing Form</x:v>
      </x:c>
      <x:c r="G5558" t="str" s="2">
        <x:v>Jose Chavez</x:v>
      </x:c>
      <x:c r="H5558" s="6">
        <x:v>46294.07414710648</x:v>
      </x:c>
      <x:c r="I5558" s="0"/>
      <x:c r="J5558" s="0"/>
      <x:c r="K5558" s="0"/>
      <x:c r="L5558" t="str" s="2">
        <x:v>New</x:v>
      </x:c>
    </x:row>
    <x:row r="5559">
      <x:c r="A5559" t="str" s="2">
        <x:f>="Moses Jesudass"</x:f>
      </x:c>
      <x:c r="B5559" t="str" s="2">
        <x:v>Heritage Housing of Albany</x:v>
      </x:c>
      <x:c r="C5559" t="str" s="2">
        <x:v/>
      </x:c>
      <x:c r="D5559" t="str" s="2">
        <x:v>04694071025</x:v>
      </x:c>
      <x:c r="E5559" t="str" s="2">
        <x:v>mjesudass@gmail.com</x:v>
      </x:c>
      <x:c r="F5559" t="str" s="2">
        <x:v>Landing_BPM</x:v>
      </x:c>
      <x:c r="G5559" t="str" s="2">
        <x:v>Justin Johnson</x:v>
      </x:c>
      <x:c r="H5559" s="6">
        <x:v>46294.08489155093</x:v>
      </x:c>
      <x:c r="I5559" s="0"/>
      <x:c r="J5559" s="0"/>
      <x:c r="K5559" s="0"/>
      <x:c r="L5559" t="str" s="2">
        <x:v>New</x:v>
      </x:c>
    </x:row>
    <x:row r="5560">
      <x:c r="A5560" t="str" s="2">
        <x:f>="Juan Sifonte"</x:f>
      </x:c>
      <x:c r="B5560" t="str" s="2">
        <x:v>Heritage Housing of Augusta</x:v>
      </x:c>
      <x:c r="C5560" t="str" s="2">
        <x:v/>
      </x:c>
      <x:c r="D5560" t="str" s="2">
        <x:v>8036408383</x:v>
      </x:c>
      <x:c r="E5560" t="str" s="2">
        <x:v>carlos.sifonte14@yahoo.com</x:v>
      </x:c>
      <x:c r="F5560" t="str" s="2">
        <x:v>Landing_BPM</x:v>
      </x:c>
      <x:c r="G5560" t="str" s="2">
        <x:v>Faye Lively</x:v>
      </x:c>
      <x:c r="H5560" s="6">
        <x:v>46294.68047103009</x:v>
      </x:c>
      <x:c r="I5560" s="0"/>
      <x:c r="J5560" s="0"/>
      <x:c r="K5560" s="0"/>
      <x:c r="L5560" t="str" s="2">
        <x:v>New</x:v>
      </x:c>
    </x:row>
    <x:row r="5561">
      <x:c r="A5561" t="str" s="2">
        <x:f>="Edward Johnson"</x:f>
      </x:c>
      <x:c r="B5561" t="str" s="2">
        <x:v>Heritage Housing of Albany</x:v>
      </x:c>
      <x:c r="C5561" t="str" s="2">
        <x:v/>
      </x:c>
      <x:c r="D5561" t="str" s="2">
        <x:v>4782731599</x:v>
      </x:c>
      <x:c r="E5561" t="str" s="2">
        <x:v>ej172594@gmail.com</x:v>
      </x:c>
      <x:c r="F5561" t="str" s="2">
        <x:v>Financing Form</x:v>
      </x:c>
      <x:c r="G5561" t="str" s="2">
        <x:v>Justin Johnson</x:v>
      </x:c>
      <x:c r="H5561" s="6">
        <x:v>46294.81399818287</x:v>
      </x:c>
      <x:c r="I5561" s="0"/>
      <x:c r="J5561" s="0"/>
      <x:c r="K5561" s="0"/>
      <x:c r="L5561" t="str" s="2">
        <x:v>New</x:v>
      </x:c>
    </x:row>
    <x:row r="5562">
      <x:c r="A5562" t="str" s="2">
        <x:f>="Sariah Ast Sariah Ast"</x:f>
      </x:c>
      <x:c r="B5562" t="str" s="2">
        <x:v>Heritage Housing of Augusta</x:v>
      </x:c>
      <x:c r="C5562" t="str" s="2">
        <x:v/>
      </x:c>
      <x:c r="D5562" t="str" s="2">
        <x:v>3168838621</x:v>
      </x:c>
      <x:c r="E5562" t="str" s="2">
        <x:v>sariahast@gmail.com</x:v>
      </x:c>
      <x:c r="F5562" t="str" s="2">
        <x:v>Landing_BPM</x:v>
      </x:c>
      <x:c r="G5562" t="str" s="2">
        <x:v>Jose Chavez</x:v>
      </x:c>
      <x:c r="H5562" s="6">
        <x:v>46295.80040034722</x:v>
      </x:c>
      <x:c r="I5562" s="0"/>
      <x:c r="J5562" s="0"/>
      <x:c r="K5562" s="0"/>
      <x:c r="L5562" t="str" s="2">
        <x:v>New</x:v>
      </x:c>
    </x:row>
    <x:row r="5563">
      <x:c r="A5563" t="str" s="2">
        <x:f>="Christopher Shamble"</x:f>
      </x:c>
      <x:c r="B5563" t="str" s="2">
        <x:v>Heritage Housing of Augusta</x:v>
      </x:c>
      <x:c r="C5563" t="str" s="2">
        <x:v/>
      </x:c>
      <x:c r="D5563" t="str" s="2">
        <x:v>8034803279</x:v>
      </x:c>
      <x:c r="E5563" t="str" s="2">
        <x:v>Christophershamble@yahoo.com</x:v>
      </x:c>
      <x:c r="F5563" t="str" s="2">
        <x:v>Website</x:v>
      </x:c>
      <x:c r="G5563" t="str" s="2">
        <x:v>Justin Johnson</x:v>
      </x:c>
      <x:c r="H5563" s="6">
        <x:v>46296.0522815625</x:v>
      </x:c>
      <x:c r="I5563" s="0"/>
      <x:c r="J5563" s="0"/>
      <x:c r="K5563" s="0"/>
      <x:c r="L5563" t="str" s="2">
        <x:v>New</x:v>
      </x:c>
    </x:row>
    <x:row r="5564">
      <x:c r="A5564" t="str" s="2">
        <x:f>="Elizabeth Maddox"</x:f>
      </x:c>
      <x:c r="B5564" t="str" s="2">
        <x:v>Heritage Housing of Augusta</x:v>
      </x:c>
      <x:c r="C5564" t="str" s="2">
        <x:v/>
      </x:c>
      <x:c r="D5564" t="str" s="2">
        <x:v>2295964007</x:v>
      </x:c>
      <x:c r="E5564" t="str" s="2">
        <x:v>elizabethmaddox57@gmail.com</x:v>
      </x:c>
      <x:c r="F5564" t="str" s="2">
        <x:v>Landing_BPM</x:v>
      </x:c>
      <x:c r="G5564" t="str" s="2">
        <x:v>Jose Chavez</x:v>
      </x:c>
      <x:c r="H5564" s="6">
        <x:v>46296.27469232639</x:v>
      </x:c>
      <x:c r="I5564" s="0"/>
      <x:c r="J5564" s="0"/>
      <x:c r="K5564" s="0"/>
      <x:c r="L5564" t="str" s="2">
        <x:v>New</x:v>
      </x:c>
    </x:row>
    <x:row r="5565">
      <x:c r="A5565" t="str" s="2">
        <x:f>="Marian Majesty"</x:f>
      </x:c>
      <x:c r="B5565" t="str" s="2">
        <x:v>Heritage Housing of Augusta</x:v>
      </x:c>
      <x:c r="C5565" t="str" s="2">
        <x:v/>
      </x:c>
      <x:c r="D5565" t="str" s="2">
        <x:v>4233830357</x:v>
      </x:c>
      <x:c r="E5565" t="str" s="2">
        <x:v>mariancmincey@gmail.com</x:v>
      </x:c>
      <x:c r="F5565" t="str" s="2">
        <x:v>Landing_BPM</x:v>
      </x:c>
      <x:c r="G5565" t="str" s="2">
        <x:v>Faye Lively</x:v>
      </x:c>
      <x:c r="H5565" s="6">
        <x:v>46296.60317974537</x:v>
      </x:c>
      <x:c r="I5565" s="0"/>
      <x:c r="J5565" s="0"/>
      <x:c r="K5565" s="0"/>
      <x:c r="L5565" t="str" s="2">
        <x:v>New</x:v>
      </x:c>
    </x:row>
    <x:row r="5566">
      <x:c r="A5566" t="str" s="2">
        <x:f>="WESLEY MIXON"</x:f>
      </x:c>
      <x:c r="B5566" t="str" s="2">
        <x:v>Heritage Housing of Augusta</x:v>
      </x:c>
      <x:c r="C5566" t="str" s="2">
        <x:v/>
      </x:c>
      <x:c r="D5566" t="str" s="2">
        <x:v>8435606077</x:v>
      </x:c>
      <x:c r="E5566" t="str" s="2">
        <x:v>wesley4892@gmail.com</x:v>
      </x:c>
      <x:c r="F5566" t="str" s="2">
        <x:v>Website</x:v>
      </x:c>
      <x:c r="G5566" t="str" s="2">
        <x:v>Jose Chavez</x:v>
      </x:c>
      <x:c r="H5566" s="6">
        <x:v>46296.60435501157</x:v>
      </x:c>
      <x:c r="I5566" s="0"/>
      <x:c r="J5566" s="0"/>
      <x:c r="K5566" s="0"/>
      <x:c r="L5566" t="str" s="2">
        <x:v>New</x:v>
      </x:c>
    </x:row>
    <x:row r="5567">
      <x:c r="A5567" t="str" s="2">
        <x:f>="Nicole Blount Blount"</x:f>
      </x:c>
      <x:c r="B5567" t="str" s="2">
        <x:v>Heritage Housing of Augusta</x:v>
      </x:c>
      <x:c r="C5567" t="str" s="2">
        <x:v/>
      </x:c>
      <x:c r="D5567" t="str" s="2">
        <x:v>9108532967</x:v>
      </x:c>
      <x:c r="E5567" t="str" s="2">
        <x:v>nikkilear1972@gmail.com</x:v>
      </x:c>
      <x:c r="F5567" t="str" s="2">
        <x:v>Landing_BPM</x:v>
      </x:c>
      <x:c r="G5567" t="str" s="2">
        <x:v>Faye Lively</x:v>
      </x:c>
      <x:c r="H5567" s="6">
        <x:v>46296.92323915509</x:v>
      </x:c>
      <x:c r="I5567" s="0"/>
      <x:c r="J5567" s="0"/>
      <x:c r="K5567" s="0"/>
      <x:c r="L5567" t="str" s="2">
        <x:v>New</x:v>
      </x:c>
    </x:row>
    <x:row r="5568">
      <x:c r="A5568" t="str" s="2">
        <x:f>="Greg Harden"</x:f>
      </x:c>
      <x:c r="B5568" t="str" s="2">
        <x:v>Heritage Housing of Augusta</x:v>
      </x:c>
      <x:c r="C5568" t="str" s="2">
        <x:v/>
      </x:c>
      <x:c r="D5568" t="str" s="2">
        <x:v>7065976591</x:v>
      </x:c>
      <x:c r="E5568" t="str" s="2">
        <x:v>izzygurl0715@gmail.com</x:v>
      </x:c>
      <x:c r="F5568" t="str" s="2">
        <x:v>Financing Form</x:v>
      </x:c>
      <x:c r="G5568" t="str" s="2">
        <x:v>Jose Chavez</x:v>
      </x:c>
      <x:c r="H5568" s="6">
        <x:v>46297.009252662036</x:v>
      </x:c>
      <x:c r="I5568" s="0"/>
      <x:c r="J5568" s="0"/>
      <x:c r="K5568" s="0"/>
      <x:c r="L5568" t="str" s="2">
        <x:v>New</x:v>
      </x:c>
    </x:row>
    <x:row r="5569">
      <x:c r="A5569" t="str" s="2">
        <x:f>="Kristen Moore"</x:f>
      </x:c>
      <x:c r="B5569" t="str" s="2">
        <x:v>Heritage Housing of Athens</x:v>
      </x:c>
      <x:c r="C5569" t="str" s="2">
        <x:v/>
      </x:c>
      <x:c r="D5569" t="str" s="2">
        <x:v>4047869255</x:v>
      </x:c>
      <x:c r="E5569" t="str" s="2">
        <x:v>kristenmoore54@gmail.com</x:v>
      </x:c>
      <x:c r="F5569" t="str" s="2">
        <x:v>Landing_BPM</x:v>
      </x:c>
      <x:c r="G5569" t="str" s="2">
        <x:v>Nathan Bishop</x:v>
      </x:c>
      <x:c r="H5569" s="6">
        <x:v>46297.11374255787</x:v>
      </x:c>
      <x:c r="I5569" s="0"/>
      <x:c r="J5569" s="0"/>
      <x:c r="K5569" s="0"/>
      <x:c r="L5569" t="str" s="2">
        <x:v>New</x:v>
      </x:c>
    </x:row>
    <x:row r="5570">
      <x:c r="A5570" t="str" s="2">
        <x:f>="Katie Lacey"</x:f>
      </x:c>
      <x:c r="B5570" t="str" s="2">
        <x:v>Heritage Housing of Augusta</x:v>
      </x:c>
      <x:c r="C5570" t="str" s="2">
        <x:v/>
      </x:c>
      <x:c r="D5570" t="str" s="2">
        <x:v>8035078918</x:v>
      </x:c>
      <x:c r="E5570" t="str" s="2">
        <x:v>mklacey23@yahoo.com</x:v>
      </x:c>
      <x:c r="F5570" t="str" s="2">
        <x:v>Landing_BPM</x:v>
      </x:c>
      <x:c r="G5570" t="str" s="2">
        <x:v>Faye Lively</x:v>
      </x:c>
      <x:c r="H5570" s="6">
        <x:v>46297.53947017361</x:v>
      </x:c>
      <x:c r="I5570" s="0"/>
      <x:c r="J5570" s="0"/>
      <x:c r="K5570" s="0"/>
      <x:c r="L5570" t="str" s="2">
        <x:v>New</x:v>
      </x:c>
    </x:row>
    <x:row r="5571">
      <x:c r="A5571" t="str" s="2">
        <x:f>="Scott Dominick"</x:f>
      </x:c>
      <x:c r="B5571" t="str" s="2">
        <x:v>Heritage Housing of Augusta</x:v>
      </x:c>
      <x:c r="C5571" t="str" s="2">
        <x:v/>
      </x:c>
      <x:c r="D5571" t="str" s="2">
        <x:v>8643370695</x:v>
      </x:c>
      <x:c r="E5571" t="str" s="2">
        <x:v>uptheladder75@gmail.com</x:v>
      </x:c>
      <x:c r="F5571" t="str" s="2">
        <x:v>Landing_BPM</x:v>
      </x:c>
      <x:c r="G5571" t="str" s="2">
        <x:v>Jose Chavez</x:v>
      </x:c>
      <x:c r="H5571" s="6">
        <x:v>46297.721177280095</x:v>
      </x:c>
      <x:c r="I5571" s="0"/>
      <x:c r="J5571" s="0"/>
      <x:c r="K5571" s="0"/>
      <x:c r="L5571" t="str" s="2">
        <x:v>New</x:v>
      </x:c>
    </x:row>
    <x:row r="5572">
      <x:c r="A5572" t="str" s="2">
        <x:f>="Tracey Smith"</x:f>
      </x:c>
      <x:c r="B5572" t="str" s="2">
        <x:v>Heritage Housing Mt Pleasant</x:v>
      </x:c>
      <x:c r="C5572" t="str" s="2">
        <x:v/>
      </x:c>
      <x:c r="D5572" t="str" s="2">
        <x:v>9039414405</x:v>
      </x:c>
      <x:c r="E5572" t="str" s="2">
        <x:v>traceymcdade103@gmail.com</x:v>
      </x:c>
      <x:c r="F5572" t="str" s="2">
        <x:v>Landing_BPM</x:v>
      </x:c>
      <x:c r="G5572" s="0"/>
      <x:c r="H5572" s="6">
        <x:v>46297.950558449076</x:v>
      </x:c>
      <x:c r="I5572" s="0"/>
      <x:c r="J5572" s="0"/>
      <x:c r="K5572" s="0"/>
      <x:c r="L5572" t="str" s="2">
        <x:v>New</x:v>
      </x:c>
    </x:row>
    <x:row r="5573">
      <x:c r="A5573" t="str" s="2">
        <x:f>="Kyle Hartwell"</x:f>
      </x:c>
      <x:c r="B5573" t="str" s="2">
        <x:v>Heritage Housing of Augusta</x:v>
      </x:c>
      <x:c r="C5573" t="str" s="2">
        <x:v/>
      </x:c>
      <x:c r="D5573" t="str" s="2">
        <x:v>7067506116</x:v>
      </x:c>
      <x:c r="E5573" t="str" s="2">
        <x:v>kylehartwell1987@gmail.com</x:v>
      </x:c>
      <x:c r="F5573" t="str" s="2">
        <x:v>Website</x:v>
      </x:c>
      <x:c r="G5573" t="str" s="2">
        <x:v>Nelson Curry</x:v>
      </x:c>
      <x:c r="H5573" s="6">
        <x:v>46298.07259953704</x:v>
      </x:c>
      <x:c r="I5573" s="0"/>
      <x:c r="J5573" s="0"/>
      <x:c r="K5573" s="0"/>
      <x:c r="L5573" t="str" s="2">
        <x:v>New</x:v>
      </x:c>
    </x:row>
    <x:row r="5574">
      <x:c r="A5574" t="str" s="2">
        <x:f>="Darius Akins"</x:f>
      </x:c>
      <x:c r="B5574" t="str" s="2">
        <x:v>Heritage Housing of Augusta</x:v>
      </x:c>
      <x:c r="C5574" t="str" s="2">
        <x:v/>
      </x:c>
      <x:c r="D5574" t="str" s="2">
        <x:v>9123141873</x:v>
      </x:c>
      <x:c r="E5574" t="str" s="2">
        <x:v>akinsdd@gmail.com</x:v>
      </x:c>
      <x:c r="F5574" t="str" s="2">
        <x:v>Landing_BPM</x:v>
      </x:c>
      <x:c r="G5574" t="str" s="2">
        <x:v>Alex Jones</x:v>
      </x:c>
      <x:c r="H5574" s="6">
        <x:v>46298.73461936343</x:v>
      </x:c>
      <x:c r="I5574" s="0"/>
      <x:c r="J5574" s="0"/>
      <x:c r="K5574" s="0"/>
      <x:c r="L5574" t="str" s="2">
        <x:v>New</x:v>
      </x:c>
    </x:row>
    <x:row r="5575">
      <x:c r="A5575" t="str" s="2">
        <x:f>="Renee Robinson"</x:f>
      </x:c>
      <x:c r="B5575" t="str" s="2">
        <x:v>Heritage Housing of Augusta</x:v>
      </x:c>
      <x:c r="C5575" t="str" s="2">
        <x:v/>
      </x:c>
      <x:c r="D5575" t="str" s="2">
        <x:v>7062613807</x:v>
      </x:c>
      <x:c r="E5575" t="str" s="2">
        <x:v>sr2140augusta@gmail.com</x:v>
      </x:c>
      <x:c r="F5575" t="str" s="2">
        <x:v>Landing_BPM</x:v>
      </x:c>
      <x:c r="G5575" t="str" s="2">
        <x:v>Brian Amato</x:v>
      </x:c>
      <x:c r="H5575" s="6">
        <x:v>46298.87629216435</x:v>
      </x:c>
      <x:c r="I5575" s="0"/>
      <x:c r="J5575" s="0"/>
      <x:c r="K5575" s="0"/>
      <x:c r="L5575" t="str" s="2">
        <x:v>New</x:v>
      </x:c>
    </x:row>
    <x:row r="5576">
      <x:c r="A5576" t="str" s="2">
        <x:f>="David Weathers"</x:f>
      </x:c>
      <x:c r="B5576" t="str" s="2">
        <x:v>Heritage Housing of Augusta</x:v>
      </x:c>
      <x:c r="C5576" t="str" s="2">
        <x:v/>
      </x:c>
      <x:c r="D5576" t="str" s="2">
        <x:v>7068343698</x:v>
      </x:c>
      <x:c r="E5576" t="str" s="2">
        <x:v>Cathyleigh990@gmail.com</x:v>
      </x:c>
      <x:c r="F5576" t="str" s="2">
        <x:v>Landing_BPM</x:v>
      </x:c>
      <x:c r="G5576" t="str" s="2">
        <x:v>Jennifer Johnson</x:v>
      </x:c>
      <x:c r="H5576" s="6">
        <x:v>46298.942964201386</x:v>
      </x:c>
      <x:c r="I5576" s="0"/>
      <x:c r="J5576" s="0"/>
      <x:c r="K5576" s="0"/>
      <x:c r="L5576" t="str" s="2">
        <x:v>New</x:v>
      </x:c>
    </x:row>
    <x:row r="5577">
      <x:c r="A5577" t="str" s="2">
        <x:f>="Suntearra Hans"</x:f>
      </x:c>
      <x:c r="B5577" t="str" s="2">
        <x:v>Heritage Housing of Augusta</x:v>
      </x:c>
      <x:c r="C5577" t="str" s="2">
        <x:v/>
      </x:c>
      <x:c r="D5577" t="str" s="2">
        <x:v>4049642132</x:v>
      </x:c>
      <x:c r="E5577" t="str" s="2">
        <x:v>suntearra34@gmail.com</x:v>
      </x:c>
      <x:c r="F5577" t="str" s="2">
        <x:v>Landing_BPM</x:v>
      </x:c>
      <x:c r="G5577" t="str" s="2">
        <x:v>Faye Lively</x:v>
      </x:c>
      <x:c r="H5577" s="6">
        <x:v>46299.14455524305</x:v>
      </x:c>
      <x:c r="I5577" s="0"/>
      <x:c r="J5577" s="0"/>
      <x:c r="K5577" s="0"/>
      <x:c r="L5577" t="str" s="2">
        <x:v>New</x:v>
      </x:c>
    </x:row>
    <x:row r="5578">
      <x:c r="A5578" t="str" s="2">
        <x:f>="Daile Allman"</x:f>
      </x:c>
      <x:c r="B5578" t="str" s="2">
        <x:v>Heritage Housing of Augusta</x:v>
      </x:c>
      <x:c r="C5578" t="str" s="2">
        <x:v/>
      </x:c>
      <x:c r="D5578" t="str" s="2">
        <x:v>9432406079</x:v>
      </x:c>
      <x:c r="E5578" t="str" s="2">
        <x:v>dallman@titanelecttic-ga.com</x:v>
      </x:c>
      <x:c r="F5578" t="str" s="2">
        <x:v>Financing Form</x:v>
      </x:c>
      <x:c r="G5578" t="str" s="2">
        <x:v>Jose Chavez</x:v>
      </x:c>
      <x:c r="H5578" s="6">
        <x:v>46299.43706130787</x:v>
      </x:c>
      <x:c r="I5578" s="0"/>
      <x:c r="J5578" s="0"/>
      <x:c r="K5578" s="0"/>
      <x:c r="L5578" t="str" s="2">
        <x:v>New</x:v>
      </x:c>
    </x:row>
    <x:row r="5579">
      <x:c r="A5579" t="str" s="2">
        <x:f>="Wade McQueen"</x:f>
      </x:c>
      <x:c r="B5579" t="str" s="2">
        <x:v>Heritage Housing of Augusta</x:v>
      </x:c>
      <x:c r="C5579" t="str" s="2">
        <x:v/>
      </x:c>
      <x:c r="D5579" t="str" s="2">
        <x:v>6787088709</x:v>
      </x:c>
      <x:c r="E5579" t="str" s="2">
        <x:v>wademcqueen88@gmail.com</x:v>
      </x:c>
      <x:c r="F5579" t="str" s="2">
        <x:v>Landing_BPM</x:v>
      </x:c>
      <x:c r="G5579" t="str" s="2">
        <x:v>Alex Jones</x:v>
      </x:c>
      <x:c r="H5579" s="6">
        <x:v>46299.61813313657</x:v>
      </x:c>
      <x:c r="I5579" s="0"/>
      <x:c r="J5579" s="0"/>
      <x:c r="K5579" s="0"/>
      <x:c r="L5579" t="str" s="2">
        <x:v>New</x:v>
      </x:c>
    </x:row>
    <x:row r="5580">
      <x:c r="A5580" t="str" s="2">
        <x:f>="cody crabb"</x:f>
      </x:c>
      <x:c r="B5580" t="str" s="2">
        <x:v>Heritage Housing of Augusta</x:v>
      </x:c>
      <x:c r="C5580" t="str" s="2">
        <x:v/>
      </x:c>
      <x:c r="D5580" t="str" s="2">
        <x:v>4784105347</x:v>
      </x:c>
      <x:c r="E5580" t="str" s="2">
        <x:v>dudegnarly09@gmail.com</x:v>
      </x:c>
      <x:c r="F5580" t="str" s="2">
        <x:v>Landing_BPM</x:v>
      </x:c>
      <x:c r="G5580" t="str" s="2">
        <x:v>Brian Amato</x:v>
      </x:c>
      <x:c r="H5580" s="6">
        <x:v>46299.620369826385</x:v>
      </x:c>
      <x:c r="I5580" s="0"/>
      <x:c r="J5580" s="0"/>
      <x:c r="K5580" s="0"/>
      <x:c r="L5580" t="str" s="2">
        <x:v>New</x:v>
      </x:c>
    </x:row>
    <x:row r="5581">
      <x:c r="A5581" t="str" s="2">
        <x:f>="Chastity Patel"</x:f>
      </x:c>
      <x:c r="B5581" t="str" s="2">
        <x:v>Heritage Housing of Augusta</x:v>
      </x:c>
      <x:c r="C5581" t="str" s="2">
        <x:v/>
      </x:c>
      <x:c r="D5581" t="str" s="2">
        <x:v>4707254172</x:v>
      </x:c>
      <x:c r="E5581" t="str" s="2">
        <x:v>patelchastity3@gmail.com</x:v>
      </x:c>
      <x:c r="F5581" t="str" s="2">
        <x:v>Financing Form</x:v>
      </x:c>
      <x:c r="G5581" t="str" s="2">
        <x:v>Jennifer Johnson</x:v>
      </x:c>
      <x:c r="H5581" s="6">
        <x:v>46299.71196331018</x:v>
      </x:c>
      <x:c r="I5581" s="0"/>
      <x:c r="J5581" s="0"/>
      <x:c r="K5581" s="0"/>
      <x:c r="L5581" t="str" s="2">
        <x:v>New</x:v>
      </x:c>
    </x:row>
    <x:row r="5582">
      <x:c r="A5582" t="str" s="2">
        <x:f>="LaShawn Grier"</x:f>
      </x:c>
      <x:c r="B5582" t="str" s="2">
        <x:v>Heritage Housing of Augusta</x:v>
      </x:c>
      <x:c r="C5582" t="str" s="2">
        <x:v/>
      </x:c>
      <x:c r="D5582" t="str" s="2">
        <x:v>9124259814</x:v>
      </x:c>
      <x:c r="E5582" t="str" s="2">
        <x:v>dark.adonis414@gmail.com</x:v>
      </x:c>
      <x:c r="F5582" t="str" s="2">
        <x:v>Landing_BPM</x:v>
      </x:c>
      <x:c r="G5582" t="str" s="2">
        <x:v>Faye Lively</x:v>
      </x:c>
      <x:c r="H5582" s="6">
        <x:v>46299.87891994213</x:v>
      </x:c>
      <x:c r="I5582" s="0"/>
      <x:c r="J5582" s="0"/>
      <x:c r="K5582" s="0"/>
      <x:c r="L5582" t="str" s="2">
        <x:v>New</x:v>
      </x:c>
    </x:row>
    <x:row r="5583">
      <x:c r="A5583" t="str" s="2">
        <x:f>="April M Arrington"</x:f>
      </x:c>
      <x:c r="B5583" t="str" s="2">
        <x:v>Heritage Housing of Augusta</x:v>
      </x:c>
      <x:c r="C5583" t="str" s="2">
        <x:v/>
      </x:c>
      <x:c r="D5583" t="str" s="2">
        <x:v>4703674716</x:v>
      </x:c>
      <x:c r="E5583" t="str" s="2">
        <x:v>amarrington7186@gmail.com</x:v>
      </x:c>
      <x:c r="F5583" t="str" s="2">
        <x:v>Landing_BPM</x:v>
      </x:c>
      <x:c r="G5583" t="str" s="2">
        <x:v>Jose Chavez</x:v>
      </x:c>
      <x:c r="H5583" s="6">
        <x:v>46299.91326230324</x:v>
      </x:c>
      <x:c r="I5583" s="0"/>
      <x:c r="J5583" s="0"/>
      <x:c r="K5583" s="0"/>
      <x:c r="L5583" t="str" s="2">
        <x:v>New</x:v>
      </x:c>
    </x:row>
    <x:row r="5584">
      <x:c r="A5584" t="str" s="2">
        <x:f>="Tracy Betten Betten"</x:f>
      </x:c>
      <x:c r="B5584" t="str" s="2">
        <x:v>Heritage Housing of Augusta</x:v>
      </x:c>
      <x:c r="C5584" t="str" s="2">
        <x:v/>
      </x:c>
      <x:c r="D5584" t="str" s="2">
        <x:v>3218218400</x:v>
      </x:c>
      <x:c r="E5584" t="str" s="2">
        <x:v>livingthegeorgialife@gmail.com</x:v>
      </x:c>
      <x:c r="F5584" t="str" s="2">
        <x:v>Landing_BPM</x:v>
      </x:c>
      <x:c r="G5584" t="str" s="2">
        <x:v>Alex Jones</x:v>
      </x:c>
      <x:c r="H5584" s="6">
        <x:v>46299.94989621528</x:v>
      </x:c>
      <x:c r="I5584" s="0"/>
      <x:c r="J5584" s="0"/>
      <x:c r="K5584" s="0"/>
      <x:c r="L5584" t="str" s="2">
        <x:v>New</x:v>
      </x:c>
    </x:row>
    <x:row r="5585">
      <x:c r="A5585" t="str" s="2">
        <x:f>="Gary walker"</x:f>
      </x:c>
      <x:c r="B5585" t="str" s="2">
        <x:v>Heritage Housing of Augusta</x:v>
      </x:c>
      <x:c r="C5585" t="str" s="2">
        <x:v/>
      </x:c>
      <x:c r="D5585" t="str" s="2">
        <x:v>7066993807</x:v>
      </x:c>
      <x:c r="E5585" t="str" s="2">
        <x:v>walkergary872@gmail.com</x:v>
      </x:c>
      <x:c r="F5585" t="str" s="2">
        <x:v>Landing_BPM</x:v>
      </x:c>
      <x:c r="G5585" t="str" s="2">
        <x:v>Brian Amato</x:v>
      </x:c>
      <x:c r="H5585" s="6">
        <x:v>46299.973855289354</x:v>
      </x:c>
      <x:c r="I5585" s="0"/>
      <x:c r="J5585" s="0"/>
      <x:c r="K5585" s="0"/>
      <x:c r="L5585" t="str" s="2">
        <x:v>New</x:v>
      </x:c>
    </x:row>
    <x:row r="5586">
      <x:c r="A5586" t="str" s="2">
        <x:f>="Thomas M Morton"</x:f>
      </x:c>
      <x:c r="B5586" t="str" s="2">
        <x:v>Heritage Housing of Augusta</x:v>
      </x:c>
      <x:c r="C5586" t="str" s="2">
        <x:v/>
      </x:c>
      <x:c r="D5586" t="str" s="2">
        <x:v>8133628562</x:v>
      </x:c>
      <x:c r="E5586" t="str" s="2">
        <x:v>thomasmorton2013@gmail.com</x:v>
      </x:c>
      <x:c r="F5586" t="str" s="2">
        <x:v>Website</x:v>
      </x:c>
      <x:c r="G5586" t="str" s="2">
        <x:v>Jennifer Johnson</x:v>
      </x:c>
      <x:c r="H5586" s="6">
        <x:v>46299.98033394676</x:v>
      </x:c>
      <x:c r="I5586" s="0"/>
      <x:c r="J5586" s="0"/>
      <x:c r="K5586" s="0"/>
      <x:c r="L5586" t="str" s="2">
        <x:v>New</x:v>
      </x:c>
    </x:row>
    <x:row r="5587">
      <x:c r="A5587" t="str" s="2">
        <x:f>="Emma White White"</x:f>
      </x:c>
      <x:c r="B5587" t="str" s="2">
        <x:v>Heritage Housing of Albany</x:v>
      </x:c>
      <x:c r="C5587" t="str" s="2">
        <x:v/>
      </x:c>
      <x:c r="D5587" t="str" s="2">
        <x:v>2025559058</x:v>
      </x:c>
      <x:c r="E5587" t="str" s="2">
        <x:v>scarlet.taty@gmail.com</x:v>
      </x:c>
      <x:c r="F5587" t="str" s="2">
        <x:v>Website</x:v>
      </x:c>
      <x:c r="G5587" t="str" s="2">
        <x:v>Justin Johnson</x:v>
      </x:c>
      <x:c r="H5587" s="6">
        <x:v>46300.010035914354</x:v>
      </x:c>
      <x:c r="I5587" s="0"/>
      <x:c r="J5587" s="0"/>
      <x:c r="K5587" s="0"/>
      <x:c r="L5587" t="str" s="2">
        <x:v>New</x:v>
      </x:c>
    </x:row>
    <x:row r="5588">
      <x:c r="A5588" t="str" s="2">
        <x:f>="Marcos Camacho"</x:f>
      </x:c>
      <x:c r="B5588" t="str" s="2">
        <x:v>Heritage Housing of Athens</x:v>
      </x:c>
      <x:c r="C5588" t="str" s="2">
        <x:v/>
      </x:c>
      <x:c r="D5588" t="str" s="2">
        <x:v>8035143049</x:v>
      </x:c>
      <x:c r="E5588" t="str" s="2">
        <x:v>ochamac1972@gmail.com</x:v>
      </x:c>
      <x:c r="F5588" t="str" s="2">
        <x:v>Financing Form</x:v>
      </x:c>
      <x:c r="G5588" t="str" s="2">
        <x:v>Jeremy Jacques</x:v>
      </x:c>
      <x:c r="H5588" s="6">
        <x:v>46300.021180474534</x:v>
      </x:c>
      <x:c r="I5588" s="0"/>
      <x:c r="J5588" s="0"/>
      <x:c r="K5588" s="0"/>
      <x:c r="L5588" t="str" s="2">
        <x:v>New</x:v>
      </x:c>
    </x:row>
    <x:row r="5589">
      <x:c r="A5589" t="str" s="2">
        <x:f>="Natasha Hatcher"</x:f>
      </x:c>
      <x:c r="B5589" t="str" s="2">
        <x:v>Heritage Housing of Augusta</x:v>
      </x:c>
      <x:c r="C5589" t="str" s="2">
        <x:v/>
      </x:c>
      <x:c r="D5589" t="str" s="2">
        <x:v>7067502415</x:v>
      </x:c>
      <x:c r="E5589" t="str" s="2">
        <x:v>natashahatcher51@gmail.com</x:v>
      </x:c>
      <x:c r="F5589" t="str" s="2">
        <x:v>Landing_BPM</x:v>
      </x:c>
      <x:c r="G5589" t="str" s="2">
        <x:v>Faye Lively</x:v>
      </x:c>
      <x:c r="H5589" s="6">
        <x:v>46300.04769244213</x:v>
      </x:c>
      <x:c r="I5589" s="0"/>
      <x:c r="J5589" s="0"/>
      <x:c r="K5589" s="0"/>
      <x:c r="L5589" t="str" s="2">
        <x:v>New</x:v>
      </x:c>
    </x:row>
    <x:row r="5590">
      <x:c r="A5590" t="str" s="2">
        <x:f>="hermen sirmans"</x:f>
      </x:c>
      <x:c r="B5590" t="str" s="2">
        <x:v>Heritage Housing of Augusta</x:v>
      </x:c>
      <x:c r="C5590" t="str" s="2">
        <x:v/>
      </x:c>
      <x:c r="D5590" t="str" s="2">
        <x:v>2293050910</x:v>
      </x:c>
      <x:c r="E5590" t="str" s="2">
        <x:v>xaviersirmans44620@gmail.com</x:v>
      </x:c>
      <x:c r="F5590" t="str" s="2">
        <x:v>Landing_BPM</x:v>
      </x:c>
      <x:c r="G5590" t="str" s="2">
        <x:v>Jose Chavez</x:v>
      </x:c>
      <x:c r="H5590" s="6">
        <x:v>46300.440318402776</x:v>
      </x:c>
      <x:c r="I5590" s="0"/>
      <x:c r="J5590" s="0"/>
      <x:c r="K5590" s="0"/>
      <x:c r="L5590" t="str" s="2">
        <x:v>New</x:v>
      </x:c>
    </x:row>
    <x:row r="5591">
      <x:c r="A5591" t="str" s="2">
        <x:f>="Lopez Ramos Ermelinda"</x:f>
      </x:c>
      <x:c r="B5591" t="str" s="2">
        <x:v>Heritage Housing of Augusta</x:v>
      </x:c>
      <x:c r="C5591" t="str" s="2">
        <x:v/>
      </x:c>
      <x:c r="D5591" t="str" s="2">
        <x:v>8037059743</x:v>
      </x:c>
      <x:c r="E5591" t="str" s="2">
        <x:v>lopezermelinda635@gmail.com</x:v>
      </x:c>
      <x:c r="F5591" t="str" s="2">
        <x:v>Meta Ads - Traffic</x:v>
      </x:c>
      <x:c r="G5591" t="str" s="2">
        <x:v>Alex Jones</x:v>
      </x:c>
      <x:c r="H5591" s="6">
        <x:v>46300.48503082176</x:v>
      </x:c>
      <x:c r="I5591" s="0"/>
      <x:c r="J5591" s="0"/>
      <x:c r="K5591" s="0"/>
      <x:c r="L5591" t="str" s="2">
        <x:v>New</x:v>
      </x:c>
    </x:row>
    <x:row r="5592">
      <x:c r="A5592" t="str" s="2">
        <x:f>="Melinda Schales"</x:f>
      </x:c>
      <x:c r="B5592" t="str" s="2">
        <x:v>Heritage Housing of Minden</x:v>
      </x:c>
      <x:c r="C5592" t="str" s="2">
        <x:v>1/1</x:v>
      </x:c>
      <x:c r="D5592" t="str" s="2">
        <x:v>5014676887</x:v>
      </x:c>
      <x:c r="E5592" t="str" s="2">
        <x:v>melindaschales@yahoo.com</x:v>
      </x:c>
      <x:c r="F5592" t="str" s="2">
        <x:v>Website</x:v>
      </x:c>
      <x:c r="G5592" t="str" s="2">
        <x:v>Kyla Brown</x:v>
      </x:c>
      <x:c r="H5592" s="6">
        <x:v>46300.71737144676</x:v>
      </x:c>
      <x:c r="I5592" s="0"/>
      <x:c r="J5592" s="0"/>
      <x:c r="K5592" s="6">
        <x:v>46300.803260532404</x:v>
      </x:c>
      <x:c r="L5592" t="str" s="2">
        <x:v>New</x:v>
      </x:c>
    </x:row>
    <x:row r="5593">
      <x:c r="A5593" t="str" s="2">
        <x:f>="Antonio Estrada"</x:f>
      </x:c>
      <x:c r="B5593" t="str" s="2">
        <x:v>Heritage Housing of Augusta</x:v>
      </x:c>
      <x:c r="C5593" t="str" s="2">
        <x:v/>
      </x:c>
      <x:c r="D5593" t="str" s="2">
        <x:v>8035309498</x:v>
      </x:c>
      <x:c r="E5593" t="str" s="2">
        <x:v>antonioestrada484@gmail.com</x:v>
      </x:c>
      <x:c r="F5593" t="str" s="2">
        <x:v>Meta Ads - Traffic</x:v>
      </x:c>
      <x:c r="G5593" t="str" s="2">
        <x:v>Jennifer Johnson</x:v>
      </x:c>
      <x:c r="H5593" s="6">
        <x:v>46301.10980883102</x:v>
      </x:c>
      <x:c r="I5593" s="0"/>
      <x:c r="J5593" s="0"/>
      <x:c r="K5593" s="0"/>
      <x:c r="L5593" t="str" s="2">
        <x:v>New</x:v>
      </x:c>
    </x:row>
    <x:row r="5594">
      <x:c r="A5594" t="str" s="2">
        <x:f>="Julie Coggins"</x:f>
      </x:c>
      <x:c r="B5594" t="str" s="2">
        <x:v>Heritage Housing of Augusta</x:v>
      </x:c>
      <x:c r="C5594" t="str" s="2">
        <x:v/>
      </x:c>
      <x:c r="D5594" t="str" s="2">
        <x:v>9124813667</x:v>
      </x:c>
      <x:c r="E5594" t="str" s="2">
        <x:v>jdcoggins03@yahoo.com</x:v>
      </x:c>
      <x:c r="F5594" t="str" s="2">
        <x:v>Website</x:v>
      </x:c>
      <x:c r="G5594" t="str" s="2">
        <x:v>Faye Lively</x:v>
      </x:c>
      <x:c r="H5594" s="6">
        <x:v>46301.51634498843</x:v>
      </x:c>
      <x:c r="I5594" s="0"/>
      <x:c r="J5594" s="0"/>
      <x:c r="K5594" s="0"/>
      <x:c r="L5594" t="str" s="2">
        <x:v>New</x:v>
      </x:c>
    </x:row>
    <x:row r="5595">
      <x:c r="A5595" t="str" s="2">
        <x:f>="Marcos Cortes Ortiz"</x:f>
      </x:c>
      <x:c r="B5595" t="str" s="2">
        <x:v>Heritage Housing of Augusta</x:v>
      </x:c>
      <x:c r="C5595" t="str" s="2">
        <x:v/>
      </x:c>
      <x:c r="D5595" t="str" s="2">
        <x:v>8033411076</x:v>
      </x:c>
      <x:c r="E5595" t="str" s="2">
        <x:v>marcoscortesortiz@gmail.com</x:v>
      </x:c>
      <x:c r="F5595" t="str" s="2">
        <x:v>Landing_BPM</x:v>
      </x:c>
      <x:c r="G5595" t="str" s="2">
        <x:v>Jose Chavez</x:v>
      </x:c>
      <x:c r="H5595" s="6">
        <x:v>46301.713196875</x:v>
      </x:c>
      <x:c r="I5595" s="0"/>
      <x:c r="J5595" s="0"/>
      <x:c r="K5595" s="0"/>
      <x:c r="L5595" t="str" s="2">
        <x:v>New</x:v>
      </x:c>
    </x:row>
    <x:row r="5596">
      <x:c r="A5596" t="str" s="2">
        <x:f>="Deborah French"</x:f>
      </x:c>
      <x:c r="B5596" t="str" s="2">
        <x:v>Heritage Housing of Canton</x:v>
      </x:c>
      <x:c r="C5596" t="str" s="2">
        <x:v/>
      </x:c>
      <x:c r="D5596" t="str" s="2">
        <x:v>9035190639</x:v>
      </x:c>
      <x:c r="E5596" t="str" s="2">
        <x:v>dawallace13@yahoo.com</x:v>
      </x:c>
      <x:c r="F5596" t="str" s="2">
        <x:v>Landing_BPM</x:v>
      </x:c>
      <x:c r="G5596" t="str" s="2">
        <x:v>Maira Garcia</x:v>
      </x:c>
      <x:c r="H5596" s="6">
        <x:v>46301.84448684028</x:v>
      </x:c>
      <x:c r="I5596" s="0"/>
      <x:c r="J5596" s="0"/>
      <x:c r="K5596" s="6">
        <x:v>46301</x:v>
      </x:c>
      <x:c r="L5596" t="str" s="2">
        <x:v>New</x:v>
      </x:c>
    </x:row>
    <x:row r="5597">
      <x:c r="A5597" t="str" s="2">
        <x:f>="Michael Burnett"</x:f>
      </x:c>
      <x:c r="B5597" t="str" s="2">
        <x:v>Heritage Housing of Augusta</x:v>
      </x:c>
      <x:c r="C5597" t="str" s="2">
        <x:v/>
      </x:c>
      <x:c r="D5597" t="str" s="2">
        <x:v>4709358497</x:v>
      </x:c>
      <x:c r="E5597" t="str" s="2">
        <x:v>michaelburnett243@gmail.com</x:v>
      </x:c>
      <x:c r="F5597" t="str" s="2">
        <x:v>Landing_BPM</x:v>
      </x:c>
      <x:c r="G5597" t="str" s="2">
        <x:v>Alex Jones</x:v>
      </x:c>
      <x:c r="H5597" s="6">
        <x:v>46301.90209675926</x:v>
      </x:c>
      <x:c r="I5597" s="0"/>
      <x:c r="J5597" s="0"/>
      <x:c r="K5597" s="0"/>
      <x:c r="L5597" t="str" s="2">
        <x:v>New</x:v>
      </x:c>
    </x:row>
    <x:row r="5598">
      <x:c r="A5598" t="str" s="2">
        <x:f>="Yanice Amaro"</x:f>
      </x:c>
      <x:c r="B5598" t="str" s="2">
        <x:v>Heritage Housing of Augusta</x:v>
      </x:c>
      <x:c r="C5598" t="str" s="2">
        <x:v/>
      </x:c>
      <x:c r="D5598" t="str" s="2">
        <x:v>8039988170</x:v>
      </x:c>
      <x:c r="E5598" t="str" s="2">
        <x:v>yanaroama92@gmail.com</x:v>
      </x:c>
      <x:c r="F5598" t="str" s="2">
        <x:v>Financing Form</x:v>
      </x:c>
      <x:c r="G5598" t="str" s="2">
        <x:v>Brian Amato</x:v>
      </x:c>
      <x:c r="H5598" s="6">
        <x:v>46302.56933614583</x:v>
      </x:c>
      <x:c r="I5598" s="0"/>
      <x:c r="J5598" s="0"/>
      <x:c r="K5598" s="0"/>
      <x:c r="L5598" t="str" s="2">
        <x:v>New</x:v>
      </x:c>
    </x:row>
    <x:row r="5599">
      <x:c r="A5599" t="str" s="2">
        <x:f>=HYPERLINK("https://rsms.futurehomex.com/lead/40638", "Willington Garcia")</x:f>
      </x:c>
      <x:c r="B5599" t="str" s="2">
        <x:v>Heritage Housing of Oklahoma City</x:v>
      </x:c>
      <x:c r="C5599" t="str" s="2">
        <x:v/>
      </x:c>
      <x:c r="D5599" t="str" s="2">
        <x:v>6173730611</x:v>
      </x:c>
      <x:c r="E5599" t="str" s="2">
        <x:v>willigarcia50@gmail.com</x:v>
      </x:c>
      <x:c r="F5599" t="str" s="2">
        <x:v>Website</x:v>
      </x:c>
      <x:c r="G5599" t="str" s="2">
        <x:v>Devon McCoy</x:v>
      </x:c>
      <x:c r="H5599" s="6">
        <x:v>46302.58593545139</x:v>
      </x:c>
      <x:c r="I5599" t="str" s="2">
        <x:v>Devon McCoy</x:v>
      </x:c>
      <x:c r="J5599" s="0"/>
      <x:c r="K5599" s="0"/>
      <x:c r="L5599" t="str" s="2">
        <x:v>New</x:v>
      </x:c>
    </x:row>
    <x:row r="5600">
      <x:c r="A5600" t="str" s="2">
        <x:f>="Nautica Hill"</x:f>
      </x:c>
      <x:c r="B5600" t="str" s="2">
        <x:v>Heritage Housing of Albany</x:v>
      </x:c>
      <x:c r="C5600" t="str" s="2">
        <x:v/>
      </x:c>
      <x:c r="D5600" t="str" s="2">
        <x:v>2295947448</x:v>
      </x:c>
      <x:c r="E5600" t="str" s="2">
        <x:v>nauticah66@gmail.com</x:v>
      </x:c>
      <x:c r="F5600" t="str" s="2">
        <x:v>LandingPage</x:v>
      </x:c>
      <x:c r="G5600" t="str" s="2">
        <x:v>Justin Johnson</x:v>
      </x:c>
      <x:c r="H5600" s="6">
        <x:v>46302.63639864583</x:v>
      </x:c>
      <x:c r="I5600" s="0"/>
      <x:c r="J5600" s="0"/>
      <x:c r="K5600" s="0"/>
      <x:c r="L5600" t="str" s="2">
        <x:v>New</x:v>
      </x:c>
    </x:row>
    <x:row r="5601">
      <x:c r="A5601" t="str" s="2">
        <x:f>="Roland Bernal"</x:f>
      </x:c>
      <x:c r="B5601" t="str" s="2">
        <x:v>Heritage Housing of Canton</x:v>
      </x:c>
      <x:c r="C5601" t="str" s="2">
        <x:v/>
      </x:c>
      <x:c r="D5601" t="str" s="2">
        <x:v>9282257398</x:v>
      </x:c>
      <x:c r="E5601" t="str" s="2">
        <x:v>leo23bernal@gmail.com</x:v>
      </x:c>
      <x:c r="F5601" t="str" s="2">
        <x:v>Landing_BPM</x:v>
      </x:c>
      <x:c r="G5601" t="str" s="2">
        <x:v>Maira Garcia</x:v>
      </x:c>
      <x:c r="H5601" s="6">
        <x:v>46302.650685266206</x:v>
      </x:c>
      <x:c r="I5601" s="0"/>
      <x:c r="J5601" s="0"/>
      <x:c r="K5601" s="0"/>
      <x:c r="L5601" t="str" s="2">
        <x:v>New</x:v>
      </x:c>
    </x:row>
    <x:row r="5602">
      <x:c r="A5602" t="str" s="2">
        <x:f>="Sarah pena"</x:f>
      </x:c>
      <x:c r="B5602" t="str" s="2">
        <x:v>Heritage Housing of Canton</x:v>
      </x:c>
      <x:c r="C5602" t="str" s="2">
        <x:v/>
      </x:c>
      <x:c r="D5602" t="str" s="2">
        <x:v>2107620944</x:v>
      </x:c>
      <x:c r="E5602" t="str" s="2">
        <x:v>sarahpena1951@gmail.com</x:v>
      </x:c>
      <x:c r="F5602" t="str" s="2">
        <x:v>Youtube</x:v>
      </x:c>
      <x:c r="G5602" t="str" s="2">
        <x:v>Maira Garcia</x:v>
      </x:c>
      <x:c r="H5602" s="6">
        <x:v>46302.71712021991</x:v>
      </x:c>
      <x:c r="I5602" s="0"/>
      <x:c r="J5602" s="0"/>
      <x:c r="K5602" s="0"/>
      <x:c r="L5602" t="str" s="2">
        <x:v>New</x:v>
      </x:c>
    </x:row>
    <x:row r="5603">
      <x:c r="A5603" t="str" s="2">
        <x:f>="Elizabeth Murray"</x:f>
      </x:c>
      <x:c r="B5603" t="str" s="2">
        <x:v>Heritage Housing of Albany</x:v>
      </x:c>
      <x:c r="C5603" t="str" s="2">
        <x:v/>
      </x:c>
      <x:c r="D5603" t="str" s="2">
        <x:v>2295609398</x:v>
      </x:c>
      <x:c r="E5603" t="str" s="2">
        <x:v>elizabethdaileemurray@gmail.com</x:v>
      </x:c>
      <x:c r="F5603" t="str" s="2">
        <x:v>Landing_BPM</x:v>
      </x:c>
      <x:c r="G5603" t="str" s="2">
        <x:v>Justin Johnson</x:v>
      </x:c>
      <x:c r="H5603" s="6">
        <x:v>46302.80241736111</x:v>
      </x:c>
      <x:c r="I5603" s="0"/>
      <x:c r="J5603" s="0"/>
      <x:c r="K5603" s="0"/>
      <x:c r="L5603" t="str" s="2">
        <x:v>New</x:v>
      </x:c>
    </x:row>
    <x:row r="5604">
      <x:c r="A5604" t="str" s="2">
        <x:f>="Tammy Lafler"</x:f>
      </x:c>
      <x:c r="B5604" t="str" s="2">
        <x:v>Heritage Housing of Augusta</x:v>
      </x:c>
      <x:c r="C5604" t="str" s="2">
        <x:v/>
      </x:c>
      <x:c r="D5604" t="str" s="2">
        <x:v>7068219887</x:v>
      </x:c>
      <x:c r="E5604" t="str" s="2">
        <x:v>brinsontammy45@gmail.com</x:v>
      </x:c>
      <x:c r="F5604" t="str" s="2">
        <x:v>Website</x:v>
      </x:c>
      <x:c r="G5604" t="str" s="2">
        <x:v>Faye Lively</x:v>
      </x:c>
      <x:c r="H5604" s="6">
        <x:v>46302.93872086806</x:v>
      </x:c>
      <x:c r="I5604" s="0"/>
      <x:c r="J5604" s="0"/>
      <x:c r="K5604" s="0"/>
      <x:c r="L5604" t="str" s="2">
        <x:v>New</x:v>
      </x:c>
    </x:row>
    <x:row r="5605">
      <x:c r="A5605" t="str" s="2">
        <x:f>="Rafael cotto"</x:f>
      </x:c>
      <x:c r="B5605" t="str" s="2">
        <x:v>Heritage Housing of Augusta</x:v>
      </x:c>
      <x:c r="C5605" t="str" s="2">
        <x:v/>
      </x:c>
      <x:c r="D5605" t="str" s="2">
        <x:v>8035861317</x:v>
      </x:c>
      <x:c r="E5605" t="str" s="2">
        <x:v>rafaelcottocotto68@gmail.com</x:v>
      </x:c>
      <x:c r="F5605" t="str" s="2">
        <x:v>Meta Ads - Forms</x:v>
      </x:c>
      <x:c r="G5605" t="str" s="2">
        <x:v>Jose Chavez</x:v>
      </x:c>
      <x:c r="H5605" s="6">
        <x:v>46303.01034270833</x:v>
      </x:c>
      <x:c r="I5605" s="0"/>
      <x:c r="J5605" s="0"/>
      <x:c r="K5605" s="0"/>
      <x:c r="L5605" t="str" s="2">
        <x:v>New</x:v>
      </x:c>
    </x:row>
    <x:row r="5606">
      <x:c r="A5606" t="str" s="2">
        <x:f>="Jessica Bowman"</x:f>
      </x:c>
      <x:c r="B5606" t="str" s="2">
        <x:v>Heritage Housing of Canton</x:v>
      </x:c>
      <x:c r="C5606" t="str" s="2">
        <x:v/>
      </x:c>
      <x:c r="D5606" t="str" s="2">
        <x:v>9366357153</x:v>
      </x:c>
      <x:c r="E5606" t="str" s="2">
        <x:v>wilddeafcpls@gmail.com</x:v>
      </x:c>
      <x:c r="F5606" t="str" s="2">
        <x:v>Financing Form</x:v>
      </x:c>
      <x:c r="G5606" t="str" s="2">
        <x:v>Maira Garcia</x:v>
      </x:c>
      <x:c r="H5606" s="6">
        <x:v>46303.05874609954</x:v>
      </x:c>
      <x:c r="I5606" s="0"/>
      <x:c r="J5606" s="0"/>
      <x:c r="K5606" s="0"/>
      <x:c r="L5606" t="str" s="2">
        <x:v>New</x:v>
      </x:c>
    </x:row>
    <x:row r="5607">
      <x:c r="A5607" t="str" s="2">
        <x:f>="Robert Abney"</x:f>
      </x:c>
      <x:c r="B5607" t="str" s="2">
        <x:v>Heritage Housing of Augusta</x:v>
      </x:c>
      <x:c r="C5607" t="str" s="2">
        <x:v/>
      </x:c>
      <x:c r="D5607" t="str" s="2">
        <x:v>8036876375</x:v>
      </x:c>
      <x:c r="E5607" t="str" s="2">
        <x:v>Kingabney16@gmail.com</x:v>
      </x:c>
      <x:c r="F5607" t="str" s="2">
        <x:v>Financing Form</x:v>
      </x:c>
      <x:c r="G5607" t="str" s="2">
        <x:v>Alex Jones</x:v>
      </x:c>
      <x:c r="H5607" s="6">
        <x:v>46303.06328981482</x:v>
      </x:c>
      <x:c r="I5607" s="0"/>
      <x:c r="J5607" s="0"/>
      <x:c r="K5607" s="0"/>
      <x:c r="L5607" t="str" s="2">
        <x:v>New</x:v>
      </x:c>
    </x:row>
    <x:row r="5608">
      <x:c r="A5608" t="str" s="2">
        <x:f>="Tiffany Harris"</x:f>
      </x:c>
      <x:c r="B5608" t="str" s="2">
        <x:v>Heritage Housing of Albany</x:v>
      </x:c>
      <x:c r="C5608" t="str" s="2">
        <x:v/>
      </x:c>
      <x:c r="D5608" t="str" s="2">
        <x:v>2295072415</x:v>
      </x:c>
      <x:c r="E5608" t="str" s="2">
        <x:v>tiffanyh0928@icloud.com</x:v>
      </x:c>
      <x:c r="F5608" t="str" s="2">
        <x:v>Financing Form</x:v>
      </x:c>
      <x:c r="G5608" t="str" s="2">
        <x:v>Justin Johnson</x:v>
      </x:c>
      <x:c r="H5608" s="6">
        <x:v>46303.365953125</x:v>
      </x:c>
      <x:c r="I5608" s="0"/>
      <x:c r="J5608" s="0"/>
      <x:c r="K5608" s="0"/>
      <x:c r="L5608" t="str" s="2">
        <x:v>New</x:v>
      </x:c>
    </x:row>
    <x:row r="5609">
      <x:c r="A5609" t="str" s="2">
        <x:f>="Brett Browning"</x:f>
      </x:c>
      <x:c r="B5609" t="str" s="2">
        <x:v>Heritage Housing of Augusta</x:v>
      </x:c>
      <x:c r="C5609" t="str" s="2">
        <x:v/>
      </x:c>
      <x:c r="D5609" t="str" s="2">
        <x:v>7068172842</x:v>
      </x:c>
      <x:c r="E5609" t="str" s="2">
        <x:v>bretmb02@gmail.com</x:v>
      </x:c>
      <x:c r="F5609" t="str" s="2">
        <x:v>Landing_BPM</x:v>
      </x:c>
      <x:c r="G5609" t="str" s="2">
        <x:v>Brian Amato</x:v>
      </x:c>
      <x:c r="H5609" s="6">
        <x:v>46303.39671149306</x:v>
      </x:c>
      <x:c r="I5609" s="0"/>
      <x:c r="J5609" s="0"/>
      <x:c r="K5609" s="0"/>
      <x:c r="L5609" t="str" s="2">
        <x:v>New</x:v>
      </x:c>
    </x:row>
    <x:row r="5610">
      <x:c r="A5610" t="str" s="2">
        <x:f>="Damien Stokes"</x:f>
      </x:c>
      <x:c r="B5610" t="str" s="2">
        <x:v>Heritage Housing of Augusta</x:v>
      </x:c>
      <x:c r="C5610" t="str" s="2">
        <x:v/>
      </x:c>
      <x:c r="D5610" t="str" s="2">
        <x:v>3477377556</x:v>
      </x:c>
      <x:c r="E5610" t="str" s="2">
        <x:v>1987Dstokes@gmail.com</x:v>
      </x:c>
      <x:c r="F5610" t="str" s="2">
        <x:v>Landing_BPM</x:v>
      </x:c>
      <x:c r="G5610" t="str" s="2">
        <x:v>Jennifer Johnson</x:v>
      </x:c>
      <x:c r="H5610" s="6">
        <x:v>46303.55513903935</x:v>
      </x:c>
      <x:c r="I5610" s="0"/>
      <x:c r="J5610" s="0"/>
      <x:c r="K5610" s="0"/>
      <x:c r="L5610" t="str" s="2">
        <x:v>New</x:v>
      </x:c>
    </x:row>
    <x:row r="5611">
      <x:c r="A5611" t="str" s="2">
        <x:f>="Cayla Poston Poston"</x:f>
      </x:c>
      <x:c r="B5611" t="str" s="2">
        <x:v>Heritage Housing of Augusta</x:v>
      </x:c>
      <x:c r="C5611" t="str" s="2">
        <x:v/>
      </x:c>
      <x:c r="D5611" t="str" s="2">
        <x:v>3344419216</x:v>
      </x:c>
      <x:c r="E5611" t="str" s="2">
        <x:v>caylaposton@icloud.com</x:v>
      </x:c>
      <x:c r="F5611" t="str" s="2">
        <x:v>Landing_BPM</x:v>
      </x:c>
      <x:c r="G5611" t="str" s="2">
        <x:v>Faye Lively</x:v>
      </x:c>
      <x:c r="H5611" s="6">
        <x:v>46303.65471261574</x:v>
      </x:c>
      <x:c r="I5611" s="0"/>
      <x:c r="J5611" s="0"/>
      <x:c r="K5611" s="0"/>
      <x:c r="L5611" t="str" s="2">
        <x:v>New</x:v>
      </x:c>
    </x:row>
    <x:row r="5612">
      <x:c r="A5612" t="str" s="2">
        <x:f>="Jacklynn Spencer"</x:f>
      </x:c>
      <x:c r="B5612" t="str" s="2">
        <x:v>Heritage Housing of Canton</x:v>
      </x:c>
      <x:c r="C5612" t="str" s="2">
        <x:v/>
      </x:c>
      <x:c r="D5612" t="str" s="2">
        <x:v>4302662691</x:v>
      </x:c>
      <x:c r="E5612" t="str" s="2">
        <x:v>jollyjacklynn29@gmail.com</x:v>
      </x:c>
      <x:c r="F5612" t="str" s="2">
        <x:v>Landing_BPM</x:v>
      </x:c>
      <x:c r="G5612" t="str" s="2">
        <x:v>Jacob Hatten</x:v>
      </x:c>
      <x:c r="H5612" s="6">
        <x:v>46303.73549528935</x:v>
      </x:c>
      <x:c r="I5612" s="0"/>
      <x:c r="J5612" s="0"/>
      <x:c r="K5612" s="0"/>
      <x:c r="L5612" t="str" s="2">
        <x:v>New</x:v>
      </x:c>
    </x:row>
    <x:row r="5613">
      <x:c r="A5613" t="str" s="2">
        <x:f>="Shelby Green"</x:f>
      </x:c>
      <x:c r="B5613" t="str" s="2">
        <x:v>Heritage Housing of Canton</x:v>
      </x:c>
      <x:c r="C5613" t="str" s="2">
        <x:v/>
      </x:c>
      <x:c r="D5613" t="str" s="2">
        <x:v>7196203434</x:v>
      </x:c>
      <x:c r="E5613" t="str" s="2">
        <x:v>shelby82green@gmail.com</x:v>
      </x:c>
      <x:c r="F5613" t="str" s="2">
        <x:v>Landing_BPM</x:v>
      </x:c>
      <x:c r="G5613" t="str" s="2">
        <x:v>Maira Garcia</x:v>
      </x:c>
      <x:c r="H5613" s="6">
        <x:v>46303.738554710646</x:v>
      </x:c>
      <x:c r="I5613" s="0"/>
      <x:c r="J5613" s="0"/>
      <x:c r="K5613" s="0"/>
      <x:c r="L5613" t="str" s="2">
        <x:v>New</x:v>
      </x:c>
    </x:row>
    <x:row r="5614">
      <x:c r="A5614" t="str" s="2">
        <x:f>="Amanda Walker"</x:f>
      </x:c>
      <x:c r="B5614" t="str" s="2">
        <x:v>Heritage Housing of Augusta</x:v>
      </x:c>
      <x:c r="C5614" t="str" s="2">
        <x:v/>
      </x:c>
      <x:c r="D5614" t="str" s="2">
        <x:v>4042179803</x:v>
      </x:c>
      <x:c r="E5614" t="str" s="2">
        <x:v>agw30233@gmail.com</x:v>
      </x:c>
      <x:c r="F5614" t="str" s="2">
        <x:v>Financing Form</x:v>
      </x:c>
      <x:c r="G5614" t="str" s="2">
        <x:v>Jose Chavez</x:v>
      </x:c>
      <x:c r="H5614" s="6">
        <x:v>46303.740403090276</x:v>
      </x:c>
      <x:c r="I5614" s="0"/>
      <x:c r="J5614" s="0"/>
      <x:c r="K5614" s="0"/>
      <x:c r="L5614" t="str" s="2">
        <x:v>New</x:v>
      </x:c>
    </x:row>
    <x:row r="5615">
      <x:c r="A5615" t="str" s="2">
        <x:f>="Grady Damron"</x:f>
      </x:c>
      <x:c r="B5615" t="str" s="2">
        <x:v>Heritage Housing of Augusta</x:v>
      </x:c>
      <x:c r="C5615" t="str" s="2">
        <x:v/>
      </x:c>
      <x:c r="D5615" t="str" s="2">
        <x:v>8432580774</x:v>
      </x:c>
      <x:c r="E5615" t="str" s="2">
        <x:v>gradydamron019@gmail.com</x:v>
      </x:c>
      <x:c r="F5615" t="str" s="2">
        <x:v>Website</x:v>
      </x:c>
      <x:c r="G5615" t="str" s="2">
        <x:v>Alex Jones</x:v>
      </x:c>
      <x:c r="H5615" s="6">
        <x:v>46303.75741484954</x:v>
      </x:c>
      <x:c r="I5615" s="0"/>
      <x:c r="J5615" s="0"/>
      <x:c r="K5615" s="0"/>
      <x:c r="L5615" t="str" s="2">
        <x:v>New</x:v>
      </x:c>
    </x:row>
    <x:row r="5616">
      <x:c r="A5616" t="str" s="2">
        <x:f>="Michael Ziny"</x:f>
      </x:c>
      <x:c r="B5616" t="str" s="2">
        <x:v>Heritage Housing of Augusta</x:v>
      </x:c>
      <x:c r="C5616" t="str" s="2">
        <x:v/>
      </x:c>
      <x:c r="D5616" t="str" s="2">
        <x:v>5042756988</x:v>
      </x:c>
      <x:c r="E5616" t="str" s="2">
        <x:v>michaelziny783@gmail.com</x:v>
      </x:c>
      <x:c r="F5616" t="str" s="2">
        <x:v>Landing_BPM</x:v>
      </x:c>
      <x:c r="G5616" t="str" s="2">
        <x:v>Brian Amato</x:v>
      </x:c>
      <x:c r="H5616" s="6">
        <x:v>46303.80123506945</x:v>
      </x:c>
      <x:c r="I5616" s="0"/>
      <x:c r="J5616" s="0"/>
      <x:c r="K5616" s="0"/>
      <x:c r="L5616" t="str" s="2">
        <x:v>New</x:v>
      </x:c>
    </x:row>
    <x:row r="5617">
      <x:c r="A5617" t="str" s="2">
        <x:f>="Zobeida Merced"</x:f>
      </x:c>
      <x:c r="B5617" t="str" s="2">
        <x:v>Heritage Housing of Augusta</x:v>
      </x:c>
      <x:c r="C5617" t="str" s="2">
        <x:v/>
      </x:c>
      <x:c r="D5617" t="str" s="2">
        <x:v>7068347094</x:v>
      </x:c>
      <x:c r="E5617" t="str" s="2">
        <x:v>zobeidamerced_1950@hotmail.com</x:v>
      </x:c>
      <x:c r="F5617" t="str" s="2">
        <x:v>Meta Ads - Forms</x:v>
      </x:c>
      <x:c r="G5617" t="str" s="2">
        <x:v>Jennifer Johnson</x:v>
      </x:c>
      <x:c r="H5617" s="6">
        <x:v>46303.904846446756</x:v>
      </x:c>
      <x:c r="I5617" s="0"/>
      <x:c r="J5617" s="0"/>
      <x:c r="K5617" s="0"/>
      <x:c r="L5617" t="str" s="2">
        <x:v>New</x:v>
      </x:c>
    </x:row>
    <x:row r="5618">
      <x:c r="A5618" t="str" s="2">
        <x:f>="Talisha Scott"</x:f>
      </x:c>
      <x:c r="B5618" t="str" s="2">
        <x:v>Heritage Housing of Augusta</x:v>
      </x:c>
      <x:c r="C5618" t="str" s="2">
        <x:v/>
      </x:c>
      <x:c r="D5618" t="str" s="2">
        <x:v>47821223</x:v>
      </x:c>
      <x:c r="E5618" t="str" s="2">
        <x:v>michellescott040@yahoo.com</x:v>
      </x:c>
      <x:c r="F5618" t="str" s="2">
        <x:v>Financing Form</x:v>
      </x:c>
      <x:c r="G5618" t="str" s="2">
        <x:v>Faye Lively</x:v>
      </x:c>
      <x:c r="H5618" s="6">
        <x:v>46304.027015775464</x:v>
      </x:c>
      <x:c r="I5618" s="0"/>
      <x:c r="J5618" s="0"/>
      <x:c r="K5618" s="0"/>
      <x:c r="L5618" t="str" s="2">
        <x:v>New</x:v>
      </x:c>
    </x:row>
    <x:row r="5619">
      <x:c r="A5619" t="str" s="2">
        <x:f>="Ashley Tarver"</x:f>
      </x:c>
      <x:c r="B5619" t="str" s="2">
        <x:v>Heritage Housing of Augusta</x:v>
      </x:c>
      <x:c r="C5619" t="str" s="2">
        <x:v/>
      </x:c>
      <x:c r="D5619" t="str" s="2">
        <x:v>7068718371</x:v>
      </x:c>
      <x:c r="E5619" t="str" s="2">
        <x:v>Ashleytarver8@gmail.com</x:v>
      </x:c>
      <x:c r="F5619" t="str" s="2">
        <x:v>Landing_BPM</x:v>
      </x:c>
      <x:c r="G5619" t="str" s="2">
        <x:v>Alex Jones</x:v>
      </x:c>
      <x:c r="H5619" s="6">
        <x:v>46304.22605744213</x:v>
      </x:c>
      <x:c r="I5619" s="0"/>
      <x:c r="J5619" s="0"/>
      <x:c r="K5619" s="0"/>
      <x:c r="L5619" t="str" s="2">
        <x:v>New</x:v>
      </x:c>
    </x:row>
    <x:row r="5620">
      <x:c r="A5620" t="str" s="2">
        <x:f>="Shelia King"</x:f>
      </x:c>
      <x:c r="B5620" t="str" s="2">
        <x:v>Heritage Housing of Augusta</x:v>
      </x:c>
      <x:c r="C5620" t="str" s="2">
        <x:v/>
      </x:c>
      <x:c r="D5620" t="str" s="2">
        <x:v>4045738861</x:v>
      </x:c>
      <x:c r="E5620" t="str" s="2">
        <x:v>shelialaverne67@gmail.com</x:v>
      </x:c>
      <x:c r="F5620" t="str" s="2">
        <x:v>Landing_BPM</x:v>
      </x:c>
      <x:c r="G5620" t="str" s="2">
        <x:v>Brian Amato</x:v>
      </x:c>
      <x:c r="H5620" s="6">
        <x:v>46304.23129915509</x:v>
      </x:c>
      <x:c r="I5620" s="0"/>
      <x:c r="J5620" s="0"/>
      <x:c r="K5620" s="0"/>
      <x:c r="L5620" t="str" s="2">
        <x:v>New</x:v>
      </x:c>
    </x:row>
    <x:row r="5621">
      <x:c r="A5621" t="str" s="2">
        <x:f>="Abimael garduno garduno"</x:f>
      </x:c>
      <x:c r="B5621" t="str" s="2">
        <x:v>Heritage Housing of Augusta</x:v>
      </x:c>
      <x:c r="C5621" t="str" s="2">
        <x:v/>
      </x:c>
      <x:c r="D5621" t="str" s="2">
        <x:v>7068319942</x:v>
      </x:c>
      <x:c r="E5621" t="str" s="2">
        <x:v>abimaelgarduno@gmail.com</x:v>
      </x:c>
      <x:c r="F5621" t="str" s="2">
        <x:v>Landing_BPM</x:v>
      </x:c>
      <x:c r="G5621" t="str" s="2">
        <x:v>Jennifer Johnson</x:v>
      </x:c>
      <x:c r="H5621" s="6">
        <x:v>46304.41239748843</x:v>
      </x:c>
      <x:c r="I5621" s="0"/>
      <x:c r="J5621" s="0"/>
      <x:c r="K5621" s="0"/>
      <x:c r="L5621" t="str" s="2">
        <x:v>New</x:v>
      </x:c>
    </x:row>
    <x:row r="5622">
      <x:c r="A5622" t="str" s="2">
        <x:f>="Oscar Cortez"</x:f>
      </x:c>
      <x:c r="B5622" t="str" s="2">
        <x:v>Heritage Housing of Canton</x:v>
      </x:c>
      <x:c r="C5622" t="str" s="2">
        <x:v/>
      </x:c>
      <x:c r="D5622" t="str" s="2">
        <x:v>9725952200</x:v>
      </x:c>
      <x:c r="E5622" t="str" s="2">
        <x:v>oscarantoniocortez@yahoo.com</x:v>
      </x:c>
      <x:c r="F5622" t="str" s="2">
        <x:v>Meta Ads - Forms</x:v>
      </x:c>
      <x:c r="G5622" t="str" s="2">
        <x:v>Jacob Hatten</x:v>
      </x:c>
      <x:c r="H5622" s="6">
        <x:v>46304.507377581016</x:v>
      </x:c>
      <x:c r="I5622" s="0"/>
      <x:c r="J5622" s="0"/>
      <x:c r="K5622" s="0"/>
      <x:c r="L5622" t="str" s="2">
        <x:v>New</x:v>
      </x:c>
    </x:row>
    <x:row r="5623">
      <x:c r="A5623" t="str" s="2">
        <x:f>="Elvin Sierra"</x:f>
      </x:c>
      <x:c r="B5623" t="str" s="2">
        <x:v>Heritage Housing of Canton</x:v>
      </x:c>
      <x:c r="C5623" t="str" s="2">
        <x:v/>
      </x:c>
      <x:c r="D5623" t="str" s="2">
        <x:v>4698375274</x:v>
      </x:c>
      <x:c r="E5623" t="str" s="2">
        <x:v>bimbisantiago24@gmail.com</x:v>
      </x:c>
      <x:c r="F5623" t="str" s="2">
        <x:v>Meta Ads - Forms</x:v>
      </x:c>
      <x:c r="G5623" t="str" s="2">
        <x:v>Maira Garcia</x:v>
      </x:c>
      <x:c r="H5623" s="6">
        <x:v>46304.51512704861</x:v>
      </x:c>
      <x:c r="I5623" s="0"/>
      <x:c r="J5623" s="0"/>
      <x:c r="K5623" s="0"/>
      <x:c r="L5623" t="str" s="2">
        <x:v>New</x:v>
      </x:c>
    </x:row>
    <x:row r="5624">
      <x:c r="A5624" t="str" s="2">
        <x:f>="Jason Rushing"</x:f>
      </x:c>
      <x:c r="B5624" t="str" s="2">
        <x:v>Heritage Housing of Canton</x:v>
      </x:c>
      <x:c r="C5624" t="str" s="2">
        <x:v/>
      </x:c>
      <x:c r="D5624" t="str" s="2">
        <x:v>4703282589</x:v>
      </x:c>
      <x:c r="E5624" t="str" s="2">
        <x:v>jtrushing3@icloud.com</x:v>
      </x:c>
      <x:c r="F5624" t="str" s="2">
        <x:v>Landing_BPM</x:v>
      </x:c>
      <x:c r="G5624" t="str" s="2">
        <x:v>Jacob Hatten</x:v>
      </x:c>
      <x:c r="H5624" s="6">
        <x:v>46304.518429282405</x:v>
      </x:c>
      <x:c r="I5624" s="0"/>
      <x:c r="J5624" s="0"/>
      <x:c r="K5624" s="0"/>
      <x:c r="L5624" t="str" s="2">
        <x:v>New</x:v>
      </x:c>
    </x:row>
    <x:row r="5625">
      <x:c r="A5625" t="str" s="2">
        <x:f>="Kyle Wease"</x:f>
      </x:c>
      <x:c r="B5625" t="str" s="2">
        <x:v>Heritage Housing of Augusta</x:v>
      </x:c>
      <x:c r="C5625" t="str" s="2">
        <x:v/>
      </x:c>
      <x:c r="D5625" t="str" s="2">
        <x:v>4787036734</x:v>
      </x:c>
      <x:c r="E5625" t="str" s="2">
        <x:v>kylewease010@gmail.com</x:v>
      </x:c>
      <x:c r="F5625" t="str" s="2">
        <x:v>Landing_BPM</x:v>
      </x:c>
      <x:c r="G5625" t="str" s="2">
        <x:v>Faye Lively</x:v>
      </x:c>
      <x:c r="H5625" s="6">
        <x:v>46304.54366134259</x:v>
      </x:c>
      <x:c r="I5625" s="0"/>
      <x:c r="J5625" s="0"/>
      <x:c r="K5625" s="0"/>
      <x:c r="L5625" t="str" s="2">
        <x:v>New</x:v>
      </x:c>
    </x:row>
    <x:row r="5626">
      <x:c r="A5626" t="str" s="2">
        <x:f>="Kimberley G Gordon"</x:f>
      </x:c>
      <x:c r="B5626" t="str" s="2">
        <x:v>Heritage Housing of Canton</x:v>
      </x:c>
      <x:c r="C5626" t="str" s="2">
        <x:v/>
      </x:c>
      <x:c r="D5626" t="str" s="2">
        <x:v>9039202845</x:v>
      </x:c>
      <x:c r="E5626" t="str" s="2">
        <x:v>feast.sophism2x@icloud.com</x:v>
      </x:c>
      <x:c r="F5626" t="str" s="2">
        <x:v>Landing_BPM</x:v>
      </x:c>
      <x:c r="G5626" t="str" s="2">
        <x:v>Maira Garcia</x:v>
      </x:c>
      <x:c r="H5626" s="6">
        <x:v>46304.910199074075</x:v>
      </x:c>
      <x:c r="I5626" s="0"/>
      <x:c r="J5626" s="0"/>
      <x:c r="K5626" s="0"/>
      <x:c r="L5626" t="str" s="2">
        <x:v>New</x:v>
      </x:c>
    </x:row>
    <x:row r="5627">
      <x:c r="A5627" t="str" s="2">
        <x:f>="Arsenio Goldston"</x:f>
      </x:c>
      <x:c r="B5627" t="str" s="2">
        <x:v>Heritage Housing of Asheboro</x:v>
      </x:c>
      <x:c r="C5627" t="str" s="2">
        <x:v/>
      </x:c>
      <x:c r="D5627" t="str" s="2">
        <x:v>9192144460</x:v>
      </x:c>
      <x:c r="E5627" t="str" s="2">
        <x:v>arseniogoldston88@gmail.com</x:v>
      </x:c>
      <x:c r="F5627" t="str" s="2">
        <x:v>Landing_BPM</x:v>
      </x:c>
      <x:c r="G5627" t="str" s="2">
        <x:v>Jeremy Jacques</x:v>
      </x:c>
      <x:c r="H5627" s="6">
        <x:v>46304.9170599537</x:v>
      </x:c>
      <x:c r="I5627" s="0"/>
      <x:c r="J5627" s="0"/>
      <x:c r="K5627" s="0"/>
      <x:c r="L5627" t="str" s="2">
        <x:v>New</x:v>
      </x:c>
    </x:row>
    <x:row r="5628">
      <x:c r="A5628" t="str" s="2">
        <x:f>="Graciela Sandoval"</x:f>
      </x:c>
      <x:c r="B5628" t="str" s="2">
        <x:v>Heritage Housing of Augusta</x:v>
      </x:c>
      <x:c r="C5628" t="str" s="2">
        <x:v/>
      </x:c>
      <x:c r="D5628" t="str" s="2">
        <x:v>7066312578</x:v>
      </x:c>
      <x:c r="E5628" t="str" s="2">
        <x:v>guzmangraciela686@gmail.com</x:v>
      </x:c>
      <x:c r="F5628" t="str" s="2">
        <x:v>Meta Ads - Forms</x:v>
      </x:c>
      <x:c r="G5628" t="str" s="2">
        <x:v>Alex Jones</x:v>
      </x:c>
      <x:c r="H5628" s="6">
        <x:v>46304.954609340275</x:v>
      </x:c>
      <x:c r="I5628" s="0"/>
      <x:c r="J5628" s="0"/>
      <x:c r="K5628" s="0"/>
      <x:c r="L5628" t="str" s="2">
        <x:v>New</x:v>
      </x:c>
    </x:row>
    <x:row r="5629">
      <x:c r="A5629" t="str" s="2">
        <x:f>="Georgia Holloway"</x:f>
      </x:c>
      <x:c r="B5629" t="str" s="2">
        <x:v>Heritage Housing of Augusta</x:v>
      </x:c>
      <x:c r="C5629" t="str" s="2">
        <x:v/>
      </x:c>
      <x:c r="D5629" t="str" s="2">
        <x:v>7068798172</x:v>
      </x:c>
      <x:c r="E5629" t="str" s="2">
        <x:v>georgiaaholloway@icloud.com</x:v>
      </x:c>
      <x:c r="F5629" t="str" s="2">
        <x:v>Landing_BPM</x:v>
      </x:c>
      <x:c r="G5629" t="str" s="2">
        <x:v>Brian Amato</x:v>
      </x:c>
      <x:c r="H5629" s="6">
        <x:v>46305.11292265046</x:v>
      </x:c>
      <x:c r="I5629" s="0"/>
      <x:c r="J5629" s="0"/>
      <x:c r="K5629" s="0"/>
      <x:c r="L5629" t="str" s="2">
        <x:v>New</x:v>
      </x:c>
    </x:row>
    <x:row r="5630">
      <x:c r="A5630" t="str" s="2">
        <x:f>="Chelsea Montgomery"</x:f>
      </x:c>
      <x:c r="B5630" t="str" s="2">
        <x:v>Heritage Housing of Canton</x:v>
      </x:c>
      <x:c r="C5630" t="str" s="2">
        <x:v/>
      </x:c>
      <x:c r="D5630" t="str" s="2">
        <x:v>9033908137</x:v>
      </x:c>
      <x:c r="E5630" t="str" s="2">
        <x:v>chelseamontgomery731@gmail.com</x:v>
      </x:c>
      <x:c r="F5630" t="str" s="2">
        <x:v>Financing Form</x:v>
      </x:c>
      <x:c r="G5630" t="str" s="2">
        <x:v>Jacob Hatten</x:v>
      </x:c>
      <x:c r="H5630" s="6">
        <x:v>46305.13705767361</x:v>
      </x:c>
      <x:c r="I5630" s="0"/>
      <x:c r="J5630" s="0"/>
      <x:c r="K5630" s="0"/>
      <x:c r="L5630" t="str" s="2">
        <x:v>New</x:v>
      </x:c>
    </x:row>
    <x:row r="5631">
      <x:c r="A5631" t="str" s="2">
        <x:f>="Edwin Del cid"</x:f>
      </x:c>
      <x:c r="B5631" t="str" s="2">
        <x:v>Heritage Housing of Canton</x:v>
      </x:c>
      <x:c r="C5631" t="str" s="2">
        <x:v/>
      </x:c>
      <x:c r="D5631" t="str" s="2">
        <x:v>2108795225</x:v>
      </x:c>
      <x:c r="E5631" t="str" s="2">
        <x:v>edwindelcid1234@gmail.com</x:v>
      </x:c>
      <x:c r="F5631" t="str" s="2">
        <x:v>Youtube</x:v>
      </x:c>
      <x:c r="G5631" t="str" s="2">
        <x:v>Maira Garcia</x:v>
      </x:c>
      <x:c r="H5631" s="6">
        <x:v>46305.15694903935</x:v>
      </x:c>
      <x:c r="I5631" s="0"/>
      <x:c r="J5631" s="0"/>
      <x:c r="K5631" s="0"/>
      <x:c r="L5631" t="str" s="2">
        <x:v>New</x:v>
      </x:c>
    </x:row>
    <x:row r="5632">
      <x:c r="A5632" t="str" s="2">
        <x:f>="Vickie Gothard"</x:f>
      </x:c>
      <x:c r="B5632" t="str" s="2">
        <x:v>Heritage Housing of Canton</x:v>
      </x:c>
      <x:c r="C5632" t="str" s="2">
        <x:v/>
      </x:c>
      <x:c r="D5632" t="str" s="2">
        <x:v>4303221898</x:v>
      </x:c>
      <x:c r="E5632" t="str" s="2">
        <x:v>Vfay2026@gmail.com</x:v>
      </x:c>
      <x:c r="F5632" t="str" s="2">
        <x:v>Website</x:v>
      </x:c>
      <x:c r="G5632" t="str" s="2">
        <x:v>Jacob Hatten</x:v>
      </x:c>
      <x:c r="H5632" s="6">
        <x:v>46305.16370196759</x:v>
      </x:c>
      <x:c r="I5632" s="0"/>
      <x:c r="J5632" s="0"/>
      <x:c r="K5632" s="0"/>
      <x:c r="L5632" t="str" s="2">
        <x:v>New</x:v>
      </x:c>
    </x:row>
    <x:row r="5633">
      <x:c r="A5633" t="str" s="2">
        <x:f>="Joseph H Narcissie"</x:f>
      </x:c>
      <x:c r="B5633" t="str" s="2">
        <x:v>Heritage Housing of Augusta</x:v>
      </x:c>
      <x:c r="C5633" t="str" s="2">
        <x:v/>
      </x:c>
      <x:c r="D5633" t="str" s="2">
        <x:v>4045402022</x:v>
      </x:c>
      <x:c r="E5633" t="str" s="2">
        <x:v>jhnarcissie1965@gmail.com</x:v>
      </x:c>
      <x:c r="F5633" t="str" s="2">
        <x:v>Landing_BPM</x:v>
      </x:c>
      <x:c r="G5633" t="str" s="2">
        <x:v>Jennifer Johnson</x:v>
      </x:c>
      <x:c r="H5633" s="6">
        <x:v>46305.1716209838</x:v>
      </x:c>
      <x:c r="I5633" s="0"/>
      <x:c r="J5633" s="0"/>
      <x:c r="K5633" s="0"/>
      <x:c r="L5633" t="str" s="2">
        <x:v>New</x:v>
      </x:c>
    </x:row>
    <x:row r="5634">
      <x:c r="A5634" t="str" s="2">
        <x:f>="Rachel Gonzalez"</x:f>
      </x:c>
      <x:c r="B5634" t="str" s="2">
        <x:v>Heritage Housing of Canton</x:v>
      </x:c>
      <x:c r="C5634" t="str" s="2">
        <x:v/>
      </x:c>
      <x:c r="D5634" t="str" s="2">
        <x:v>6824310671</x:v>
      </x:c>
      <x:c r="E5634" t="str" s="2">
        <x:v>jolyssagonzalez1965@gmail.com</x:v>
      </x:c>
      <x:c r="F5634" t="str" s="2">
        <x:v>Landing_BPM</x:v>
      </x:c>
      <x:c r="G5634" t="str" s="2">
        <x:v>Maira Garcia</x:v>
      </x:c>
      <x:c r="H5634" s="6">
        <x:v>46305.197378784724</x:v>
      </x:c>
      <x:c r="I5634" s="0"/>
      <x:c r="J5634" s="0"/>
      <x:c r="K5634" s="0"/>
      <x:c r="L5634" t="str" s="2">
        <x:v>New</x:v>
      </x:c>
    </x:row>
    <x:row r="5635">
      <x:c r="A5635" t="str" s="2">
        <x:f>="Raul De"</x:f>
      </x:c>
      <x:c r="B5635" t="str" s="2">
        <x:v>Heritage Housing of Canton</x:v>
      </x:c>
      <x:c r="C5635" t="str" s="2">
        <x:v/>
      </x:c>
      <x:c r="D5635" t="str" s="2">
        <x:v>9728362425</x:v>
      </x:c>
      <x:c r="E5635" t="str" s="2">
        <x:v>Rauldela82@gmail.com</x:v>
      </x:c>
      <x:c r="F5635" t="str" s="2">
        <x:v>Meta Ads - Forms</x:v>
      </x:c>
      <x:c r="G5635" t="str" s="2">
        <x:v>Jacob Hatten</x:v>
      </x:c>
      <x:c r="H5635" s="6">
        <x:v>46305.633464583334</x:v>
      </x:c>
      <x:c r="I5635" s="0"/>
      <x:c r="J5635" s="0"/>
      <x:c r="K5635" s="0"/>
      <x:c r="L5635" t="str" s="2">
        <x:v>New</x:v>
      </x:c>
    </x:row>
    <x:row r="5636">
      <x:c r="A5636" t="str" s="2">
        <x:f>="Rita Higadera"</x:f>
      </x:c>
      <x:c r="B5636" t="str" s="2">
        <x:v>Heritage Housing of Canton</x:v>
      </x:c>
      <x:c r="C5636" t="str" s="2">
        <x:v/>
      </x:c>
      <x:c r="D5636" t="str" s="2">
        <x:v>3462797657</x:v>
      </x:c>
      <x:c r="E5636" t="str" s="2">
        <x:v>ritahigadera@gmail.com</x:v>
      </x:c>
      <x:c r="F5636" t="str" s="2">
        <x:v>Meta Ads - Forms</x:v>
      </x:c>
      <x:c r="G5636" t="str" s="2">
        <x:v>Maira Garcia</x:v>
      </x:c>
      <x:c r="H5636" s="6">
        <x:v>46305.72733920139</x:v>
      </x:c>
      <x:c r="I5636" s="0"/>
      <x:c r="J5636" s="0"/>
      <x:c r="K5636" s="0"/>
      <x:c r="L5636" t="str" s="2">
        <x:v>New</x:v>
      </x:c>
    </x:row>
    <x:row r="5637">
      <x:c r="A5637" t="str" s="2">
        <x:f>="Charlene Thomas"</x:f>
      </x:c>
      <x:c r="B5637" t="str" s="2">
        <x:v>Heritage Housing of Augusta</x:v>
      </x:c>
      <x:c r="C5637" t="str" s="2">
        <x:v/>
      </x:c>
      <x:c r="D5637" t="str" s="2">
        <x:v>8034804560</x:v>
      </x:c>
      <x:c r="E5637" t="str" s="2">
        <x:v>junecharlenethomas1969@yahoo.com</x:v>
      </x:c>
      <x:c r="F5637" t="str" s="2">
        <x:v>Landing_BPM</x:v>
      </x:c>
      <x:c r="G5637" t="str" s="2">
        <x:v>Faye Lively</x:v>
      </x:c>
      <x:c r="H5637" s="6">
        <x:v>46305.73530891204</x:v>
      </x:c>
      <x:c r="I5637" s="0"/>
      <x:c r="J5637" s="0"/>
      <x:c r="K5637" s="0"/>
      <x:c r="L5637" t="str" s="2">
        <x:v>New</x:v>
      </x:c>
    </x:row>
    <x:row r="5638">
      <x:c r="A5638" t="str" s="2">
        <x:f>="Roxana Morales"</x:f>
      </x:c>
      <x:c r="B5638" t="str" s="2">
        <x:v>Heritage Housing of Asheboro</x:v>
      </x:c>
      <x:c r="C5638" t="str" s="2">
        <x:v/>
      </x:c>
      <x:c r="D5638" t="str" s="2">
        <x:v>9195917669</x:v>
      </x:c>
      <x:c r="E5638" t="str" s="2">
        <x:v>marieldaza22.38@gmail.com</x:v>
      </x:c>
      <x:c r="F5638" t="str" s="2">
        <x:v>Meta Ads - Forms</x:v>
      </x:c>
      <x:c r="G5638" t="str" s="2">
        <x:v>Jeremy Jacques</x:v>
      </x:c>
      <x:c r="H5638" s="6">
        <x:v>46305.848810034724</x:v>
      </x:c>
      <x:c r="I5638" s="0"/>
      <x:c r="J5638" s="0"/>
      <x:c r="K5638" s="0"/>
      <x:c r="L5638" t="str" s="2">
        <x:v>New</x:v>
      </x:c>
    </x:row>
    <x:row r="5639">
      <x:c r="A5639" t="str" s="2">
        <x:f>="Billie Taylor"</x:f>
      </x:c>
      <x:c r="B5639" t="str" s="2">
        <x:v>Heritage Housing of Albany</x:v>
      </x:c>
      <x:c r="C5639" t="str" s="2">
        <x:v/>
      </x:c>
      <x:c r="D5639" t="str" s="2">
        <x:v>4145543857</x:v>
      </x:c>
      <x:c r="E5639" t="str" s="2">
        <x:v>billieeubanks1960@gmail.com</x:v>
      </x:c>
      <x:c r="F5639" t="str" s="2">
        <x:v>Landing_BPM</x:v>
      </x:c>
      <x:c r="G5639" t="str" s="2">
        <x:v>Justin Johnson</x:v>
      </x:c>
      <x:c r="H5639" s="6">
        <x:v>46305.8965662037</x:v>
      </x:c>
      <x:c r="I5639" s="0"/>
      <x:c r="J5639" s="0"/>
      <x:c r="K5639" s="0"/>
      <x:c r="L5639" t="str" s="2">
        <x:v>New</x:v>
      </x:c>
    </x:row>
    <x:row r="5640">
      <x:c r="A5640" t="str" s="2">
        <x:f>="Thomas Keller"</x:f>
      </x:c>
      <x:c r="B5640" t="str" s="2">
        <x:v>Heritage Housing of Asheboro</x:v>
      </x:c>
      <x:c r="C5640" t="str" s="2">
        <x:v/>
      </x:c>
      <x:c r="D5640" t="str" s="2">
        <x:v>3368072799</x:v>
      </x:c>
      <x:c r="E5640" t="str" s="2">
        <x:v>kellerthomas979@gmail.com</x:v>
      </x:c>
      <x:c r="F5640" t="str" s="2">
        <x:v>Landing_BPM</x:v>
      </x:c>
      <x:c r="G5640" t="str" s="2">
        <x:v>Kate Gutierrez</x:v>
      </x:c>
      <x:c r="H5640" s="6">
        <x:v>46305.90795292824</x:v>
      </x:c>
      <x:c r="I5640" s="0"/>
      <x:c r="J5640" s="0"/>
      <x:c r="K5640" s="0"/>
      <x:c r="L5640" t="str" s="2">
        <x:v>New</x:v>
      </x:c>
    </x:row>
    <x:row r="5641">
      <x:c r="A5641" t="str" s="2">
        <x:f>="Vicente Sanchez"</x:f>
      </x:c>
      <x:c r="B5641" t="str" s="2">
        <x:v>Heritage Housing of Canton</x:v>
      </x:c>
      <x:c r="C5641" t="str" s="2">
        <x:v/>
      </x:c>
      <x:c r="D5641" t="str" s="2">
        <x:v>2144663442</x:v>
      </x:c>
      <x:c r="E5641" t="str" s="2">
        <x:v>vicentesanchez420@yahoo.com</x:v>
      </x:c>
      <x:c r="F5641" t="str" s="2">
        <x:v>Meta Ads - Forms</x:v>
      </x:c>
      <x:c r="G5641" t="str" s="2">
        <x:v>Jacob Hatten</x:v>
      </x:c>
      <x:c r="H5641" s="6">
        <x:v>46305.91350390046</x:v>
      </x:c>
      <x:c r="I5641" s="0"/>
      <x:c r="J5641" s="0"/>
      <x:c r="K5641" s="0"/>
      <x:c r="L5641" t="str" s="2">
        <x:v>New</x:v>
      </x:c>
    </x:row>
    <x:row r="5642">
      <x:c r="A5642" t="str" s="2">
        <x:f>="Kristy Battle"</x:f>
      </x:c>
      <x:c r="B5642" t="str" s="2">
        <x:v>Heritage Housing of Albany</x:v>
      </x:c>
      <x:c r="C5642" t="str" s="2">
        <x:v/>
      </x:c>
      <x:c r="D5642" t="str" s="2">
        <x:v>7064056086</x:v>
      </x:c>
      <x:c r="E5642" t="str" s="2">
        <x:v>kmbattle1982@gmail.com</x:v>
      </x:c>
      <x:c r="F5642" t="str" s="2">
        <x:v>Landing_BPM</x:v>
      </x:c>
      <x:c r="G5642" t="str" s="2">
        <x:v>Justin Johnson</x:v>
      </x:c>
      <x:c r="H5642" s="6">
        <x:v>46305.92595185185</x:v>
      </x:c>
      <x:c r="I5642" s="0"/>
      <x:c r="J5642" s="0"/>
      <x:c r="K5642" s="0"/>
      <x:c r="L5642" t="str" s="2">
        <x:v>New</x:v>
      </x:c>
    </x:row>
    <x:row r="5643">
      <x:c r="A5643" t="str" s="2">
        <x:f>="Maribel Portillo"</x:f>
      </x:c>
      <x:c r="B5643" t="str" s="2">
        <x:v>Heritage Housing of Canton</x:v>
      </x:c>
      <x:c r="C5643" t="str" s="2">
        <x:v/>
      </x:c>
      <x:c r="D5643" t="str" s="2">
        <x:v>4692431982</x:v>
      </x:c>
      <x:c r="E5643" t="str" s="2">
        <x:v>Maribelportillo2012@gmail.com</x:v>
      </x:c>
      <x:c r="F5643" t="str" s="2">
        <x:v>Youtube</x:v>
      </x:c>
      <x:c r="G5643" t="str" s="2">
        <x:v>Maira Garcia</x:v>
      </x:c>
      <x:c r="H5643" s="6">
        <x:v>46305.9619909375</x:v>
      </x:c>
      <x:c r="I5643" s="0"/>
      <x:c r="J5643" s="0"/>
      <x:c r="K5643" s="0"/>
      <x:c r="L5643" t="str" s="2">
        <x:v>New</x:v>
      </x:c>
    </x:row>
    <x:row r="5644">
      <x:c r="A5644" t="str" s="2">
        <x:f>="Bridgett Bates"</x:f>
      </x:c>
      <x:c r="B5644" t="str" s="2">
        <x:v>Heritage Housing of Athens</x:v>
      </x:c>
      <x:c r="C5644" t="str" s="2">
        <x:v/>
      </x:c>
      <x:c r="D5644" t="str" s="2">
        <x:v>9432803771</x:v>
      </x:c>
      <x:c r="E5644" t="str" s="2">
        <x:v>batesbridgett351@gmail.com</x:v>
      </x:c>
      <x:c r="F5644" t="str" s="2">
        <x:v>Landing_BPM</x:v>
      </x:c>
      <x:c r="G5644" t="str" s="2">
        <x:v>Alexander Bryant</x:v>
      </x:c>
      <x:c r="H5644" s="6">
        <x:v>46305.978948923614</x:v>
      </x:c>
      <x:c r="I5644" s="0"/>
      <x:c r="J5644" s="0"/>
      <x:c r="K5644" s="0"/>
      <x:c r="L5644" t="str" s="2">
        <x:v>New</x:v>
      </x:c>
    </x:row>
    <x:row r="5645">
      <x:c r="A5645" t="str" s="2">
        <x:f>="Monetia Smothers Smothers"</x:f>
      </x:c>
      <x:c r="B5645" t="str" s="2">
        <x:v>Heritage Housing of Augusta</x:v>
      </x:c>
      <x:c r="C5645" t="str" s="2">
        <x:v/>
      </x:c>
      <x:c r="D5645" t="str" s="2">
        <x:v>4702145817</x:v>
      </x:c>
      <x:c r="E5645" t="str" s="2">
        <x:v>monetiarivera@icloud.com</x:v>
      </x:c>
      <x:c r="F5645" t="str" s="2">
        <x:v>Landing_BPM</x:v>
      </x:c>
      <x:c r="G5645" t="str" s="2">
        <x:v>Alex Jones</x:v>
      </x:c>
      <x:c r="H5645" s="6">
        <x:v>46306.04657711805</x:v>
      </x:c>
      <x:c r="I5645" s="0"/>
      <x:c r="J5645" s="0"/>
      <x:c r="K5645" s="0"/>
      <x:c r="L5645" t="str" s="2">
        <x:v>New</x:v>
      </x:c>
    </x:row>
    <x:row r="5646">
      <x:c r="A5646" t="str" s="2">
        <x:f>="Maria Mallet ochoa"</x:f>
      </x:c>
      <x:c r="B5646" t="str" s="2">
        <x:v>Heritage Housing of Canton</x:v>
      </x:c>
      <x:c r="C5646" t="str" s="2">
        <x:v/>
      </x:c>
      <x:c r="D5646" t="str" s="2">
        <x:v>7373306469</x:v>
      </x:c>
      <x:c r="E5646" t="str" s="2">
        <x:v>mmalletochoa88@gmail.com</x:v>
      </x:c>
      <x:c r="F5646" t="str" s="2">
        <x:v>Youtube</x:v>
      </x:c>
      <x:c r="G5646" t="str" s="2">
        <x:v>Jacob Hatten</x:v>
      </x:c>
      <x:c r="H5646" s="6">
        <x:v>46306.171903622686</x:v>
      </x:c>
      <x:c r="I5646" s="0"/>
      <x:c r="J5646" s="0"/>
      <x:c r="K5646" s="0"/>
      <x:c r="L5646" t="str" s="2">
        <x:v>New</x:v>
      </x:c>
    </x:row>
    <x:row r="5647">
      <x:c r="A5647" t="str" s="2">
        <x:f>="McKinley Bryson"</x:f>
      </x:c>
      <x:c r="B5647" t="str" s="2">
        <x:v>Heritage Housing of Augusta</x:v>
      </x:c>
      <x:c r="C5647" t="str" s="2">
        <x:v/>
      </x:c>
      <x:c r="D5647" t="str" s="2">
        <x:v>9102434220</x:v>
      </x:c>
      <x:c r="E5647" t="str" s="2">
        <x:v>Brysoniii@aol.com</x:v>
      </x:c>
      <x:c r="F5647" t="str" s="2">
        <x:v>Landing_BPM</x:v>
      </x:c>
      <x:c r="G5647" t="str" s="2">
        <x:v>Brian Amato</x:v>
      </x:c>
      <x:c r="H5647" s="6">
        <x:v>46306.23325289352</x:v>
      </x:c>
      <x:c r="I5647" s="0"/>
      <x:c r="J5647" s="0"/>
      <x:c r="K5647" s="0"/>
      <x:c r="L5647" t="str" s="2">
        <x:v>New</x:v>
      </x:c>
    </x:row>
    <x:row r="5648">
      <x:c r="A5648" t="str" s="2">
        <x:f>="Michelle Green"</x:f>
      </x:c>
      <x:c r="B5648" t="str" s="2">
        <x:v>Heritage Housing of Canton</x:v>
      </x:c>
      <x:c r="C5648" t="str" s="2">
        <x:v/>
      </x:c>
      <x:c r="D5648" t="str" s="2">
        <x:v>9033935670</x:v>
      </x:c>
      <x:c r="E5648" t="str" s="2">
        <x:v>kadillacranch4@gmail.com</x:v>
      </x:c>
      <x:c r="F5648" t="str" s="2">
        <x:v>Landing_BPM</x:v>
      </x:c>
      <x:c r="G5648" t="str" s="2">
        <x:v>Maira Garcia</x:v>
      </x:c>
      <x:c r="H5648" s="6">
        <x:v>46306.28209181713</x:v>
      </x:c>
      <x:c r="I5648" s="0"/>
      <x:c r="J5648" s="0"/>
      <x:c r="K5648" s="0"/>
      <x:c r="L5648" t="str" s="2">
        <x:v>New</x:v>
      </x:c>
    </x:row>
    <x:row r="5649">
      <x:c r="A5649" t="str" s="2">
        <x:f>="Antoinette Hall"</x:f>
      </x:c>
      <x:c r="B5649" t="str" s="2">
        <x:v>Heritage Housing of Augusta</x:v>
      </x:c>
      <x:c r="C5649" t="str" s="2">
        <x:v/>
      </x:c>
      <x:c r="D5649" t="str" s="2">
        <x:v>9124248947</x:v>
      </x:c>
      <x:c r="E5649" t="str" s="2">
        <x:v>antoinettefussell18@gmail.com</x:v>
      </x:c>
      <x:c r="F5649" t="str" s="2">
        <x:v>Landing_BPM</x:v>
      </x:c>
      <x:c r="G5649" t="str" s="2">
        <x:v>Jennifer Johnson</x:v>
      </x:c>
      <x:c r="H5649" s="6">
        <x:v>46306.2946003125</x:v>
      </x:c>
      <x:c r="I5649" s="0"/>
      <x:c r="J5649" s="0"/>
      <x:c r="K5649" s="0"/>
      <x:c r="L5649" t="str" s="2">
        <x:v>New</x:v>
      </x:c>
    </x:row>
    <x:row r="5650">
      <x:c r="A5650" t="str" s="2">
        <x:f>="Laquesha Drake"</x:f>
      </x:c>
      <x:c r="B5650" t="str" s="2">
        <x:v>Heritage Housing of Augusta</x:v>
      </x:c>
      <x:c r="C5650" t="str" s="2">
        <x:v/>
      </x:c>
      <x:c r="D5650" t="str" s="2">
        <x:v>3347390759</x:v>
      </x:c>
      <x:c r="E5650" t="str" s="2">
        <x:v>laqueshasanders12@yahoo.com</x:v>
      </x:c>
      <x:c r="F5650" t="str" s="2">
        <x:v>Landing_BPM</x:v>
      </x:c>
      <x:c r="G5650" t="str" s="2">
        <x:v>Faye Lively</x:v>
      </x:c>
      <x:c r="H5650" s="6">
        <x:v>46306.40268017361</x:v>
      </x:c>
      <x:c r="I5650" s="0"/>
      <x:c r="J5650" s="0"/>
      <x:c r="K5650" s="0"/>
      <x:c r="L5650" t="str" s="2">
        <x:v>New</x:v>
      </x:c>
    </x:row>
    <x:row r="5651">
      <x:c r="A5651" t="str" s="2">
        <x:f>="Lisa Price"</x:f>
      </x:c>
      <x:c r="B5651" t="str" s="2">
        <x:v>Heritage Housing of Augusta</x:v>
      </x:c>
      <x:c r="C5651" t="str" s="2">
        <x:v/>
      </x:c>
      <x:c r="D5651" t="str" s="2">
        <x:v>8649547371</x:v>
      </x:c>
      <x:c r="E5651" t="str" s="2">
        <x:v>lisabell1475@gmail.com</x:v>
      </x:c>
      <x:c r="F5651" t="str" s="2">
        <x:v>Landing_BPM</x:v>
      </x:c>
      <x:c r="G5651" t="str" s="2">
        <x:v>Alex Jones</x:v>
      </x:c>
      <x:c r="H5651" s="6">
        <x:v>46306.51363900463</x:v>
      </x:c>
      <x:c r="I5651" s="0"/>
      <x:c r="J5651" s="0"/>
      <x:c r="K5651" s="0"/>
      <x:c r="L5651" t="str" s="2">
        <x:v>New</x:v>
      </x:c>
    </x:row>
    <x:row r="5652">
      <x:c r="A5652" t="str" s="2">
        <x:f>="Tytiana Lee"</x:f>
      </x:c>
      <x:c r="B5652" t="str" s="2">
        <x:v>Heritage Housing of Canton</x:v>
      </x:c>
      <x:c r="C5652" t="str" s="2">
        <x:v/>
      </x:c>
      <x:c r="D5652" t="str" s="2">
        <x:v>4694356499</x:v>
      </x:c>
      <x:c r="E5652" t="str" s="2">
        <x:v>tytianalee65@gmail.com</x:v>
      </x:c>
      <x:c r="F5652" t="str" s="2">
        <x:v>Landing_BPM</x:v>
      </x:c>
      <x:c r="G5652" t="str" s="2">
        <x:v>Jacob Hatten</x:v>
      </x:c>
      <x:c r="H5652" s="6">
        <x:v>46306.53247438657</x:v>
      </x:c>
      <x:c r="I5652" s="0"/>
      <x:c r="J5652" s="0"/>
      <x:c r="K5652" s="0"/>
      <x:c r="L5652" t="str" s="2">
        <x:v>New</x:v>
      </x:c>
    </x:row>
    <x:row r="5653">
      <x:c r="A5653" t="str" s="2">
        <x:f>="Andrew fetterolf"</x:f>
      </x:c>
      <x:c r="B5653" t="str" s="2">
        <x:v>Heritage Housing of Augusta</x:v>
      </x:c>
      <x:c r="C5653" t="str" s="2">
        <x:v/>
      </x:c>
      <x:c r="D5653" t="str" s="2">
        <x:v>5703943671</x:v>
      </x:c>
      <x:c r="E5653" t="str" s="2">
        <x:v>drakco66@gmail.com</x:v>
      </x:c>
      <x:c r="F5653" t="str" s="2">
        <x:v>Landing_BPM</x:v>
      </x:c>
      <x:c r="G5653" t="str" s="2">
        <x:v>Brian Amato</x:v>
      </x:c>
      <x:c r="H5653" s="6">
        <x:v>46306.55224413194</x:v>
      </x:c>
      <x:c r="I5653" s="0"/>
      <x:c r="J5653" s="0"/>
      <x:c r="K5653" s="0"/>
      <x:c r="L5653" t="str" s="2">
        <x:v>New</x:v>
      </x:c>
    </x:row>
    <x:row r="5654">
      <x:c r="A5654" t="str" s="2">
        <x:f>="Vera Armando"</x:f>
      </x:c>
      <x:c r="B5654" t="str" s="2">
        <x:v>Heritage Housing of Asheboro</x:v>
      </x:c>
      <x:c r="C5654" t="str" s="2">
        <x:v/>
      </x:c>
      <x:c r="D5654" t="str" s="2">
        <x:v>8436423780</x:v>
      </x:c>
      <x:c r="E5654" t="str" s="2">
        <x:v>Armandogomezvera413@hotmail.com</x:v>
      </x:c>
      <x:c r="F5654" t="str" s="2">
        <x:v>Meta Ads - Forms</x:v>
      </x:c>
      <x:c r="G5654" t="str" s="2">
        <x:v>Jeremy Jacques</x:v>
      </x:c>
      <x:c r="H5654" s="6">
        <x:v>46306.58210543982</x:v>
      </x:c>
      <x:c r="I5654" s="0"/>
      <x:c r="J5654" s="0"/>
      <x:c r="K5654" s="0"/>
      <x:c r="L5654" t="str" s="2">
        <x:v>New</x:v>
      </x:c>
    </x:row>
    <x:row r="5655">
      <x:c r="A5655" t="str" s="2">
        <x:f>="Jose Eugenio"</x:f>
      </x:c>
      <x:c r="B5655" t="str" s="2">
        <x:v>Heritage Housing of Albany</x:v>
      </x:c>
      <x:c r="C5655" t="str" s="2">
        <x:v/>
      </x:c>
      <x:c r="D5655" t="str" s="2">
        <x:v>2294500010</x:v>
      </x:c>
      <x:c r="E5655" t="str" s="2">
        <x:v>bladmr3@gmail.com</x:v>
      </x:c>
      <x:c r="F5655" t="str" s="2">
        <x:v>Meta Ads - Forms</x:v>
      </x:c>
      <x:c r="G5655" t="str" s="2">
        <x:v>Justin Johnson</x:v>
      </x:c>
      <x:c r="H5655" s="6">
        <x:v>46306.582285613425</x:v>
      </x:c>
      <x:c r="I5655" s="0"/>
      <x:c r="J5655" s="0"/>
      <x:c r="K5655" s="0"/>
      <x:c r="L5655" t="str" s="2">
        <x:v>New</x:v>
      </x:c>
    </x:row>
    <x:row r="5656">
      <x:c r="A5656" t="str" s="2">
        <x:f>="Chaniqua Swint"</x:f>
      </x:c>
      <x:c r="B5656" t="str" s="2">
        <x:v>Heritage Housing of Albany</x:v>
      </x:c>
      <x:c r="C5656" t="str" s="2">
        <x:v/>
      </x:c>
      <x:c r="D5656" t="str" s="2">
        <x:v>4704696972</x:v>
      </x:c>
      <x:c r="E5656" t="str" s="2">
        <x:v>chaniquaswint@gmail.com</x:v>
      </x:c>
      <x:c r="F5656" t="str" s="2">
        <x:v>Landing_BPM</x:v>
      </x:c>
      <x:c r="G5656" t="str" s="2">
        <x:v>Justin Johnson</x:v>
      </x:c>
      <x:c r="H5656" s="6">
        <x:v>46306.61790454861</x:v>
      </x:c>
      <x:c r="I5656" s="0"/>
      <x:c r="J5656" s="0"/>
      <x:c r="K5656" s="0"/>
      <x:c r="L5656" t="str" s="2">
        <x:v>New</x:v>
      </x:c>
    </x:row>
    <x:row r="5657">
      <x:c r="A5657" t="str" s="2">
        <x:f>="MELLISA NATINA PITTMAN"</x:f>
      </x:c>
      <x:c r="B5657" t="str" s="2">
        <x:v>Heritage Housing of Augusta</x:v>
      </x:c>
      <x:c r="C5657" t="str" s="2">
        <x:v/>
      </x:c>
      <x:c r="D5657" t="str" s="2">
        <x:v>4707282941</x:v>
      </x:c>
      <x:c r="E5657" t="str" s="2">
        <x:v>mellisa0516@gmail.com</x:v>
      </x:c>
      <x:c r="F5657" t="str" s="2">
        <x:v>Landing_BPM</x:v>
      </x:c>
      <x:c r="G5657" t="str" s="2">
        <x:v>Jennifer Johnson</x:v>
      </x:c>
      <x:c r="H5657" s="6">
        <x:v>46306.63355528935</x:v>
      </x:c>
      <x:c r="I5657" s="0"/>
      <x:c r="J5657" s="0"/>
      <x:c r="K5657" s="0"/>
      <x:c r="L5657" t="str" s="2">
        <x:v>New</x:v>
      </x:c>
    </x:row>
    <x:row r="5658">
      <x:c r="A5658" t="str" s="2">
        <x:f>="Timothy Free"</x:f>
      </x:c>
      <x:c r="B5658" t="str" s="2">
        <x:v>Heritage Housing of Augusta</x:v>
      </x:c>
      <x:c r="C5658" t="str" s="2">
        <x:v/>
      </x:c>
      <x:c r="D5658" t="str" s="2">
        <x:v>7068313900</x:v>
      </x:c>
      <x:c r="E5658" t="str" s="2">
        <x:v>timmy.free10@gmail.com</x:v>
      </x:c>
      <x:c r="F5658" t="str" s="2">
        <x:v>Landing_BPM</x:v>
      </x:c>
      <x:c r="G5658" t="str" s="2">
        <x:v>Faye Lively</x:v>
      </x:c>
      <x:c r="H5658" s="6">
        <x:v>46306.666348113424</x:v>
      </x:c>
      <x:c r="I5658" s="0"/>
      <x:c r="J5658" s="0"/>
      <x:c r="K5658" s="0"/>
      <x:c r="L5658" t="str" s="2">
        <x:v>New</x:v>
      </x:c>
    </x:row>
    <x:row r="5659">
      <x:c r="A5659" t="str" s="2">
        <x:f>="Regina Prince Prince"</x:f>
      </x:c>
      <x:c r="B5659" t="str" s="2">
        <x:v>Heritage Housing of Asheboro</x:v>
      </x:c>
      <x:c r="C5659" t="str" s="2">
        <x:v/>
      </x:c>
      <x:c r="D5659" t="str" s="2">
        <x:v>9103863632</x:v>
      </x:c>
      <x:c r="E5659" t="str" s="2">
        <x:v>reginaprince07@icloud.com</x:v>
      </x:c>
      <x:c r="F5659" t="str" s="2">
        <x:v>Landing_BPM</x:v>
      </x:c>
      <x:c r="G5659" t="str" s="2">
        <x:v>Kate Gutierrez</x:v>
      </x:c>
      <x:c r="H5659" s="6">
        <x:v>46306.71085289352</x:v>
      </x:c>
      <x:c r="I5659" s="0"/>
      <x:c r="J5659" s="0"/>
      <x:c r="K5659" s="0"/>
      <x:c r="L5659" t="str" s="2">
        <x:v>New</x:v>
      </x:c>
    </x:row>
    <x:row r="5660">
      <x:c r="A5660" t="str" s="2">
        <x:f>="Jermisha Hair"</x:f>
      </x:c>
      <x:c r="B5660" t="str" s="2">
        <x:v>Heritage Housing of Augusta</x:v>
      </x:c>
      <x:c r="C5660" t="str" s="2">
        <x:v/>
      </x:c>
      <x:c r="D5660" t="str" s="2">
        <x:v>9843030168</x:v>
      </x:c>
      <x:c r="E5660" t="str" s="2">
        <x:v>Jermisha12@aol.com</x:v>
      </x:c>
      <x:c r="F5660" t="str" s="2">
        <x:v>Landing_BPM</x:v>
      </x:c>
      <x:c r="G5660" t="str" s="2">
        <x:v>Alex Jones</x:v>
      </x:c>
      <x:c r="H5660" s="6">
        <x:v>46306.73589305556</x:v>
      </x:c>
      <x:c r="I5660" s="0"/>
      <x:c r="J5660" s="0"/>
      <x:c r="K5660" s="0"/>
      <x:c r="L5660" t="str" s="2">
        <x:v>New</x:v>
      </x:c>
    </x:row>
    <x:row r="5661">
      <x:c r="A5661" t="str" s="2">
        <x:f>="Randy M Maple"</x:f>
      </x:c>
      <x:c r="B5661" t="str" s="2">
        <x:v>Heritage Housing Marble Falls</x:v>
      </x:c>
      <x:c r="C5661" t="str" s="2">
        <x:v/>
      </x:c>
      <x:c r="D5661" t="str" s="2">
        <x:v>5125686933</x:v>
      </x:c>
      <x:c r="E5661" t="str" s="2">
        <x:v>boltaktion34@yahoo.com</x:v>
      </x:c>
      <x:c r="F5661" t="str" s="2">
        <x:v>Landing_BPM</x:v>
      </x:c>
      <x:c r="G5661" t="str" s="2">
        <x:v>Stephen Sanders</x:v>
      </x:c>
      <x:c r="H5661" s="6">
        <x:v>46306.786704479164</x:v>
      </x:c>
      <x:c r="I5661" s="0"/>
      <x:c r="J5661" s="0"/>
      <x:c r="K5661" s="0"/>
      <x:c r="L5661" t="str" s="2">
        <x:v>New</x:v>
      </x:c>
    </x:row>
    <x:row r="5662">
      <x:c r="A5662" t="str" s="2">
        <x:f>="malik lewis"</x:f>
      </x:c>
      <x:c r="B5662" t="str" s="2">
        <x:v>Heritage Housing of Augusta</x:v>
      </x:c>
      <x:c r="C5662" t="str" s="2">
        <x:v/>
      </x:c>
      <x:c r="D5662" t="str" s="2">
        <x:v>4709205746</x:v>
      </x:c>
      <x:c r="E5662" t="str" s="2">
        <x:v>malikkinglewis075@gmail.com</x:v>
      </x:c>
      <x:c r="F5662" t="str" s="2">
        <x:v>Financing Form</x:v>
      </x:c>
      <x:c r="G5662" t="str" s="2">
        <x:v>Brian Amato</x:v>
      </x:c>
      <x:c r="H5662" s="6">
        <x:v>46306.85847141204</x:v>
      </x:c>
      <x:c r="I5662" s="0"/>
      <x:c r="J5662" s="0"/>
      <x:c r="K5662" s="0"/>
      <x:c r="L5662" t="str" s="2">
        <x:v>New</x:v>
      </x:c>
    </x:row>
    <x:row r="5663">
      <x:c r="A5663" t="str" s="2">
        <x:f>="Jarred Blackmon"</x:f>
      </x:c>
      <x:c r="B5663" t="str" s="2">
        <x:v>Heritage Housing of Athens</x:v>
      </x:c>
      <x:c r="C5663" t="str" s="2">
        <x:v/>
      </x:c>
      <x:c r="D5663" t="str" s="2">
        <x:v>7623478474</x:v>
      </x:c>
      <x:c r="E5663" t="str" s="2">
        <x:v>loneb.lue8@gmail.com</x:v>
      </x:c>
      <x:c r="F5663" t="str" s="2">
        <x:v>Landing_BPM</x:v>
      </x:c>
      <x:c r="G5663" t="str" s="2">
        <x:v>Alexander Bryant</x:v>
      </x:c>
      <x:c r="H5663" s="6">
        <x:v>46306.87529019676</x:v>
      </x:c>
      <x:c r="I5663" s="0"/>
      <x:c r="J5663" s="0"/>
      <x:c r="K5663" s="0"/>
      <x:c r="L5663" t="str" s="2">
        <x:v>New</x:v>
      </x:c>
    </x:row>
    <x:row r="5664">
      <x:c r="A5664" t="str" s="2">
        <x:f>="Romone Scoby"</x:f>
      </x:c>
      <x:c r="B5664" t="str" s="2">
        <x:v>Heritage Housing of Augusta</x:v>
      </x:c>
      <x:c r="C5664" t="str" s="2">
        <x:v/>
      </x:c>
      <x:c r="D5664" t="str" s="2">
        <x:v>4782032761</x:v>
      </x:c>
      <x:c r="E5664" t="str" s="2">
        <x:v>monedareal23@gmail.com</x:v>
      </x:c>
      <x:c r="F5664" t="str" s="2">
        <x:v>Landing_BPM</x:v>
      </x:c>
      <x:c r="G5664" t="str" s="2">
        <x:v>Jennifer Johnson</x:v>
      </x:c>
      <x:c r="H5664" s="6">
        <x:v>46306.944872719905</x:v>
      </x:c>
      <x:c r="I5664" s="0"/>
      <x:c r="J5664" s="0"/>
      <x:c r="K5664" s="0"/>
      <x:c r="L5664" t="str" s="2">
        <x:v>New</x:v>
      </x:c>
    </x:row>
    <x:row r="5665">
      <x:c r="A5665" t="str" s="2">
        <x:f>="Donna Merriweather"</x:f>
      </x:c>
      <x:c r="B5665" t="str" s="2">
        <x:v>Heritage Housing of Augusta</x:v>
      </x:c>
      <x:c r="C5665" t="str" s="2">
        <x:v/>
      </x:c>
      <x:c r="D5665" t="str" s="2">
        <x:v>6782833127</x:v>
      </x:c>
      <x:c r="E5665" t="str" s="2">
        <x:v>donnam4430@gmail.com</x:v>
      </x:c>
      <x:c r="F5665" t="str" s="2">
        <x:v>Financing Form</x:v>
      </x:c>
      <x:c r="G5665" t="str" s="2">
        <x:v>Faye Lively</x:v>
      </x:c>
      <x:c r="H5665" s="6">
        <x:v>46306.96628626157</x:v>
      </x:c>
      <x:c r="I5665" s="0"/>
      <x:c r="J5665" s="0"/>
      <x:c r="K5665" s="0"/>
      <x:c r="L5665" t="str" s="2">
        <x:v>New</x:v>
      </x:c>
    </x:row>
    <x:row r="5666">
      <x:c r="A5666" t="str" s="2">
        <x:f>="Breann Free"</x:f>
      </x:c>
      <x:c r="B5666" t="str" s="2">
        <x:v>Heritage Housing of Asheboro</x:v>
      </x:c>
      <x:c r="C5666" t="str" s="2">
        <x:v/>
      </x:c>
      <x:c r="D5666" t="str" s="2">
        <x:v>8432673111</x:v>
      </x:c>
      <x:c r="E5666" t="str" s="2">
        <x:v>breannnfree@gmail.com</x:v>
      </x:c>
      <x:c r="F5666" t="str" s="2">
        <x:v>Financing Form</x:v>
      </x:c>
      <x:c r="G5666" t="str" s="2">
        <x:v>Jeremy Jacques</x:v>
      </x:c>
      <x:c r="H5666" s="6">
        <x:v>46307.01961782407</x:v>
      </x:c>
      <x:c r="I5666" s="0"/>
      <x:c r="J5666" s="0"/>
      <x:c r="K5666" s="0"/>
      <x:c r="L5666" t="str" s="2">
        <x:v>New</x:v>
      </x:c>
    </x:row>
    <x:row r="5667">
      <x:c r="A5667" t="str" s="2">
        <x:f>="Stephanie Jordan"</x:f>
      </x:c>
      <x:c r="B5667" t="str" s="2">
        <x:v>Heritage Housing of Augusta</x:v>
      </x:c>
      <x:c r="C5667" t="str" s="2">
        <x:v/>
      </x:c>
      <x:c r="D5667" t="str" s="2">
        <x:v>7065267990</x:v>
      </x:c>
      <x:c r="E5667" t="str" s="2">
        <x:v>stephaniedenise41@yahoo.com</x:v>
      </x:c>
      <x:c r="F5667" t="str" s="2">
        <x:v>Landing_BPM</x:v>
      </x:c>
      <x:c r="G5667" t="str" s="2">
        <x:v>Alex Jones</x:v>
      </x:c>
      <x:c r="H5667" s="6">
        <x:v>46307.05793700231</x:v>
      </x:c>
      <x:c r="I5667" s="0"/>
      <x:c r="J5667" s="0"/>
      <x:c r="K5667" s="0"/>
      <x:c r="L5667" t="str" s="2">
        <x:v>New</x:v>
      </x:c>
    </x:row>
    <x:row r="5668">
      <x:c r="A5668" t="str" s="2">
        <x:f>="Ashley Dunkleberger"</x:f>
      </x:c>
      <x:c r="B5668" t="str" s="2">
        <x:v>Heritage Housing of Canton</x:v>
      </x:c>
      <x:c r="C5668" t="str" s="2">
        <x:v/>
      </x:c>
      <x:c r="D5668" t="str" s="2">
        <x:v>5072620101</x:v>
      </x:c>
      <x:c r="E5668" t="str" s="2">
        <x:v>ashleydunkleberger7@gmail.com</x:v>
      </x:c>
      <x:c r="F5668" t="str" s="2">
        <x:v>Landing_BPM</x:v>
      </x:c>
      <x:c r="G5668" t="str" s="2">
        <x:v>Maira Garcia</x:v>
      </x:c>
      <x:c r="H5668" s="6">
        <x:v>46307.109297916664</x:v>
      </x:c>
      <x:c r="I5668" s="0"/>
      <x:c r="J5668" s="0"/>
      <x:c r="K5668" s="0"/>
      <x:c r="L5668" t="str" s="2">
        <x:v>New</x:v>
      </x:c>
    </x:row>
    <x:row r="5669">
      <x:c r="A5669" t="str" s="2">
        <x:f>="Lisa Yanzapanta"</x:f>
      </x:c>
      <x:c r="B5669" t="str" s="2">
        <x:v>Heritage Housing of Albany</x:v>
      </x:c>
      <x:c r="C5669" t="str" s="2">
        <x:v/>
      </x:c>
      <x:c r="D5669" t="str" s="2">
        <x:v>8647491762</x:v>
      </x:c>
      <x:c r="E5669" t="str" s="2">
        <x:v>leesatrey@gmail.com</x:v>
      </x:c>
      <x:c r="F5669" t="str" s="2">
        <x:v>Landing_BPM</x:v>
      </x:c>
      <x:c r="G5669" t="str" s="2">
        <x:v>Justin Johnson</x:v>
      </x:c>
      <x:c r="H5669" s="6">
        <x:v>46307.124575381946</x:v>
      </x:c>
      <x:c r="I5669" s="0"/>
      <x:c r="J5669" s="0"/>
      <x:c r="K5669" s="0"/>
      <x:c r="L5669" t="str" s="2">
        <x:v>New</x:v>
      </x:c>
    </x:row>
    <x:row r="5670">
      <x:c r="A5670" t="str" s="2">
        <x:f>="Lucio vanegas"</x:f>
      </x:c>
      <x:c r="B5670" t="str" s="2">
        <x:v>Heritage Housing of Asheboro</x:v>
      </x:c>
      <x:c r="C5670" t="str" s="2">
        <x:v/>
      </x:c>
      <x:c r="D5670" t="str" s="2">
        <x:v>8049634589</x:v>
      </x:c>
      <x:c r="E5670" t="str" s="2">
        <x:v>luciovanegas472@gmail.com</x:v>
      </x:c>
      <x:c r="F5670" t="str" s="2">
        <x:v>Meta Ads - Forms</x:v>
      </x:c>
      <x:c r="G5670" t="str" s="2">
        <x:v>Kate Gutierrez</x:v>
      </x:c>
      <x:c r="H5670" s="6">
        <x:v>46307.12566767361</x:v>
      </x:c>
      <x:c r="I5670" s="0"/>
      <x:c r="J5670" s="0"/>
      <x:c r="K5670" s="0"/>
      <x:c r="L5670" t="str" s="2">
        <x:v>New</x:v>
      </x:c>
    </x:row>
    <x:row r="5671">
      <x:c r="A5671" t="str" s="2">
        <x:f>="Terrie Evans"</x:f>
      </x:c>
      <x:c r="B5671" t="str" s="2">
        <x:v>Heritage Housing Mt Pleasant</x:v>
      </x:c>
      <x:c r="C5671" t="str" s="2">
        <x:v/>
      </x:c>
      <x:c r="D5671" t="str" s="2">
        <x:v>3282346958</x:v>
      </x:c>
      <x:c r="E5671" t="str" s="2">
        <x:v>terrieevans516@gmail.co</x:v>
      </x:c>
      <x:c r="F5671" t="str" s="2">
        <x:v>Landing_BPM</x:v>
      </x:c>
      <x:c r="G5671" t="str" s="2">
        <x:v>Garrett Riedesel</x:v>
      </x:c>
      <x:c r="H5671" s="6">
        <x:v>46307.21957577546</x:v>
      </x:c>
      <x:c r="I5671" s="0"/>
      <x:c r="J5671" s="0"/>
      <x:c r="K5671" s="0"/>
      <x:c r="L5671" t="str" s="2">
        <x:v>New</x:v>
      </x:c>
    </x:row>
    <x:row r="5672">
      <x:c r="A5672" t="str" s="2">
        <x:f>=HYPERLINK("https://rsms.futurehomex.com/lead/40760", "Pauline Cavil")</x:f>
      </x:c>
      <x:c r="B5672" t="str" s="2">
        <x:v>Heritage Housing of Greenville</x:v>
      </x:c>
      <x:c r="C5672" t="str" s="2">
        <x:v/>
      </x:c>
      <x:c r="D5672" t="str" s="2">
        <x:v>2544550124</x:v>
      </x:c>
      <x:c r="E5672" t="str" s="2">
        <x:v>paulinecavil@gmail.com</x:v>
      </x:c>
      <x:c r="F5672" t="str" s="2">
        <x:v>Financing Form</x:v>
      </x:c>
      <x:c r="G5672" t="str" s="2">
        <x:v>Joey Marquez</x:v>
      </x:c>
      <x:c r="H5672" s="6">
        <x:v>46307.34469012731</x:v>
      </x:c>
      <x:c r="I5672" t="str" s="2">
        <x:v>Joey Marquez</x:v>
      </x:c>
      <x:c r="J5672" s="0"/>
      <x:c r="K5672" s="6">
        <x:v>46307</x:v>
      </x:c>
      <x:c r="L5672" t="str" s="2">
        <x:v>New</x:v>
      </x:c>
    </x:row>
    <x:row r="5673">
      <x:c r="A5673" t="str" s="2">
        <x:f>="Nettie Walker"</x:f>
      </x:c>
      <x:c r="B5673" t="str" s="2">
        <x:v>Heritage Housing of Canton</x:v>
      </x:c>
      <x:c r="C5673" t="str" s="2">
        <x:v/>
      </x:c>
      <x:c r="D5673" t="str" s="2">
        <x:v>9038088877</x:v>
      </x:c>
      <x:c r="E5673" t="str" s="2">
        <x:v>walkerdiondrea@gmail.com</x:v>
      </x:c>
      <x:c r="F5673" t="str" s="2">
        <x:v>Landing_BPM</x:v>
      </x:c>
      <x:c r="G5673" t="str" s="2">
        <x:v>Jacob Hatten</x:v>
      </x:c>
      <x:c r="H5673" s="6">
        <x:v>46307.352636689815</x:v>
      </x:c>
      <x:c r="I5673" s="0"/>
      <x:c r="J5673" s="0"/>
      <x:c r="K5673" s="0"/>
      <x:c r="L5673" t="str" s="2">
        <x:v>New</x:v>
      </x:c>
    </x:row>
    <x:row r="5674">
      <x:c r="A5674" t="str" s="2">
        <x:f>="Ronald White"</x:f>
      </x:c>
      <x:c r="B5674" t="str" s="2">
        <x:v>Heritage Housing of Athens</x:v>
      </x:c>
      <x:c r="C5674" t="str" s="2">
        <x:v/>
      </x:c>
      <x:c r="D5674" t="str" s="2">
        <x:v>4048835358</x:v>
      </x:c>
      <x:c r="E5674" t="str" s="2">
        <x:v>ronaldwhitecce@gmail.com</x:v>
      </x:c>
      <x:c r="F5674" t="str" s="2">
        <x:v>Landing_BPM</x:v>
      </x:c>
      <x:c r="G5674" t="str" s="2">
        <x:v>Alexander Bryant</x:v>
      </x:c>
      <x:c r="H5674" s="6">
        <x:v>46307.534259293985</x:v>
      </x:c>
      <x:c r="I5674" s="0"/>
      <x:c r="J5674" s="0"/>
      <x:c r="K5674" s="0"/>
      <x:c r="L5674" t="str" s="2">
        <x:v>New</x:v>
      </x:c>
    </x:row>
    <x:row r="5675">
      <x:c r="A5675" t="str" s="2">
        <x:f>="Jacqueline Moody"</x:f>
      </x:c>
      <x:c r="B5675" t="str" s="2">
        <x:v>Heritage Housing of Augusta</x:v>
      </x:c>
      <x:c r="C5675" t="str" s="2">
        <x:v/>
      </x:c>
      <x:c r="D5675" t="str" s="2">
        <x:v>5014441862</x:v>
      </x:c>
      <x:c r="E5675" t="str" s="2">
        <x:v>jacqueline.moody@icloud.com</x:v>
      </x:c>
      <x:c r="F5675" t="str" s="2">
        <x:v>Landing_BPM</x:v>
      </x:c>
      <x:c r="G5675" t="str" s="2">
        <x:v>Brian Amato</x:v>
      </x:c>
      <x:c r="H5675" s="6">
        <x:v>46307.53686663194</x:v>
      </x:c>
      <x:c r="I5675" s="0"/>
      <x:c r="J5675" s="0"/>
      <x:c r="K5675" s="0"/>
      <x:c r="L5675" t="str" s="2">
        <x:v>New</x:v>
      </x:c>
    </x:row>
    <x:row r="5676">
      <x:c r="A5676" t="str" s="2">
        <x:f>="bb bb"</x:f>
      </x:c>
      <x:c r="B5676" t="str" s="2">
        <x:v>Heritage Housing Gainesville</x:v>
      </x:c>
      <x:c r="C5676" t="str" s="2">
        <x:v/>
      </x:c>
      <x:c r="D5676" t="str" s="2">
        <x:v>2105551212</x:v>
      </x:c>
      <x:c r="E5676" t="str" s="2">
        <x:v>bb@me.com</x:v>
      </x:c>
      <x:c r="F5676" t="str" s="2">
        <x:v>Landing_BPM</x:v>
      </x:c>
      <x:c r="G5676" t="str" s="2">
        <x:v>Maira Garcia</x:v>
      </x:c>
      <x:c r="H5676" s="6">
        <x:v>46307.58975254629</x:v>
      </x:c>
      <x:c r="I5676" s="0"/>
      <x:c r="J5676" s="0"/>
      <x:c r="K5676" s="0"/>
      <x:c r="L5676" t="str" s="2">
        <x:v>New</x:v>
      </x:c>
    </x:row>
    <x:row r="5677">
      <x:c r="A5677" t="str" s="2">
        <x:f>="Arryanna Mcduffie"</x:f>
      </x:c>
      <x:c r="B5677" t="str" s="2">
        <x:v>Heritage Housing of Augusta</x:v>
      </x:c>
      <x:c r="C5677" t="str" s="2">
        <x:v/>
      </x:c>
      <x:c r="D5677" t="str" s="2">
        <x:v>4782331014</x:v>
      </x:c>
      <x:c r="E5677" t="str" s="2">
        <x:v>faithlovezzz13@gmail.com</x:v>
      </x:c>
      <x:c r="F5677" t="str" s="2">
        <x:v>Landing_BPM</x:v>
      </x:c>
      <x:c r="G5677" t="str" s="2">
        <x:v>Jennifer Johnson</x:v>
      </x:c>
      <x:c r="H5677" s="6">
        <x:v>46307.5910065625</x:v>
      </x:c>
      <x:c r="I5677" s="0"/>
      <x:c r="J5677" s="0"/>
      <x:c r="K5677" s="0"/>
      <x:c r="L5677" t="str" s="2">
        <x:v>New</x:v>
      </x:c>
    </x:row>
    <x:row r="5678">
      <x:c r="A5678" t="str" s="2">
        <x:f>="Bernard Lark jr"</x:f>
      </x:c>
      <x:c r="B5678" t="str" s="2">
        <x:v>Heritage Housing of Canton</x:v>
      </x:c>
      <x:c r="C5678" t="str" s="2">
        <x:v/>
      </x:c>
      <x:c r="D5678" t="str" s="2">
        <x:v>404-748-2990</x:v>
      </x:c>
      <x:c r="E5678" t="str" s="2">
        <x:v>bernard.larkjr@gmail.com</x:v>
      </x:c>
      <x:c r="F5678" t="str" s="2">
        <x:v>Landing_BPM</x:v>
      </x:c>
      <x:c r="G5678" t="str" s="2">
        <x:v>Jacob Hatten</x:v>
      </x:c>
      <x:c r="H5678" s="6">
        <x:v>46307.59666481482</x:v>
      </x:c>
      <x:c r="I5678" s="0"/>
      <x:c r="J5678" s="0"/>
      <x:c r="K5678" s="0"/>
      <x:c r="L5678" t="str" s="2">
        <x:v>New</x:v>
      </x:c>
    </x:row>
    <x:row r="5679">
      <x:c r="A5679" t="str" s="2">
        <x:f>="Tyquanus Smith"</x:f>
      </x:c>
      <x:c r="B5679" t="str" s="2">
        <x:v>Heritage Housing of Augusta</x:v>
      </x:c>
      <x:c r="C5679" t="str" s="2">
        <x:v/>
      </x:c>
      <x:c r="D5679" t="str" s="2">
        <x:v>8035524160</x:v>
      </x:c>
      <x:c r="E5679" t="str" s="2">
        <x:v>tyquanus_smith88@yahoo.com</x:v>
      </x:c>
      <x:c r="F5679" t="str" s="2">
        <x:v>Landing_BPM</x:v>
      </x:c>
      <x:c r="G5679" t="str" s="2">
        <x:v>Faye Lively</x:v>
      </x:c>
      <x:c r="H5679" s="6">
        <x:v>46307.59973371528</x:v>
      </x:c>
      <x:c r="I5679" s="0"/>
      <x:c r="J5679" s="0"/>
      <x:c r="K5679" s="0"/>
      <x:c r="L5679" t="str" s="2">
        <x:v>New</x:v>
      </x:c>
    </x:row>
    <x:row r="5680">
      <x:c r="A5680" t="str" s="2">
        <x:f>="Francis Doudney"</x:f>
      </x:c>
      <x:c r="B5680" t="str" s="2">
        <x:v>Heritage Housing of Asheboro</x:v>
      </x:c>
      <x:c r="C5680" t="str" s="2">
        <x:v/>
      </x:c>
      <x:c r="D5680" t="str" s="2">
        <x:v>5713313703</x:v>
      </x:c>
      <x:c r="E5680" t="str" s="2">
        <x:v>smuck65@gmail.com</x:v>
      </x:c>
      <x:c r="F5680" t="str" s="2">
        <x:v>Landing_BPM</x:v>
      </x:c>
      <x:c r="G5680" t="str" s="2">
        <x:v>Kate Gutierrez</x:v>
      </x:c>
      <x:c r="H5680" s="6">
        <x:v>46307.639460844905</x:v>
      </x:c>
      <x:c r="I5680" s="0"/>
      <x:c r="J5680" s="0"/>
      <x:c r="K5680" s="0"/>
      <x:c r="L5680" t="str" s="2">
        <x:v>New</x:v>
      </x:c>
    </x:row>
    <x:row r="5681">
      <x:c r="A5681" t="str" s="2">
        <x:f>="Brittney Jackson"</x:f>
      </x:c>
      <x:c r="B5681" t="str" s="2">
        <x:v>Heritage Housing of Augusta</x:v>
      </x:c>
      <x:c r="C5681" t="str" s="2">
        <x:v/>
      </x:c>
      <x:c r="D5681" t="str" s="2">
        <x:v>4783770670</x:v>
      </x:c>
      <x:c r="E5681" t="str" s="2">
        <x:v>kristinauchihauzumaki@gmail.com</x:v>
      </x:c>
      <x:c r="F5681" t="str" s="2">
        <x:v>Landing_BPM</x:v>
      </x:c>
      <x:c r="G5681" t="str" s="2">
        <x:v>Alex Jones</x:v>
      </x:c>
      <x:c r="H5681" s="6">
        <x:v>46307.67646207176</x:v>
      </x:c>
      <x:c r="I5681" s="0"/>
      <x:c r="J5681" s="0"/>
      <x:c r="K5681" s="0"/>
      <x:c r="L5681" t="str" s="2">
        <x:v>New</x:v>
      </x:c>
    </x:row>
    <x:row r="5682">
      <x:c r="A5682" t="str" s="2">
        <x:f>="Mug Mcmillan"</x:f>
      </x:c>
      <x:c r="B5682" t="str" s="2">
        <x:v>Heritage Housing of Augusta</x:v>
      </x:c>
      <x:c r="C5682" t="str" s="2">
        <x:v/>
      </x:c>
      <x:c r="D5682" t="str" s="2">
        <x:v>9125156058</x:v>
      </x:c>
      <x:c r="E5682" t="str" s="2">
        <x:v>mug204899@gmail.com</x:v>
      </x:c>
      <x:c r="F5682" t="str" s="2">
        <x:v>Landing_BPM</x:v>
      </x:c>
      <x:c r="G5682" t="str" s="2">
        <x:v>Brian Amato</x:v>
      </x:c>
      <x:c r="H5682" s="6">
        <x:v>46307.69418371528</x:v>
      </x:c>
      <x:c r="I5682" s="0"/>
      <x:c r="J5682" s="0"/>
      <x:c r="K5682" s="0"/>
      <x:c r="L5682" t="str" s="2">
        <x:v>New</x:v>
      </x:c>
    </x:row>
    <x:row r="5683">
      <x:c r="A5683" t="str" s="2">
        <x:f>="Aithmara Ayala Matos"</x:f>
      </x:c>
      <x:c r="B5683" t="str" s="2">
        <x:v>Heritage Housing of Canton</x:v>
      </x:c>
      <x:c r="C5683" t="str" s="2">
        <x:v/>
      </x:c>
      <x:c r="D5683" t="str" s="2">
        <x:v>2818024965</x:v>
      </x:c>
      <x:c r="E5683" t="str" s="2">
        <x:v>aithmaraa965@gmail.com</x:v>
      </x:c>
      <x:c r="F5683" t="str" s="2">
        <x:v>Youtube</x:v>
      </x:c>
      <x:c r="G5683" t="str" s="2">
        <x:v>Maira Garcia</x:v>
      </x:c>
      <x:c r="H5683" s="6">
        <x:v>46307.75338214121</x:v>
      </x:c>
      <x:c r="I5683" s="0"/>
      <x:c r="J5683" s="0"/>
      <x:c r="K5683" s="0"/>
      <x:c r="L5683" t="str" s="2">
        <x:v>New</x:v>
      </x:c>
    </x:row>
    <x:row r="5684">
      <x:c r="A5684" t="str" s="2">
        <x:f>="Linda Gail Burns"</x:f>
      </x:c>
      <x:c r="B5684" t="str" s="2">
        <x:v>Heritage Housing of Athens</x:v>
      </x:c>
      <x:c r="C5684" t="str" s="2">
        <x:v/>
      </x:c>
      <x:c r="D5684" t="str" s="2">
        <x:v>4237602438</x:v>
      </x:c>
      <x:c r="E5684" t="str" s="2">
        <x:v>burnsparker5@gmail.com</x:v>
      </x:c>
      <x:c r="F5684" t="str" s="2">
        <x:v>Landing_BPM</x:v>
      </x:c>
      <x:c r="G5684" t="str" s="2">
        <x:v>Alexander Bryant</x:v>
      </x:c>
      <x:c r="H5684" s="6">
        <x:v>46307.77957407408</x:v>
      </x:c>
      <x:c r="I5684" s="0"/>
      <x:c r="J5684" s="0"/>
      <x:c r="K5684" s="0"/>
      <x:c r="L5684" t="str" s="2">
        <x:v>New</x:v>
      </x:c>
    </x:row>
    <x:row r="5685">
      <x:c r="A5685" t="str" s="2">
        <x:f>="Ingrid Lee"</x:f>
      </x:c>
      <x:c r="B5685" t="str" s="2">
        <x:v>Heritage Housing Marble Falls</x:v>
      </x:c>
      <x:c r="C5685" t="str" s="2">
        <x:v/>
      </x:c>
      <x:c r="D5685" t="str" s="2">
        <x:v>4094975988</x:v>
      </x:c>
      <x:c r="E5685" t="str" s="2">
        <x:v>ingridlee1953@gmail.com</x:v>
      </x:c>
      <x:c r="F5685" t="str" s="2">
        <x:v>Landing_BPM</x:v>
      </x:c>
      <x:c r="G5685" t="str" s="2">
        <x:v>Stephen Sanders</x:v>
      </x:c>
      <x:c r="H5685" s="6">
        <x:v>46307.78587890046</x:v>
      </x:c>
      <x:c r="I5685" s="0"/>
      <x:c r="J5685" s="0"/>
      <x:c r="K5685" s="0"/>
      <x:c r="L5685" t="str" s="2">
        <x:v>New</x:v>
      </x:c>
    </x:row>
    <x:row r="5686">
      <x:c r="A5686" t="str" s="2">
        <x:f>="Mckenzie Perry"</x:f>
      </x:c>
      <x:c r="B5686" t="str" s="2">
        <x:v>Heritage Housing of Augusta</x:v>
      </x:c>
      <x:c r="C5686" t="str" s="2">
        <x:v/>
      </x:c>
      <x:c r="D5686" t="str" s="2">
        <x:v>4785212504</x:v>
      </x:c>
      <x:c r="E5686" t="str" s="2">
        <x:v>macperry349@gmail.com</x:v>
      </x:c>
      <x:c r="F5686" t="str" s="2">
        <x:v>Website</x:v>
      </x:c>
      <x:c r="G5686" t="str" s="2">
        <x:v>Jennifer Johnson</x:v>
      </x:c>
      <x:c r="H5686" s="6">
        <x:v>46307.797640474535</x:v>
      </x:c>
      <x:c r="I5686" s="0"/>
      <x:c r="J5686" s="0"/>
      <x:c r="K5686" s="0"/>
      <x:c r="L5686" t="str" s="2">
        <x:v>New</x:v>
      </x:c>
    </x:row>
    <x:row r="5687">
      <x:c r="A5687" t="str" s="2">
        <x:f>="Jose Moralesjosejosegarciamorales"</x:f>
      </x:c>
      <x:c r="B5687" t="str" s="2">
        <x:v>Heritage Housing of Greenville</x:v>
      </x:c>
      <x:c r="C5687" t="str" s="2">
        <x:v/>
      </x:c>
      <x:c r="D5687" t="str" s="2">
        <x:v>2146467123</x:v>
      </x:c>
      <x:c r="E5687" t="str" s="2">
        <x:v>maylin03maylin@gmail.com</x:v>
      </x:c>
      <x:c r="F5687" t="str" s="2">
        <x:v>Meta Ads - Forms</x:v>
      </x:c>
      <x:c r="G5687" t="str" s="2">
        <x:v>Brooklynn Allen</x:v>
      </x:c>
      <x:c r="H5687" s="6">
        <x:v>46307.85635393518</x:v>
      </x:c>
      <x:c r="I5687" s="0"/>
      <x:c r="J5687" s="0"/>
      <x:c r="K5687" s="0"/>
      <x:c r="L5687" t="str" s="2">
        <x:v>New</x:v>
      </x:c>
    </x:row>
    <x:row r="5688">
      <x:c r="A5688" t="str" s="2">
        <x:f>="Sontaya Perry"</x:f>
      </x:c>
      <x:c r="B5688" t="str" s="2">
        <x:v>Heritage Housing of Athens</x:v>
      </x:c>
      <x:c r="C5688" t="str" s="2">
        <x:v/>
      </x:c>
      <x:c r="D5688" t="str" s="2">
        <x:v>4126561597</x:v>
      </x:c>
      <x:c r="E5688" t="str" s="2">
        <x:v>sontayaperry@gmail.com</x:v>
      </x:c>
      <x:c r="F5688" t="str" s="2">
        <x:v>Landing_BPM</x:v>
      </x:c>
      <x:c r="G5688" t="str" s="2">
        <x:v>Nathan Bishop</x:v>
      </x:c>
      <x:c r="H5688" s="6">
        <x:v>46307.866063229165</x:v>
      </x:c>
      <x:c r="I5688" s="0"/>
      <x:c r="J5688" s="0"/>
      <x:c r="K5688" s="0"/>
      <x:c r="L5688" t="str" s="2">
        <x:v>New</x:v>
      </x:c>
    </x:row>
    <x:row r="5689">
      <x:c r="A5689" t="str" s="2">
        <x:f>="kameron everett"</x:f>
      </x:c>
      <x:c r="B5689" t="str" s="2">
        <x:v>Heritage Housing of Albany</x:v>
      </x:c>
      <x:c r="C5689" t="str" s="2">
        <x:v/>
      </x:c>
      <x:c r="D5689" t="str" s="2">
        <x:v>2295911436</x:v>
      </x:c>
      <x:c r="E5689" t="str" s="2">
        <x:v>kameron0328@icloud.com</x:v>
      </x:c>
      <x:c r="F5689" t="str" s="2">
        <x:v>Landing_BPM</x:v>
      </x:c>
      <x:c r="G5689" t="str" s="2">
        <x:v>Justin Johnson</x:v>
      </x:c>
      <x:c r="H5689" s="6">
        <x:v>46307.894152395835</x:v>
      </x:c>
      <x:c r="I5689" s="0"/>
      <x:c r="J5689" s="0"/>
      <x:c r="K5689" s="0"/>
      <x:c r="L5689" t="str" s="2">
        <x:v>New</x:v>
      </x:c>
    </x:row>
    <x:row r="5690">
      <x:c r="A5690" t="str" s="2">
        <x:f>="Holly Jones Jones"</x:f>
      </x:c>
      <x:c r="B5690" t="str" s="2">
        <x:v>Heritage Housing of Athens</x:v>
      </x:c>
      <x:c r="C5690" t="str" s="2">
        <x:v/>
      </x:c>
      <x:c r="D5690" t="str" s="2">
        <x:v>4045834157</x:v>
      </x:c>
      <x:c r="E5690" t="str" s="2">
        <x:v>jones5533@yahoo.com</x:v>
      </x:c>
      <x:c r="F5690" t="str" s="2">
        <x:v>Landing_BPM</x:v>
      </x:c>
      <x:c r="G5690" t="str" s="2">
        <x:v>Alexander Bryant</x:v>
      </x:c>
      <x:c r="H5690" s="6">
        <x:v>46307.91877418981</x:v>
      </x:c>
      <x:c r="I5690" s="0"/>
      <x:c r="J5690" s="0"/>
      <x:c r="K5690" s="0"/>
      <x:c r="L5690" t="str" s="2">
        <x:v>New</x:v>
      </x:c>
    </x:row>
    <x:row r="5691">
      <x:c r="A5691" t="str" s="2">
        <x:f>="Demetrice Champion Davis"</x:f>
      </x:c>
      <x:c r="B5691" t="str" s="2">
        <x:v>Heritage Housing of Canton</x:v>
      </x:c>
      <x:c r="C5691" t="str" s="2">
        <x:v/>
      </x:c>
      <x:c r="D5691" t="str" s="2">
        <x:v>7032493329</x:v>
      </x:c>
      <x:c r="E5691" t="str" s="2">
        <x:v>demetricechampion11@gmail.com</x:v>
      </x:c>
      <x:c r="F5691" t="str" s="2">
        <x:v>Landing_BPM</x:v>
      </x:c>
      <x:c r="G5691" t="str" s="2">
        <x:v>Jacob Hatten</x:v>
      </x:c>
      <x:c r="H5691" s="6">
        <x:v>46307.92581894676</x:v>
      </x:c>
      <x:c r="I5691" s="0"/>
      <x:c r="J5691" s="0"/>
      <x:c r="K5691" s="0"/>
      <x:c r="L5691" t="str" s="2">
        <x:v>New</x:v>
      </x:c>
    </x:row>
    <x:row r="5692">
      <x:c r="A5692" t="str" s="2">
        <x:f>="Magon Turner"</x:f>
      </x:c>
      <x:c r="B5692" t="str" s="2">
        <x:v>Heritage Housing of Augusta</x:v>
      </x:c>
      <x:c r="C5692" t="str" s="2">
        <x:v/>
      </x:c>
      <x:c r="D5692" t="str" s="2">
        <x:v>7068336171</x:v>
      </x:c>
      <x:c r="E5692" t="str" s="2">
        <x:v>magonturner25@gmail.com</x:v>
      </x:c>
      <x:c r="F5692" t="str" s="2">
        <x:v>Financing Form</x:v>
      </x:c>
      <x:c r="G5692" t="str" s="2">
        <x:v>Faye Lively</x:v>
      </x:c>
      <x:c r="H5692" s="6">
        <x:v>46307.929188773145</x:v>
      </x:c>
      <x:c r="I5692" s="0"/>
      <x:c r="J5692" s="0"/>
      <x:c r="K5692" s="0"/>
      <x:c r="L5692" t="str" s="2">
        <x:v>New</x:v>
      </x:c>
    </x:row>
    <x:row r="5693">
      <x:c r="A5693" t="str" s="2">
        <x:f>="Deangela Davis"</x:f>
      </x:c>
      <x:c r="B5693" t="str" s="2">
        <x:v>Heritage Housing of Albany</x:v>
      </x:c>
      <x:c r="C5693" t="str" s="2">
        <x:v/>
      </x:c>
      <x:c r="D5693" t="str" s="2">
        <x:v>2293145175</x:v>
      </x:c>
      <x:c r="E5693" t="str" s="2">
        <x:v>deangeladavis1992@gmail.com</x:v>
      </x:c>
      <x:c r="F5693" t="str" s="2">
        <x:v>Landing_BPM</x:v>
      </x:c>
      <x:c r="G5693" t="str" s="2">
        <x:v>Justin Johnson</x:v>
      </x:c>
      <x:c r="H5693" s="6">
        <x:v>46307.93708927083</x:v>
      </x:c>
      <x:c r="I5693" s="0"/>
      <x:c r="J5693" s="0"/>
      <x:c r="K5693" s="0"/>
      <x:c r="L5693" t="str" s="2">
        <x:v>New</x:v>
      </x:c>
    </x:row>
    <x:row r="5694">
      <x:c r="A5694" t="str" s="2">
        <x:f>="Margarito Urias"</x:f>
      </x:c>
      <x:c r="B5694" t="str" s="2">
        <x:v>Heritage Housing of Canton</x:v>
      </x:c>
      <x:c r="C5694" t="str" s="2">
        <x:v/>
      </x:c>
      <x:c r="D5694" t="str" s="2">
        <x:v>4692897401</x:v>
      </x:c>
      <x:c r="E5694" t="str" s="2">
        <x:v>Uriasmargarito55@gmail.com</x:v>
      </x:c>
      <x:c r="F5694" t="str" s="2">
        <x:v>Meta Ads - Forms</x:v>
      </x:c>
      <x:c r="G5694" t="str" s="2">
        <x:v>Maira Garcia</x:v>
      </x:c>
      <x:c r="H5694" s="6">
        <x:v>46307.94061643518</x:v>
      </x:c>
      <x:c r="I5694" s="0"/>
      <x:c r="J5694" s="0"/>
      <x:c r="K5694" s="0"/>
      <x:c r="L5694" t="str" s="2">
        <x:v>New</x:v>
      </x:c>
    </x:row>
    <x:row r="5695">
      <x:c r="A5695" t="str" s="2">
        <x:f>="Cory Davis"</x:f>
      </x:c>
      <x:c r="B5695" t="str" s="2">
        <x:v>Heritage Housing of Oklahoma City</x:v>
      </x:c>
      <x:c r="C5695" t="str" s="2">
        <x:v/>
      </x:c>
      <x:c r="D5695" t="str" s="2">
        <x:v>9188994681</x:v>
      </x:c>
      <x:c r="E5695" t="str" s="2">
        <x:v>corydavis1525@gmail.com</x:v>
      </x:c>
      <x:c r="F5695" t="str" s="2">
        <x:v>Office Hot Calls</x:v>
      </x:c>
      <x:c r="G5695" t="str" s="2">
        <x:v>Trey Rixleben</x:v>
      </x:c>
      <x:c r="H5695" s="6">
        <x:v>46204.79415451389</x:v>
      </x:c>
      <x:c r="I5695" s="0"/>
      <x:c r="J5695" s="6">
        <x:v>46209.666666666664</x:v>
      </x:c>
      <x:c r="K5695" s="6">
        <x:v>46209.691386921295</x:v>
      </x:c>
      <x:c r="L5695" t="str" s="2">
        <x:v>Not Show</x:v>
      </x:c>
    </x:row>
    <x:row r="5696">
      <x:c r="A5696" t="str" s="2">
        <x:f>="Brittany Freeman"</x:f>
      </x:c>
      <x:c r="B5696" t="str" s="2">
        <x:v>Heritage Housing of Minden</x:v>
      </x:c>
      <x:c r="C5696" t="str" s="2">
        <x:v/>
      </x:c>
      <x:c r="D5696" t="str" s="2">
        <x:v>8708207231</x:v>
      </x:c>
      <x:c r="E5696" t="str" s="2">
        <x:v>bbennett0917@gmail.com</x:v>
      </x:c>
      <x:c r="F5696" t="str" s="2">
        <x:v>Meta Ads - Forms</x:v>
      </x:c>
      <x:c r="G5696" t="str" s="2">
        <x:v>Kyla Brown</x:v>
      </x:c>
      <x:c r="H5696" s="6">
        <x:v>46206.86087670139</x:v>
      </x:c>
      <x:c r="I5696" s="0"/>
      <x:c r="J5696" s="6">
        <x:v>46216.791666666664</x:v>
      </x:c>
      <x:c r="K5696" s="6">
        <x:v>46223.93778024305</x:v>
      </x:c>
      <x:c r="L5696" t="str" s="2">
        <x:v>Not Show</x:v>
      </x:c>
    </x:row>
    <x:row r="5697">
      <x:c r="A5697" t="str" s="2">
        <x:f>="Bobby Maine"</x:f>
      </x:c>
      <x:c r="B5697" t="str" s="2">
        <x:v>Heritage Housing of Minden</x:v>
      </x:c>
      <x:c r="C5697" t="str" s="2">
        <x:v>0/3</x:v>
      </x:c>
      <x:c r="D5697" t="str" s="2">
        <x:v>8173350447</x:v>
      </x:c>
      <x:c r="E5697" t="str" s="2">
        <x:v>mainebobby7y7@gmail.com</x:v>
      </x:c>
      <x:c r="F5697" t="str" s="2">
        <x:v>Meta Ads - Forms</x:v>
      </x:c>
      <x:c r="G5697" t="str" s="2">
        <x:v>Kyla Brown</x:v>
      </x:c>
      <x:c r="H5697" s="6">
        <x:v>46206.94862199074</x:v>
      </x:c>
      <x:c r="I5697" s="0"/>
      <x:c r="J5697" s="6">
        <x:v>46238.166666666664</x:v>
      </x:c>
      <x:c r="K5697" s="6">
        <x:v>46245.70741304398</x:v>
      </x:c>
      <x:c r="L5697" t="str" s="2">
        <x:v>Not Show</x:v>
      </x:c>
    </x:row>
    <x:row r="5698">
      <x:c r="A5698" t="str" s="2">
        <x:f>="Tosha Backey"</x:f>
      </x:c>
      <x:c r="B5698" t="str" s="2">
        <x:v>Heritage Housing of Albany</x:v>
      </x:c>
      <x:c r="C5698" t="str" s="2">
        <x:v>0/1</x:v>
      </x:c>
      <x:c r="D5698" t="str" s="2">
        <x:v>2292200117</x:v>
      </x:c>
      <x:c r="E5698" t="str" s="2">
        <x:v>toshalpn@icloud.com</x:v>
      </x:c>
      <x:c r="F5698" t="str" s="2">
        <x:v>Meta Ads - Forms</x:v>
      </x:c>
      <x:c r="G5698" t="str" s="2">
        <x:v>Yanet Alvarez</x:v>
      </x:c>
      <x:c r="H5698" s="6">
        <x:v>46209.05768121528</x:v>
      </x:c>
      <x:c r="I5698" s="0"/>
      <x:c r="J5698" s="6">
        <x:v>46213.770833333336</x:v>
      </x:c>
      <x:c r="K5698" s="6">
        <x:v>46239.87163981482</x:v>
      </x:c>
      <x:c r="L5698" t="str" s="2">
        <x:v>Not Show</x:v>
      </x:c>
    </x:row>
    <x:row r="5699">
      <x:c r="A5699" t="str" s="2">
        <x:f>="Krista Collins"</x:f>
      </x:c>
      <x:c r="B5699" t="str" s="2">
        <x:v>Heritage Housing of Oklahoma City</x:v>
      </x:c>
      <x:c r="C5699" t="str" s="2">
        <x:v/>
      </x:c>
      <x:c r="D5699" t="str" s="2">
        <x:v>4056796170</x:v>
      </x:c>
      <x:c r="E5699" t="str" s="2">
        <x:v>4056796170</x:v>
      </x:c>
      <x:c r="F5699" t="str" s="2">
        <x:v>Office Hot Calls</x:v>
      </x:c>
      <x:c r="G5699" t="str" s="2">
        <x:v>Trey Rixleben</x:v>
      </x:c>
      <x:c r="H5699" s="6">
        <x:v>46209.68162627315</x:v>
      </x:c>
      <x:c r="I5699" s="0"/>
      <x:c r="J5699" s="6">
        <x:v>46215.125</x:v>
      </x:c>
      <x:c r="K5699" s="6">
        <x:v>46214.77443672454</x:v>
      </x:c>
      <x:c r="L5699" t="str" s="2">
        <x:v>Not Show</x:v>
      </x:c>
    </x:row>
    <x:row r="5700">
      <x:c r="A5700" t="str" s="2">
        <x:f>=HYPERLINK("https://rsms.futurehomex.com/lead/38355", "Eusebio Vega")</x:f>
      </x:c>
      <x:c r="B5700" t="str" s="2">
        <x:v>Legacy Housing Corp. DBA Americasa</x:v>
      </x:c>
      <x:c r="C5700" t="str" s="2">
        <x:v/>
      </x:c>
      <x:c r="D5700" t="str" s="2">
        <x:v>3468464314</x:v>
      </x:c>
      <x:c r="E5700" t="str" s="2">
        <x:v>3468464314</x:v>
      </x:c>
      <x:c r="F5700" t="str" s="2">
        <x:v>Walk-in</x:v>
      </x:c>
      <x:c r="G5700" t="str" s="2">
        <x:v>Rodrigo Ramirez</x:v>
      </x:c>
      <x:c r="H5700" s="6">
        <x:v>46209.84131913194</x:v>
      </x:c>
      <x:c r="I5700" t="str" s="2">
        <x:v>Joey Marquez</x:v>
      </x:c>
      <x:c r="J5700" s="6">
        <x:v>46211.791666666664</x:v>
      </x:c>
      <x:c r="K5700" s="6">
        <x:v>46211.93566099537</x:v>
      </x:c>
      <x:c r="L5700" t="str" s="2">
        <x:v>Not Show</x:v>
      </x:c>
    </x:row>
    <x:row r="5701">
      <x:c r="A5701" t="str" s="2">
        <x:f>="Amanda Owens"</x:f>
      </x:c>
      <x:c r="B5701" t="str" s="2">
        <x:v>Heritage Housing of Asheboro</x:v>
      </x:c>
      <x:c r="C5701" t="str" s="2">
        <x:v/>
      </x:c>
      <x:c r="D5701" t="str" s="2">
        <x:v>3366282145</x:v>
      </x:c>
      <x:c r="E5701" t="str" s="2">
        <x:v>amandaclay1213@gmail.com</x:v>
      </x:c>
      <x:c r="F5701" t="str" s="2">
        <x:v>Google Ads</x:v>
      </x:c>
      <x:c r="G5701" t="str" s="2">
        <x:v>Jeremy Jacques</x:v>
      </x:c>
      <x:c r="H5701" s="6">
        <x:v>46211.81379421296</x:v>
      </x:c>
      <x:c r="I5701" s="0"/>
      <x:c r="J5701" s="6">
        <x:v>46228.75</x:v>
      </x:c>
      <x:c r="K5701" s="6">
        <x:v>46238.70193831019</x:v>
      </x:c>
      <x:c r="L5701" t="str" s="2">
        <x:v>Not Show</x:v>
      </x:c>
    </x:row>
    <x:row r="5702">
      <x:c r="A5702" t="str" s="2">
        <x:f>="Nicholas Sapp"</x:f>
      </x:c>
      <x:c r="B5702" t="str" s="2">
        <x:v>Heritage Housing of Augusta</x:v>
      </x:c>
      <x:c r="C5702" t="str" s="2">
        <x:v>0/1</x:v>
      </x:c>
      <x:c r="D5702" t="str" s="2">
        <x:v>7622129250</x:v>
      </x:c>
      <x:c r="E5702" t="str" s="2">
        <x:v>chasesapp0@gmail.com</x:v>
      </x:c>
      <x:c r="F5702" t="str" s="2">
        <x:v>Financing Form</x:v>
      </x:c>
      <x:c r="G5702" t="str" s="2">
        <x:v>Jose Chavez</x:v>
      </x:c>
      <x:c r="H5702" s="6">
        <x:v>46212.086869293984</x:v>
      </x:c>
      <x:c r="I5702" s="0"/>
      <x:c r="J5702" s="6">
        <x:v>46216.5625</x:v>
      </x:c>
      <x:c r="K5702" s="6">
        <x:v>46279.61436508102</x:v>
      </x:c>
      <x:c r="L5702" t="str" s="2">
        <x:v>Not Show</x:v>
      </x:c>
    </x:row>
    <x:row r="5703">
      <x:c r="A5703" t="str" s="2">
        <x:f>="Aylin Rodriguez"</x:f>
      </x:c>
      <x:c r="B5703" t="str" s="2">
        <x:v>Legacy Housing Corp. DBA Americasa</x:v>
      </x:c>
      <x:c r="C5703" t="str" s="2">
        <x:v/>
      </x:c>
      <x:c r="D5703" t="str" s="2">
        <x:v>8329709414</x:v>
      </x:c>
      <x:c r="E5703" t="str" s="2">
        <x:v>Aylin.rodriguez03@gmail.com</x:v>
      </x:c>
      <x:c r="F5703" t="str" s="2">
        <x:v>Meta Ads - Forms</x:v>
      </x:c>
      <x:c r="G5703" t="str" s="2">
        <x:v>Rodrigo Ramirez</x:v>
      </x:c>
      <x:c r="H5703" s="6">
        <x:v>46214.850321527774</x:v>
      </x:c>
      <x:c r="I5703" s="0"/>
      <x:c r="J5703" s="6">
        <x:v>46235.916666666664</x:v>
      </x:c>
      <x:c r="K5703" s="6">
        <x:v>46248.00265636574</x:v>
      </x:c>
      <x:c r="L5703" t="str" s="2">
        <x:v>Not Show</x:v>
      </x:c>
    </x:row>
    <x:row r="5704">
      <x:c r="A5704" t="str" s="2">
        <x:f>="Luther Hodges"</x:f>
      </x:c>
      <x:c r="B5704" t="str" s="2">
        <x:v>Heritage Housing of Athens</x:v>
      </x:c>
      <x:c r="C5704" t="str" s="2">
        <x:v/>
      </x:c>
      <x:c r="D5704" t="str" s="2">
        <x:v>7063638969</x:v>
      </x:c>
      <x:c r="E5704" t="str" s="2">
        <x:v>7063638969</x:v>
      </x:c>
      <x:c r="F5704" t="str" s="2">
        <x:v>Referrals</x:v>
      </x:c>
      <x:c r="G5704" t="str" s="2">
        <x:v>Nathan Bishop</x:v>
      </x:c>
      <x:c r="H5704" s="6">
        <x:v>46217.70045135417</x:v>
      </x:c>
      <x:c r="I5704" s="0"/>
      <x:c r="J5704" s="6">
        <x:v>46277.583333333336</x:v>
      </x:c>
      <x:c r="K5704" s="6">
        <x:v>46254.80708070602</x:v>
      </x:c>
      <x:c r="L5704" t="str" s="2">
        <x:v>Not Show</x:v>
      </x:c>
    </x:row>
    <x:row r="5705">
      <x:c r="A5705" t="str" s="2">
        <x:f>=HYPERLINK("https://rsms.futurehomex.com/lead/38619", "Pamela Aguirre")</x:f>
      </x:c>
      <x:c r="B5705" t="str" s="2">
        <x:v>Legacy Housing Corp. DBA Americasa</x:v>
      </x:c>
      <x:c r="C5705" t="str" s="2">
        <x:v/>
      </x:c>
      <x:c r="D5705" t="str" s="2">
        <x:v>3468021203</x:v>
      </x:c>
      <x:c r="E5705" t="str" s="2">
        <x:v>3468021203</x:v>
      </x:c>
      <x:c r="F5705" t="str" s="2">
        <x:v>WhatsApp</x:v>
      </x:c>
      <x:c r="G5705" t="str" s="2">
        <x:v>Rodrigo Ramirez</x:v>
      </x:c>
      <x:c r="H5705" s="6">
        <x:v>46217.74019212963</x:v>
      </x:c>
      <x:c r="I5705" t="str" s="2">
        <x:v>Joey Marquez</x:v>
      </x:c>
      <x:c r="J5705" s="6">
        <x:v>46221.666666666664</x:v>
      </x:c>
      <x:c r="K5705" s="6">
        <x:v>46223.07110204861</x:v>
      </x:c>
      <x:c r="L5705" t="str" s="2">
        <x:v>Not Show</x:v>
      </x:c>
    </x:row>
    <x:row r="5706">
      <x:c r="A5706" t="str" s="2">
        <x:f>="Troy Autrey"</x:f>
      </x:c>
      <x:c r="B5706" t="str" s="2">
        <x:v>Heritage Housing of Oklahoma City</x:v>
      </x:c>
      <x:c r="C5706" t="str" s="2">
        <x:v/>
      </x:c>
      <x:c r="D5706" t="str" s="2">
        <x:v>4052136704</x:v>
      </x:c>
      <x:c r="E5706" t="str" s="2">
        <x:v>momof2autreys@gmail.com</x:v>
      </x:c>
      <x:c r="F5706" t="str" s="2">
        <x:v>Facebook Messenger</x:v>
      </x:c>
      <x:c r="G5706" t="str" s="2">
        <x:v>Steve Castell</x:v>
      </x:c>
      <x:c r="H5706" s="6">
        <x:v>46219.886054131945</x:v>
      </x:c>
      <x:c r="I5706" s="0"/>
      <x:c r="J5706" s="6">
        <x:v>46221.625</x:v>
      </x:c>
      <x:c r="K5706" s="6">
        <x:v>46224.903491666664</x:v>
      </x:c>
      <x:c r="L5706" t="str" s="2">
        <x:v>Not Show</x:v>
      </x:c>
    </x:row>
    <x:row r="5707">
      <x:c r="A5707" t="str" s="2">
        <x:f>="William Hamilton"</x:f>
      </x:c>
      <x:c r="B5707" t="str" s="2">
        <x:v>Heritage Housing of Oklahoma City</x:v>
      </x:c>
      <x:c r="C5707" t="str" s="2">
        <x:v/>
      </x:c>
      <x:c r="D5707" t="str" s="2">
        <x:v>4052299057</x:v>
      </x:c>
      <x:c r="E5707" t="str" s="2">
        <x:v>4052299057</x:v>
      </x:c>
      <x:c r="F5707" t="str" s="2">
        <x:v>Facebook Messenger</x:v>
      </x:c>
      <x:c r="G5707" t="str" s="2">
        <x:v>Trey Rixleben</x:v>
      </x:c>
      <x:c r="H5707" s="6">
        <x:v>46219.92743599537</x:v>
      </x:c>
      <x:c r="I5707" s="0"/>
      <x:c r="J5707" s="6">
        <x:v>46221.833333333336</x:v>
      </x:c>
      <x:c r="K5707" s="6">
        <x:v>46221.80820165509</x:v>
      </x:c>
      <x:c r="L5707" t="str" s="2">
        <x:v>Not Show</x:v>
      </x:c>
    </x:row>
    <x:row r="5708">
      <x:c r="A5708" t="str" s="2">
        <x:f>="Lisa Walters"</x:f>
      </x:c>
      <x:c r="B5708" t="str" s="2">
        <x:v>Heritage Housing of Oklahoma City</x:v>
      </x:c>
      <x:c r="C5708" t="str" s="2">
        <x:v/>
      </x:c>
      <x:c r="D5708" t="str" s="2">
        <x:v>4056870269</x:v>
      </x:c>
      <x:c r="E5708" t="str" s="2">
        <x:v>4056870269</x:v>
      </x:c>
      <x:c r="F5708" t="str" s="2">
        <x:v>Facebook Messenger</x:v>
      </x:c>
      <x:c r="G5708" t="str" s="2">
        <x:v>Trey Rixleben</x:v>
      </x:c>
      <x:c r="H5708" s="6">
        <x:v>46220.58745535879</x:v>
      </x:c>
      <x:c r="I5708" s="0"/>
      <x:c r="J5708" s="6">
        <x:v>46221.708333333336</x:v>
      </x:c>
      <x:c r="K5708" s="6">
        <x:v>46223.839367280096</x:v>
      </x:c>
      <x:c r="L5708" t="str" s="2">
        <x:v>Not Show</x:v>
      </x:c>
    </x:row>
    <x:row r="5709">
      <x:c r="A5709" t="str" s="2">
        <x:f>="Travis Perrin"</x:f>
      </x:c>
      <x:c r="B5709" t="str" s="2">
        <x:v>Heritage Housing of Oklahoma City</x:v>
      </x:c>
      <x:c r="C5709" t="str" s="2">
        <x:v/>
      </x:c>
      <x:c r="D5709" t="str" s="2">
        <x:v>4058804045</x:v>
      </x:c>
      <x:c r="E5709" t="str" s="2">
        <x:v>4058804045</x:v>
      </x:c>
      <x:c r="F5709" t="str" s="2">
        <x:v>Facebook Messenger</x:v>
      </x:c>
      <x:c r="G5709" t="str" s="2">
        <x:v>Steve Castell</x:v>
      </x:c>
      <x:c r="H5709" s="6">
        <x:v>46220.80961670139</x:v>
      </x:c>
      <x:c r="I5709" s="0"/>
      <x:c r="J5709" s="6">
        <x:v>46223.770833333336</x:v>
      </x:c>
      <x:c r="K5709" s="6">
        <x:v>46223.94509082176</x:v>
      </x:c>
      <x:c r="L5709" t="str" s="2">
        <x:v>Not Show</x:v>
      </x:c>
    </x:row>
    <x:row r="5710">
      <x:c r="A5710" t="str" s="2">
        <x:f>="Marisol Morales Najera"</x:f>
      </x:c>
      <x:c r="B5710" t="str" s="2">
        <x:v>Heritage Housing of Oklahoma City</x:v>
      </x:c>
      <x:c r="C5710" t="str" s="2">
        <x:v/>
      </x:c>
      <x:c r="D5710" t="str" s="2">
        <x:v>4444444445</x:v>
      </x:c>
      <x:c r="E5710" t="str" s="2">
        <x:v>willgetwhenshegetshere@gmail.com</x:v>
      </x:c>
      <x:c r="F5710" t="str" s="2">
        <x:v>Facebook Messenger</x:v>
      </x:c>
      <x:c r="G5710" t="str" s="2">
        <x:v>Eva Misheva</x:v>
      </x:c>
      <x:c r="H5710" s="6">
        <x:v>46221.59965853009</x:v>
      </x:c>
      <x:c r="I5710" s="0"/>
      <x:c r="J5710" s="6">
        <x:v>46221.791666666664</x:v>
      </x:c>
      <x:c r="K5710" s="6">
        <x:v>46263.7099428588</x:v>
      </x:c>
      <x:c r="L5710" t="str" s="2">
        <x:v>Not Show</x:v>
      </x:c>
    </x:row>
    <x:row r="5711">
      <x:c r="A5711" t="str" s="2">
        <x:f>="Alejandro Montantes"</x:f>
      </x:c>
      <x:c r="B5711" t="str" s="2">
        <x:v>Heritage Housing of Oklahoma City</x:v>
      </x:c>
      <x:c r="C5711" t="str" s="2">
        <x:v/>
      </x:c>
      <x:c r="D5711" t="str" s="2">
        <x:v>4444444446</x:v>
      </x:c>
      <x:c r="E5711" t="str" s="2">
        <x:v>willgetitinoffice@gmail.com</x:v>
      </x:c>
      <x:c r="F5711" t="str" s="2">
        <x:v>Facebook Messenger</x:v>
      </x:c>
      <x:c r="G5711" t="str" s="2">
        <x:v>Eva Misheva</x:v>
      </x:c>
      <x:c r="H5711" s="6">
        <x:v>46221.60342670139</x:v>
      </x:c>
      <x:c r="I5711" s="0"/>
      <x:c r="J5711" s="6">
        <x:v>46221.875</x:v>
      </x:c>
      <x:c r="K5711" s="6">
        <x:v>46266.78612329861</x:v>
      </x:c>
      <x:c r="L5711" t="str" s="2">
        <x:v>Not Show</x:v>
      </x:c>
    </x:row>
    <x:row r="5712">
      <x:c r="A5712" t="str" s="2">
        <x:f>="Cecil Murray"</x:f>
      </x:c>
      <x:c r="B5712" t="str" s="2">
        <x:v>Heritage Housing of Oklahoma City</x:v>
      </x:c>
      <x:c r="C5712" t="str" s="2">
        <x:v/>
      </x:c>
      <x:c r="D5712" t="str" s="2">
        <x:v>4054398325</x:v>
      </x:c>
      <x:c r="E5712" t="str" s="2">
        <x:v>cmurray1232@gmail.com</x:v>
      </x:c>
      <x:c r="F5712" t="str" s="2">
        <x:v>Financing Form</x:v>
      </x:c>
      <x:c r="G5712" t="str" s="2">
        <x:v>Trey Rixleben</x:v>
      </x:c>
      <x:c r="H5712" s="6">
        <x:v>46223.825856979165</x:v>
      </x:c>
      <x:c r="I5712" s="0"/>
      <x:c r="J5712" s="6">
        <x:v>46225.833333333336</x:v>
      </x:c>
      <x:c r="K5712" s="6">
        <x:v>46226.90458672454</x:v>
      </x:c>
      <x:c r="L5712" t="str" s="2">
        <x:v>Not Show</x:v>
      </x:c>
    </x:row>
    <x:row r="5713">
      <x:c r="A5713" t="str" s="2">
        <x:f>="David Chavez"</x:f>
      </x:c>
      <x:c r="B5713" t="str" s="2">
        <x:v>Heritage Housing of Oklahoma City</x:v>
      </x:c>
      <x:c r="C5713" t="str" s="2">
        <x:v/>
      </x:c>
      <x:c r="D5713" t="str" s="2">
        <x:v>9036477347</x:v>
      </x:c>
      <x:c r="E5713" t="str" s="2">
        <x:v>9036477347</x:v>
      </x:c>
      <x:c r="F5713" t="str" s="2">
        <x:v>Facebook Messenger</x:v>
      </x:c>
      <x:c r="G5713" t="str" s="2">
        <x:v>Steve Castell</x:v>
      </x:c>
      <x:c r="H5713" s="6">
        <x:v>46223.995141203704</x:v>
      </x:c>
      <x:c r="I5713" s="0"/>
      <x:c r="J5713" s="6">
        <x:v>46228.770833333336</x:v>
      </x:c>
      <x:c r="K5713" s="6">
        <x:v>46228.77509618056</x:v>
      </x:c>
      <x:c r="L5713" t="str" s="2">
        <x:v>Not Show</x:v>
      </x:c>
    </x:row>
    <x:row r="5714">
      <x:c r="A5714" t="str" s="2">
        <x:f>="Trace Rice"</x:f>
      </x:c>
      <x:c r="B5714" t="str" s="2">
        <x:v>Heritage Housing of Oklahoma City</x:v>
      </x:c>
      <x:c r="C5714" t="str" s="2">
        <x:v/>
      </x:c>
      <x:c r="D5714" t="str" s="2">
        <x:v>9183976093</x:v>
      </x:c>
      <x:c r="E5714" t="str" s="2">
        <x:v>9183976093</x:v>
      </x:c>
      <x:c r="F5714" t="str" s="2">
        <x:v>Facebook Messenger</x:v>
      </x:c>
      <x:c r="G5714" t="str" s="2">
        <x:v>Steve Castell</x:v>
      </x:c>
      <x:c r="H5714" s="6">
        <x:v>46224.033320173614</x:v>
      </x:c>
      <x:c r="I5714" s="0"/>
      <x:c r="J5714" s="6">
        <x:v>46225.8125</x:v>
      </x:c>
      <x:c r="K5714" s="6">
        <x:v>46226.915683645835</x:v>
      </x:c>
      <x:c r="L5714" t="str" s="2">
        <x:v>Not Show</x:v>
      </x:c>
    </x:row>
    <x:row r="5715">
      <x:c r="A5715" t="str" s="2">
        <x:f>=HYPERLINK("https://rsms.futurehomex.com/lead/39315", "Ellie Mondragón")</x:f>
      </x:c>
      <x:c r="B5715" t="str" s="2">
        <x:v>Legacy Housing Corp. DBA Americasa</x:v>
      </x:c>
      <x:c r="C5715" t="str" s="2">
        <x:v/>
      </x:c>
      <x:c r="D5715" t="str" s="2">
        <x:v>8636045067</x:v>
      </x:c>
      <x:c r="E5715" t="str" s="2">
        <x:v>brito.eliu18@yahoo.com</x:v>
      </x:c>
      <x:c r="F5715" t="str" s="2">
        <x:v>Meta Ads - Forms</x:v>
      </x:c>
      <x:c r="G5715" t="str" s="2">
        <x:v>Rodrigo Ramirez</x:v>
      </x:c>
      <x:c r="H5715" s="6">
        <x:v>46224.55249421296</x:v>
      </x:c>
      <x:c r="I5715" t="str" s="2">
        <x:v>Jose Parada</x:v>
      </x:c>
      <x:c r="J5715" s="6">
        <x:v>46256.666666666664</x:v>
      </x:c>
      <x:c r="K5715" s="6">
        <x:v>46256.64210651621</x:v>
      </x:c>
      <x:c r="L5715" t="str" s="2">
        <x:v>Not Show</x:v>
      </x:c>
    </x:row>
    <x:row r="5716">
      <x:c r="A5716" t="str" s="2">
        <x:f>="Ty Goodwin"</x:f>
      </x:c>
      <x:c r="B5716" t="str" s="2">
        <x:v>Heritage Housing of Oklahoma City</x:v>
      </x:c>
      <x:c r="C5716" t="str" s="2">
        <x:v/>
      </x:c>
      <x:c r="D5716" t="str" s="2">
        <x:v>4054038535</x:v>
      </x:c>
      <x:c r="E5716" t="str" s="2">
        <x:v>tgoodwinokla@gmail.com</x:v>
      </x:c>
      <x:c r="F5716" t="str" s="2">
        <x:v>LandingPage</x:v>
      </x:c>
      <x:c r="G5716" t="str" s="2">
        <x:v>Steve Castell</x:v>
      </x:c>
      <x:c r="H5716" s="6">
        <x:v>46224.67631956018</x:v>
      </x:c>
      <x:c r="I5716" s="0"/>
      <x:c r="J5716" s="6">
        <x:v>46235.791666666664</x:v>
      </x:c>
      <x:c r="K5716" s="6">
        <x:v>46234.96292384259</x:v>
      </x:c>
      <x:c r="L5716" t="str" s="2">
        <x:v>Not Show</x:v>
      </x:c>
    </x:row>
    <x:row r="5717">
      <x:c r="A5717" t="str" s="2">
        <x:f>="Luis Marrero"</x:f>
      </x:c>
      <x:c r="B5717" t="str" s="2">
        <x:v>Heritage Housing of Oklahoma City</x:v>
      </x:c>
      <x:c r="C5717" t="str" s="2">
        <x:v/>
      </x:c>
      <x:c r="D5717" t="str" s="2">
        <x:v>4058030399</x:v>
      </x:c>
      <x:c r="E5717" t="str" s="2">
        <x:v>4058030399</x:v>
      </x:c>
      <x:c r="F5717" t="str" s="2">
        <x:v>Facebook_repo</x:v>
      </x:c>
      <x:c r="G5717" t="str" s="2">
        <x:v>Steve Castell</x:v>
      </x:c>
      <x:c r="H5717" s="6">
        <x:v>46224.778898958335</x:v>
      </x:c>
      <x:c r="I5717" s="0"/>
      <x:c r="J5717" s="6">
        <x:v>46228.708333333336</x:v>
      </x:c>
      <x:c r="K5717" s="6">
        <x:v>46230.745418784725</x:v>
      </x:c>
      <x:c r="L5717" t="str" s="2">
        <x:v>Not Show</x:v>
      </x:c>
    </x:row>
    <x:row r="5718">
      <x:c r="A5718" t="str" s="2">
        <x:f>="Megan Longoria"</x:f>
      </x:c>
      <x:c r="B5718" t="str" s="2">
        <x:v>Heritage Housing of Oklahoma City</x:v>
      </x:c>
      <x:c r="C5718" t="str" s="2">
        <x:v>0/2</x:v>
      </x:c>
      <x:c r="D5718" t="str" s="2">
        <x:v>4059069291</x:v>
      </x:c>
      <x:c r="E5718" t="str" s="2">
        <x:v>mariarod1325@gmail.com</x:v>
      </x:c>
      <x:c r="F5718" t="str" s="2">
        <x:v>Financing Form</x:v>
      </x:c>
      <x:c r="G5718" t="str" s="2">
        <x:v>Trey Rixleben</x:v>
      </x:c>
      <x:c r="H5718" s="6">
        <x:v>46224.93199965278</x:v>
      </x:c>
      <x:c r="I5718" s="0"/>
      <x:c r="J5718" s="6">
        <x:v>46235.833333333336</x:v>
      </x:c>
      <x:c r="K5718" s="6">
        <x:v>46239.60828587963</x:v>
      </x:c>
      <x:c r="L5718" t="str" s="2">
        <x:v>Not Show</x:v>
      </x:c>
    </x:row>
    <x:row r="5719">
      <x:c r="A5719" t="str" s="2">
        <x:f>="Saanecia Thomas"</x:f>
      </x:c>
      <x:c r="B5719" t="str" s="2">
        <x:v>Heritage Housing of Oklahoma City</x:v>
      </x:c>
      <x:c r="C5719" t="str" s="2">
        <x:v/>
      </x:c>
      <x:c r="D5719" t="str" s="2">
        <x:v>4054320088</x:v>
      </x:c>
      <x:c r="E5719" t="str" s="2">
        <x:v>saaneciathomas@gmail.com</x:v>
      </x:c>
      <x:c r="F5719" t="str" s="2">
        <x:v>Facebook Messenger</x:v>
      </x:c>
      <x:c r="G5719" t="str" s="2">
        <x:v>Steve Castell</x:v>
      </x:c>
      <x:c r="H5719" s="6">
        <x:v>46224.95432199074</x:v>
      </x:c>
      <x:c r="I5719" s="0"/>
      <x:c r="J5719" s="6">
        <x:v>46228.291666666664</x:v>
      </x:c>
      <x:c r="K5719" s="6">
        <x:v>46228.871459375</x:v>
      </x:c>
      <x:c r="L5719" t="str" s="2">
        <x:v>Not Show</x:v>
      </x:c>
    </x:row>
    <x:row r="5720">
      <x:c r="A5720" t="str" s="2">
        <x:f>="Debbie Loewenstein"</x:f>
      </x:c>
      <x:c r="B5720" t="str" s="2">
        <x:v>Heritage Housing of Oklahoma City</x:v>
      </x:c>
      <x:c r="C5720" t="str" s="2">
        <x:v/>
      </x:c>
      <x:c r="D5720" t="str" s="2">
        <x:v>4056417976</x:v>
      </x:c>
      <x:c r="E5720" t="str" s="2">
        <x:v>4056417976</x:v>
      </x:c>
      <x:c r="F5720" t="str" s="2">
        <x:v>Facebook Messenger</x:v>
      </x:c>
      <x:c r="G5720" t="str" s="2">
        <x:v>Steve Castell</x:v>
      </x:c>
      <x:c r="H5720" s="6">
        <x:v>46225.0773340625</x:v>
      </x:c>
      <x:c r="I5720" s="0"/>
      <x:c r="J5720" s="6">
        <x:v>46227.625</x:v>
      </x:c>
      <x:c r="K5720" s="6">
        <x:v>46227.68067905093</x:v>
      </x:c>
      <x:c r="L5720" t="str" s="2">
        <x:v>Not Show</x:v>
      </x:c>
    </x:row>
    <x:row r="5721">
      <x:c r="A5721" t="str" s="2">
        <x:f>="Guillermina Botello"</x:f>
      </x:c>
      <x:c r="B5721" t="str" s="2">
        <x:v>Heritage Housing Mt Pleasant</x:v>
      </x:c>
      <x:c r="C5721" t="str" s="2">
        <x:v/>
      </x:c>
      <x:c r="D5721" t="str" s="2">
        <x:v>9034047283</x:v>
      </x:c>
      <x:c r="E5721" t="str" s="2">
        <x:v>9034047283</x:v>
      </x:c>
      <x:c r="F5721" t="str" s="2">
        <x:v>META Marketplace</x:v>
      </x:c>
      <x:c r="G5721" t="str" s="2">
        <x:v>Sandra Saldana</x:v>
      </x:c>
      <x:c r="H5721" s="6">
        <x:v>46225.71022395833</x:v>
      </x:c>
      <x:c r="I5721" s="0"/>
      <x:c r="J5721" s="6">
        <x:v>46232.645833333336</x:v>
      </x:c>
      <x:c r="K5721" s="6">
        <x:v>46233.64556377315</x:v>
      </x:c>
      <x:c r="L5721" t="str" s="2">
        <x:v>Not Show</x:v>
      </x:c>
    </x:row>
    <x:row r="5722">
      <x:c r="A5722" t="str" s="2">
        <x:f>="Jonathan Zavala"</x:f>
      </x:c>
      <x:c r="B5722" t="str" s="2">
        <x:v>Heritage Housing of Oklahoma City</x:v>
      </x:c>
      <x:c r="C5722" t="str" s="2">
        <x:v/>
      </x:c>
      <x:c r="D5722" t="str" s="2">
        <x:v>4055107381</x:v>
      </x:c>
      <x:c r="E5722" t="str" s="2">
        <x:v>4055107381</x:v>
      </x:c>
      <x:c r="F5722" t="str" s="2">
        <x:v>Facebook Messenger</x:v>
      </x:c>
      <x:c r="G5722" t="str" s="2">
        <x:v>Steve Castell</x:v>
      </x:c>
      <x:c r="H5722" s="6">
        <x:v>46225.88474537037</x:v>
      </x:c>
      <x:c r="I5722" s="0"/>
      <x:c r="J5722" s="6">
        <x:v>46226.666666666664</x:v>
      </x:c>
      <x:c r="K5722" s="6">
        <x:v>46227.6695559838</x:v>
      </x:c>
      <x:c r="L5722" t="str" s="2">
        <x:v>Not Show</x:v>
      </x:c>
    </x:row>
    <x:row r="5723">
      <x:c r="A5723" t="str" s="2">
        <x:f>="Robeta Choate"</x:f>
      </x:c>
      <x:c r="B5723" t="str" s="2">
        <x:v>Heritage Housing of Oklahoma City</x:v>
      </x:c>
      <x:c r="C5723" t="str" s="2">
        <x:v/>
      </x:c>
      <x:c r="D5723" t="str" s="2">
        <x:v>9102470584</x:v>
      </x:c>
      <x:c r="E5723" t="str" s="2">
        <x:v>9102470584</x:v>
      </x:c>
      <x:c r="F5723" t="str" s="2">
        <x:v>Facebook Messenger</x:v>
      </x:c>
      <x:c r="G5723" t="str" s="2">
        <x:v>Steve Castell</x:v>
      </x:c>
      <x:c r="H5723" s="6">
        <x:v>46227.968059108796</x:v>
      </x:c>
      <x:c r="I5723" s="0"/>
      <x:c r="J5723" s="6">
        <x:v>46237.666666666664</x:v>
      </x:c>
      <x:c r="K5723" s="6">
        <x:v>46238.57660833334</x:v>
      </x:c>
      <x:c r="L5723" t="str" s="2">
        <x:v>Not Show</x:v>
      </x:c>
    </x:row>
    <x:row r="5724">
      <x:c r="A5724" t="str" s="2">
        <x:f>="Jeremy Cross"</x:f>
      </x:c>
      <x:c r="B5724" t="str" s="2">
        <x:v>Heritage Housing of Oklahoma City</x:v>
      </x:c>
      <x:c r="C5724" t="str" s="2">
        <x:v/>
      </x:c>
      <x:c r="D5724" t="str" s="2">
        <x:v>4054304815</x:v>
      </x:c>
      <x:c r="E5724" t="str" s="2">
        <x:v>4054304815</x:v>
      </x:c>
      <x:c r="F5724" t="str" s="2">
        <x:v>Facebook Messenger</x:v>
      </x:c>
      <x:c r="G5724" t="str" s="2">
        <x:v>Steve Castell</x:v>
      </x:c>
      <x:c r="H5724" s="6">
        <x:v>46230.71693920139</x:v>
      </x:c>
      <x:c r="I5724" s="0"/>
      <x:c r="J5724" s="6">
        <x:v>46233.8125</x:v>
      </x:c>
      <x:c r="K5724" s="6">
        <x:v>46234.017765358796</x:v>
      </x:c>
      <x:c r="L5724" t="str" s="2">
        <x:v>Not Show</x:v>
      </x:c>
    </x:row>
    <x:row r="5725">
      <x:c r="A5725" t="str" s="2">
        <x:f>="Yesenia Saldaña"</x:f>
      </x:c>
      <x:c r="B5725" t="str" s="2">
        <x:v>Heritage Housing of Oklahoma City</x:v>
      </x:c>
      <x:c r="C5725" t="str" s="2">
        <x:v/>
      </x:c>
      <x:c r="D5725" t="str" s="2">
        <x:v>4055348992</x:v>
      </x:c>
      <x:c r="E5725" t="str" s="2">
        <x:v>Saldañayesenia43@gmail.com</x:v>
      </x:c>
      <x:c r="F5725" t="str" s="2">
        <x:v>Facebook Messenger</x:v>
      </x:c>
      <x:c r="G5725" t="str" s="2">
        <x:v>Steve Castell</x:v>
      </x:c>
      <x:c r="H5725" s="6">
        <x:v>46230.71890667824</x:v>
      </x:c>
      <x:c r="I5725" s="0"/>
      <x:c r="J5725" s="6">
        <x:v>46235.625</x:v>
      </x:c>
      <x:c r="K5725" s="6">
        <x:v>46237.608478587965</x:v>
      </x:c>
      <x:c r="L5725" t="str" s="2">
        <x:v>Not Show</x:v>
      </x:c>
    </x:row>
    <x:row r="5726">
      <x:c r="A5726" t="str" s="2">
        <x:f>="Bladen Hoopes"</x:f>
      </x:c>
      <x:c r="B5726" t="str" s="2">
        <x:v>Heritage Housing of Oklahoma City</x:v>
      </x:c>
      <x:c r="C5726" t="str" s="2">
        <x:v/>
      </x:c>
      <x:c r="D5726" t="str" s="2">
        <x:v>3163512350</x:v>
      </x:c>
      <x:c r="E5726" t="str" s="2">
        <x:v>3163512350</x:v>
      </x:c>
      <x:c r="F5726" t="str" s="2">
        <x:v>Facebook Messenger</x:v>
      </x:c>
      <x:c r="G5726" t="str" s="2">
        <x:v>Steve Castell</x:v>
      </x:c>
      <x:c r="H5726" s="6">
        <x:v>46230.82067997685</x:v>
      </x:c>
      <x:c r="I5726" s="0"/>
      <x:c r="J5726" s="6">
        <x:v>46240.666666666664</x:v>
      </x:c>
      <x:c r="K5726" s="6">
        <x:v>46241.6006653588</x:v>
      </x:c>
      <x:c r="L5726" t="str" s="2">
        <x:v>Not Show</x:v>
      </x:c>
    </x:row>
    <x:row r="5727">
      <x:c r="A5727" t="str" s="2">
        <x:f>="Samantha Leyse"</x:f>
      </x:c>
      <x:c r="B5727" t="str" s="2">
        <x:v>Heritage Housing of Oklahoma City</x:v>
      </x:c>
      <x:c r="C5727" t="str" s="2">
        <x:v/>
      </x:c>
      <x:c r="D5727" t="str" s="2">
        <x:v>9189360205</x:v>
      </x:c>
      <x:c r="E5727" t="str" s="2">
        <x:v>9189360205</x:v>
      </x:c>
      <x:c r="F5727" t="str" s="2">
        <x:v>Facebook Messenger</x:v>
      </x:c>
      <x:c r="G5727" t="str" s="2">
        <x:v>Steve Castell</x:v>
      </x:c>
      <x:c r="H5727" s="6">
        <x:v>46231.69836033565</x:v>
      </x:c>
      <x:c r="I5727" s="0"/>
      <x:c r="J5727" s="6">
        <x:v>46235.75</x:v>
      </x:c>
      <x:c r="K5727" s="6">
        <x:v>46235.86863063657</x:v>
      </x:c>
      <x:c r="L5727" t="str" s="2">
        <x:v>Not Show</x:v>
      </x:c>
    </x:row>
    <x:row r="5728">
      <x:c r="A5728" t="str" s="2">
        <x:f>=HYPERLINK("https://rsms.futurehomex.com/lead/38895", "Alex Delgado")</x:f>
      </x:c>
      <x:c r="B5728" t="str" s="2">
        <x:v>Legacy Housing Corp. DBA Americasa</x:v>
      </x:c>
      <x:c r="C5728" t="str" s="2">
        <x:v/>
      </x:c>
      <x:c r="D5728" t="str" s="2">
        <x:v>3466522682</x:v>
      </x:c>
      <x:c r="E5728" t="str" s="2">
        <x:v>3466522682</x:v>
      </x:c>
      <x:c r="F5728" t="str" s="2">
        <x:v>Meta Marketplace</x:v>
      </x:c>
      <x:c r="G5728" t="str" s="2">
        <x:v>Angelica Mendoza </x:v>
      </x:c>
      <x:c r="H5728" s="6">
        <x:v>46231.893443368055</x:v>
      </x:c>
      <x:c r="I5728" t="str" s="2">
        <x:v>Jose Parada</x:v>
      </x:c>
      <x:c r="J5728" s="6">
        <x:v>46235.708333333336</x:v>
      </x:c>
      <x:c r="K5728" s="6">
        <x:v>46235.99467021991</x:v>
      </x:c>
      <x:c r="L5728" t="str" s="2">
        <x:v>Not Show</x:v>
      </x:c>
    </x:row>
    <x:row r="5729">
      <x:c r="A5729" t="str" s="2">
        <x:f>="Teena Loen"</x:f>
      </x:c>
      <x:c r="B5729" t="str" s="2">
        <x:v>Legacy Housing Corp. DBA Americasa</x:v>
      </x:c>
      <x:c r="C5729" t="str" s="2">
        <x:v/>
      </x:c>
      <x:c r="D5729" t="str" s="2">
        <x:v>3467098086</x:v>
      </x:c>
      <x:c r="E5729" t="str" s="2">
        <x:v>3467098086</x:v>
      </x:c>
      <x:c r="F5729" t="str" s="2">
        <x:v>Other</x:v>
      </x:c>
      <x:c r="G5729" t="str" s="2">
        <x:v>Angelica Mendoza </x:v>
      </x:c>
      <x:c r="H5729" s="6">
        <x:v>46232.9574121875</x:v>
      </x:c>
      <x:c r="I5729" s="0"/>
      <x:c r="J5729" s="6">
        <x:v>46233.875</x:v>
      </x:c>
      <x:c r="K5729" s="6">
        <x:v>46234.558208483795</x:v>
      </x:c>
      <x:c r="L5729" t="str" s="2">
        <x:v>Not Show</x:v>
      </x:c>
    </x:row>
    <x:row r="5730">
      <x:c r="A5730" t="str" s="2">
        <x:f>="Amelia Coleman"</x:f>
      </x:c>
      <x:c r="B5730" t="str" s="2">
        <x:v>Heritage Housing of Minden</x:v>
      </x:c>
      <x:c r="C5730" t="str" s="2">
        <x:v>0/3</x:v>
      </x:c>
      <x:c r="D5730" t="str" s="2">
        <x:v>3186391132</x:v>
      </x:c>
      <x:c r="E5730" t="str" s="2">
        <x:v>ameliacoleman021@gmail.com</x:v>
      </x:c>
      <x:c r="F5730" t="str" s="2">
        <x:v>Website</x:v>
      </x:c>
      <x:c r="G5730" t="str" s="2">
        <x:v>Patrick Schuchart</x:v>
      </x:c>
      <x:c r="H5730" s="6">
        <x:v>46233.865482326386</x:v>
      </x:c>
      <x:c r="I5730" s="0"/>
      <x:c r="J5730" s="6">
        <x:v>46239.916666666664</x:v>
      </x:c>
      <x:c r="K5730" s="6">
        <x:v>46241.91680497685</x:v>
      </x:c>
      <x:c r="L5730" t="str" s="2">
        <x:v>Not Show</x:v>
      </x:c>
    </x:row>
    <x:row r="5731">
      <x:c r="A5731" t="str" s="2">
        <x:f>="Jana Jim"</x:f>
      </x:c>
      <x:c r="B5731" t="str" s="2">
        <x:v>Heritage Housing of Oklahoma City</x:v>
      </x:c>
      <x:c r="C5731" t="str" s="2">
        <x:v/>
      </x:c>
      <x:c r="D5731" t="str" s="2">
        <x:v>4058890269</x:v>
      </x:c>
      <x:c r="E5731" t="str" s="2">
        <x:v>jimjana57@gmail.com</x:v>
      </x:c>
      <x:c r="F5731" t="str" s="2">
        <x:v>Walk-in</x:v>
      </x:c>
      <x:c r="G5731" t="str" s="2">
        <x:v>Trey Rixleben</x:v>
      </x:c>
      <x:c r="H5731" s="6">
        <x:v>46233.99515879629</x:v>
      </x:c>
      <x:c r="I5731" s="0"/>
      <x:c r="J5731" s="6">
        <x:v>46235.791666666664</x:v>
      </x:c>
      <x:c r="K5731" s="6">
        <x:v>46237.95398938657</x:v>
      </x:c>
      <x:c r="L5731" t="str" s="2">
        <x:v>Not Show</x:v>
      </x:c>
    </x:row>
    <x:row r="5732">
      <x:c r="A5732" t="str" s="2">
        <x:f>="Kiana Boyd"</x:f>
      </x:c>
      <x:c r="B5732" t="str" s="2">
        <x:v>Heritage Housing of Augusta</x:v>
      </x:c>
      <x:c r="C5732" t="str" s="2">
        <x:v/>
      </x:c>
      <x:c r="D5732" t="str" s="2">
        <x:v>7067267141</x:v>
      </x:c>
      <x:c r="E5732" t="str" s="2">
        <x:v>twinmom1221@icloud.com</x:v>
      </x:c>
      <x:c r="F5732" t="str" s="2">
        <x:v>Financing Form</x:v>
      </x:c>
      <x:c r="G5732" t="str" s="2">
        <x:v>Jose Chavez</x:v>
      </x:c>
      <x:c r="H5732" s="6">
        <x:v>46234.74082866898</x:v>
      </x:c>
      <x:c r="I5732" s="0"/>
      <x:c r="J5732" s="6">
        <x:v>46280.645833333336</x:v>
      </x:c>
      <x:c r="K5732" s="6">
        <x:v>46297.598296296295</x:v>
      </x:c>
      <x:c r="L5732" t="str" s="2">
        <x:v>Not Show</x:v>
      </x:c>
    </x:row>
    <x:row r="5733">
      <x:c r="A5733" t="str" s="2">
        <x:f>="Sydney Jones"</x:f>
      </x:c>
      <x:c r="B5733" t="str" s="2">
        <x:v>Heritage Housing of Oklahoma City</x:v>
      </x:c>
      <x:c r="C5733" t="str" s="2">
        <x:v/>
      </x:c>
      <x:c r="D5733" t="str" s="2">
        <x:v>4053680912</x:v>
      </x:c>
      <x:c r="E5733" t="str" s="2">
        <x:v>sydneynicolejones199857@gmail.com</x:v>
      </x:c>
      <x:c r="F5733" t="str" s="2">
        <x:v>Facebook Messenger</x:v>
      </x:c>
      <x:c r="G5733" t="str" s="2">
        <x:v>Eva Misheva</x:v>
      </x:c>
      <x:c r="H5733" s="6">
        <x:v>46236.78601762732</x:v>
      </x:c>
      <x:c r="I5733" s="0"/>
      <x:c r="J5733" s="6">
        <x:v>46256.291666666664</x:v>
      </x:c>
      <x:c r="K5733" s="6">
        <x:v>46257.871869525465</x:v>
      </x:c>
      <x:c r="L5733" t="str" s="2">
        <x:v>Not Show</x:v>
      </x:c>
    </x:row>
    <x:row r="5734">
      <x:c r="A5734" t="str" s="2">
        <x:f>=HYPERLINK("https://rsms.futurehomex.com/lead/39156", "Perry Mwankemwa")</x:f>
      </x:c>
      <x:c r="B5734" t="str" s="2">
        <x:v>Heritage Housing of Oklahoma City</x:v>
      </x:c>
      <x:c r="C5734" t="str" s="2">
        <x:v/>
      </x:c>
      <x:c r="D5734" t="str" s="2">
        <x:v>9188513439</x:v>
      </x:c>
      <x:c r="E5734" t="str" s="2">
        <x:v>perrymwankemwa@gmail.com</x:v>
      </x:c>
      <x:c r="F5734" t="str" s="2">
        <x:v>Walk-in</x:v>
      </x:c>
      <x:c r="G5734" t="str" s="2">
        <x:v>Trey Rixleben</x:v>
      </x:c>
      <x:c r="H5734" s="6">
        <x:v>46237.62356478009</x:v>
      </x:c>
      <x:c r="I5734" t="str" s="2">
        <x:v>Trey Rixleben</x:v>
      </x:c>
      <x:c r="J5734" s="6">
        <x:v>46248.833333333336</x:v>
      </x:c>
      <x:c r="K5734" s="6">
        <x:v>46247.985715856485</x:v>
      </x:c>
      <x:c r="L5734" t="str" s="2">
        <x:v>Not Show</x:v>
      </x:c>
    </x:row>
    <x:row r="5735">
      <x:c r="A5735" t="str" s="2">
        <x:f>=HYPERLINK("https://rsms.futurehomex.com/lead/39087", "Juan Francisco Mendoza Melgar")</x:f>
      </x:c>
      <x:c r="B5735" t="str" s="2">
        <x:v>Legacy Housing Corp. DBA Americasa</x:v>
      </x:c>
      <x:c r="C5735" t="str" s="2">
        <x:v/>
      </x:c>
      <x:c r="D5735" t="str" s="2">
        <x:v>3462511111</x:v>
      </x:c>
      <x:c r="E5735" t="str" s="2">
        <x:v>levismendoza532@gmail.com</x:v>
      </x:c>
      <x:c r="F5735" t="str" s="2">
        <x:v>Meta Marketplace</x:v>
      </x:c>
      <x:c r="G5735" t="str" s="2">
        <x:v>Rodrigo Ramirez</x:v>
      </x:c>
      <x:c r="H5735" s="6">
        <x:v>46237.80325505787</x:v>
      </x:c>
      <x:c r="I5735" t="str" s="2">
        <x:v>Angelica Mendoza </x:v>
      </x:c>
      <x:c r="J5735" s="6">
        <x:v>46244.875</x:v>
      </x:c>
      <x:c r="K5735" s="6">
        <x:v>46245.87188668981</x:v>
      </x:c>
      <x:c r="L5735" t="str" s="2">
        <x:v>Not Show</x:v>
      </x:c>
    </x:row>
    <x:row r="5736">
      <x:c r="A5736" t="str" s="2">
        <x:f>="Roy Gipson"</x:f>
      </x:c>
      <x:c r="B5736" t="str" s="2">
        <x:v>Heritage Housing of Minden</x:v>
      </x:c>
      <x:c r="C5736" t="str" s="2">
        <x:v>0/6</x:v>
      </x:c>
      <x:c r="D5736" t="str" s="2">
        <x:v>5102462244</x:v>
      </x:c>
      <x:c r="E5736" t="str" s="2">
        <x:v>roygipson1969@gmail.com</x:v>
      </x:c>
      <x:c r="F5736" t="str" s="2">
        <x:v>Landing_BPM</x:v>
      </x:c>
      <x:c r="G5736" t="str" s="2">
        <x:v>Patrick Schuchart</x:v>
      </x:c>
      <x:c r="H5736" s="6">
        <x:v>46238.03087731481</x:v>
      </x:c>
      <x:c r="I5736" s="0"/>
      <x:c r="J5736" s="6">
        <x:v>46263.895833333336</x:v>
      </x:c>
      <x:c r="K5736" s="6">
        <x:v>46263.90815405093</x:v>
      </x:c>
      <x:c r="L5736" t="str" s="2">
        <x:v>Not Show</x:v>
      </x:c>
    </x:row>
    <x:row r="5737">
      <x:c r="A5737" t="str" s="2">
        <x:f>="Latesha Bell"</x:f>
      </x:c>
      <x:c r="B5737" t="str" s="2">
        <x:v>Heritage Housing of Minden</x:v>
      </x:c>
      <x:c r="C5737" t="str" s="2">
        <x:v>0/3</x:v>
      </x:c>
      <x:c r="D5737" t="str" s="2">
        <x:v>3183557185</x:v>
      </x:c>
      <x:c r="E5737" t="str" s="2">
        <x:v>evenyoursbeauty@gmail.com</x:v>
      </x:c>
      <x:c r="F5737" t="str" s="2">
        <x:v>Facebook Messenger</x:v>
      </x:c>
      <x:c r="G5737" t="str" s="2">
        <x:v>Patrick Schuchart</x:v>
      </x:c>
      <x:c r="H5737" s="6">
        <x:v>46238.87808927083</x:v>
      </x:c>
      <x:c r="I5737" s="0"/>
      <x:c r="J5737" s="6">
        <x:v>46281.666666666664</x:v>
      </x:c>
      <x:c r="K5737" s="6">
        <x:v>46282.70483541667</x:v>
      </x:c>
      <x:c r="L5737" t="str" s="2">
        <x:v>Not Show</x:v>
      </x:c>
    </x:row>
    <x:row r="5738">
      <x:c r="A5738" t="str" s="2">
        <x:f>="Bryce Jenkins"</x:f>
      </x:c>
      <x:c r="B5738" t="str" s="2">
        <x:v>Heritage Housing of Jennings</x:v>
      </x:c>
      <x:c r="C5738" t="str" s="2">
        <x:v/>
      </x:c>
      <x:c r="D5738" t="str" s="2">
        <x:v>3467958132</x:v>
      </x:c>
      <x:c r="E5738" t="str" s="2">
        <x:v>jenkins89bryce@gmail.com</x:v>
      </x:c>
      <x:c r="F5738" t="str" s="2">
        <x:v>Walk-in</x:v>
      </x:c>
      <x:c r="G5738" t="str" s="2">
        <x:v>Mervin Leslie Smith</x:v>
      </x:c>
      <x:c r="H5738" s="6">
        <x:v>46238.92272523148</x:v>
      </x:c>
      <x:c r="I5738" s="0"/>
      <x:c r="J5738" s="6">
        <x:v>46247.375</x:v>
      </x:c>
      <x:c r="K5738" s="6">
        <x:v>46248.65508391204</x:v>
      </x:c>
      <x:c r="L5738" t="str" s="2">
        <x:v>Not Show</x:v>
      </x:c>
    </x:row>
    <x:row r="5739">
      <x:c r="A5739" t="str" s="2">
        <x:f>="Kaeshi Baker"</x:f>
      </x:c>
      <x:c r="B5739" t="str" s="2">
        <x:v>Heritage Housing of Augusta</x:v>
      </x:c>
      <x:c r="C5739" t="str" s="2">
        <x:v/>
      </x:c>
      <x:c r="D5739" t="str" s="2">
        <x:v>4044476839</x:v>
      </x:c>
      <x:c r="E5739" t="str" s="2">
        <x:v>kaebaker5628@gmail.com</x:v>
      </x:c>
      <x:c r="F5739" t="str" s="2">
        <x:v>Landing_BPM</x:v>
      </x:c>
      <x:c r="G5739" t="str" s="2">
        <x:v>Jennifer Johnson</x:v>
      </x:c>
      <x:c r="H5739" s="6">
        <x:v>46241.56482380787</x:v>
      </x:c>
      <x:c r="I5739" s="0"/>
      <x:c r="J5739" s="6">
        <x:v>46249.625</x:v>
      </x:c>
      <x:c r="K5739" s="6">
        <x:v>46252.907320983795</x:v>
      </x:c>
      <x:c r="L5739" t="str" s="2">
        <x:v>Not Show</x:v>
      </x:c>
    </x:row>
    <x:row r="5740">
      <x:c r="A5740" t="str" s="2">
        <x:f>="Meagan Hester"</x:f>
      </x:c>
      <x:c r="B5740" t="str" s="2">
        <x:v>Heritage Housing of Oklahoma City</x:v>
      </x:c>
      <x:c r="C5740" t="str" s="2">
        <x:v/>
      </x:c>
      <x:c r="D5740" t="str" s="2">
        <x:v>4056170209</x:v>
      </x:c>
      <x:c r="E5740" t="str" s="2">
        <x:v>4056170209</x:v>
      </x:c>
      <x:c r="F5740" t="str" s="2">
        <x:v>Facebook Messenger</x:v>
      </x:c>
      <x:c r="G5740" t="str" s="2">
        <x:v>Steve Castell</x:v>
      </x:c>
      <x:c r="H5740" s="6">
        <x:v>46241.88864737268</x:v>
      </x:c>
      <x:c r="I5740" s="0"/>
      <x:c r="J5740" s="6">
        <x:v>46241.916666666664</x:v>
      </x:c>
      <x:c r="K5740" s="6">
        <x:v>46242.94454444444</x:v>
      </x:c>
      <x:c r="L5740" t="str" s="2">
        <x:v>Not Show</x:v>
      </x:c>
    </x:row>
    <x:row r="5741">
      <x:c r="A5741" t="str" s="2">
        <x:f>="Kyle Tevault"</x:f>
      </x:c>
      <x:c r="B5741" t="str" s="2">
        <x:v>Heritage Housing of Oklahoma City</x:v>
      </x:c>
      <x:c r="C5741" t="str" s="2">
        <x:v/>
      </x:c>
      <x:c r="D5741" t="str" s="2">
        <x:v>4054396997</x:v>
      </x:c>
      <x:c r="E5741" t="str" s="2">
        <x:v>4054396997</x:v>
      </x:c>
      <x:c r="F5741" t="str" s="2">
        <x:v>Facebook Messenger</x:v>
      </x:c>
      <x:c r="G5741" t="str" s="2">
        <x:v>Trey Rixleben</x:v>
      </x:c>
      <x:c r="H5741" s="6">
        <x:v>46241.95564302083</x:v>
      </x:c>
      <x:c r="I5741" s="0"/>
      <x:c r="J5741" s="6">
        <x:v>46242.791666666664</x:v>
      </x:c>
      <x:c r="K5741" s="6">
        <x:v>46247.62766412037</x:v>
      </x:c>
      <x:c r="L5741" t="str" s="2">
        <x:v>Not Show</x:v>
      </x:c>
    </x:row>
    <x:row r="5742">
      <x:c r="A5742" t="str" s="2">
        <x:f>="Christopher Harris"</x:f>
      </x:c>
      <x:c r="B5742" t="str" s="2">
        <x:v>Heritage Housing of Albany</x:v>
      </x:c>
      <x:c r="C5742" t="str" s="2">
        <x:v/>
      </x:c>
      <x:c r="D5742" t="str" s="2">
        <x:v>2293768719</x:v>
      </x:c>
      <x:c r="E5742" t="str" s="2">
        <x:v>harrisc1980454118@gmail.com</x:v>
      </x:c>
      <x:c r="F5742" t="str" s="2">
        <x:v>Landing_BPM</x:v>
      </x:c>
      <x:c r="G5742" t="str" s="2">
        <x:v>Justin Johnson</x:v>
      </x:c>
      <x:c r="H5742" s="6">
        <x:v>46241.97198495371</x:v>
      </x:c>
      <x:c r="I5742" s="0"/>
      <x:c r="J5742" s="6">
        <x:v>46282.854166666664</x:v>
      </x:c>
      <x:c r="K5742" s="6">
        <x:v>46283.54518637731</x:v>
      </x:c>
      <x:c r="L5742" t="str" s="2">
        <x:v>Not Show</x:v>
      </x:c>
    </x:row>
    <x:row r="5743">
      <x:c r="A5743" t="str" s="2">
        <x:f>="Angelia Allen"</x:f>
      </x:c>
      <x:c r="B5743" t="str" s="2">
        <x:v>Heritage Housing of Oklahoma City</x:v>
      </x:c>
      <x:c r="C5743" t="str" s="2">
        <x:v/>
      </x:c>
      <x:c r="D5743" t="str" s="2">
        <x:v>5802775771</x:v>
      </x:c>
      <x:c r="E5743" t="str" s="2">
        <x:v>5802775771</x:v>
      </x:c>
      <x:c r="F5743" t="str" s="2">
        <x:v>Facebook Messenger</x:v>
      </x:c>
      <x:c r="G5743" t="str" s="2">
        <x:v>Steve Castell</x:v>
      </x:c>
      <x:c r="H5743" s="6">
        <x:v>46245.056610416665</x:v>
      </x:c>
      <x:c r="I5743" s="0"/>
      <x:c r="J5743" s="6">
        <x:v>46249.645833333336</x:v>
      </x:c>
      <x:c r="K5743" s="6">
        <x:v>46255.89284375</x:v>
      </x:c>
      <x:c r="L5743" t="str" s="2">
        <x:v>Not Show</x:v>
      </x:c>
    </x:row>
    <x:row r="5744">
      <x:c r="A5744" t="str" s="2">
        <x:f>="Afton Allman"</x:f>
      </x:c>
      <x:c r="B5744" t="str" s="2">
        <x:v>Heritage Housing of Oklahoma City</x:v>
      </x:c>
      <x:c r="C5744" t="str" s="2">
        <x:v/>
      </x:c>
      <x:c r="D5744" t="str" s="2">
        <x:v>5803736133</x:v>
      </x:c>
      <x:c r="E5744" t="str" s="2">
        <x:v>5803736133</x:v>
      </x:c>
      <x:c r="F5744" t="str" s="2">
        <x:v>Facebook Messenger</x:v>
      </x:c>
      <x:c r="G5744" t="str" s="2">
        <x:v>Steve Castell</x:v>
      </x:c>
      <x:c r="H5744" s="6">
        <x:v>46245.89938209491</x:v>
      </x:c>
      <x:c r="I5744" s="0"/>
      <x:c r="J5744" s="6">
        <x:v>46249.208333333336</x:v>
      </x:c>
      <x:c r="K5744" s="6">
        <x:v>46249.02723283565</x:v>
      </x:c>
      <x:c r="L5744" t="str" s="2">
        <x:v>Not Show</x:v>
      </x:c>
    </x:row>
    <x:row r="5745">
      <x:c r="A5745" t="str" s="2">
        <x:f>="Letisha Nance"</x:f>
      </x:c>
      <x:c r="B5745" t="str" s="2">
        <x:v>Heritage Housing of Augusta</x:v>
      </x:c>
      <x:c r="C5745" t="str" s="2">
        <x:v/>
      </x:c>
      <x:c r="D5745" t="str" s="2">
        <x:v>8643373977</x:v>
      </x:c>
      <x:c r="E5745" t="str" s="2">
        <x:v>nascire07@gmail.com</x:v>
      </x:c>
      <x:c r="F5745" t="str" s="2">
        <x:v>Financing Form</x:v>
      </x:c>
      <x:c r="G5745" t="str" s="2">
        <x:v>Justin Johnson</x:v>
      </x:c>
      <x:c r="H5745" s="6">
        <x:v>46246.82220674768</x:v>
      </x:c>
      <x:c r="I5745" s="0"/>
      <x:c r="J5745" s="6">
        <x:v>46248.666666666664</x:v>
      </x:c>
      <x:c r="K5745" s="6">
        <x:v>46259.57726049769</x:v>
      </x:c>
      <x:c r="L5745" t="str" s="2">
        <x:v>Not Show</x:v>
      </x:c>
    </x:row>
    <x:row r="5746">
      <x:c r="A5746" t="str" s="2">
        <x:f>="Stephanie K"</x:f>
      </x:c>
      <x:c r="B5746" t="str" s="2">
        <x:v>Heritage Housing of Augusta</x:v>
      </x:c>
      <x:c r="C5746" t="str" s="2">
        <x:v/>
      </x:c>
      <x:c r="D5746" t="str" s="2">
        <x:v>8032704821</x:v>
      </x:c>
      <x:c r="E5746" t="str" s="2">
        <x:v>8032704821</x:v>
      </x:c>
      <x:c r="F5746" t="str" s="2">
        <x:v>Walk-in</x:v>
      </x:c>
      <x:c r="G5746" t="str" s="2">
        <x:v>Jennifer Johnson</x:v>
      </x:c>
      <x:c r="H5746" s="6">
        <x:v>46246.90475443287</x:v>
      </x:c>
      <x:c r="I5746" s="0"/>
      <x:c r="J5746" s="6">
        <x:v>46249.541666666664</x:v>
      </x:c>
      <x:c r="K5746" s="6">
        <x:v>46259.57808383102</x:v>
      </x:c>
      <x:c r="L5746" t="str" s="2">
        <x:v>Not Show</x:v>
      </x:c>
    </x:row>
    <x:row r="5747">
      <x:c r="A5747" t="str" s="2">
        <x:f>="Yolanda Brown"</x:f>
      </x:c>
      <x:c r="B5747" t="str" s="2">
        <x:v>Legacy Housing Corp. DBA Americasa</x:v>
      </x:c>
      <x:c r="C5747" t="str" s="2">
        <x:v/>
      </x:c>
      <x:c r="D5747" t="str" s="2">
        <x:v>3463370297</x:v>
      </x:c>
      <x:c r="E5747" t="str" s="2">
        <x:v>ybrown1920@gmail.com</x:v>
      </x:c>
      <x:c r="F5747" t="str" s="2">
        <x:v>Landing_BPM</x:v>
      </x:c>
      <x:c r="G5747" t="str" s="2">
        <x:v>Rodrigo Ramirez</x:v>
      </x:c>
      <x:c r="H5747" s="6">
        <x:v>46246.93229841435</x:v>
      </x:c>
      <x:c r="I5747" s="0"/>
      <x:c r="J5747" s="6">
        <x:v>46263.666666666664</x:v>
      </x:c>
      <x:c r="K5747" s="6">
        <x:v>46263.840625578705</x:v>
      </x:c>
      <x:c r="L5747" t="str" s="2">
        <x:v>Not Show</x:v>
      </x:c>
    </x:row>
    <x:row r="5748">
      <x:c r="A5748" t="str" s="2">
        <x:f>="Jim Szymanski"</x:f>
      </x:c>
      <x:c r="B5748" t="str" s="2">
        <x:v>Heritage Housing of Oklahoma City</x:v>
      </x:c>
      <x:c r="C5748" t="str" s="2">
        <x:v/>
      </x:c>
      <x:c r="D5748" t="str" s="2">
        <x:v>4055505731</x:v>
      </x:c>
      <x:c r="E5748" t="str" s="2">
        <x:v>4055505731</x:v>
      </x:c>
      <x:c r="F5748" t="str" s="2">
        <x:v>Facebook Messenger</x:v>
      </x:c>
      <x:c r="G5748" t="str" s="2">
        <x:v>Trey Rixleben</x:v>
      </x:c>
      <x:c r="H5748" s="6">
        <x:v>46247.86403599537</x:v>
      </x:c>
      <x:c r="I5748" s="0"/>
      <x:c r="J5748" s="6">
        <x:v>46248.833333333336</x:v>
      </x:c>
      <x:c r="K5748" s="6">
        <x:v>46291.765202511575</x:v>
      </x:c>
      <x:c r="L5748" t="str" s="2">
        <x:v>Not Show</x:v>
      </x:c>
    </x:row>
    <x:row r="5749">
      <x:c r="A5749" t="str" s="2">
        <x:f>="Jerry Mehring"</x:f>
      </x:c>
      <x:c r="B5749" t="str" s="2">
        <x:v>Heritage Housing of Oklahoma City</x:v>
      </x:c>
      <x:c r="C5749" t="str" s="2">
        <x:v/>
      </x:c>
      <x:c r="D5749" t="str" s="2">
        <x:v>5805487702</x:v>
      </x:c>
      <x:c r="E5749" t="str" s="2">
        <x:v>5805487702</x:v>
      </x:c>
      <x:c r="F5749" t="str" s="2">
        <x:v>Facebook Messenger</x:v>
      </x:c>
      <x:c r="G5749" t="str" s="2">
        <x:v>Steve Castell</x:v>
      </x:c>
      <x:c r="H5749" s="6">
        <x:v>46248.59930324074</x:v>
      </x:c>
      <x:c r="I5749" s="0"/>
      <x:c r="J5749" s="6">
        <x:v>46252.75</x:v>
      </x:c>
      <x:c r="K5749" s="6">
        <x:v>46252.9854159375</x:v>
      </x:c>
      <x:c r="L5749" t="str" s="2">
        <x:v>Not Show</x:v>
      </x:c>
    </x:row>
    <x:row r="5750">
      <x:c r="A5750" t="str" s="2">
        <x:f>="Roxanne Chapelle"</x:f>
      </x:c>
      <x:c r="B5750" t="str" s="2">
        <x:v>Heritage Housing of Jennings</x:v>
      </x:c>
      <x:c r="C5750" t="str" s="2">
        <x:v/>
      </x:c>
      <x:c r="D5750" t="str" s="2">
        <x:v>3374593957</x:v>
      </x:c>
      <x:c r="E5750" t="str" s="2">
        <x:v>roxannechapelle@yahoo.com</x:v>
      </x:c>
      <x:c r="F5750" t="str" s="2">
        <x:v>Financing Form</x:v>
      </x:c>
      <x:c r="G5750" t="str" s="2">
        <x:v>Mervin Leslie Smith</x:v>
      </x:c>
      <x:c r="H5750" s="6">
        <x:v>46248.67799609953</x:v>
      </x:c>
      <x:c r="I5750" s="0"/>
      <x:c r="J5750" s="6">
        <x:v>46301.645833333336</x:v>
      </x:c>
      <x:c r="K5750" s="6">
        <x:v>46302.65453738426</x:v>
      </x:c>
      <x:c r="L5750" t="str" s="2">
        <x:v>Not Show</x:v>
      </x:c>
    </x:row>
    <x:row r="5751">
      <x:c r="A5751" t="str" s="2">
        <x:f>="Angela Jonson"</x:f>
      </x:c>
      <x:c r="B5751" t="str" s="2">
        <x:v>Heritage Housing Mt Pleasant</x:v>
      </x:c>
      <x:c r="C5751" t="str" s="2">
        <x:v/>
      </x:c>
      <x:c r="D5751" t="str" s="2">
        <x:v>9033800030</x:v>
      </x:c>
      <x:c r="E5751" t="str" s="2">
        <x:v>9033800030</x:v>
      </x:c>
      <x:c r="F5751" t="str" s="2">
        <x:v>Facebook Messenger</x:v>
      </x:c>
      <x:c r="G5751" t="str" s="2">
        <x:v>Yarelis Torres</x:v>
      </x:c>
      <x:c r="H5751" s="6">
        <x:v>46248.866155902775</x:v>
      </x:c>
      <x:c r="I5751" s="0"/>
      <x:c r="J5751" s="6">
        <x:v>46248.875</x:v>
      </x:c>
      <x:c r="K5751" s="6">
        <x:v>46251.72768877315</x:v>
      </x:c>
      <x:c r="L5751" t="str" s="2">
        <x:v>Not Show</x:v>
      </x:c>
    </x:row>
    <x:row r="5752">
      <x:c r="A5752" t="str" s="2">
        <x:f>="Courtney Carter"</x:f>
      </x:c>
      <x:c r="B5752" t="str" s="2">
        <x:v>Heritage Housing of Oklahoma City</x:v>
      </x:c>
      <x:c r="C5752" t="str" s="2">
        <x:v/>
      </x:c>
      <x:c r="D5752" t="str" s="2">
        <x:v>5083594343</x:v>
      </x:c>
      <x:c r="E5752" t="str" s="2">
        <x:v>5083594343</x:v>
      </x:c>
      <x:c r="F5752" t="str" s="2">
        <x:v>Facebook Messenger</x:v>
      </x:c>
      <x:c r="G5752" t="str" s="2">
        <x:v>Steve Castell</x:v>
      </x:c>
      <x:c r="H5752" s="6">
        <x:v>46249.75449811343</x:v>
      </x:c>
      <x:c r="I5752" s="0"/>
      <x:c r="J5752" s="6">
        <x:v>46258.875</x:v>
      </x:c>
      <x:c r="K5752" s="6">
        <x:v>46261.997208912035</x:v>
      </x:c>
      <x:c r="L5752" t="str" s="2">
        <x:v>Not Show</x:v>
      </x:c>
    </x:row>
    <x:row r="5753">
      <x:c r="A5753" t="str" s="2">
        <x:f>="Derrick Charles"</x:f>
      </x:c>
      <x:c r="B5753" t="str" s="2">
        <x:v>Heritage Housing of Jennings</x:v>
      </x:c>
      <x:c r="C5753" t="str" s="2">
        <x:v>0/1</x:v>
      </x:c>
      <x:c r="D5753" t="str" s="2">
        <x:v>3374187226</x:v>
      </x:c>
      <x:c r="E5753" t="str" s="2">
        <x:v>derrickstack@yahoo.com</x:v>
      </x:c>
      <x:c r="F5753" t="str" s="2">
        <x:v>Landing_BPM</x:v>
      </x:c>
      <x:c r="G5753" t="str" s="2">
        <x:v>Mervin Leslie Smith</x:v>
      </x:c>
      <x:c r="H5753" s="6">
        <x:v>46250.58426875</x:v>
      </x:c>
      <x:c r="I5753" s="0"/>
      <x:c r="J5753" s="6">
        <x:v>46256.8125</x:v>
      </x:c>
      <x:c r="K5753" s="6">
        <x:v>46265.65687438657</x:v>
      </x:c>
      <x:c r="L5753" t="str" s="2">
        <x:v>Not Show</x:v>
      </x:c>
    </x:row>
    <x:row r="5754">
      <x:c r="A5754" t="str" s="2">
        <x:f>="Porsha Luster"</x:f>
      </x:c>
      <x:c r="B5754" t="str" s="2">
        <x:v>Heritage Housing of Oklahoma City</x:v>
      </x:c>
      <x:c r="C5754" t="str" s="2">
        <x:v/>
      </x:c>
      <x:c r="D5754" t="str" s="2">
        <x:v>4058927481</x:v>
      </x:c>
      <x:c r="E5754" t="str" s="2">
        <x:v>4058927481</x:v>
      </x:c>
      <x:c r="F5754" t="str" s="2">
        <x:v>Facebook Messenger</x:v>
      </x:c>
      <x:c r="G5754" t="str" s="2">
        <x:v>Steve Castell</x:v>
      </x:c>
      <x:c r="H5754" s="6">
        <x:v>46251.013655787036</x:v>
      </x:c>
      <x:c r="I5754" s="0"/>
      <x:c r="J5754" s="6">
        <x:v>46256.635416666664</x:v>
      </x:c>
      <x:c r="K5754" s="6">
        <x:v>46251.02687696759</x:v>
      </x:c>
      <x:c r="L5754" t="str" s="2">
        <x:v>Not Show</x:v>
      </x:c>
    </x:row>
    <x:row r="5755">
      <x:c r="A5755" t="str" s="2">
        <x:f>="Cala Gannon"</x:f>
      </x:c>
      <x:c r="B5755" t="str" s="2">
        <x:v>Heritage Housing of Oklahoma City</x:v>
      </x:c>
      <x:c r="C5755" t="str" s="2">
        <x:v/>
      </x:c>
      <x:c r="D5755" t="str" s="2">
        <x:v>4055448925</x:v>
      </x:c>
      <x:c r="E5755" t="str" s="2">
        <x:v>calagannon606@gmail.com</x:v>
      </x:c>
      <x:c r="F5755" t="str" s="2">
        <x:v>Landing_BPM</x:v>
      </x:c>
      <x:c r="G5755" t="str" s="2">
        <x:v>Steve Castell</x:v>
      </x:c>
      <x:c r="H5755" s="6">
        <x:v>46251.16265795139</x:v>
      </x:c>
      <x:c r="I5755" s="0"/>
      <x:c r="J5755" s="6">
        <x:v>46252.916666666664</x:v>
      </x:c>
      <x:c r="K5755" s="6">
        <x:v>46252.99259163195</x:v>
      </x:c>
      <x:c r="L5755" t="str" s="2">
        <x:v>Not Show</x:v>
      </x:c>
    </x:row>
    <x:row r="5756">
      <x:c r="A5756" t="str" s="2">
        <x:f>="Mildred Uzcategui"</x:f>
      </x:c>
      <x:c r="B5756" t="str" s="2">
        <x:v>Heritage Housing of Oklahoma City</x:v>
      </x:c>
      <x:c r="C5756" t="str" s="2">
        <x:v/>
      </x:c>
      <x:c r="D5756" t="str" s="2">
        <x:v>4055433644</x:v>
      </x:c>
      <x:c r="E5756" t="str" s="2">
        <x:v>Mildreduzcategui1@gmail.com</x:v>
      </x:c>
      <x:c r="F5756" t="str" s="2">
        <x:v>Facebook Messenger</x:v>
      </x:c>
      <x:c r="G5756" t="str" s="2">
        <x:v>Steve Castell</x:v>
      </x:c>
      <x:c r="H5756" s="6">
        <x:v>46251.77674181713</x:v>
      </x:c>
      <x:c r="I5756" s="0"/>
      <x:c r="J5756" s="6">
        <x:v>46256.625</x:v>
      </x:c>
      <x:c r="K5756" s="6">
        <x:v>46274.83151519676</x:v>
      </x:c>
      <x:c r="L5756" t="str" s="2">
        <x:v>Not Show</x:v>
      </x:c>
    </x:row>
    <x:row r="5757">
      <x:c r="A5757" t="str" s="2">
        <x:f>="Heileigh McNabb"</x:f>
      </x:c>
      <x:c r="B5757" t="str" s="2">
        <x:v>Heritage Housing of Oklahoma City</x:v>
      </x:c>
      <x:c r="C5757" t="str" s="2">
        <x:v>1/1</x:v>
      </x:c>
      <x:c r="D5757" t="str" s="2">
        <x:v>5393072207</x:v>
      </x:c>
      <x:c r="E5757" t="str" s="2">
        <x:v>5393072207</x:v>
      </x:c>
      <x:c r="F5757" t="str" s="2">
        <x:v>Facebook Messenger</x:v>
      </x:c>
      <x:c r="G5757" t="str" s="2">
        <x:v>Steve Castell</x:v>
      </x:c>
      <x:c r="H5757" s="6">
        <x:v>46251.81958510417</x:v>
      </x:c>
      <x:c r="I5757" s="0"/>
      <x:c r="J5757" s="6">
        <x:v>46261.833333333336</x:v>
      </x:c>
      <x:c r="K5757" s="6">
        <x:v>46261.991200034725</x:v>
      </x:c>
      <x:c r="L5757" t="str" s="2">
        <x:v>Not Show</x:v>
      </x:c>
    </x:row>
    <x:row r="5758">
      <x:c r="A5758" t="str" s="2">
        <x:f>="Owen Willis"</x:f>
      </x:c>
      <x:c r="B5758" t="str" s="2">
        <x:v>Heritage Housing of Oklahoma City</x:v>
      </x:c>
      <x:c r="C5758" t="str" s="2">
        <x:v/>
      </x:c>
      <x:c r="D5758" t="str" s="2">
        <x:v>4055065245</x:v>
      </x:c>
      <x:c r="E5758" t="str" s="2">
        <x:v>4055065245</x:v>
      </x:c>
      <x:c r="F5758" t="str" s="2">
        <x:v>Facebook Messenger</x:v>
      </x:c>
      <x:c r="G5758" t="str" s="2">
        <x:v>Steve Castell</x:v>
      </x:c>
      <x:c r="H5758" s="6">
        <x:v>46251.95328260417</x:v>
      </x:c>
      <x:c r="I5758" s="0"/>
      <x:c r="J5758" s="6">
        <x:v>46252.760416666664</x:v>
      </x:c>
      <x:c r="K5758" s="6">
        <x:v>46252.989096377314</x:v>
      </x:c>
      <x:c r="L5758" t="str" s="2">
        <x:v>Not Show</x:v>
      </x:c>
    </x:row>
    <x:row r="5759">
      <x:c r="A5759" t="str" s="2">
        <x:f>="Marcus Brown"</x:f>
      </x:c>
      <x:c r="B5759" t="str" s="2">
        <x:v>Heritage Housing of Augusta</x:v>
      </x:c>
      <x:c r="C5759" t="str" s="2">
        <x:v/>
      </x:c>
      <x:c r="D5759" t="str" s="2">
        <x:v>4783490604</x:v>
      </x:c>
      <x:c r="E5759" t="str" s="2">
        <x:v>MARCDMAN631@gmail.com</x:v>
      </x:c>
      <x:c r="F5759" t="str" s="2">
        <x:v>LandingPage</x:v>
      </x:c>
      <x:c r="G5759" t="str" s="2">
        <x:v>Jose Chavez</x:v>
      </x:c>
      <x:c r="H5759" s="6">
        <x:v>46252.139877546295</x:v>
      </x:c>
      <x:c r="I5759" s="0"/>
      <x:c r="J5759" s="6">
        <x:v>46284.75</x:v>
      </x:c>
      <x:c r="K5759" s="6">
        <x:v>46297.59929922454</x:v>
      </x:c>
      <x:c r="L5759" t="str" s="2">
        <x:v>Not Show</x:v>
      </x:c>
    </x:row>
    <x:row r="5760">
      <x:c r="A5760" t="str" s="2">
        <x:f>="Joseph Duval"</x:f>
      </x:c>
      <x:c r="B5760" t="str" s="2">
        <x:v>Heritage Housing of Oklahoma City</x:v>
      </x:c>
      <x:c r="C5760" t="str" s="2">
        <x:v/>
      </x:c>
      <x:c r="D5760" t="str" s="2">
        <x:v>9032715223</x:v>
      </x:c>
      <x:c r="E5760" t="str" s="2">
        <x:v>duvaljoe33@gmail.com</x:v>
      </x:c>
      <x:c r="F5760" t="str" s="2">
        <x:v>Facebook Messenger</x:v>
      </x:c>
      <x:c r="G5760" t="str" s="2">
        <x:v>Steve Castell</x:v>
      </x:c>
      <x:c r="H5760" s="6">
        <x:v>46254.61858637731</x:v>
      </x:c>
      <x:c r="I5760" s="0"/>
      <x:c r="J5760" s="6">
        <x:v>46256.833333333336</x:v>
      </x:c>
      <x:c r="K5760" s="6">
        <x:v>46258.781762847226</x:v>
      </x:c>
      <x:c r="L5760" t="str" s="2">
        <x:v>Not Show</x:v>
      </x:c>
    </x:row>
    <x:row r="5761">
      <x:c r="A5761" t="str" s="2">
        <x:f>="Sasha Kingston"</x:f>
      </x:c>
      <x:c r="B5761" t="str" s="2">
        <x:v>Heritage Housing of Oklahoma City</x:v>
      </x:c>
      <x:c r="C5761" t="str" s="2">
        <x:v/>
      </x:c>
      <x:c r="D5761" t="str" s="2">
        <x:v>4044044047</x:v>
      </x:c>
      <x:c r="E5761" t="str" s="2">
        <x:v>4044044047</x:v>
      </x:c>
      <x:c r="F5761" t="str" s="2">
        <x:v>Facebook Messenger</x:v>
      </x:c>
      <x:c r="G5761" t="str" s="2">
        <x:v>Eva Misheva</x:v>
      </x:c>
      <x:c r="H5761" s="6">
        <x:v>46256.59018283565</x:v>
      </x:c>
      <x:c r="I5761" s="0"/>
      <x:c r="J5761" s="6">
        <x:v>46256.791666666664</x:v>
      </x:c>
      <x:c r="K5761" s="6">
        <x:v>46257.87134829861</x:v>
      </x:c>
      <x:c r="L5761" t="str" s="2">
        <x:v>Not Show</x:v>
      </x:c>
    </x:row>
    <x:row r="5762">
      <x:c r="A5762" t="str" s="2">
        <x:f>="Rivera Martinez"</x:f>
      </x:c>
      <x:c r="B5762" t="str" s="2">
        <x:v>Heritage Housing of Oklahoma City</x:v>
      </x:c>
      <x:c r="C5762" t="str" s="2">
        <x:v/>
      </x:c>
      <x:c r="D5762" t="str" s="2">
        <x:v>4044044046</x:v>
      </x:c>
      <x:c r="E5762" t="str" s="2">
        <x:v>4044044046</x:v>
      </x:c>
      <x:c r="F5762" t="str" s="2">
        <x:v>Facebook Messenger</x:v>
      </x:c>
      <x:c r="G5762" t="str" s="2">
        <x:v>Eva Misheva</x:v>
      </x:c>
      <x:c r="H5762" s="6">
        <x:v>46256.60769579861</x:v>
      </x:c>
      <x:c r="I5762" s="0"/>
      <x:c r="J5762" s="6">
        <x:v>46256.791666666664</x:v>
      </x:c>
      <x:c r="K5762" s="6">
        <x:v>46257.87341373842</x:v>
      </x:c>
      <x:c r="L5762" t="str" s="2">
        <x:v>Not Show</x:v>
      </x:c>
    </x:row>
    <x:row r="5763">
      <x:c r="A5763" t="str" s="2">
        <x:f>="Michael Lewis"</x:f>
      </x:c>
      <x:c r="B5763" t="str" s="2">
        <x:v>Heritage Housing of Augusta</x:v>
      </x:c>
      <x:c r="C5763" t="str" s="2">
        <x:v/>
      </x:c>
      <x:c r="D5763" t="str" s="2">
        <x:v>7063604813</x:v>
      </x:c>
      <x:c r="E5763" t="str" s="2">
        <x:v>m38.g1987@gmail.com</x:v>
      </x:c>
      <x:c r="F5763" t="str" s="2">
        <x:v>Website</x:v>
      </x:c>
      <x:c r="G5763" t="str" s="2">
        <x:v>Jose Chavez</x:v>
      </x:c>
      <x:c r="H5763" s="6">
        <x:v>46256.85718310185</x:v>
      </x:c>
      <x:c r="I5763" s="0"/>
      <x:c r="J5763" s="6">
        <x:v>46259.875</x:v>
      </x:c>
      <x:c r="K5763" s="6">
        <x:v>46297.59956342592</x:v>
      </x:c>
      <x:c r="L5763" t="str" s="2">
        <x:v>Not Show</x:v>
      </x:c>
    </x:row>
    <x:row r="5764">
      <x:c r="A5764" t="str" s="2">
        <x:f>="Yukisha Zellars"</x:f>
      </x:c>
      <x:c r="B5764" t="str" s="2">
        <x:v>Heritage Housing of Augusta</x:v>
      </x:c>
      <x:c r="C5764" t="str" s="2">
        <x:v/>
      </x:c>
      <x:c r="D5764" t="str" s="2">
        <x:v>8032431072</x:v>
      </x:c>
      <x:c r="E5764" t="str" s="2">
        <x:v>bailmezellars@gmail.com</x:v>
      </x:c>
      <x:c r="F5764" t="str" s="2">
        <x:v>Website</x:v>
      </x:c>
      <x:c r="G5764" t="str" s="2">
        <x:v>Jennifer Johnson</x:v>
      </x:c>
      <x:c r="H5764" s="6">
        <x:v>46259.63764609954</x:v>
      </x:c>
      <x:c r="I5764" s="0"/>
      <x:c r="J5764" s="6">
        <x:v>46263.625</x:v>
      </x:c>
      <x:c r="K5764" s="6">
        <x:v>46266.57834054398</x:v>
      </x:c>
      <x:c r="L5764" t="str" s="2">
        <x:v>Not Show</x:v>
      </x:c>
    </x:row>
    <x:row r="5765">
      <x:c r="A5765" t="str" s="2">
        <x:f>="Franklin Menefield"</x:f>
      </x:c>
      <x:c r="B5765" t="str" s="2">
        <x:v>Heritage Housing of Athens</x:v>
      </x:c>
      <x:c r="C5765" t="str" s="2">
        <x:v/>
      </x:c>
      <x:c r="D5765" t="str" s="2">
        <x:v>7062472086</x:v>
      </x:c>
      <x:c r="E5765" t="str" s="2">
        <x:v>7062472086</x:v>
      </x:c>
      <x:c r="F5765" t="str" s="2">
        <x:v>Walk-in</x:v>
      </x:c>
      <x:c r="G5765" t="str" s="2">
        <x:v>Nathan Bishop</x:v>
      </x:c>
      <x:c r="H5765" s="6">
        <x:v>46259.745697418984</x:v>
      </x:c>
      <x:c r="I5765" s="0"/>
      <x:c r="J5765" s="6">
        <x:v>46260.708333333336</x:v>
      </x:c>
      <x:c r="K5765" s="6">
        <x:v>46280.9476408912</x:v>
      </x:c>
      <x:c r="L5765" t="str" s="2">
        <x:v>Not Show</x:v>
      </x:c>
    </x:row>
    <x:row r="5766">
      <x:c r="A5766" t="str" s="2">
        <x:f>="Mecael Mckinney"</x:f>
      </x:c>
      <x:c r="B5766" t="str" s="2">
        <x:v>Heritage Housing of Albany</x:v>
      </x:c>
      <x:c r="C5766" t="str" s="2">
        <x:v/>
      </x:c>
      <x:c r="D5766" t="str" s="2">
        <x:v>2295503602</x:v>
      </x:c>
      <x:c r="E5766" t="str" s="2">
        <x:v>mecaelshanice@gmail.com</x:v>
      </x:c>
      <x:c r="F5766" t="str" s="2">
        <x:v>Landing_BPM</x:v>
      </x:c>
      <x:c r="G5766" t="str" s="2">
        <x:v>Yanet Alvarez</x:v>
      </x:c>
      <x:c r="H5766" s="6">
        <x:v>46260.04794996528</x:v>
      </x:c>
      <x:c r="I5766" s="0"/>
      <x:c r="J5766" s="6">
        <x:v>46284.583333333336</x:v>
      </x:c>
      <x:c r="K5766" s="6">
        <x:v>46284.778444791664</x:v>
      </x:c>
      <x:c r="L5766" t="str" s="2">
        <x:v>Not Show</x:v>
      </x:c>
    </x:row>
    <x:row r="5767">
      <x:c r="A5767" t="str" s="2">
        <x:f>="Nhia Singleton"</x:f>
      </x:c>
      <x:c r="B5767" t="str" s="2">
        <x:v>Heritage Housing of Augusta</x:v>
      </x:c>
      <x:c r="C5767" t="str" s="2">
        <x:v/>
      </x:c>
      <x:c r="D5767" t="str" s="2">
        <x:v>7708992242</x:v>
      </x:c>
      <x:c r="E5767" t="str" s="2">
        <x:v>nhiasingleton@gmail.com</x:v>
      </x:c>
      <x:c r="F5767" t="str" s="2">
        <x:v>Landing_BPM</x:v>
      </x:c>
      <x:c r="G5767" t="str" s="2">
        <x:v>Jose Chavez</x:v>
      </x:c>
      <x:c r="H5767" s="6">
        <x:v>46260.102445717595</x:v>
      </x:c>
      <x:c r="I5767" s="0"/>
      <x:c r="J5767" s="6">
        <x:v>46277.708333333336</x:v>
      </x:c>
      <x:c r="K5767" s="6">
        <x:v>46297.59971559028</x:v>
      </x:c>
      <x:c r="L5767" t="str" s="2">
        <x:v>Not Show</x:v>
      </x:c>
    </x:row>
    <x:row r="5768">
      <x:c r="A5768" t="str" s="2">
        <x:f>="Shakyrah Boddie"</x:f>
      </x:c>
      <x:c r="B5768" t="str" s="2">
        <x:v>Heritage Housing of Augusta</x:v>
      </x:c>
      <x:c r="C5768" t="str" s="2">
        <x:v/>
      </x:c>
      <x:c r="D5768" t="str" s="2">
        <x:v>3055067327</x:v>
      </x:c>
      <x:c r="E5768" t="str" s="2">
        <x:v>boddieshakyrah93@gmail.com</x:v>
      </x:c>
      <x:c r="F5768" t="str" s="2">
        <x:v>Website</x:v>
      </x:c>
      <x:c r="G5768" t="str" s="2">
        <x:v>Jose Chavez</x:v>
      </x:c>
      <x:c r="H5768" s="6">
        <x:v>46260.19013452547</x:v>
      </x:c>
      <x:c r="I5768" s="0"/>
      <x:c r="J5768" s="6">
        <x:v>46280.645833333336</x:v>
      </x:c>
      <x:c r="K5768" s="6">
        <x:v>46297.59999074074</x:v>
      </x:c>
      <x:c r="L5768" t="str" s="2">
        <x:v>Not Show</x:v>
      </x:c>
    </x:row>
    <x:row r="5769">
      <x:c r="A5769" t="str" s="2">
        <x:f>="Nicholas Bond"</x:f>
      </x:c>
      <x:c r="B5769" t="str" s="2">
        <x:v>Heritage Housing of Oklahoma City</x:v>
      </x:c>
      <x:c r="C5769" t="str" s="2">
        <x:v/>
      </x:c>
      <x:c r="D5769" t="str" s="2">
        <x:v>4054431022</x:v>
      </x:c>
      <x:c r="E5769" t="str" s="2">
        <x:v>nbond1860@gmail.com</x:v>
      </x:c>
      <x:c r="F5769" t="str" s="2">
        <x:v>Office Hot Calls</x:v>
      </x:c>
      <x:c r="G5769" t="str" s="2">
        <x:v>Alejandra Calderon</x:v>
      </x:c>
      <x:c r="H5769" s="6">
        <x:v>46260.95076542824</x:v>
      </x:c>
      <x:c r="I5769" s="0"/>
      <x:c r="J5769" s="6">
        <x:v>46270.708333333336</x:v>
      </x:c>
      <x:c r="K5769" s="6">
        <x:v>46273.80408391204</x:v>
      </x:c>
      <x:c r="L5769" t="str" s="2">
        <x:v>Not Show</x:v>
      </x:c>
    </x:row>
    <x:row r="5770">
      <x:c r="A5770" t="str" s="2">
        <x:f>="Kelle Moye"</x:f>
      </x:c>
      <x:c r="B5770" t="str" s="2">
        <x:v>Heritage Housing of Augusta</x:v>
      </x:c>
      <x:c r="C5770" t="str" s="2">
        <x:v/>
      </x:c>
      <x:c r="D5770" t="str" s="2">
        <x:v>2293154965</x:v>
      </x:c>
      <x:c r="E5770" t="str" s="2">
        <x:v>kmoye2008@gmail.com</x:v>
      </x:c>
      <x:c r="F5770" t="str" s="2">
        <x:v>Website</x:v>
      </x:c>
      <x:c r="G5770" t="str" s="2">
        <x:v>Faye Lively</x:v>
      </x:c>
      <x:c r="H5770" s="6">
        <x:v>46262.70299255787</x:v>
      </x:c>
      <x:c r="I5770" s="0"/>
      <x:c r="J5770" s="6">
        <x:v>46284.833333333336</x:v>
      </x:c>
      <x:c r="K5770" s="6">
        <x:v>46294.617098344905</x:v>
      </x:c>
      <x:c r="L5770" t="str" s="2">
        <x:v>Not Show</x:v>
      </x:c>
    </x:row>
    <x:row r="5771">
      <x:c r="A5771" t="str" s="2">
        <x:f>="David Biddlecombe"</x:f>
      </x:c>
      <x:c r="B5771" t="str" s="2">
        <x:v>Heritage Housing of Minden</x:v>
      </x:c>
      <x:c r="C5771" t="str" s="2">
        <x:v/>
      </x:c>
      <x:c r="D5771" t="str" s="2">
        <x:v>3182500744</x:v>
      </x:c>
      <x:c r="E5771" t="str" s="2">
        <x:v>allenhinson52@gmail.com</x:v>
      </x:c>
      <x:c r="F5771" t="str" s="2">
        <x:v>Financing Form</x:v>
      </x:c>
      <x:c r="G5771" t="str" s="2">
        <x:v>Kyla Brown</x:v>
      </x:c>
      <x:c r="H5771" s="6">
        <x:v>46263.62997627315</x:v>
      </x:c>
      <x:c r="I5771" s="0"/>
      <x:c r="J5771" s="6">
        <x:v>46275.833333333336</x:v>
      </x:c>
      <x:c r="K5771" s="6">
        <x:v>46275.93424795139</x:v>
      </x:c>
      <x:c r="L5771" t="str" s="2">
        <x:v>Not Show</x:v>
      </x:c>
    </x:row>
    <x:row r="5772">
      <x:c r="A5772" t="str" s="2">
        <x:f>="Shawna Meneely"</x:f>
      </x:c>
      <x:c r="B5772" t="str" s="2">
        <x:v>Heritage Housing of Oklahoma City</x:v>
      </x:c>
      <x:c r="C5772" t="str" s="2">
        <x:v/>
      </x:c>
      <x:c r="D5772" t="str" s="2">
        <x:v>4055217508</x:v>
      </x:c>
      <x:c r="E5772" t="str" s="2">
        <x:v>4055217508</x:v>
      </x:c>
      <x:c r="F5772" t="str" s="2">
        <x:v>Facebook Messenger</x:v>
      </x:c>
      <x:c r="G5772" t="str" s="2">
        <x:v>Eva Misheva</x:v>
      </x:c>
      <x:c r="H5772" s="6">
        <x:v>46263.63510046296</x:v>
      </x:c>
      <x:c r="I5772" s="0"/>
      <x:c r="J5772" s="6">
        <x:v>46267.708333333336</x:v>
      </x:c>
      <x:c r="K5772" s="6">
        <x:v>46271.801662384256</x:v>
      </x:c>
      <x:c r="L5772" t="str" s="2">
        <x:v>Not Show</x:v>
      </x:c>
    </x:row>
    <x:row r="5773">
      <x:c r="A5773" t="str" s="2">
        <x:f>="Patty Young"</x:f>
      </x:c>
      <x:c r="B5773" t="str" s="2">
        <x:v>Heritage Housing of Oklahoma City</x:v>
      </x:c>
      <x:c r="C5773" t="str" s="2">
        <x:v/>
      </x:c>
      <x:c r="D5773" t="str" s="2">
        <x:v>4054004388</x:v>
      </x:c>
      <x:c r="E5773" t="str" s="2">
        <x:v>4054004388</x:v>
      </x:c>
      <x:c r="F5773" t="str" s="2">
        <x:v>Facebook Messenger</x:v>
      </x:c>
      <x:c r="G5773" t="str" s="2">
        <x:v>Eva Misheva</x:v>
      </x:c>
      <x:c r="H5773" s="6">
        <x:v>46263.896262650465</x:v>
      </x:c>
      <x:c r="I5773" s="0"/>
      <x:c r="J5773" s="6">
        <x:v>46264.875</x:v>
      </x:c>
      <x:c r="K5773" s="6">
        <x:v>46271.783898842594</x:v>
      </x:c>
      <x:c r="L5773" t="str" s="2">
        <x:v>Not Show</x:v>
      </x:c>
    </x:row>
    <x:row r="5774">
      <x:c r="A5774" t="str" s="2">
        <x:f>=HYPERLINK("https://rsms.futurehomex.com/lead/39753", "Nuria Velasquez")</x:f>
      </x:c>
      <x:c r="B5774" t="str" s="2">
        <x:v>Legacy Housing Corp. DBA Americasa</x:v>
      </x:c>
      <x:c r="C5774" t="str" s="2">
        <x:v/>
      </x:c>
      <x:c r="D5774" t="str" s="2">
        <x:v>8326401001</x:v>
      </x:c>
      <x:c r="E5774" t="str" s="2">
        <x:v>8326401001</x:v>
      </x:c>
      <x:c r="F5774" t="str" s="2">
        <x:v>Financing Form</x:v>
      </x:c>
      <x:c r="G5774" t="str" s="2">
        <x:v>Rodrigo Ramirez</x:v>
      </x:c>
      <x:c r="H5774" s="6">
        <x:v>46265.85419309028</x:v>
      </x:c>
      <x:c r="I5774" t="str" s="2">
        <x:v>Joey Marquez</x:v>
      </x:c>
      <x:c r="J5774" s="6">
        <x:v>46270.833333333336</x:v>
      </x:c>
      <x:c r="K5774" s="6">
        <x:v>46272.86936554398</x:v>
      </x:c>
      <x:c r="L5774" t="str" s="2">
        <x:v>Not Show</x:v>
      </x:c>
    </x:row>
    <x:row r="5775">
      <x:c r="A5775" t="str" s="2">
        <x:f>="Chance Dean"</x:f>
      </x:c>
      <x:c r="B5775" t="str" s="2">
        <x:v>Heritage Housing of Athens</x:v>
      </x:c>
      <x:c r="C5775" t="str" s="2">
        <x:v>2/2</x:v>
      </x:c>
      <x:c r="D5775" t="str" s="2">
        <x:v>2298864689</x:v>
      </x:c>
      <x:c r="E5775" t="str" s="2">
        <x:v>2298864689</x:v>
      </x:c>
      <x:c r="F5775" t="str" s="2">
        <x:v>Office Hot Calls</x:v>
      </x:c>
      <x:c r="G5775" t="str" s="2">
        <x:v>Nathan Bishop</x:v>
      </x:c>
      <x:c r="H5775" s="6">
        <x:v>46266.594752349534</x:v>
      </x:c>
      <x:c r="I5775" s="0"/>
      <x:c r="J5775" s="6">
        <x:v>46278.583333333336</x:v>
      </x:c>
      <x:c r="K5775" s="6">
        <x:v>46280.73215802083</x:v>
      </x:c>
      <x:c r="L5775" t="str" s="2">
        <x:v>Not Show</x:v>
      </x:c>
    </x:row>
    <x:row r="5776">
      <x:c r="A5776" t="str" s="2">
        <x:f>="Bardrekus Ceasar"</x:f>
      </x:c>
      <x:c r="B5776" t="str" s="2">
        <x:v>Heritage Housing of Jennings</x:v>
      </x:c>
      <x:c r="C5776" t="str" s="2">
        <x:v/>
      </x:c>
      <x:c r="D5776" t="str" s="2">
        <x:v>3183724346</x:v>
      </x:c>
      <x:c r="E5776" t="str" s="2">
        <x:v>drekceasar27@gmail.com</x:v>
      </x:c>
      <x:c r="F5776" t="str" s="2">
        <x:v>Youtube</x:v>
      </x:c>
      <x:c r="G5776" t="str" s="2">
        <x:v>Mervin Leslie Smith</x:v>
      </x:c>
      <x:c r="H5776" s="6">
        <x:v>46267.06004065972</x:v>
      </x:c>
      <x:c r="I5776" s="0"/>
      <x:c r="J5776" s="6">
        <x:v>46269.625</x:v>
      </x:c>
      <x:c r="K5776" s="6">
        <x:v>46270.701106597226</x:v>
      </x:c>
      <x:c r="L5776" t="str" s="2">
        <x:v>Not Show</x:v>
      </x:c>
    </x:row>
    <x:row r="5777">
      <x:c r="A5777" t="str" s="2">
        <x:f>=HYPERLINK("https://rsms.futurehomex.com/lead/40072", "Beverly Kummer")</x:f>
      </x:c>
      <x:c r="B5777" t="str" s="2">
        <x:v>Heritage Housing of Albany</x:v>
      </x:c>
      <x:c r="C5777" t="str" s="2">
        <x:v/>
      </x:c>
      <x:c r="D5777" t="str" s="2">
        <x:v>7045076233</x:v>
      </x:c>
      <x:c r="E5777" t="str" s="2">
        <x:v>kummerbeverly@gmail.com</x:v>
      </x:c>
      <x:c r="F5777" t="str" s="2">
        <x:v>Landing_BPM</x:v>
      </x:c>
      <x:c r="G5777" t="str" s="2">
        <x:v>Justin Johnson</x:v>
      </x:c>
      <x:c r="H5777" s="6">
        <x:v>46267.85291689815</x:v>
      </x:c>
      <x:c r="I5777" t="str" s="2">
        <x:v>Alexander Bryant</x:v>
      </x:c>
      <x:c r="J5777" s="6">
        <x:v>46277.666666666664</x:v>
      </x:c>
      <x:c r="K5777" s="6">
        <x:v>46281.774998113426</x:v>
      </x:c>
      <x:c r="L5777" t="str" s="2">
        <x:v>Not Show</x:v>
      </x:c>
    </x:row>
    <x:row r="5778">
      <x:c r="A5778" t="str" s="2">
        <x:f>="CHARLES Thompkins"</x:f>
      </x:c>
      <x:c r="B5778" t="str" s="2">
        <x:v>Heritage Housing of Jennings</x:v>
      </x:c>
      <x:c r="C5778" t="str" s="2">
        <x:v/>
      </x:c>
      <x:c r="D5778" t="str" s="2">
        <x:v>9855095328</x:v>
      </x:c>
      <x:c r="E5778" t="str" s="2">
        <x:v>thompkinscharles290@gmail.com</x:v>
      </x:c>
      <x:c r="F5778" t="str" s="2">
        <x:v>Workforce - Meta</x:v>
      </x:c>
      <x:c r="G5778" t="str" s="2">
        <x:v>Clint O'Neal</x:v>
      </x:c>
      <x:c r="H5778" s="6">
        <x:v>46270.81062696759</x:v>
      </x:c>
      <x:c r="I5778" s="0"/>
      <x:c r="J5778" s="6">
        <x:v>46276.75</x:v>
      </x:c>
      <x:c r="K5778" s="6">
        <x:v>46277.58330208333</x:v>
      </x:c>
      <x:c r="L5778" t="str" s="2">
        <x:v>Not Show</x:v>
      </x:c>
    </x:row>
    <x:row r="5779">
      <x:c r="A5779" t="str" s="2">
        <x:f>="Lorenzo De De"</x:f>
      </x:c>
      <x:c r="B5779" t="str" s="2">
        <x:v>Heritage Housing of Asheboro</x:v>
      </x:c>
      <x:c r="C5779" t="str" s="2">
        <x:v/>
      </x:c>
      <x:c r="D5779" t="str" s="2">
        <x:v>9808334758</x:v>
      </x:c>
      <x:c r="E5779" t="str" s="2">
        <x:v>lorenzodelunahernandez03@gmail.com</x:v>
      </x:c>
      <x:c r="F5779" t="str" s="2">
        <x:v>Landing_BPM</x:v>
      </x:c>
      <x:c r="G5779" t="str" s="2">
        <x:v>Kate Gutierrez</x:v>
      </x:c>
      <x:c r="H5779" s="6">
        <x:v>46272.28093082176</x:v>
      </x:c>
      <x:c r="I5779" s="0"/>
      <x:c r="J5779" s="6">
        <x:v>46277.708333333336</x:v>
      </x:c>
      <x:c r="K5779" s="6">
        <x:v>46282.74156056713</x:v>
      </x:c>
      <x:c r="L5779" t="str" s="2">
        <x:v>Not Show</x:v>
      </x:c>
    </x:row>
    <x:row r="5780">
      <x:c r="A5780" t="str" s="2">
        <x:f>="Nadia King"</x:f>
      </x:c>
      <x:c r="B5780" t="str" s="2">
        <x:v>Heritage Housing of Oklahoma City</x:v>
      </x:c>
      <x:c r="C5780" t="str" s="2">
        <x:v/>
      </x:c>
      <x:c r="D5780" t="str" s="2">
        <x:v>4058271531</x:v>
      </x:c>
      <x:c r="E5780" t="str" s="2">
        <x:v>kingsaboss1980@gmail.com</x:v>
      </x:c>
      <x:c r="F5780" t="str" s="2">
        <x:v>Youtube</x:v>
      </x:c>
      <x:c r="G5780" t="str" s="2">
        <x:v>Trey Rixleben</x:v>
      </x:c>
      <x:c r="H5780" s="6">
        <x:v>46272.93336519676</x:v>
      </x:c>
      <x:c r="I5780" s="0"/>
      <x:c r="J5780" s="6">
        <x:v>46280.791666666664</x:v>
      </x:c>
      <x:c r="K5780" s="6">
        <x:v>46280.90472387731</x:v>
      </x:c>
      <x:c r="L5780" t="str" s="2">
        <x:v>Not Show</x:v>
      </x:c>
    </x:row>
    <x:row r="5781">
      <x:c r="A5781" t="str" s="2">
        <x:f>="Neveah Henry"</x:f>
      </x:c>
      <x:c r="B5781" t="str" s="2">
        <x:v>Heritage Housing of Oklahoma City</x:v>
      </x:c>
      <x:c r="C5781" t="str" s="2">
        <x:v/>
      </x:c>
      <x:c r="D5781" t="str" s="2">
        <x:v>8067035170</x:v>
      </x:c>
      <x:c r="E5781" t="str" s="2">
        <x:v>nevaeh.henry86@gmail.com</x:v>
      </x:c>
      <x:c r="F5781" t="str" s="2">
        <x:v>Meta Ads - Messenger</x:v>
      </x:c>
      <x:c r="G5781" t="str" s="2">
        <x:v>Alejandra Calderon</x:v>
      </x:c>
      <x:c r="H5781" s="6">
        <x:v>46273.92352797453</x:v>
      </x:c>
      <x:c r="I5781" s="0"/>
      <x:c r="J5781" s="6">
        <x:v>46277.375</x:v>
      </x:c>
      <x:c r="K5781" s="6">
        <x:v>46290.94229212963</x:v>
      </x:c>
      <x:c r="L5781" t="str" s="2">
        <x:v>Not Show</x:v>
      </x:c>
    </x:row>
    <x:row r="5782">
      <x:c r="A5782" t="str" s="2">
        <x:f>="Kayleigh Smith"</x:f>
      </x:c>
      <x:c r="B5782" t="str" s="2">
        <x:v>Heritage Housing of Athens</x:v>
      </x:c>
      <x:c r="C5782" t="str" s="2">
        <x:v>0/1</x:v>
      </x:c>
      <x:c r="D5782" t="str" s="2">
        <x:v>7064105211</x:v>
      </x:c>
      <x:c r="E5782" t="str" s="2">
        <x:v>kay.m.smith020523@gmail.com</x:v>
      </x:c>
      <x:c r="F5782" t="str" s="2">
        <x:v>Landing_BPM</x:v>
      </x:c>
      <x:c r="G5782" t="str" s="2">
        <x:v>Ethan Fossett</x:v>
      </x:c>
      <x:c r="H5782" s="6">
        <x:v>46275.58114436342</x:v>
      </x:c>
      <x:c r="I5782" s="0"/>
      <x:c r="J5782" s="6">
        <x:v>46277.708333333336</x:v>
      </x:c>
      <x:c r="K5782" s="6">
        <x:v>46283.59454320602</x:v>
      </x:c>
      <x:c r="L5782" t="str" s="2">
        <x:v>Not Show</x:v>
      </x:c>
    </x:row>
    <x:row r="5783">
      <x:c r="A5783" t="str" s="2">
        <x:f>="Elizabeth TBD"</x:f>
      </x:c>
      <x:c r="B5783" t="str" s="2">
        <x:v>Heritage Housing of Augusta</x:v>
      </x:c>
      <x:c r="C5783" t="str" s="2">
        <x:v/>
      </x:c>
      <x:c r="D5783" t="str" s="2">
        <x:v>8033358525</x:v>
      </x:c>
      <x:c r="E5783" t="str" s="2">
        <x:v>8033335852</x:v>
      </x:c>
      <x:c r="F5783" t="str" s="2">
        <x:v>Office Hot Calls</x:v>
      </x:c>
      <x:c r="G5783" t="str" s="2">
        <x:v>Jose Chavez</x:v>
      </x:c>
      <x:c r="H5783" s="6">
        <x:v>46276.55054513889</x:v>
      </x:c>
      <x:c r="I5783" s="0"/>
      <x:c r="J5783" s="6">
        <x:v>46281.645833333336</x:v>
      </x:c>
      <x:c r="K5783" s="6">
        <x:v>46297.599875659726</x:v>
      </x:c>
      <x:c r="L5783" t="str" s="2">
        <x:v>Not Show</x:v>
      </x:c>
    </x:row>
    <x:row r="5784">
      <x:c r="A5784" t="str" s="2">
        <x:f>="Minerva Urapo"</x:f>
      </x:c>
      <x:c r="B5784" t="str" s="2">
        <x:v>Legacy Housing Corp. DBA Americasa</x:v>
      </x:c>
      <x:c r="C5784" t="str" s="2">
        <x:v/>
      </x:c>
      <x:c r="D5784" t="str" s="2">
        <x:v>8328307425</x:v>
      </x:c>
      <x:c r="E5784" t="str" s="2">
        <x:v>8328307425</x:v>
      </x:c>
      <x:c r="F5784" t="str" s="2">
        <x:v>Facebook Messenger</x:v>
      </x:c>
      <x:c r="G5784" t="str" s="2">
        <x:v>Rodrigo Ramirez</x:v>
      </x:c>
      <x:c r="H5784" s="6">
        <x:v>46276.80982329861</x:v>
      </x:c>
      <x:c r="I5784" s="0"/>
      <x:c r="J5784" s="6">
        <x:v>46280.708333333336</x:v>
      </x:c>
      <x:c r="K5784" s="6">
        <x:v>46281.86825644676</x:v>
      </x:c>
      <x:c r="L5784" t="str" s="2">
        <x:v>Not Show</x:v>
      </x:c>
    </x:row>
    <x:row r="5785">
      <x:c r="A5785" t="str" s="2">
        <x:f>="Cindie Wasmmer"</x:f>
      </x:c>
      <x:c r="B5785" t="str" s="2">
        <x:v>Heritage Housing of Oklahoma City</x:v>
      </x:c>
      <x:c r="C5785" t="str" s="2">
        <x:v/>
      </x:c>
      <x:c r="D5785" t="str" s="2">
        <x:v>4054054059</x:v>
      </x:c>
      <x:c r="E5785" t="str" s="2">
        <x:v>4054054059</x:v>
      </x:c>
      <x:c r="F5785" t="str" s="2">
        <x:v>Facebook Messenger</x:v>
      </x:c>
      <x:c r="G5785" t="str" s="2">
        <x:v>Eva Misheva</x:v>
      </x:c>
      <x:c r="H5785" s="6">
        <x:v>46277.58533232639</x:v>
      </x:c>
      <x:c r="I5785" s="0"/>
      <x:c r="J5785" s="6">
        <x:v>46277.833333333336</x:v>
      </x:c>
      <x:c r="K5785" s="6">
        <x:v>46277.859815474534</x:v>
      </x:c>
      <x:c r="L5785" t="str" s="2">
        <x:v>Not Show</x:v>
      </x:c>
    </x:row>
    <x:row r="5786">
      <x:c r="A5786" t="str" s="2">
        <x:f>="Denisha Anthony"</x:f>
      </x:c>
      <x:c r="B5786" t="str" s="2">
        <x:v>Heritage Housing of Augusta</x:v>
      </x:c>
      <x:c r="C5786" t="str" s="2">
        <x:v/>
      </x:c>
      <x:c r="D5786" t="str" s="2">
        <x:v>8542932606</x:v>
      </x:c>
      <x:c r="E5786" t="str" s="2">
        <x:v>denishabell1212@gmail.com</x:v>
      </x:c>
      <x:c r="F5786" t="str" s="2">
        <x:v>Landing_BPM</x:v>
      </x:c>
      <x:c r="G5786" t="str" s="2">
        <x:v>Jose Chavez</x:v>
      </x:c>
      <x:c r="H5786" s="6">
        <x:v>46279.93688792824</x:v>
      </x:c>
      <x:c r="I5786" s="0"/>
      <x:c r="J5786" s="6">
        <x:v>46288.583333333336</x:v>
      </x:c>
      <x:c r="K5786" s="6">
        <x:v>46297.60010697917</x:v>
      </x:c>
      <x:c r="L5786" t="str" s="2">
        <x:v>Not Show</x:v>
      </x:c>
    </x:row>
    <x:row r="5787">
      <x:c r="A5787" t="str" s="2">
        <x:f>="Robin Banks"</x:f>
      </x:c>
      <x:c r="B5787" t="str" s="2">
        <x:v>Legacy Housing Corp. DBA Americasa</x:v>
      </x:c>
      <x:c r="C5787" t="str" s="2">
        <x:v>0/1</x:v>
      </x:c>
      <x:c r="D5787" t="str" s="2">
        <x:v>8329875880</x:v>
      </x:c>
      <x:c r="E5787" t="str" s="2">
        <x:v>robinbanks320@gmail.com</x:v>
      </x:c>
      <x:c r="F5787" t="str" s="2">
        <x:v>Landing_BPM</x:v>
      </x:c>
      <x:c r="G5787" t="str" s="2">
        <x:v>Joey Marquez</x:v>
      </x:c>
      <x:c r="H5787" s="6">
        <x:v>46281.03539853009</x:v>
      </x:c>
      <x:c r="I5787" s="0"/>
      <x:c r="J5787" s="6">
        <x:v>46282.75</x:v>
      </x:c>
      <x:c r="K5787" s="6">
        <x:v>46283.87905771991</x:v>
      </x:c>
      <x:c r="L5787" t="str" s="2">
        <x:v>Not Show</x:v>
      </x:c>
    </x:row>
    <x:row r="5788">
      <x:c r="A5788" t="str" s="2">
        <x:f>="Dontae &amp; Sharita Trainer"</x:f>
      </x:c>
      <x:c r="B5788" t="str" s="2">
        <x:v>Heritage Housing of Oklahoma City</x:v>
      </x:c>
      <x:c r="C5788" t="str" s="2">
        <x:v/>
      </x:c>
      <x:c r="D5788" t="str" s="2">
        <x:v>3375703810</x:v>
      </x:c>
      <x:c r="E5788" t="str" s="2">
        <x:v>3375703810</x:v>
      </x:c>
      <x:c r="F5788" t="str" s="2">
        <x:v>Facebook Messenger</x:v>
      </x:c>
      <x:c r="G5788" t="str" s="2">
        <x:v>Steve Castell</x:v>
      </x:c>
      <x:c r="H5788" s="6">
        <x:v>46282.95367056713</x:v>
      </x:c>
      <x:c r="I5788" s="0"/>
      <x:c r="J5788" s="6">
        <x:v>46287.666666666664</x:v>
      </x:c>
      <x:c r="K5788" s="6">
        <x:v>46286.965485266206</x:v>
      </x:c>
      <x:c r="L5788" t="str" s="2">
        <x:v>Not Show</x:v>
      </x:c>
    </x:row>
    <x:row r="5789">
      <x:c r="A5789" t="str" s="2">
        <x:f>="Billijo Dotson"</x:f>
      </x:c>
      <x:c r="B5789" t="str" s="2">
        <x:v>Heritage Housing of Oklahoma City</x:v>
      </x:c>
      <x:c r="C5789" t="str" s="2">
        <x:v/>
      </x:c>
      <x:c r="D5789" t="str" s="2">
        <x:v>4053017835</x:v>
      </x:c>
      <x:c r="E5789" t="str" s="2">
        <x:v>billdot1975@gmail.com</x:v>
      </x:c>
      <x:c r="F5789" t="str" s="2">
        <x:v>Landing_BPM</x:v>
      </x:c>
      <x:c r="G5789" t="str" s="2">
        <x:v>Alejandra Calderon</x:v>
      </x:c>
      <x:c r="H5789" s="6">
        <x:v>46282.96008741898</x:v>
      </x:c>
      <x:c r="I5789" s="0"/>
      <x:c r="J5789" s="6">
        <x:v>46305.791666666664</x:v>
      </x:c>
      <x:c r="K5789" s="6">
        <x:v>46303.60750208333</x:v>
      </x:c>
      <x:c r="L5789" t="str" s="2">
        <x:v>Not Show</x:v>
      </x:c>
    </x:row>
    <x:row r="5790">
      <x:c r="A5790" t="str" s="2">
        <x:f>="Walter Nolast"</x:f>
      </x:c>
      <x:c r="B5790" t="str" s="2">
        <x:v>Heritage Housing of Athens</x:v>
      </x:c>
      <x:c r="C5790" t="str" s="2">
        <x:v/>
      </x:c>
      <x:c r="D5790" t="str" s="2">
        <x:v>5026450275</x:v>
      </x:c>
      <x:c r="E5790" t="str" s="2">
        <x:v>temporary@no.email</x:v>
      </x:c>
      <x:c r="F5790" t="str" s="2">
        <x:v>Facebook Messenger</x:v>
      </x:c>
      <x:c r="G5790" t="str" s="2">
        <x:v>Ethan Fossett</x:v>
      </x:c>
      <x:c r="H5790" s="6">
        <x:v>46283.59186010416</x:v>
      </x:c>
      <x:c r="I5790" s="0"/>
      <x:c r="J5790" s="6">
        <x:v>46283.604166666664</x:v>
      </x:c>
      <x:c r="K5790" s="6">
        <x:v>46284.600851006944</x:v>
      </x:c>
      <x:c r="L5790" t="str" s="2">
        <x:v>Not Show</x:v>
      </x:c>
    </x:row>
    <x:row r="5791">
      <x:c r="A5791" t="str" s="2">
        <x:f>="Tommy Curry"</x:f>
      </x:c>
      <x:c r="B5791" t="str" s="2">
        <x:v>Heritage Housing of Minden</x:v>
      </x:c>
      <x:c r="C5791" t="str" s="2">
        <x:v/>
      </x:c>
      <x:c r="D5791" t="str" s="2">
        <x:v>3185106784</x:v>
      </x:c>
      <x:c r="E5791" t="str" s="2">
        <x:v>3185106784</x:v>
      </x:c>
      <x:c r="F5791" t="str" s="2">
        <x:v>Website</x:v>
      </x:c>
      <x:c r="G5791" t="str" s="2">
        <x:v>Patrick Schuchart</x:v>
      </x:c>
      <x:c r="H5791" s="6">
        <x:v>46283.676094594906</x:v>
      </x:c>
      <x:c r="I5791" s="0"/>
      <x:c r="J5791" s="6">
        <x:v>46286.666666666664</x:v>
      </x:c>
      <x:c r="K5791" s="6">
        <x:v>46289.78568125</x:v>
      </x:c>
      <x:c r="L5791" t="str" s="2">
        <x:v>Not Show</x:v>
      </x:c>
    </x:row>
    <x:row r="5792">
      <x:c r="A5792" t="str" s="2">
        <x:f>="gabrielle stevenson"</x:f>
      </x:c>
      <x:c r="B5792" t="str" s="2">
        <x:v>Heritage Housing of Oklahoma City</x:v>
      </x:c>
      <x:c r="C5792" t="str" s="2">
        <x:v/>
      </x:c>
      <x:c r="D5792" t="str" s="2">
        <x:v>4054501757</x:v>
      </x:c>
      <x:c r="E5792" t="str" s="2">
        <x:v>prettylady6063@gmail.com</x:v>
      </x:c>
      <x:c r="F5792" t="str" s="2">
        <x:v>LandingPage</x:v>
      </x:c>
      <x:c r="G5792" t="str" s="2">
        <x:v>Trey Rixleben</x:v>
      </x:c>
      <x:c r="H5792" s="6">
        <x:v>46284.59522103009</x:v>
      </x:c>
      <x:c r="I5792" s="0"/>
      <x:c r="J5792" s="6">
        <x:v>46306.833333333336</x:v>
      </x:c>
      <x:c r="K5792" s="6">
        <x:v>46307.0550821412</x:v>
      </x:c>
      <x:c r="L5792" t="str" s="2">
        <x:v>Not Show</x:v>
      </x:c>
    </x:row>
    <x:row r="5793">
      <x:c r="A5793" t="str" s="2">
        <x:f>="Cotina Wright"</x:f>
      </x:c>
      <x:c r="B5793" t="str" s="2">
        <x:v>Heritage Housing of Asheboro</x:v>
      </x:c>
      <x:c r="C5793" t="str" s="2">
        <x:v/>
      </x:c>
      <x:c r="D5793" t="str" s="2">
        <x:v>9294481867</x:v>
      </x:c>
      <x:c r="E5793" t="str" s="2">
        <x:v>meme012975@gmail.com</x:v>
      </x:c>
      <x:c r="F5793" t="str" s="2">
        <x:v>Youtube</x:v>
      </x:c>
      <x:c r="G5793" t="str" s="2">
        <x:v>Kate Gutierrez</x:v>
      </x:c>
      <x:c r="H5793" s="6">
        <x:v>46285.68793587963</x:v>
      </x:c>
      <x:c r="I5793" s="0"/>
      <x:c r="J5793" s="6">
        <x:v>46291.541666666664</x:v>
      </x:c>
      <x:c r="K5793" s="6">
        <x:v>46302.61277896991</x:v>
      </x:c>
      <x:c r="L5793" t="str" s="2">
        <x:v>Not Show</x:v>
      </x:c>
    </x:row>
    <x:row r="5794">
      <x:c r="A5794" t="str" s="2">
        <x:f>="Denise Póe"</x:f>
      </x:c>
      <x:c r="B5794" t="str" s="2">
        <x:v>Heritage Housing of Asheboro</x:v>
      </x:c>
      <x:c r="C5794" t="str" s="2">
        <x:v/>
      </x:c>
      <x:c r="D5794" t="str" s="2">
        <x:v>9808508207</x:v>
      </x:c>
      <x:c r="E5794" t="str" s="2">
        <x:v>denisebranham60@gmail.com</x:v>
      </x:c>
      <x:c r="F5794" t="str" s="2">
        <x:v>Youtube</x:v>
      </x:c>
      <x:c r="G5794" t="str" s="2">
        <x:v>Kate Gutierrez</x:v>
      </x:c>
      <x:c r="H5794" s="6">
        <x:v>46286.97630084491</x:v>
      </x:c>
      <x:c r="I5794" s="0"/>
      <x:c r="J5794" s="6">
        <x:v>46291.791666666664</x:v>
      </x:c>
      <x:c r="K5794" s="6">
        <x:v>46302.611942511576</x:v>
      </x:c>
      <x:c r="L5794" t="str" s="2">
        <x:v>Not Show</x:v>
      </x:c>
    </x:row>
    <x:row r="5795">
      <x:c r="A5795" t="str" s="2">
        <x:f>="Ragine Hartsfield"</x:f>
      </x:c>
      <x:c r="B5795" t="str" s="2">
        <x:v>Heritage Housing of Albany</x:v>
      </x:c>
      <x:c r="C5795" t="str" s="2">
        <x:v/>
      </x:c>
      <x:c r="D5795" t="str" s="2">
        <x:v>2292202073</x:v>
      </x:c>
      <x:c r="E5795" t="str" s="2">
        <x:v>raginehartsfield@gmail.com</x:v>
      </x:c>
      <x:c r="F5795" t="str" s="2">
        <x:v>Landing_BPM</x:v>
      </x:c>
      <x:c r="G5795" t="str" s="2">
        <x:v>Yanet Alvarez</x:v>
      </x:c>
      <x:c r="H5795" s="6">
        <x:v>46288.60393024306</x:v>
      </x:c>
      <x:c r="I5795" s="0"/>
      <x:c r="J5795" s="6">
        <x:v>46299.625</x:v>
      </x:c>
      <x:c r="K5795" s="6">
        <x:v>46302.61394398148</x:v>
      </x:c>
      <x:c r="L5795" t="str" s="2">
        <x:v>Not Show</x:v>
      </x:c>
    </x:row>
    <x:row r="5796">
      <x:c r="A5796" t="str" s="2">
        <x:f>="Erick Cruz"</x:f>
      </x:c>
      <x:c r="B5796" t="str" s="2">
        <x:v>Heritage Housing of Oklahoma City</x:v>
      </x:c>
      <x:c r="C5796" t="str" s="2">
        <x:v/>
      </x:c>
      <x:c r="D5796" t="str" s="2">
        <x:v>5803097851</x:v>
      </x:c>
      <x:c r="E5796" t="str" s="2">
        <x:v>jcruz5783@gmail.com</x:v>
      </x:c>
      <x:c r="F5796" t="str" s="2">
        <x:v>Meta Ads - Messenger</x:v>
      </x:c>
      <x:c r="G5796" t="str" s="2">
        <x:v>Noemi Rojo</x:v>
      </x:c>
      <x:c r="H5796" s="6">
        <x:v>46288.65343943287</x:v>
      </x:c>
      <x:c r="I5796" s="0"/>
      <x:c r="J5796" s="6">
        <x:v>46298.833333333336</x:v>
      </x:c>
      <x:c r="K5796" s="6">
        <x:v>46300.75346103009</x:v>
      </x:c>
      <x:c r="L5796" t="str" s="2">
        <x:v>Not Show</x:v>
      </x:c>
    </x:row>
    <x:row r="5797">
      <x:c r="A5797" t="str" s="2">
        <x:f>="Vicente Juarez"</x:f>
      </x:c>
      <x:c r="B5797" t="str" s="2">
        <x:v>Heritage Housing Mt Pleasant</x:v>
      </x:c>
      <x:c r="C5797" t="str" s="2">
        <x:v/>
      </x:c>
      <x:c r="D5797" t="str" s="2">
        <x:v>9096494005</x:v>
      </x:c>
      <x:c r="E5797" t="str" s="2">
        <x:v>9096494005</x:v>
      </x:c>
      <x:c r="F5797" t="str" s="2">
        <x:v>Meta Ads - Messenger</x:v>
      </x:c>
      <x:c r="G5797" t="str" s="2">
        <x:v>Sandra Saldana</x:v>
      </x:c>
      <x:c r="H5797" s="6">
        <x:v>46288.99100829861</x:v>
      </x:c>
      <x:c r="I5797" s="0"/>
      <x:c r="J5797" s="6">
        <x:v>46290.916666666664</x:v>
      </x:c>
      <x:c r="K5797" s="6">
        <x:v>46294.87573626157</x:v>
      </x:c>
      <x:c r="L5797" t="str" s="2">
        <x:v>Not Show</x:v>
      </x:c>
    </x:row>
    <x:row r="5798">
      <x:c r="A5798" t="str" s="2">
        <x:f>="Teresa Fox"</x:f>
      </x:c>
      <x:c r="B5798" t="str" s="2">
        <x:v>Heritage Housing of Asheboro</x:v>
      </x:c>
      <x:c r="C5798" t="str" s="2">
        <x:v/>
      </x:c>
      <x:c r="D5798" t="str" s="2">
        <x:v>8282919677</x:v>
      </x:c>
      <x:c r="E5798" t="str" s="2">
        <x:v>iluvblu69@gmail.com</x:v>
      </x:c>
      <x:c r="F5798" t="str" s="2">
        <x:v>Landing_BPM</x:v>
      </x:c>
      <x:c r="G5798" t="str" s="2">
        <x:v>Kate Gutierrez</x:v>
      </x:c>
      <x:c r="H5798" s="6">
        <x:v>46290.11557326389</x:v>
      </x:c>
      <x:c r="I5798" s="0"/>
      <x:c r="J5798" s="6">
        <x:v>46296.75</x:v>
      </x:c>
      <x:c r="K5798" s="6">
        <x:v>46302.61163136574</x:v>
      </x:c>
      <x:c r="L5798" t="str" s="2">
        <x:v>Not Show</x:v>
      </x:c>
    </x:row>
    <x:row r="5799">
      <x:c r="A5799" t="str" s="2">
        <x:f>="Brian Sawer Sawer"</x:f>
      </x:c>
      <x:c r="B5799" t="str" s="2">
        <x:v>Heritage Housing of Asheboro</x:v>
      </x:c>
      <x:c r="C5799" t="str" s="2">
        <x:v/>
      </x:c>
      <x:c r="D5799" t="str" s="2">
        <x:v>3362331077</x:v>
      </x:c>
      <x:c r="E5799" t="str" s="2">
        <x:v>bksawer1987@yahoo.com</x:v>
      </x:c>
      <x:c r="F5799" t="str" s="2">
        <x:v>Landing_BPM</x:v>
      </x:c>
      <x:c r="G5799" t="str" s="2">
        <x:v>Kate Gutierrez</x:v>
      </x:c>
      <x:c r="H5799" s="6">
        <x:v>46290.28094135417</x:v>
      </x:c>
      <x:c r="I5799" s="0"/>
      <x:c r="J5799" s="6">
        <x:v>46295.583333333336</x:v>
      </x:c>
      <x:c r="K5799" s="6">
        <x:v>46295.759950810185</x:v>
      </x:c>
      <x:c r="L5799" t="str" s="2">
        <x:v>Not Show</x:v>
      </x:c>
    </x:row>
    <x:row r="5800">
      <x:c r="A5800" t="str" s="2">
        <x:f>="Terry Rush"</x:f>
      </x:c>
      <x:c r="B5800" t="str" s="2">
        <x:v>Heritage Housing of Asheboro</x:v>
      </x:c>
      <x:c r="C5800" t="str" s="2">
        <x:v/>
      </x:c>
      <x:c r="D5800" t="str" s="2">
        <x:v>3364600145</x:v>
      </x:c>
      <x:c r="E5800" t="str" s="2">
        <x:v>3364600145</x:v>
      </x:c>
      <x:c r="F5800" t="str" s="2">
        <x:v>Other</x:v>
      </x:c>
      <x:c r="G5800" t="str" s="2">
        <x:v>Kate Gutierrez</x:v>
      </x:c>
      <x:c r="H5800" s="6">
        <x:v>46291.65287978009</x:v>
      </x:c>
      <x:c r="I5800" s="0"/>
      <x:c r="J5800" s="6">
        <x:v>46291.75</x:v>
      </x:c>
      <x:c r="K5800" s="6">
        <x:v>46302.60257577546</x:v>
      </x:c>
      <x:c r="L5800" t="str" s="2">
        <x:v>Not Show</x:v>
      </x:c>
    </x:row>
    <x:row r="5801">
      <x:c r="A5801" t="str" s="2">
        <x:f>="Wanda Lane"</x:f>
      </x:c>
      <x:c r="B5801" t="str" s="2">
        <x:v>Heritage Housing of Augusta</x:v>
      </x:c>
      <x:c r="C5801" t="str" s="2">
        <x:v/>
      </x:c>
      <x:c r="D5801" t="str" s="2">
        <x:v>8036405337</x:v>
      </x:c>
      <x:c r="E5801" t="str" s="2">
        <x:v>wandalovesollie@gmail.com</x:v>
      </x:c>
      <x:c r="F5801" t="str" s="2">
        <x:v>Walk-in</x:v>
      </x:c>
      <x:c r="G5801" s="0"/>
      <x:c r="H5801" s="6">
        <x:v>46294.72066021991</x:v>
      </x:c>
      <x:c r="I5801" s="0"/>
      <x:c r="J5801" s="6">
        <x:v>46295.833333333336</x:v>
      </x:c>
      <x:c r="K5801" s="6">
        <x:v>46297.56417106481</x:v>
      </x:c>
      <x:c r="L5801" t="str" s="2">
        <x:v>Not Show</x:v>
      </x:c>
    </x:row>
    <x:row r="5802">
      <x:c r="A5802" t="str" s="2">
        <x:f>=HYPERLINK("https://rsms.futurehomex.com/lead/40618", "Debbie Foran")</x:f>
      </x:c>
      <x:c r="B5802" t="str" s="2">
        <x:v>Heritage Housing of Tulsa</x:v>
      </x:c>
      <x:c r="C5802" t="str" s="2">
        <x:v/>
      </x:c>
      <x:c r="D5802" t="str" s="2">
        <x:v>4057122113</x:v>
      </x:c>
      <x:c r="E5802" t="str" s="2">
        <x:v>debbie.foran@yahoo.com</x:v>
      </x:c>
      <x:c r="F5802" t="str" s="2">
        <x:v>Walk-in</x:v>
      </x:c>
      <x:c r="G5802" t="str" s="2">
        <x:v>Jenna Fransisco</x:v>
      </x:c>
      <x:c r="H5802" s="6">
        <x:v>46294.907318784724</x:v>
      </x:c>
      <x:c r="I5802" t="str" s="2">
        <x:v>Steve Castell</x:v>
      </x:c>
      <x:c r="J5802" s="6">
        <x:v>46301.666666666664</x:v>
      </x:c>
      <x:c r="K5802" s="6">
        <x:v>46301.89363371528</x:v>
      </x:c>
      <x:c r="L5802" t="str" s="2">
        <x:v>Not Show</x:v>
      </x:c>
    </x:row>
    <x:row r="5803">
      <x:c r="A5803" t="str" s="2">
        <x:f>="Savannah Coutney Courtney"</x:f>
      </x:c>
      <x:c r="B5803" t="str" s="2">
        <x:v>Heritage Housing of Oklahoma City</x:v>
      </x:c>
      <x:c r="C5803" t="str" s="2">
        <x:v/>
      </x:c>
      <x:c r="D5803" t="str" s="2">
        <x:v>4058667474</x:v>
      </x:c>
      <x:c r="E5803" t="str" s="2">
        <x:v>4058667474</x:v>
      </x:c>
      <x:c r="F5803" t="str" s="2">
        <x:v>Meta Ads - Messenger</x:v>
      </x:c>
      <x:c r="G5803" t="str" s="2">
        <x:v>Alejandra Calderon</x:v>
      </x:c>
      <x:c r="H5803" s="6">
        <x:v>46294.9661852662</x:v>
      </x:c>
      <x:c r="I5803" s="0"/>
      <x:c r="J5803" s="6">
        <x:v>46306.75</x:v>
      </x:c>
      <x:c r="K5803" s="6">
        <x:v>46308.67699479167</x:v>
      </x:c>
      <x:c r="L5803" t="str" s="2">
        <x:v>Not Show</x:v>
      </x:c>
    </x:row>
    <x:row r="5804">
      <x:c r="A5804" t="str" s="2">
        <x:f>="Paul Fercloth"</x:f>
      </x:c>
      <x:c r="B5804" t="str" s="2">
        <x:v>Heritage Housing of Albany</x:v>
      </x:c>
      <x:c r="C5804" t="str" s="2">
        <x:v/>
      </x:c>
      <x:c r="D5804" t="str" s="2">
        <x:v>2298482520</x:v>
      </x:c>
      <x:c r="E5804" t="str" s="2">
        <x:v>pjesq@outlook.com</x:v>
      </x:c>
      <x:c r="F5804" t="str" s="2">
        <x:v>Walk-in</x:v>
      </x:c>
      <x:c r="G5804" t="str" s="2">
        <x:v>Yanet Alvarez</x:v>
      </x:c>
      <x:c r="H5804" s="6">
        <x:v>46295.787016863425</x:v>
      </x:c>
      <x:c r="I5804" s="0"/>
      <x:c r="J5804" s="6">
        <x:v>46298.583333333336</x:v>
      </x:c>
      <x:c r="K5804" s="6">
        <x:v>46303.88585277778</x:v>
      </x:c>
      <x:c r="L5804" t="str" s="2">
        <x:v>Not Show</x:v>
      </x:c>
    </x:row>
    <x:row r="5805">
      <x:c r="A5805" t="str" s="2">
        <x:f>="Esther Quinones"</x:f>
      </x:c>
      <x:c r="B5805" t="str" s="2">
        <x:v>Heritage Housing of Oklahoma City</x:v>
      </x:c>
      <x:c r="C5805" t="str" s="2">
        <x:v/>
      </x:c>
      <x:c r="D5805" t="str" s="2">
        <x:v>4059656850</x:v>
      </x:c>
      <x:c r="E5805" t="str" s="2">
        <x:v>4059656850</x:v>
      </x:c>
      <x:c r="F5805" t="str" s="2">
        <x:v>Meta Ads - Messenger</x:v>
      </x:c>
      <x:c r="G5805" t="str" s="2">
        <x:v>Noemi Rojo</x:v>
      </x:c>
      <x:c r="H5805" s="6">
        <x:v>46296.663809178244</x:v>
      </x:c>
      <x:c r="I5805" s="0"/>
      <x:c r="J5805" s="6">
        <x:v>46298.791666666664</x:v>
      </x:c>
      <x:c r="K5805" s="6">
        <x:v>46301.72225528935</x:v>
      </x:c>
      <x:c r="L5805" t="str" s="2">
        <x:v>Not Show</x:v>
      </x:c>
    </x:row>
    <x:row r="5806">
      <x:c r="A5806" t="str" s="2">
        <x:f>="Maria Garza Garza"</x:f>
      </x:c>
      <x:c r="B5806" t="str" s="2">
        <x:v>Legacy Housing Corp. DBA Americasa</x:v>
      </x:c>
      <x:c r="C5806" t="str" s="2">
        <x:v/>
      </x:c>
      <x:c r="D5806" t="str" s="2">
        <x:v>8328449598</x:v>
      </x:c>
      <x:c r="E5806" t="str" s="2">
        <x:v>magda.garza12@icloud.com</x:v>
      </x:c>
      <x:c r="F5806" t="str" s="2">
        <x:v>Landing_BPM</x:v>
      </x:c>
      <x:c r="G5806" t="str" s="2">
        <x:v>Joey Marquez</x:v>
      </x:c>
      <x:c r="H5806" s="6">
        <x:v>46297.62959228009</x:v>
      </x:c>
      <x:c r="I5806" s="0"/>
      <x:c r="J5806" s="6">
        <x:v>46298.8125</x:v>
      </x:c>
      <x:c r="K5806" s="6">
        <x:v>46300.65397607639</x:v>
      </x:c>
      <x:c r="L5806" t="str" s="2">
        <x:v>Not Show</x:v>
      </x:c>
    </x:row>
    <x:row r="5807">
      <x:c r="A5807" t="str" s="2">
        <x:f>="Suzanne Haynes"</x:f>
      </x:c>
      <x:c r="B5807" t="str" s="2">
        <x:v>Heritage Housing of Augusta</x:v>
      </x:c>
      <x:c r="C5807" t="str" s="2">
        <x:v/>
      </x:c>
      <x:c r="D5807" t="str" s="2">
        <x:v>7063050184</x:v>
      </x:c>
      <x:c r="E5807" t="str" s="2">
        <x:v>suzannehaynes12@gmail.com</x:v>
      </x:c>
      <x:c r="F5807" t="str" s="2">
        <x:v>Walk-in</x:v>
      </x:c>
      <x:c r="G5807" s="0"/>
      <x:c r="H5807" s="6">
        <x:v>46298.64763009259</x:v>
      </x:c>
      <x:c r="I5807" s="0"/>
      <x:c r="J5807" s="6">
        <x:v>46312.625</x:v>
      </x:c>
      <x:c r="K5807" s="6">
        <x:v>46298.71391762731</x:v>
      </x:c>
      <x:c r="L5807" t="str" s="2">
        <x:v>Not Show</x:v>
      </x:c>
    </x:row>
    <x:row r="5808">
      <x:c r="A5808" t="str" s="2">
        <x:f>="Vicente Juarez"</x:f>
      </x:c>
      <x:c r="B5808" t="str" s="2">
        <x:v>Heritage Housing Mt Pleasant</x:v>
      </x:c>
      <x:c r="C5808" t="str" s="2">
        <x:v/>
      </x:c>
      <x:c r="D5808" t="str" s="2">
        <x:v>9036494005</x:v>
      </x:c>
      <x:c r="E5808" t="str" s="2">
        <x:v>9036494005</x:v>
      </x:c>
      <x:c r="F5808" t="str" s="2">
        <x:v>Other</x:v>
      </x:c>
      <x:c r="G5808" t="str" s="2">
        <x:v>Sandra Saldana</x:v>
      </x:c>
      <x:c r="H5808" s="6">
        <x:v>46298.7494065162</x:v>
      </x:c>
      <x:c r="I5808" s="0"/>
      <x:c r="J5808" s="6">
        <x:v>46298.791666666664</x:v>
      </x:c>
      <x:c r="K5808" s="6">
        <x:v>46301.59122951389</x:v>
      </x:c>
      <x:c r="L5808" t="str" s="2">
        <x:v>Not Show</x:v>
      </x:c>
    </x:row>
    <x:row r="5809">
      <x:c r="A5809" t="str" s="2">
        <x:f>="David Chase"</x:f>
      </x:c>
      <x:c r="B5809" t="str" s="2">
        <x:v>Heritage Housing of Oklahoma City</x:v>
      </x:c>
      <x:c r="C5809" t="str" s="2">
        <x:v/>
      </x:c>
      <x:c r="D5809" t="str" s="2">
        <x:v>5804589521</x:v>
      </x:c>
      <x:c r="E5809" t="str" s="2">
        <x:v>5804589521</x:v>
      </x:c>
      <x:c r="F5809" t="str" s="2">
        <x:v>Facebook Messenger</x:v>
      </x:c>
      <x:c r="G5809" t="str" s="2">
        <x:v>Devon McCoy</x:v>
      </x:c>
      <x:c r="H5809" s="6">
        <x:v>46300.821806747685</x:v>
      </x:c>
      <x:c r="I5809" s="0"/>
      <x:c r="J5809" s="6">
        <x:v>46304.25</x:v>
      </x:c>
      <x:c r="K5809" s="6">
        <x:v>46307.81663741898</x:v>
      </x:c>
      <x:c r="L5809" t="str" s="2">
        <x:v>Not Show</x:v>
      </x:c>
    </x:row>
    <x:row r="5810">
      <x:c r="A5810" t="str" s="2">
        <x:f>="Sharon Welch"</x:f>
      </x:c>
      <x:c r="B5810" t="str" s="2">
        <x:v>Heritage Housing of Asheboro</x:v>
      </x:c>
      <x:c r="C5810" t="str" s="2">
        <x:v/>
      </x:c>
      <x:c r="D5810" t="str" s="2">
        <x:v>3368807394</x:v>
      </x:c>
      <x:c r="E5810" t="str" s="2">
        <x:v>3368807394</x:v>
      </x:c>
      <x:c r="F5810" t="str" s="2">
        <x:v>Website</x:v>
      </x:c>
      <x:c r="G5810" t="str" s="2">
        <x:v>Kate Gutierrez</x:v>
      </x:c>
      <x:c r="H5810" s="6">
        <x:v>46300.8628216088</x:v>
      </x:c>
      <x:c r="I5810" s="0"/>
      <x:c r="J5810" s="6">
        <x:v>46300.604166666664</x:v>
      </x:c>
      <x:c r="K5810" s="6">
        <x:v>46302.599458414355</x:v>
      </x:c>
      <x:c r="L5810" t="str" s="2">
        <x:v>Not Show</x:v>
      </x:c>
    </x:row>
    <x:row r="5811">
      <x:c r="A5811" t="str" s="2">
        <x:f>="William Malicke"</x:f>
      </x:c>
      <x:c r="B5811" t="str" s="2">
        <x:v>Heritage Housing of Augusta</x:v>
      </x:c>
      <x:c r="C5811" t="str" s="2">
        <x:v>0/1</x:v>
      </x:c>
      <x:c r="D5811" t="str" s="2">
        <x:v>9183555597</x:v>
      </x:c>
      <x:c r="E5811" t="str" s="2">
        <x:v>Billmalicke@gmail.com</x:v>
      </x:c>
      <x:c r="F5811" t="str" s="2">
        <x:v>Meta Ads - Forms</x:v>
      </x:c>
      <x:c r="G5811" t="str" s="2">
        <x:v>Jennifer Johnson</x:v>
      </x:c>
      <x:c r="H5811" s="6">
        <x:v>46209.027203969905</x:v>
      </x:c>
      <x:c r="I5811" s="0"/>
      <x:c r="J5811" s="0"/>
      <x:c r="K5811" s="6">
        <x:v>46218</x:v>
      </x:c>
      <x:c r="L5811" t="str" s="2">
        <x:v>On Hold</x:v>
      </x:c>
    </x:row>
    <x:row r="5812">
      <x:c r="A5812" t="str" s="2">
        <x:f>="Theresa Merritt"</x:f>
      </x:c>
      <x:c r="B5812" t="str" s="2">
        <x:v>Heritage Housing of Albany</x:v>
      </x:c>
      <x:c r="C5812" t="str" s="2">
        <x:v>1/2</x:v>
      </x:c>
      <x:c r="D5812" t="str" s="2">
        <x:v>9125926042</x:v>
      </x:c>
      <x:c r="E5812" t="str" s="2">
        <x:v>theresamerritt1919@gmail.com</x:v>
      </x:c>
      <x:c r="F5812" t="str" s="2">
        <x:v>Meta Ads - Forms</x:v>
      </x:c>
      <x:c r="G5812" t="str" s="2">
        <x:v>Yanet Alvarez</x:v>
      </x:c>
      <x:c r="H5812" s="6">
        <x:v>46211.5371315625</x:v>
      </x:c>
      <x:c r="I5812" s="0"/>
      <x:c r="J5812" s="0"/>
      <x:c r="K5812" s="6">
        <x:v>46215</x:v>
      </x:c>
      <x:c r="L5812" t="str" s="2">
        <x:v>On Hold</x:v>
      </x:c>
    </x:row>
    <x:row r="5813">
      <x:c r="A5813" t="str" s="2">
        <x:f>="Quanecia Guffin"</x:f>
      </x:c>
      <x:c r="B5813" t="str" s="2">
        <x:v>Heritage Housing of Albany</x:v>
      </x:c>
      <x:c r="C5813" t="str" s="2">
        <x:v>1/1</x:v>
      </x:c>
      <x:c r="D5813" t="str" s="2">
        <x:v>9125824585</x:v>
      </x:c>
      <x:c r="E5813" t="str" s="2">
        <x:v>qguffin@gmail.com</x:v>
      </x:c>
      <x:c r="F5813" t="str" s="2">
        <x:v>Website</x:v>
      </x:c>
      <x:c r="G5813" t="str" s="2">
        <x:v>Yanet Alvarez</x:v>
      </x:c>
      <x:c r="H5813" s="6">
        <x:v>46224.01897792824</x:v>
      </x:c>
      <x:c r="I5813" s="0"/>
      <x:c r="J5813" s="0"/>
      <x:c r="K5813" s="6">
        <x:v>46281.83182063657</x:v>
      </x:c>
      <x:c r="L5813" t="str" s="2">
        <x:v>On Hold</x:v>
      </x:c>
    </x:row>
    <x:row r="5814">
      <x:c r="A5814" t="str" s="2">
        <x:f>="April Lanier"</x:f>
      </x:c>
      <x:c r="B5814" t="str" s="2">
        <x:v>Heritage Housing of Albany</x:v>
      </x:c>
      <x:c r="C5814" t="str" s="2">
        <x:v>1/1</x:v>
      </x:c>
      <x:c r="D5814" t="str" s="2">
        <x:v>8632459804</x:v>
      </x:c>
      <x:c r="E5814" t="str" s="2">
        <x:v>aprillanier876@gmail.com</x:v>
      </x:c>
      <x:c r="F5814" t="str" s="2">
        <x:v>Website</x:v>
      </x:c>
      <x:c r="G5814" t="str" s="2">
        <x:v>Yanet Alvarez</x:v>
      </x:c>
      <x:c r="H5814" s="6">
        <x:v>46242.108300844906</x:v>
      </x:c>
      <x:c r="I5814" s="0"/>
      <x:c r="J5814" s="0"/>
      <x:c r="K5814" s="6">
        <x:v>46253.727195520834</x:v>
      </x:c>
      <x:c r="L5814" t="str" s="2">
        <x:v>On Hold</x:v>
      </x:c>
    </x:row>
    <x:row r="5815">
      <x:c r="A5815" t="str" s="2">
        <x:f>="Amber Powers"</x:f>
      </x:c>
      <x:c r="B5815" t="str" s="2">
        <x:v>Heritage Housing of Albany</x:v>
      </x:c>
      <x:c r="C5815" t="str" s="2">
        <x:v>1/1</x:v>
      </x:c>
      <x:c r="D5815" t="str" s="2">
        <x:v>9368993070</x:v>
      </x:c>
      <x:c r="E5815" t="str" s="2">
        <x:v>amberpowers970106@gmail.com</x:v>
      </x:c>
      <x:c r="F5815" t="str" s="2">
        <x:v>Landing_BPM</x:v>
      </x:c>
      <x:c r="G5815" t="str" s="2">
        <x:v>Justin Johnson</x:v>
      </x:c>
      <x:c r="H5815" s="6">
        <x:v>46244.61493263889</x:v>
      </x:c>
      <x:c r="I5815" s="0"/>
      <x:c r="J5815" s="0"/>
      <x:c r="K5815" s="6">
        <x:v>46261.667789467596</x:v>
      </x:c>
      <x:c r="L5815" t="str" s="2">
        <x:v>On Hold</x:v>
      </x:c>
    </x:row>
    <x:row r="5816">
      <x:c r="A5816" t="str" s="2">
        <x:f>="Gilbert Morgan"</x:f>
      </x:c>
      <x:c r="B5816" t="str" s="2">
        <x:v>Heritage Housing of Albany</x:v>
      </x:c>
      <x:c r="C5816" t="str" s="2">
        <x:v>1/1</x:v>
      </x:c>
      <x:c r="D5816" t="str" s="2">
        <x:v>2293926895</x:v>
      </x:c>
      <x:c r="E5816" t="str" s="2">
        <x:v>gm3046112@gmail.com</x:v>
      </x:c>
      <x:c r="F5816" t="str" s="2">
        <x:v>Landing_BPM</x:v>
      </x:c>
      <x:c r="G5816" t="str" s="2">
        <x:v>Yanet Alvarez</x:v>
      </x:c>
      <x:c r="H5816" s="6">
        <x:v>46260.513728391204</x:v>
      </x:c>
      <x:c r="I5816" s="0"/>
      <x:c r="J5816" s="0"/>
      <x:c r="K5816" s="6">
        <x:v>46260.66154498843</x:v>
      </x:c>
      <x:c r="L5816" t="str" s="2">
        <x:v>On Hold</x:v>
      </x:c>
    </x:row>
    <x:row r="5817">
      <x:c r="A5817" t="str" s="2">
        <x:f>="Mary Williams"</x:f>
      </x:c>
      <x:c r="B5817" t="str" s="2">
        <x:v>Heritage Housing of Athens</x:v>
      </x:c>
      <x:c r="C5817" t="str" s="2">
        <x:v>1/1</x:v>
      </x:c>
      <x:c r="D5817" t="str" s="2">
        <x:v>6782804684</x:v>
      </x:c>
      <x:c r="E5817" t="str" s="2">
        <x:v>mlw685@icloud.com</x:v>
      </x:c>
      <x:c r="F5817" t="str" s="2">
        <x:v>Landing_BPM</x:v>
      </x:c>
      <x:c r="G5817" t="str" s="2">
        <x:v>Nathan Bishop</x:v>
      </x:c>
      <x:c r="H5817" s="6">
        <x:v>46273.67691322917</x:v>
      </x:c>
      <x:c r="I5817" s="0"/>
      <x:c r="J5817" s="0"/>
      <x:c r="K5817" s="6">
        <x:v>46273.72508283565</x:v>
      </x:c>
      <x:c r="L5817" t="str" s="2">
        <x:v>On Hold</x:v>
      </x:c>
    </x:row>
    <x:row r="5818">
      <x:c r="A5818" t="str" s="2">
        <x:f>="Felicia Grubbs"</x:f>
      </x:c>
      <x:c r="B5818" t="str" s="2">
        <x:v>Heritage Housing of Albany</x:v>
      </x:c>
      <x:c r="C5818" t="str" s="2">
        <x:v>1/1</x:v>
      </x:c>
      <x:c r="D5818" t="str" s="2">
        <x:v>3345681680</x:v>
      </x:c>
      <x:c r="E5818" t="str" s="2">
        <x:v>grubbsfelecia14@gmail.com</x:v>
      </x:c>
      <x:c r="F5818" t="str" s="2">
        <x:v>Youtube</x:v>
      </x:c>
      <x:c r="G5818" t="str" s="2">
        <x:v>Yanet Alvarez</x:v>
      </x:c>
      <x:c r="H5818" s="6">
        <x:v>46280.976973032404</x:v>
      </x:c>
      <x:c r="I5818" s="0"/>
      <x:c r="J5818" s="0"/>
      <x:c r="K5818" s="6">
        <x:v>46281.60629459491</x:v>
      </x:c>
      <x:c r="L5818" t="str" s="2">
        <x:v>On Hold</x:v>
      </x:c>
    </x:row>
    <x:row r="5819">
      <x:c r="A5819" t="str" s="2">
        <x:f>="Stefanie"</x:f>
      </x:c>
      <x:c r="B5819" s="0"/>
      <x:c r="C5819" t="str" s="2">
        <x:v/>
      </x:c>
      <x:c r="D5819" t="str" s="2">
        <x:v>7138355583</x:v>
      </x:c>
      <x:c r="E5819" t="str" s="2">
        <x:v>stefanielongoria04@gmail.com</x:v>
      </x:c>
      <x:c r="F5819" t="str" s="2">
        <x:v>Cliengo Bot</x:v>
      </x:c>
      <x:c r="G5819" t="str" s="2">
        <x:v>Rodrigo Ramirez</x:v>
      </x:c>
      <x:c r="H5819" s="6">
        <x:v>46262.61065737269</x:v>
      </x:c>
      <x:c r="I5819" s="0"/>
      <x:c r="J5819" s="0"/>
      <x:c r="K5819" s="6">
        <x:v>46268</x:v>
      </x:c>
      <x:c r="L5819" t="str" s="2">
        <x:v>Recontact</x:v>
      </x:c>
    </x:row>
    <x:row r="5820">
      <x:c r="A5820" t="str" s="2">
        <x:f>="April Evans"</x:f>
      </x:c>
      <x:c r="B5820" s="0"/>
      <x:c r="C5820" t="str" s="2">
        <x:v/>
      </x:c>
      <x:c r="D5820" t="str" s="2">
        <x:v>9014264127</x:v>
      </x:c>
      <x:c r="E5820" t="str" s="2">
        <x:v>eapril543@gmail.com</x:v>
      </x:c>
      <x:c r="F5820" t="str" s="2">
        <x:v>Cliengo Bot</x:v>
      </x:c>
      <x:c r="G5820" t="str" s="2">
        <x:v>Trey Rixleben</x:v>
      </x:c>
      <x:c r="H5820" s="6">
        <x:v>46281.87094768519</x:v>
      </x:c>
      <x:c r="I5820" s="0"/>
      <x:c r="J5820" s="0"/>
      <x:c r="K5820" s="0"/>
      <x:c r="L5820" t="str" s="2">
        <x:v>Recontact</x:v>
      </x:c>
    </x:row>
    <x:row r="5821">
      <x:c r="A5821" t="str" s="2">
        <x:f>=HYPERLINK("https://rsms.futurehomex.com/lead/38199", "Theresa Davis")</x:f>
      </x:c>
      <x:c r="B5821" t="str" s="2">
        <x:v>Heritage Housing of Augusta</x:v>
      </x:c>
      <x:c r="C5821" t="str" s="2">
        <x:v/>
      </x:c>
      <x:c r="D5821" t="str" s="2">
        <x:v>7068773010</x:v>
      </x:c>
      <x:c r="E5821" t="str" s="2">
        <x:v>theresadavis508@gmail.com</x:v>
      </x:c>
      <x:c r="F5821" t="str" s="2">
        <x:v>Walk-in</x:v>
      </x:c>
      <x:c r="G5821" t="str" s="2">
        <x:v>LeeAnne Newsome</x:v>
      </x:c>
      <x:c r="H5821" s="6">
        <x:v>46204.560127233795</x:v>
      </x:c>
      <x:c r="I5821" t="str" s="2">
        <x:v>Faye Lively</x:v>
      </x:c>
      <x:c r="J5821" s="0"/>
      <x:c r="K5821" s="6">
        <x:v>46204.560127233795</x:v>
      </x:c>
      <x:c r="L5821" t="str" s="2">
        <x:v>Show</x:v>
      </x:c>
    </x:row>
    <x:row r="5822">
      <x:c r="A5822" t="str" s="2">
        <x:f>=HYPERLINK("https://rsms.futurehomex.com/lead/38211", "Darrin Nichols")</x:f>
      </x:c>
      <x:c r="B5822" t="str" s="2">
        <x:v>Heritage Housing of Asheboro</x:v>
      </x:c>
      <x:c r="C5822" t="str" s="2">
        <x:v/>
      </x:c>
      <x:c r="D5822" t="str" s="2">
        <x:v>7432397655</x:v>
      </x:c>
      <x:c r="E5822" t="str" s="2">
        <x:v>trulyble55ed4ever1@gmail.com</x:v>
      </x:c>
      <x:c r="F5822" t="str" s="2">
        <x:v>Walk-in</x:v>
      </x:c>
      <x:c r="G5822" s="0"/>
      <x:c r="H5822" s="6">
        <x:v>46204.64408672454</x:v>
      </x:c>
      <x:c r="I5822" t="str" s="2">
        <x:v>Maria Lopez</x:v>
      </x:c>
      <x:c r="J5822" s="0"/>
      <x:c r="K5822" s="0"/>
      <x:c r="L5822" t="str" s="2">
        <x:v>Show</x:v>
      </x:c>
    </x:row>
    <x:row r="5823">
      <x:c r="A5823" t="str" s="2">
        <x:f>=HYPERLINK("https://rsms.futurehomex.com/lead/38204", "Karen Gardner")</x:f>
      </x:c>
      <x:c r="B5823" t="str" s="2">
        <x:v>Heritage Housing of Asheboro</x:v>
      </x:c>
      <x:c r="C5823" t="str" s="2">
        <x:v/>
      </x:c>
      <x:c r="D5823" t="str" s="2">
        <x:v>2527673222</x:v>
      </x:c>
      <x:c r="E5823" t="str" s="2">
        <x:v>zacxmom@gmail.com</x:v>
      </x:c>
      <x:c r="F5823" t="str" s="2">
        <x:v>Walk-in</x:v>
      </x:c>
      <x:c r="G5823" s="0"/>
      <x:c r="H5823" s="6">
        <x:v>46204.67400798611</x:v>
      </x:c>
      <x:c r="I5823" t="str" s="2">
        <x:v>Maria Lopez</x:v>
      </x:c>
      <x:c r="J5823" s="0"/>
      <x:c r="K5823" s="0"/>
      <x:c r="L5823" t="str" s="2">
        <x:v>Show</x:v>
      </x:c>
    </x:row>
    <x:row r="5824">
      <x:c r="A5824" t="str" s="2">
        <x:f>=HYPERLINK("https://rsms.futurehomex.com/lead/38206", "Vickie Howell")</x:f>
      </x:c>
      <x:c r="B5824" t="str" s="2">
        <x:v>Heritage Housing of Asheboro</x:v>
      </x:c>
      <x:c r="C5824" t="str" s="2">
        <x:v/>
      </x:c>
      <x:c r="D5824" t="str" s="2">
        <x:v>3366863712</x:v>
      </x:c>
      <x:c r="E5824" t="str" s="2">
        <x:v>vickiegrn2@gmail.com</x:v>
      </x:c>
      <x:c r="F5824" t="str" s="2">
        <x:v>Walk-in</x:v>
      </x:c>
      <x:c r="G5824" s="0"/>
      <x:c r="H5824" s="6">
        <x:v>46204.69613503472</x:v>
      </x:c>
      <x:c r="I5824" t="str" s="2">
        <x:v>Maria Lopez</x:v>
      </x:c>
      <x:c r="J5824" s="0"/>
      <x:c r="K5824" s="0"/>
      <x:c r="L5824" t="str" s="2">
        <x:v>Show</x:v>
      </x:c>
    </x:row>
    <x:row r="5825">
      <x:c r="A5825" t="str" s="2">
        <x:f>=HYPERLINK("https://rsms.futurehomex.com/lead/38208", "Lidia Hernandez")</x:f>
      </x:c>
      <x:c r="B5825" t="str" s="2">
        <x:v>Heritage Housing Mt Pleasant</x:v>
      </x:c>
      <x:c r="C5825" t="str" s="2">
        <x:v/>
      </x:c>
      <x:c r="D5825" t="str" s="2">
        <x:v>3137212543</x:v>
      </x:c>
      <x:c r="E5825" t="str" s="2">
        <x:v>3137212543</x:v>
      </x:c>
      <x:c r="F5825" t="str" s="2">
        <x:v>Website</x:v>
      </x:c>
      <x:c r="G5825" t="str" s="2">
        <x:v>Yarelis Torres</x:v>
      </x:c>
      <x:c r="H5825" s="6">
        <x:v>46204.718468402774</x:v>
      </x:c>
      <x:c r="I5825" t="str" s="2">
        <x:v>Yarelis Torres</x:v>
      </x:c>
      <x:c r="J5825" s="6">
        <x:v>46204.9375</x:v>
      </x:c>
      <x:c r="K5825" s="6">
        <x:v>46204.72307681713</x:v>
      </x:c>
      <x:c r="L5825" t="str" s="2">
        <x:v>Show</x:v>
      </x:c>
    </x:row>
    <x:row r="5826">
      <x:c r="A5826" t="str" s="2">
        <x:f>=HYPERLINK("https://rsms.futurehomex.com/lead/38209", "Lori Joiner")</x:f>
      </x:c>
      <x:c r="B5826" t="str" s="2">
        <x:v>Heritage Housing Mt Pleasant</x:v>
      </x:c>
      <x:c r="C5826" t="str" s="2">
        <x:v/>
      </x:c>
      <x:c r="D5826" t="str" s="2">
        <x:v>9039466958</x:v>
      </x:c>
      <x:c r="E5826" t="str" s="2">
        <x:v>9039466958</x:v>
      </x:c>
      <x:c r="F5826" t="str" s="2">
        <x:v>Meta Ads - Messenger</x:v>
      </x:c>
      <x:c r="G5826" t="str" s="2">
        <x:v>Yarelis Torres</x:v>
      </x:c>
      <x:c r="H5826" s="6">
        <x:v>46204.72796797454</x:v>
      </x:c>
      <x:c r="I5826" t="str" s="2">
        <x:v>Yarelis Torres</x:v>
      </x:c>
      <x:c r="J5826" s="6">
        <x:v>46204.98611111111</x:v>
      </x:c>
      <x:c r="K5826" s="6">
        <x:v>46204.74050373842</x:v>
      </x:c>
      <x:c r="L5826" t="str" s="2">
        <x:v>Show</x:v>
      </x:c>
    </x:row>
    <x:row r="5827">
      <x:c r="A5827" t="str" s="2">
        <x:f>=HYPERLINK("https://rsms.futurehomex.com/lead/38210", "Juan Saldana")</x:f>
      </x:c>
      <x:c r="B5827" t="str" s="2">
        <x:v>Heritage Housing Mt Pleasant</x:v>
      </x:c>
      <x:c r="C5827" t="str" s="2">
        <x:v/>
      </x:c>
      <x:c r="D5827" t="str" s="2">
        <x:v>9034343516</x:v>
      </x:c>
      <x:c r="E5827" t="str" s="2">
        <x:v>9034343516</x:v>
      </x:c>
      <x:c r="F5827" t="str" s="2">
        <x:v>Meta Ads - Messenger</x:v>
      </x:c>
      <x:c r="G5827" t="str" s="2">
        <x:v>Sandra Saldana</x:v>
      </x:c>
      <x:c r="H5827" s="6">
        <x:v>46204.73109328704</x:v>
      </x:c>
      <x:c r="I5827" t="str" s="2">
        <x:v>Sandra Saldana</x:v>
      </x:c>
      <x:c r="J5827" s="6">
        <x:v>46204.760416666664</x:v>
      </x:c>
      <x:c r="K5827" s="6">
        <x:v>46214.762079548615</x:v>
      </x:c>
      <x:c r="L5827" t="str" s="2">
        <x:v>Show</x:v>
      </x:c>
    </x:row>
    <x:row r="5828">
      <x:c r="A5828" t="str" s="2">
        <x:f>=HYPERLINK("https://rsms.futurehomex.com/lead/38212", "Elpidio Herrera")</x:f>
      </x:c>
      <x:c r="B5828" t="str" s="2">
        <x:v>Heritage Housing of Asheboro</x:v>
      </x:c>
      <x:c r="C5828" t="str" s="2">
        <x:v/>
      </x:c>
      <x:c r="D5828" t="str" s="2">
        <x:v>9195485903</x:v>
      </x:c>
      <x:c r="E5828" t="str" s="2">
        <x:v>elpidioherrera4242@gmail.co</x:v>
      </x:c>
      <x:c r="F5828" t="str" s="2">
        <x:v>Walk-in</x:v>
      </x:c>
      <x:c r="G5828" s="0"/>
      <x:c r="H5828" s="6">
        <x:v>46204.74632954861</x:v>
      </x:c>
      <x:c r="I5828" t="str" s="2">
        <x:v>Maria Lopez</x:v>
      </x:c>
      <x:c r="J5828" s="0"/>
      <x:c r="K5828" s="0"/>
      <x:c r="L5828" t="str" s="2">
        <x:v>Show</x:v>
      </x:c>
    </x:row>
    <x:row r="5829">
      <x:c r="A5829" t="str" s="2">
        <x:f>=HYPERLINK("https://rsms.futurehomex.com/lead/38223", "SUZANNE WADE")</x:f>
      </x:c>
      <x:c r="B5829" t="str" s="2">
        <x:v>Legacy Housing Corp. DBA Americasa</x:v>
      </x:c>
      <x:c r="C5829" t="str" s="2">
        <x:v/>
      </x:c>
      <x:c r="D5829" t="str" s="2">
        <x:v>3464489488</x:v>
      </x:c>
      <x:c r="E5829" t="str" s="2">
        <x:v>suewade46@gmail.com</x:v>
      </x:c>
      <x:c r="F5829" t="str" s="2">
        <x:v>Walk-in</x:v>
      </x:c>
      <x:c r="G5829" s="0"/>
      <x:c r="H5829" s="6">
        <x:v>46204.80085540509</x:v>
      </x:c>
      <x:c r="I5829" t="str" s="2">
        <x:v>Jose Parada</x:v>
      </x:c>
      <x:c r="J5829" s="0"/>
      <x:c r="K5829" s="0"/>
      <x:c r="L5829" t="str" s="2">
        <x:v>Show</x:v>
      </x:c>
    </x:row>
    <x:row r="5830">
      <x:c r="A5830" t="str" s="2">
        <x:f>=HYPERLINK("https://rsms.futurehomex.com/lead/38217", "Brent Rudoleh")</x:f>
      </x:c>
      <x:c r="B5830" t="str" s="2">
        <x:v>Heritage Housing Mt Pleasant</x:v>
      </x:c>
      <x:c r="C5830" t="str" s="2">
        <x:v/>
      </x:c>
      <x:c r="D5830" t="str" s="2">
        <x:v>4062240309</x:v>
      </x:c>
      <x:c r="E5830" t="str" s="2">
        <x:v>4062240309</x:v>
      </x:c>
      <x:c r="F5830" t="str" s="2">
        <x:v>Website</x:v>
      </x:c>
      <x:c r="G5830" t="str" s="2">
        <x:v>Yarelis Torres</x:v>
      </x:c>
      <x:c r="H5830" s="6">
        <x:v>46204.832506516206</x:v>
      </x:c>
      <x:c r="I5830" t="str" s="2">
        <x:v>Yarelis Torres</x:v>
      </x:c>
      <x:c r="J5830" s="6">
        <x:v>46204.791666666664</x:v>
      </x:c>
      <x:c r="K5830" s="6">
        <x:v>46205.005329085645</x:v>
      </x:c>
      <x:c r="L5830" t="str" s="2">
        <x:v>Show</x:v>
      </x:c>
    </x:row>
    <x:row r="5831">
      <x:c r="A5831" t="str" s="2">
        <x:f>=HYPERLINK("https://rsms.futurehomex.com/lead/38219", "Nicholas Zitzloff")</x:f>
      </x:c>
      <x:c r="B5831" t="str" s="2">
        <x:v>Heritage Housing of Asheboro</x:v>
      </x:c>
      <x:c r="C5831" t="str" s="2">
        <x:v/>
      </x:c>
      <x:c r="D5831" t="str" s="2">
        <x:v>3332596628</x:v>
      </x:c>
      <x:c r="E5831" t="str" s="2">
        <x:v>nickzitzloff@gmaill.com</x:v>
      </x:c>
      <x:c r="F5831" t="str" s="2">
        <x:v>Walk-in</x:v>
      </x:c>
      <x:c r="G5831" s="0"/>
      <x:c r="H5831" s="6">
        <x:v>46204.89712017361</x:v>
      </x:c>
      <x:c r="I5831" t="str" s="2">
        <x:v>Maria Lopez</x:v>
      </x:c>
      <x:c r="J5831" s="0"/>
      <x:c r="K5831" s="0"/>
      <x:c r="L5831" t="str" s="2">
        <x:v>Show</x:v>
      </x:c>
    </x:row>
    <x:row r="5832">
      <x:c r="A5832" t="str" s="2">
        <x:f>=HYPERLINK("https://rsms.futurehomex.com/lead/38302", "Sanjuanita Leyva")</x:f>
      </x:c>
      <x:c r="B5832" t="str" s="2">
        <x:v>Legacy Housing Corp. DBA Americasa</x:v>
      </x:c>
      <x:c r="C5832" t="str" s="2">
        <x:v/>
      </x:c>
      <x:c r="D5832" t="str" s="2">
        <x:v>3463339412</x:v>
      </x:c>
      <x:c r="E5832" t="str" s="2">
        <x:v>3463339412</x:v>
      </x:c>
      <x:c r="F5832" t="str" s="2">
        <x:v>WhatsApp</x:v>
      </x:c>
      <x:c r="G5832" t="str" s="2">
        <x:v>Rodrigo Ramirez</x:v>
      </x:c>
      <x:c r="H5832" s="6">
        <x:v>46204.99260894676</x:v>
      </x:c>
      <x:c r="I5832" t="str" s="2">
        <x:v>Joey Marquez</x:v>
      </x:c>
      <x:c r="J5832" s="6">
        <x:v>46217.666666666664</x:v>
      </x:c>
      <x:c r="K5832" s="6">
        <x:v>46296.7376224537</x:v>
      </x:c>
      <x:c r="L5832" t="str" s="2">
        <x:v>Show</x:v>
      </x:c>
    </x:row>
    <x:row r="5833">
      <x:c r="A5833" t="str" s="2">
        <x:f>=HYPERLINK("https://rsms.futurehomex.com/lead/38224", "Brooklynn Allen")</x:f>
      </x:c>
      <x:c r="B5833" t="str" s="2">
        <x:v>Heritage Housing of Greenville</x:v>
      </x:c>
      <x:c r="C5833" t="str" s="2">
        <x:v/>
      </x:c>
      <x:c r="D5833" t="str" s="2">
        <x:v>9034368004</x:v>
      </x:c>
      <x:c r="E5833" t="str" s="2">
        <x:v>9034368004</x:v>
      </x:c>
      <x:c r="F5833" t="str" s="2">
        <x:v>Greenville</x:v>
      </x:c>
      <x:c r="G5833" t="str" s="2">
        <x:v>Brandie Sartor</x:v>
      </x:c>
      <x:c r="H5833" s="6">
        <x:v>46205.532905092594</x:v>
      </x:c>
      <x:c r="I5833" t="str" s="2">
        <x:v>Brandie Sartor</x:v>
      </x:c>
      <x:c r="J5833" s="0"/>
      <x:c r="K5833" s="6">
        <x:v>46205.532905092594</x:v>
      </x:c>
      <x:c r="L5833" t="str" s="2">
        <x:v>Show</x:v>
      </x:c>
    </x:row>
    <x:row r="5834">
      <x:c r="A5834" t="str" s="2">
        <x:f>=HYPERLINK("https://rsms.futurehomex.com/lead/38226", "Rebecca Taylor")</x:f>
      </x:c>
      <x:c r="B5834" t="str" s="2">
        <x:v>Heritage Housing of Canton</x:v>
      </x:c>
      <x:c r="C5834" t="str" s="2">
        <x:v/>
      </x:c>
      <x:c r="D5834" t="str" s="2">
        <x:v>2143924792</x:v>
      </x:c>
      <x:c r="E5834" t="str" s="2">
        <x:v>2143924792</x:v>
      </x:c>
      <x:c r="F5834" t="str" s="2">
        <x:v>Canton</x:v>
      </x:c>
      <x:c r="G5834" t="str" s="2">
        <x:v>Melanie Auclair</x:v>
      </x:c>
      <x:c r="H5834" s="6">
        <x:v>46205.59784042824</x:v>
      </x:c>
      <x:c r="I5834" t="str" s="2">
        <x:v>Adriana Jaimes-Martinez</x:v>
      </x:c>
      <x:c r="J5834" s="0"/>
      <x:c r="K5834" s="6">
        <x:v>46205.59784042824</x:v>
      </x:c>
      <x:c r="L5834" t="str" s="2">
        <x:v>Show</x:v>
      </x:c>
    </x:row>
    <x:row r="5835">
      <x:c r="A5835" t="str" s="2">
        <x:f>=HYPERLINK("https://rsms.futurehomex.com/lead/38229", "Celia Soto")</x:f>
      </x:c>
      <x:c r="B5835" t="str" s="2">
        <x:v>Heritage Housing of Oklahoma City</x:v>
      </x:c>
      <x:c r="C5835" t="str" s="2">
        <x:v/>
      </x:c>
      <x:c r="D5835" t="str" s="2">
        <x:v>4054353986</x:v>
      </x:c>
      <x:c r="E5835" t="str" s="2">
        <x:v>SOTOOPHELIA77@GMAIL.COM</x:v>
      </x:c>
      <x:c r="F5835" t="str" s="2">
        <x:v>Office Hot Calls</x:v>
      </x:c>
      <x:c r="G5835" t="str" s="2">
        <x:v>Steve Castell</x:v>
      </x:c>
      <x:c r="H5835" s="6">
        <x:v>46205.67790436342</x:v>
      </x:c>
      <x:c r="I5835" t="str" s="2">
        <x:v>Alejandra Calderon</x:v>
      </x:c>
      <x:c r="J5835" s="6">
        <x:v>46208.833333333336</x:v>
      </x:c>
      <x:c r="K5835" s="6">
        <x:v>46208.785806597225</x:v>
      </x:c>
      <x:c r="L5835" t="str" s="2">
        <x:v>Show</x:v>
      </x:c>
    </x:row>
    <x:row r="5836">
      <x:c r="A5836" t="str" s="2">
        <x:f>=HYPERLINK("https://rsms.futurehomex.com/lead/38238", "Jamie Edwards")</x:f>
      </x:c>
      <x:c r="B5836" t="str" s="2">
        <x:v>Heritage Housing of Oklahoma City</x:v>
      </x:c>
      <x:c r="C5836" t="str" s="2">
        <x:v>0/1</x:v>
      </x:c>
      <x:c r="D5836" t="str" s="2">
        <x:v>4055414126</x:v>
      </x:c>
      <x:c r="E5836" t="str" s="2">
        <x:v/>
      </x:c>
      <x:c r="F5836" t="str" s="2">
        <x:v>Facebook Messenger</x:v>
      </x:c>
      <x:c r="G5836" t="str" s="2">
        <x:v>Steve Castell</x:v>
      </x:c>
      <x:c r="H5836" s="6">
        <x:v>46205.7919878125</x:v>
      </x:c>
      <x:c r="I5836" t="str" s="2">
        <x:v>Trey Rixleben</x:v>
      </x:c>
      <x:c r="J5836" s="6">
        <x:v>46205.854166666664</x:v>
      </x:c>
      <x:c r="K5836" s="6">
        <x:v>46219.973335104165</x:v>
      </x:c>
      <x:c r="L5836" t="str" s="2">
        <x:v>Show</x:v>
      </x:c>
    </x:row>
    <x:row r="5837">
      <x:c r="A5837" t="str" s="2">
        <x:f>=HYPERLINK("https://rsms.futurehomex.com/lead/38241", "Arelis Planes")</x:f>
      </x:c>
      <x:c r="B5837" t="str" s="2">
        <x:v>Legacy Housing Corp. DBA Americasa</x:v>
      </x:c>
      <x:c r="C5837" t="str" s="2">
        <x:v/>
      </x:c>
      <x:c r="D5837" t="str" s="2">
        <x:v>8328725920</x:v>
      </x:c>
      <x:c r="E5837" t="str" s="2">
        <x:v>arelisplanes@gmail.com</x:v>
      </x:c>
      <x:c r="F5837" t="str" s="2">
        <x:v>Website</x:v>
      </x:c>
      <x:c r="G5837" t="str" s="2">
        <x:v>Rodrigo Ramirez</x:v>
      </x:c>
      <x:c r="H5837" s="6">
        <x:v>46205.82884178241</x:v>
      </x:c>
      <x:c r="I5837" t="str" s="2">
        <x:v>Joey Marquez</x:v>
      </x:c>
      <x:c r="J5837" s="6">
        <x:v>46214.645833333336</x:v>
      </x:c>
      <x:c r="K5837" s="6">
        <x:v>46298.85479278935</x:v>
      </x:c>
      <x:c r="L5837" t="str" s="2">
        <x:v>Show</x:v>
      </x:c>
    </x:row>
    <x:row r="5838">
      <x:c r="A5838" t="str" s="2">
        <x:f>=HYPERLINK("https://rsms.futurehomex.com/lead/38451", "Eduardo Labrada Hernandez")</x:f>
      </x:c>
      <x:c r="B5838" t="str" s="2">
        <x:v>Legacy Housing Corp. DBA Americasa</x:v>
      </x:c>
      <x:c r="C5838" t="str" s="2">
        <x:v/>
      </x:c>
      <x:c r="D5838" t="str" s="2">
        <x:v>7864287048</x:v>
      </x:c>
      <x:c r="E5838" t="str" s="2">
        <x:v>eduardolabrada@gmail.com</x:v>
      </x:c>
      <x:c r="F5838" t="str" s="2">
        <x:v>Terrenos Houston</x:v>
      </x:c>
      <x:c r="G5838" t="str" s="2">
        <x:v>Rodrigo Ramirez</x:v>
      </x:c>
      <x:c r="H5838" s="6">
        <x:v>46205.92012986111</x:v>
      </x:c>
      <x:c r="I5838" t="str" s="2">
        <x:v>Rodrigo Ramirez</x:v>
      </x:c>
      <x:c r="J5838" s="6">
        <x:v>46278.149305555555</x:v>
      </x:c>
      <x:c r="K5838" s="6">
        <x:v>46277.879208680555</x:v>
      </x:c>
      <x:c r="L5838" t="str" s="2">
        <x:v>Show</x:v>
      </x:c>
    </x:row>
    <x:row r="5839">
      <x:c r="A5839" t="str" s="2">
        <x:f>=HYPERLINK("https://rsms.futurehomex.com/lead/38249", "Gloria Rodas")</x:f>
      </x:c>
      <x:c r="B5839" t="str" s="2">
        <x:v>Heritage Housing of Asheboro</x:v>
      </x:c>
      <x:c r="C5839" t="str" s="2">
        <x:v/>
      </x:c>
      <x:c r="D5839" t="str" s="2">
        <x:v>3364253255</x:v>
      </x:c>
      <x:c r="E5839" t="str" s="2">
        <x:v>estela_cea9@hotmail.com</x:v>
      </x:c>
      <x:c r="F5839" t="str" s="2">
        <x:v>Walk-in</x:v>
      </x:c>
      <x:c r="G5839" s="0"/>
      <x:c r="H5839" s="6">
        <x:v>46206.60386658565</x:v>
      </x:c>
      <x:c r="I5839" t="str" s="2">
        <x:v>Maria Lopez</x:v>
      </x:c>
      <x:c r="J5839" s="0"/>
      <x:c r="K5839" s="0"/>
      <x:c r="L5839" t="str" s="2">
        <x:v>Show</x:v>
      </x:c>
    </x:row>
    <x:row r="5840">
      <x:c r="A5840" t="str" s="2">
        <x:f>=HYPERLINK("https://rsms.futurehomex.com/lead/38254", "Guadalupe Santos")</x:f>
      </x:c>
      <x:c r="B5840" t="str" s="2">
        <x:v>Heritage Housing of Asheboro</x:v>
      </x:c>
      <x:c r="C5840" t="str" s="2">
        <x:v/>
      </x:c>
      <x:c r="D5840" t="str" s="2">
        <x:v>8287726449</x:v>
      </x:c>
      <x:c r="E5840" t="str" s="2">
        <x:v>lupitasantos2994@icloud.com</x:v>
      </x:c>
      <x:c r="F5840" t="str" s="2">
        <x:v>Walk-in</x:v>
      </x:c>
      <x:c r="G5840" s="0"/>
      <x:c r="H5840" s="6">
        <x:v>46206.608469363426</x:v>
      </x:c>
      <x:c r="I5840" t="str" s="2">
        <x:v>Maria Lopez</x:v>
      </x:c>
      <x:c r="J5840" s="0"/>
      <x:c r="K5840" s="0"/>
      <x:c r="L5840" t="str" s="2">
        <x:v>Show</x:v>
      </x:c>
    </x:row>
    <x:row r="5841">
      <x:c r="A5841" t="str" s="2">
        <x:f>=HYPERLINK("https://rsms.futurehomex.com/lead/38250", "Paul Greer")</x:f>
      </x:c>
      <x:c r="B5841" t="str" s="2">
        <x:v>Heritage Housing of Greenville</x:v>
      </x:c>
      <x:c r="C5841" t="str" s="2">
        <x:v/>
      </x:c>
      <x:c r="D5841" t="str" s="2">
        <x:v>3182359991</x:v>
      </x:c>
      <x:c r="E5841" t="str" s="2">
        <x:v>3182359991</x:v>
      </x:c>
      <x:c r="F5841" t="str" s="2">
        <x:v>Facebook Messenger</x:v>
      </x:c>
      <x:c r="G5841" t="str" s="2">
        <x:v>Brandie Sartor</x:v>
      </x:c>
      <x:c r="H5841" s="6">
        <x:v>46206.61732326389</x:v>
      </x:c>
      <x:c r="I5841" t="str" s="2">
        <x:v>Greg Christman</x:v>
      </x:c>
      <x:c r="J5841" s="0"/>
      <x:c r="K5841" s="6">
        <x:v>46206.61732326389</x:v>
      </x:c>
      <x:c r="L5841" t="str" s="2">
        <x:v>Show</x:v>
      </x:c>
    </x:row>
    <x:row r="5842">
      <x:c r="A5842" t="str" s="2">
        <x:f>=HYPERLINK("https://rsms.futurehomex.com/lead/38256", "Borislav Karaman")</x:f>
      </x:c>
      <x:c r="B5842" t="str" s="2">
        <x:v>Heritage Housing of Asheboro</x:v>
      </x:c>
      <x:c r="C5842" t="str" s="2">
        <x:v/>
      </x:c>
      <x:c r="D5842" t="str" s="2">
        <x:v>3367402246</x:v>
      </x:c>
      <x:c r="E5842" t="str" s="2">
        <x:v>borusija@aol.com</x:v>
      </x:c>
      <x:c r="F5842" t="str" s="2">
        <x:v>Walk-in</x:v>
      </x:c>
      <x:c r="G5842" s="0"/>
      <x:c r="H5842" s="6">
        <x:v>46206.69437839121</x:v>
      </x:c>
      <x:c r="I5842" t="str" s="2">
        <x:v>Maria Lopez</x:v>
      </x:c>
      <x:c r="J5842" s="0"/>
      <x:c r="K5842" s="0"/>
      <x:c r="L5842" t="str" s="2">
        <x:v>Show</x:v>
      </x:c>
    </x:row>
    <x:row r="5843">
      <x:c r="A5843" t="str" s="2">
        <x:f>=HYPERLINK("https://rsms.futurehomex.com/lead/38260", "Marco Lopez")</x:f>
      </x:c>
      <x:c r="B5843" t="str" s="2">
        <x:v>Heritage Housing Mt Pleasant</x:v>
      </x:c>
      <x:c r="C5843" t="str" s="2">
        <x:v/>
      </x:c>
      <x:c r="D5843" t="str" s="2">
        <x:v>9034346119</x:v>
      </x:c>
      <x:c r="E5843" t="str" s="2">
        <x:v>9034346119</x:v>
      </x:c>
      <x:c r="F5843" t="str" s="2">
        <x:v>META Ads</x:v>
      </x:c>
      <x:c r="G5843" t="str" s="2">
        <x:v>Yarelis Torres</x:v>
      </x:c>
      <x:c r="H5843" s="6">
        <x:v>46206.8453446412</x:v>
      </x:c>
      <x:c r="I5843" t="str" s="2">
        <x:v>Yarelis Torres</x:v>
      </x:c>
      <x:c r="J5843" s="6">
        <x:v>46206.75</x:v>
      </x:c>
      <x:c r="K5843" s="6">
        <x:v>46206.96527303241</x:v>
      </x:c>
      <x:c r="L5843" t="str" s="2">
        <x:v>Show</x:v>
      </x:c>
    </x:row>
    <x:row r="5844">
      <x:c r="A5844" t="str" s="2">
        <x:f>=HYPERLINK("https://rsms.futurehomex.com/lead/38357", "Debra Newton")</x:f>
      </x:c>
      <x:c r="B5844" t="str" s="2">
        <x:v>Heritage Housing Mt Pleasant</x:v>
      </x:c>
      <x:c r="C5844" t="str" s="2">
        <x:v/>
      </x:c>
      <x:c r="D5844" t="str" s="2">
        <x:v>9036013390</x:v>
      </x:c>
      <x:c r="E5844" t="str" s="2">
        <x:v>debnewt906@msn.com</x:v>
      </x:c>
      <x:c r="F5844" t="str" s="2">
        <x:v>Website</x:v>
      </x:c>
      <x:c r="G5844" t="str" s="2">
        <x:v>Yarelis Torres</x:v>
      </x:c>
      <x:c r="H5844" s="6">
        <x:v>46208.87707928241</x:v>
      </x:c>
      <x:c r="I5844" t="str" s="2">
        <x:v>Yarelis Torres</x:v>
      </x:c>
      <x:c r="J5844" s="6">
        <x:v>46211.708333333336</x:v>
      </x:c>
      <x:c r="K5844" s="6">
        <x:v>46211.9788008912</x:v>
      </x:c>
      <x:c r="L5844" t="str" s="2">
        <x:v>Show</x:v>
      </x:c>
    </x:row>
    <x:row r="5845">
      <x:c r="A5845" t="str" s="2">
        <x:f>=HYPERLINK("https://rsms.futurehomex.com/lead/38265", "John Griffith")</x:f>
      </x:c>
      <x:c r="B5845" t="str" s="2">
        <x:v>Heritage Housing of Oklahoma City</x:v>
      </x:c>
      <x:c r="C5845" t="str" s="2">
        <x:v/>
      </x:c>
      <x:c r="D5845" t="str" s="2">
        <x:v>4058314455</x:v>
      </x:c>
      <x:c r="E5845" t="str" s="2">
        <x:v>johngriffith1313@gmail.com</x:v>
      </x:c>
      <x:c r="F5845" t="str" s="2">
        <x:v>Facebook Messenger</x:v>
      </x:c>
      <x:c r="G5845" t="str" s="2">
        <x:v>Eva Misheva</x:v>
      </x:c>
      <x:c r="H5845" s="6">
        <x:v>46208.90889042824</x:v>
      </x:c>
      <x:c r="I5845" t="str" s="2">
        <x:v>Eva Misheva</x:v>
      </x:c>
      <x:c r="J5845" s="0"/>
      <x:c r="K5845" s="6">
        <x:v>46208.90889042824</x:v>
      </x:c>
      <x:c r="L5845" t="str" s="2">
        <x:v>Show</x:v>
      </x:c>
    </x:row>
    <x:row r="5846">
      <x:c r="A5846" t="str" s="2">
        <x:f>=HYPERLINK("https://rsms.futurehomex.com/lead/38310", "Anthony Thompson-sr")</x:f>
      </x:c>
      <x:c r="B5846" t="str" s="2">
        <x:v>Heritage Housing of Athens</x:v>
      </x:c>
      <x:c r="C5846" t="str" s="2">
        <x:v>0/1</x:v>
      </x:c>
      <x:c r="D5846" t="str" s="2">
        <x:v>7205142231</x:v>
      </x:c>
      <x:c r="E5846" t="str" s="2">
        <x:v>anthonyjthompson1962@gmail.com</x:v>
      </x:c>
      <x:c r="F5846" t="str" s="2">
        <x:v>Meta Ads - Forms</x:v>
      </x:c>
      <x:c r="G5846" t="str" s="2">
        <x:v>Ethan Fossett</x:v>
      </x:c>
      <x:c r="H5846" s="6">
        <x:v>46209.32532283565</x:v>
      </x:c>
      <x:c r="I5846" t="str" s="2">
        <x:v>Nathan Bishop</x:v>
      </x:c>
      <x:c r="J5846" s="6">
        <x:v>46213.583333333336</x:v>
      </x:c>
      <x:c r="K5846" s="6">
        <x:v>46253.64911334491</x:v>
      </x:c>
      <x:c r="L5846" t="str" s="2">
        <x:v>Show</x:v>
      </x:c>
    </x:row>
    <x:row r="5847">
      <x:c r="A5847" t="str" s="2">
        <x:f>=HYPERLINK("https://rsms.futurehomex.com/lead/38267", "Lionel Brooks")</x:f>
      </x:c>
      <x:c r="B5847" t="str" s="2">
        <x:v>Heritage Housing of Albany</x:v>
      </x:c>
      <x:c r="C5847" t="str" s="2">
        <x:v/>
      </x:c>
      <x:c r="D5847" t="str" s="2">
        <x:v>2294291086</x:v>
      </x:c>
      <x:c r="E5847" t="str" s="2">
        <x:v>SEARRABROOKS25@GMAIL.COM</x:v>
      </x:c>
      <x:c r="F5847" t="str" s="2">
        <x:v>Meta Marketplace</x:v>
      </x:c>
      <x:c r="G5847" t="str" s="2">
        <x:v>Yanet Alvarez</x:v>
      </x:c>
      <x:c r="H5847" s="6">
        <x:v>46209.5728903125</x:v>
      </x:c>
      <x:c r="I5847" t="str" s="2">
        <x:v>Alexander Bryant</x:v>
      </x:c>
      <x:c r="J5847" s="0"/>
      <x:c r="K5847" s="6">
        <x:v>46209.5728903125</x:v>
      </x:c>
      <x:c r="L5847" t="str" s="2">
        <x:v>Show</x:v>
      </x:c>
    </x:row>
    <x:row r="5848">
      <x:c r="A5848" t="str" s="2">
        <x:f>=HYPERLINK("https://rsms.futurehomex.com/lead/38269", "Shakeyah Parson")</x:f>
      </x:c>
      <x:c r="B5848" t="str" s="2">
        <x:v>Heritage Housing of Asheboro</x:v>
      </x:c>
      <x:c r="C5848" t="str" s="2">
        <x:v/>
      </x:c>
      <x:c r="D5848" t="str" s="2">
        <x:v>3369649065</x:v>
      </x:c>
      <x:c r="E5848" t="str" s="2">
        <x:v>bookreader0512@yahoo.com</x:v>
      </x:c>
      <x:c r="F5848" t="str" s="2">
        <x:v>Walk-in</x:v>
      </x:c>
      <x:c r="G5848" s="0"/>
      <x:c r="H5848" s="6">
        <x:v>46209.57848653935</x:v>
      </x:c>
      <x:c r="I5848" t="str" s="2">
        <x:v>Maria Lopez</x:v>
      </x:c>
      <x:c r="J5848" s="0"/>
      <x:c r="K5848" s="0"/>
      <x:c r="L5848" t="str" s="2">
        <x:v>Show</x:v>
      </x:c>
    </x:row>
    <x:row r="5849">
      <x:c r="A5849" t="str" s="2">
        <x:f>=HYPERLINK("https://rsms.futurehomex.com/lead/21874", "Edward Martinez")</x:f>
      </x:c>
      <x:c r="B5849" t="str" s="2">
        <x:v>Heritage Housing Mt Pleasant</x:v>
      </x:c>
      <x:c r="C5849" t="str" s="2">
        <x:v/>
      </x:c>
      <x:c r="D5849" t="str" s="2">
        <x:v>9037677674</x:v>
      </x:c>
      <x:c r="E5849" t="str" s="2">
        <x:v>yuli0406.e@gmail.com</x:v>
      </x:c>
      <x:c r="F5849" t="str" s="2">
        <x:v>META Marketplace</x:v>
      </x:c>
      <x:c r="G5849" t="str" s="2">
        <x:v>Yarelis Torres</x:v>
      </x:c>
      <x:c r="H5849" s="6">
        <x:v>46209.69498966435</x:v>
      </x:c>
      <x:c r="I5849" t="str" s="2">
        <x:v>Elias Gallardo</x:v>
      </x:c>
      <x:c r="J5849" s="0"/>
      <x:c r="K5849" s="0"/>
      <x:c r="L5849" t="str" s="2">
        <x:v>Show</x:v>
      </x:c>
    </x:row>
    <x:row r="5850">
      <x:c r="A5850" t="str" s="2">
        <x:f>=HYPERLINK("https://rsms.futurehomex.com/lead/38284", "Sarah Hussey")</x:f>
      </x:c>
      <x:c r="B5850" t="str" s="2">
        <x:v>Heritage Housing of Asheboro</x:v>
      </x:c>
      <x:c r="C5850" t="str" s="2">
        <x:v/>
      </x:c>
      <x:c r="D5850" t="str" s="2">
        <x:v>3369538903</x:v>
      </x:c>
      <x:c r="E5850" t="str" s="2">
        <x:v>sarahhussey42@gmail.com</x:v>
      </x:c>
      <x:c r="F5850" t="str" s="2">
        <x:v>Walk-in</x:v>
      </x:c>
      <x:c r="G5850" s="0"/>
      <x:c r="H5850" s="6">
        <x:v>46209.83755991898</x:v>
      </x:c>
      <x:c r="I5850" t="str" s="2">
        <x:v>Maria Lopez</x:v>
      </x:c>
      <x:c r="J5850" s="0"/>
      <x:c r="K5850" s="0"/>
      <x:c r="L5850" t="str" s="2">
        <x:v>Show</x:v>
      </x:c>
    </x:row>
    <x:row r="5851">
      <x:c r="A5851" t="str" s="2">
        <x:f>=HYPERLINK("https://rsms.futurehomex.com/lead/38292", "Halayna Hedger")</x:f>
      </x:c>
      <x:c r="B5851" t="str" s="2">
        <x:v>Heritage Housing Mt Pleasant</x:v>
      </x:c>
      <x:c r="C5851" t="str" s="2">
        <x:v/>
      </x:c>
      <x:c r="D5851" t="str" s="2">
        <x:v>9032610096</x:v>
      </x:c>
      <x:c r="E5851" t="str" s="2">
        <x:v>9032610096</x:v>
      </x:c>
      <x:c r="F5851" t="str" s="2">
        <x:v>META Ads</x:v>
      </x:c>
      <x:c r="G5851" t="str" s="2">
        <x:v>Yarelis Torres</x:v>
      </x:c>
      <x:c r="H5851" s="6">
        <x:v>46209.89838275463</x:v>
      </x:c>
      <x:c r="I5851" t="str" s="2">
        <x:v>Yarelis Torres</x:v>
      </x:c>
      <x:c r="J5851" s="6">
        <x:v>46209.75</x:v>
      </x:c>
      <x:c r="K5851" s="6">
        <x:v>46209.95580887731</x:v>
      </x:c>
      <x:c r="L5851" t="str" s="2">
        <x:v>Show</x:v>
      </x:c>
    </x:row>
    <x:row r="5852">
      <x:c r="A5852" t="str" s="2">
        <x:f>=HYPERLINK("https://rsms.futurehomex.com/lead/38474", "Yulieth Castillo")</x:f>
      </x:c>
      <x:c r="B5852" t="str" s="2">
        <x:v>Heritage Housing Mt Pleasant</x:v>
      </x:c>
      <x:c r="C5852" t="str" s="2">
        <x:v/>
      </x:c>
      <x:c r="D5852" t="str" s="2">
        <x:v>9032049388</x:v>
      </x:c>
      <x:c r="E5852" t="str" s="2">
        <x:v>9032049388</x:v>
      </x:c>
      <x:c r="F5852" t="str" s="2">
        <x:v>Flyers</x:v>
      </x:c>
      <x:c r="G5852" t="str" s="2">
        <x:v>Sandra Saldana</x:v>
      </x:c>
      <x:c r="H5852" s="6">
        <x:v>46209.9026400463</x:v>
      </x:c>
      <x:c r="I5852" t="str" s="2">
        <x:v>Sandra Saldana</x:v>
      </x:c>
      <x:c r="J5852" s="6">
        <x:v>46228.833333333336</x:v>
      </x:c>
      <x:c r="K5852" s="6">
        <x:v>46228.941532094905</x:v>
      </x:c>
      <x:c r="L5852" t="str" s="2">
        <x:v>Show</x:v>
      </x:c>
    </x:row>
    <x:row r="5853">
      <x:c r="A5853" t="str" s="2">
        <x:f>=HYPERLINK("https://rsms.futurehomex.com/lead/38296", "Lisa Wilson")</x:f>
      </x:c>
      <x:c r="B5853" t="str" s="2">
        <x:v>Heritage Housing of Oklahoma City</x:v>
      </x:c>
      <x:c r="C5853" t="str" s="2">
        <x:v/>
      </x:c>
      <x:c r="D5853" t="str" s="2">
        <x:v>5594208211</x:v>
      </x:c>
      <x:c r="E5853" t="str" s="2">
        <x:v>Nmbr1parents@aol.com</x:v>
      </x:c>
      <x:c r="F5853" t="str" s="2">
        <x:v>Walk-in</x:v>
      </x:c>
      <x:c r="G5853" t="str" s="2">
        <x:v>Steve Castell</x:v>
      </x:c>
      <x:c r="H5853" s="6">
        <x:v>46209.958931747686</x:v>
      </x:c>
      <x:c r="I5853" t="str" s="2">
        <x:v>Trey Rixleben</x:v>
      </x:c>
      <x:c r="J5853" s="0"/>
      <x:c r="K5853" s="6">
        <x:v>46209.958931747686</x:v>
      </x:c>
      <x:c r="L5853" t="str" s="2">
        <x:v>Show</x:v>
      </x:c>
    </x:row>
    <x:row r="5854">
      <x:c r="A5854" t="str" s="2">
        <x:f>=HYPERLINK("https://rsms.futurehomex.com/lead/38449", "Blanca Tahamara Escobedo Martinez")</x:f>
      </x:c>
      <x:c r="B5854" t="str" s="2">
        <x:v>Legacy Housing Corp. DBA Americasa</x:v>
      </x:c>
      <x:c r="C5854" t="str" s="2">
        <x:v/>
      </x:c>
      <x:c r="D5854" t="str" s="2">
        <x:v>8322831527</x:v>
      </x:c>
      <x:c r="E5854" t="str" s="2">
        <x:v>blancaescobedo136@gmail.com</x:v>
      </x:c>
      <x:c r="F5854" t="str" s="2">
        <x:v>Terrenos Houston</x:v>
      </x:c>
      <x:c r="G5854" t="str" s="2">
        <x:v>Rodrigo Ramirez</x:v>
      </x:c>
      <x:c r="H5854" s="6">
        <x:v>46209.97706423611</x:v>
      </x:c>
      <x:c r="I5854" t="str" s="2">
        <x:v>Joey Marquez</x:v>
      </x:c>
      <x:c r="J5854" s="6">
        <x:v>46216.854166666664</x:v>
      </x:c>
      <x:c r="K5854" s="6">
        <x:v>46216.88397045139</x:v>
      </x:c>
      <x:c r="L5854" t="str" s="2">
        <x:v>Show</x:v>
      </x:c>
    </x:row>
    <x:row r="5855">
      <x:c r="A5855" t="str" s="2">
        <x:f>=HYPERLINK("https://rsms.futurehomex.com/lead/38027", "Billy Hutcherson")</x:f>
      </x:c>
      <x:c r="B5855" s="0"/>
      <x:c r="C5855" t="str" s="2">
        <x:v/>
      </x:c>
      <x:c r="D5855" t="str" s="2">
        <x:v>9188594372</x:v>
      </x:c>
      <x:c r="E5855" t="str" s="2">
        <x:v>Billywaynehutch@gmail.com</x:v>
      </x:c>
      <x:c r="F5855" t="str" s="2">
        <x:v>HH - Tulsa</x:v>
      </x:c>
      <x:c r="G5855" t="str" s="2">
        <x:v>Madison Chapman</x:v>
      </x:c>
      <x:c r="H5855" s="6">
        <x:v>46210.56883900463</x:v>
      </x:c>
      <x:c r="I5855" t="str" s="2">
        <x:v>Madison Chapman</x:v>
      </x:c>
      <x:c r="J5855" s="6">
        <x:v>46198.854166666664</x:v>
      </x:c>
      <x:c r="K5855" s="0"/>
      <x:c r="L5855" t="str" s="2">
        <x:v>Show</x:v>
      </x:c>
    </x:row>
    <x:row r="5856">
      <x:c r="A5856" t="str" s="2">
        <x:f>=HYPERLINK("https://rsms.futurehomex.com/lead/38305", "Crystal Chandler")</x:f>
      </x:c>
      <x:c r="B5856" t="str" s="2">
        <x:v>Heritage Housing of Tulsa</x:v>
      </x:c>
      <x:c r="C5856" t="str" s="2">
        <x:v/>
      </x:c>
      <x:c r="D5856" t="str" s="2">
        <x:v>5397664392</x:v>
      </x:c>
      <x:c r="E5856" t="str" s="2">
        <x:v>crystaldawnchandler83@gmail.com</x:v>
      </x:c>
      <x:c r="F5856" t="str" s="2">
        <x:v>Walk-in</x:v>
      </x:c>
      <x:c r="G5856" t="str" s="2">
        <x:v>Jenna Fransisco</x:v>
      </x:c>
      <x:c r="H5856" s="6">
        <x:v>46210.57807600695</x:v>
      </x:c>
      <x:c r="I5856" t="str" s="2">
        <x:v>Brittany Cobb</x:v>
      </x:c>
      <x:c r="J5856" s="6">
        <x:v>46212.666666666664</x:v>
      </x:c>
      <x:c r="K5856" s="6">
        <x:v>46212.71197994213</x:v>
      </x:c>
      <x:c r="L5856" t="str" s="2">
        <x:v>Show</x:v>
      </x:c>
    </x:row>
    <x:row r="5857">
      <x:c r="A5857" t="str" s="2">
        <x:f>=HYPERLINK("https://rsms.futurehomex.com/lead/38313", "Amelia Dawley")</x:f>
      </x:c>
      <x:c r="B5857" t="str" s="2">
        <x:v>Heritage Housing of Asheboro</x:v>
      </x:c>
      <x:c r="C5857" t="str" s="2">
        <x:v/>
      </x:c>
      <x:c r="D5857" t="str" s="2">
        <x:v>3369641221</x:v>
      </x:c>
      <x:c r="E5857" t="str" s="2">
        <x:v>amelia.rutledge@yahoo.com</x:v>
      </x:c>
      <x:c r="F5857" t="str" s="2">
        <x:v>Walk-in</x:v>
      </x:c>
      <x:c r="G5857" s="0"/>
      <x:c r="H5857" s="6">
        <x:v>46210.66055813657</x:v>
      </x:c>
      <x:c r="I5857" t="str" s="2">
        <x:v>Maria Lopez</x:v>
      </x:c>
      <x:c r="J5857" s="0"/>
      <x:c r="K5857" s="0"/>
      <x:c r="L5857" t="str" s="2">
        <x:v>Show</x:v>
      </x:c>
    </x:row>
    <x:row r="5858">
      <x:c r="A5858" t="str" s="2">
        <x:f>=HYPERLINK("https://rsms.futurehomex.com/lead/38320", "Paula Mcghee")</x:f>
      </x:c>
      <x:c r="B5858" t="str" s="2">
        <x:v>Heritage Housing of Oklahoma City</x:v>
      </x:c>
      <x:c r="C5858" t="str" s="2">
        <x:v/>
      </x:c>
      <x:c r="D5858" t="str" s="2">
        <x:v>4056553336</x:v>
      </x:c>
      <x:c r="E5858" t="str" s="2">
        <x:v>paula.mcghee@outlook.com</x:v>
      </x:c>
      <x:c r="F5858" t="str" s="2">
        <x:v>Walk-in</x:v>
      </x:c>
      <x:c r="G5858" t="str" s="2">
        <x:v>Steve Castell</x:v>
      </x:c>
      <x:c r="H5858" s="6">
        <x:v>46210.80050208333</x:v>
      </x:c>
      <x:c r="I5858" t="str" s="2">
        <x:v>Karla Brizuela</x:v>
      </x:c>
      <x:c r="J5858" s="0"/>
      <x:c r="K5858" s="6">
        <x:v>46210.80050208333</x:v>
      </x:c>
      <x:c r="L5858" t="str" s="2">
        <x:v>Show</x:v>
      </x:c>
    </x:row>
    <x:row r="5859">
      <x:c r="A5859" t="str" s="2">
        <x:f>=HYPERLINK("https://rsms.futurehomex.com/lead/38323", "Perla Avalos")</x:f>
      </x:c>
      <x:c r="B5859" t="str" s="2">
        <x:v>Heritage Housing of Greenville</x:v>
      </x:c>
      <x:c r="C5859" t="str" s="2">
        <x:v/>
      </x:c>
      <x:c r="D5859" t="str" s="2">
        <x:v>6822020777</x:v>
      </x:c>
      <x:c r="E5859" t="str" s="2">
        <x:v>Perlagomez638@yahoo.com</x:v>
      </x:c>
      <x:c r="F5859" t="str" s="2">
        <x:v>Facebook Messenger</x:v>
      </x:c>
      <x:c r="G5859" t="str" s="2">
        <x:v>Brandie Sartor</x:v>
      </x:c>
      <x:c r="H5859" s="6">
        <x:v>46210.823955520835</x:v>
      </x:c>
      <x:c r="I5859" t="str" s="2">
        <x:v>Ana Garcia</x:v>
      </x:c>
      <x:c r="J5859" s="0"/>
      <x:c r="K5859" s="6">
        <x:v>46210.823955520835</x:v>
      </x:c>
      <x:c r="L5859" t="str" s="2">
        <x:v>Show</x:v>
      </x:c>
    </x:row>
    <x:row r="5860">
      <x:c r="A5860" t="str" s="2">
        <x:f>=HYPERLINK("https://rsms.futurehomex.com/lead/38330", "Daniel Hedger")</x:f>
      </x:c>
      <x:c r="B5860" t="str" s="2">
        <x:v>Heritage Housing Mt Pleasant</x:v>
      </x:c>
      <x:c r="C5860" t="str" s="2">
        <x:v/>
      </x:c>
      <x:c r="D5860" t="str" s="2">
        <x:v>9039213629</x:v>
      </x:c>
      <x:c r="E5860" t="str" s="2">
        <x:v>hedgerdaniel1@gmail.com</x:v>
      </x:c>
      <x:c r="F5860" t="str" s="2">
        <x:v>Meta Ads - Messenger</x:v>
      </x:c>
      <x:c r="G5860" t="str" s="2">
        <x:v>Yarelis Torres</x:v>
      </x:c>
      <x:c r="H5860" s="6">
        <x:v>46210.900112766205</x:v>
      </x:c>
      <x:c r="I5860" t="str" s="2">
        <x:v>Yarelis Torres</x:v>
      </x:c>
      <x:c r="J5860" s="6">
        <x:v>46210.833333333336</x:v>
      </x:c>
      <x:c r="K5860" s="6">
        <x:v>46210.976028275465</x:v>
      </x:c>
      <x:c r="L5860" t="str" s="2">
        <x:v>Show</x:v>
      </x:c>
    </x:row>
    <x:row r="5861">
      <x:c r="A5861" t="str" s="2">
        <x:f>=HYPERLINK("https://rsms.futurehomex.com/lead/38334", "Cesia N Siliezar Martinez")</x:f>
      </x:c>
      <x:c r="B5861" t="str" s="2">
        <x:v>Legacy Housing Corp. DBA Americasa</x:v>
      </x:c>
      <x:c r="C5861" t="str" s="2">
        <x:v/>
      </x:c>
      <x:c r="D5861" t="str" s="2">
        <x:v>3466684332</x:v>
      </x:c>
      <x:c r="E5861" t="str" s="2">
        <x:v>diazcesi5@gmail.com</x:v>
      </x:c>
      <x:c r="F5861" t="str" s="2">
        <x:v>Meta Marketplace</x:v>
      </x:c>
      <x:c r="G5861" t="str" s="2">
        <x:v>Rodrigo Ramirez</x:v>
      </x:c>
      <x:c r="H5861" s="6">
        <x:v>46210.93999471065</x:v>
      </x:c>
      <x:c r="I5861" t="str" s="2">
        <x:v>Jose Parada</x:v>
      </x:c>
      <x:c r="J5861" s="6">
        <x:v>46212.625</x:v>
      </x:c>
      <x:c r="K5861" s="6">
        <x:v>46212.63762947917</x:v>
      </x:c>
      <x:c r="L5861" t="str" s="2">
        <x:v>Show</x:v>
      </x:c>
    </x:row>
    <x:row r="5862">
      <x:c r="A5862" t="str" s="2">
        <x:f>=HYPERLINK("https://rsms.futurehomex.com/lead/39614", "Melissa Carrion")</x:f>
      </x:c>
      <x:c r="B5862" t="str" s="2">
        <x:v>Heritage Housing of Asheboro</x:v>
      </x:c>
      <x:c r="C5862" t="str" s="2">
        <x:v/>
      </x:c>
      <x:c r="D5862" t="str" s="2">
        <x:v>3367450090</x:v>
      </x:c>
      <x:c r="E5862" t="str" s="2">
        <x:v>melissann5391@gmail.com</x:v>
      </x:c>
      <x:c r="F5862" t="str" s="2">
        <x:v>Walk-in</x:v>
      </x:c>
      <x:c r="G5862" t="str" s="2">
        <x:v>Maria Lopez</x:v>
      </x:c>
      <x:c r="H5862" s="6">
        <x:v>46211.09759363426</x:v>
      </x:c>
      <x:c r="I5862" t="str" s="2">
        <x:v>Maria Lopez</x:v>
      </x:c>
      <x:c r="J5862" s="6">
        <x:v>46231.541666666664</x:v>
      </x:c>
      <x:c r="K5862" s="6">
        <x:v>46267</x:v>
      </x:c>
      <x:c r="L5862" t="str" s="2">
        <x:v>Show</x:v>
      </x:c>
    </x:row>
    <x:row r="5863">
      <x:c r="A5863" t="str" s="2">
        <x:f>=HYPERLINK("https://rsms.futurehomex.com/lead/38342", "Valentina Melchor")</x:f>
      </x:c>
      <x:c r="B5863" t="str" s="2">
        <x:v>Heritage Housing Gainesville</x:v>
      </x:c>
      <x:c r="C5863" t="str" s="2">
        <x:v/>
      </x:c>
      <x:c r="D5863" t="str" s="2">
        <x:v>9402840646</x:v>
      </x:c>
      <x:c r="E5863" t="str" s="2">
        <x:v>Valentinamelchor12@icloud.com</x:v>
      </x:c>
      <x:c r="F5863" t="str" s="2">
        <x:v>Referrals</x:v>
      </x:c>
      <x:c r="G5863" t="str" s="2">
        <x:v>Kelly Ford</x:v>
      </x:c>
      <x:c r="H5863" s="6">
        <x:v>46211.71975497685</x:v>
      </x:c>
      <x:c r="I5863" t="str" s="2">
        <x:v>Kelly Ford</x:v>
      </x:c>
      <x:c r="J5863" s="0"/>
      <x:c r="K5863" s="6">
        <x:v>46211.71975497685</x:v>
      </x:c>
      <x:c r="L5863" t="str" s="2">
        <x:v>Show</x:v>
      </x:c>
    </x:row>
    <x:row r="5864">
      <x:c r="A5864" t="str" s="2">
        <x:f>=HYPERLINK("https://rsms.futurehomex.com/lead/38356", "Lanie Jobe")</x:f>
      </x:c>
      <x:c r="B5864" t="str" s="2">
        <x:v>Heritage Housing of Asheboro</x:v>
      </x:c>
      <x:c r="C5864" t="str" s="2">
        <x:v/>
      </x:c>
      <x:c r="D5864" t="str" s="2">
        <x:v>3369632332</x:v>
      </x:c>
      <x:c r="E5864" t="str" s="2">
        <x:v>laniejobe7@gmail.com</x:v>
      </x:c>
      <x:c r="F5864" t="str" s="2">
        <x:v>Walk-in</x:v>
      </x:c>
      <x:c r="G5864" s="0"/>
      <x:c r="H5864" s="6">
        <x:v>46211.74009915509</x:v>
      </x:c>
      <x:c r="I5864" t="str" s="2">
        <x:v>Maria Lopez</x:v>
      </x:c>
      <x:c r="J5864" s="0"/>
      <x:c r="K5864" s="0"/>
      <x:c r="L5864" t="str" s="2">
        <x:v>Show</x:v>
      </x:c>
    </x:row>
    <x:row r="5865">
      <x:c r="A5865" t="str" s="2">
        <x:f>=HYPERLINK("https://rsms.futurehomex.com/lead/38353", "Brayson Davies")</x:f>
      </x:c>
      <x:c r="B5865" t="str" s="2">
        <x:v>Heritage Housing of Oklahoma City</x:v>
      </x:c>
      <x:c r="C5865" t="str" s="2">
        <x:v/>
      </x:c>
      <x:c r="D5865" t="str" s="2">
        <x:v>9188395972</x:v>
      </x:c>
      <x:c r="E5865" t="str" s="2">
        <x:v/>
      </x:c>
      <x:c r="F5865" t="str" s="2">
        <x:v>Facebook_repo</x:v>
      </x:c>
      <x:c r="G5865" t="str" s="2">
        <x:v>Steve Castell</x:v>
      </x:c>
      <x:c r="H5865" s="6">
        <x:v>46211.921413888886</x:v>
      </x:c>
      <x:c r="I5865" t="str" s="2">
        <x:v>Alejandra Calderon</x:v>
      </x:c>
      <x:c r="J5865" s="0"/>
      <x:c r="K5865" s="6">
        <x:v>46211.921413888886</x:v>
      </x:c>
      <x:c r="L5865" t="str" s="2">
        <x:v>Show</x:v>
      </x:c>
    </x:row>
    <x:row r="5866">
      <x:c r="A5866" t="str" s="2">
        <x:f>=HYPERLINK("https://rsms.futurehomex.com/lead/38365", "Jaszmine Mills")</x:f>
      </x:c>
      <x:c r="B5866" t="str" s="2">
        <x:v>Heritage Housing of Minden</x:v>
      </x:c>
      <x:c r="C5866" t="str" s="2">
        <x:v>0/2</x:v>
      </x:c>
      <x:c r="D5866" t="str" s="2">
        <x:v>3184228194</x:v>
      </x:c>
      <x:c r="E5866" t="str" s="2">
        <x:v>jaszminem04@gmail.com</x:v>
      </x:c>
      <x:c r="F5866" t="str" s="2">
        <x:v>Website</x:v>
      </x:c>
      <x:c r="G5866" t="str" s="2">
        <x:v>Patrick Schuchart</x:v>
      </x:c>
      <x:c r="H5866" s="6">
        <x:v>46212.007573842595</x:v>
      </x:c>
      <x:c r="I5866" t="str" s="2">
        <x:v>Patrick Schuchart</x:v>
      </x:c>
      <x:c r="J5866" s="6">
        <x:v>46213.604166666664</x:v>
      </x:c>
      <x:c r="K5866" s="6">
        <x:v>46213.63664892361</x:v>
      </x:c>
      <x:c r="L5866" t="str" s="2">
        <x:v>Show</x:v>
      </x:c>
    </x:row>
    <x:row r="5867">
      <x:c r="A5867" t="str" s="2">
        <x:f>="Kimberly Stanley"</x:f>
      </x:c>
      <x:c r="B5867" t="str" s="2">
        <x:v>Heritage Housing of Augusta</x:v>
      </x:c>
      <x:c r="C5867" t="str" s="2">
        <x:v>0/1</x:v>
      </x:c>
      <x:c r="D5867" t="str" s="2">
        <x:v>7068321923</x:v>
      </x:c>
      <x:c r="E5867" t="str" s="2">
        <x:v>kennethstanley5114@gmail.com</x:v>
      </x:c>
      <x:c r="F5867" t="str" s="2">
        <x:v>Meta Ads - Forms</x:v>
      </x:c>
      <x:c r="G5867" t="str" s="2">
        <x:v>Jose Chavez</x:v>
      </x:c>
      <x:c r="H5867" s="6">
        <x:v>46212.03462896991</x:v>
      </x:c>
      <x:c r="I5867" s="0"/>
      <x:c r="J5867" s="0"/>
      <x:c r="K5867" s="6">
        <x:v>46245.837870104166</x:v>
      </x:c>
      <x:c r="L5867" t="str" s="2">
        <x:v>Show</x:v>
      </x:c>
    </x:row>
    <x:row r="5868">
      <x:c r="A5868" t="str" s="2">
        <x:f>=HYPERLINK("https://rsms.futurehomex.com/lead/38359", "Stellina Mobley")</x:f>
      </x:c>
      <x:c r="B5868" t="str" s="2">
        <x:v>Heritage Housing of Asheboro</x:v>
      </x:c>
      <x:c r="C5868" t="str" s="2">
        <x:v/>
      </x:c>
      <x:c r="D5868" t="str" s="2">
        <x:v>7046701532</x:v>
      </x:c>
      <x:c r="E5868" t="str" s="2">
        <x:v>stellaj09@yahoo.com</x:v>
      </x:c>
      <x:c r="F5868" t="str" s="2">
        <x:v>Walk-in</x:v>
      </x:c>
      <x:c r="G5868" s="0"/>
      <x:c r="H5868" s="6">
        <x:v>46212.581036655094</x:v>
      </x:c>
      <x:c r="I5868" t="str" s="2">
        <x:v>Maria Lopez</x:v>
      </x:c>
      <x:c r="J5868" s="0"/>
      <x:c r="K5868" s="0"/>
      <x:c r="L5868" t="str" s="2">
        <x:v>Show</x:v>
      </x:c>
    </x:row>
    <x:row r="5869">
      <x:c r="A5869" t="str" s="2">
        <x:f>=HYPERLINK("https://rsms.futurehomex.com/lead/38379", "Fabiola Chavira")</x:f>
      </x:c>
      <x:c r="B5869" t="str" s="2">
        <x:v>Legacy Housing Corp. DBA Americasa</x:v>
      </x:c>
      <x:c r="C5869" t="str" s="2">
        <x:v/>
      </x:c>
      <x:c r="D5869" t="str" s="2">
        <x:v>8324062988</x:v>
      </x:c>
      <x:c r="E5869" t="str" s="2">
        <x:v>fabiolanavarrete.199325@gmail.com</x:v>
      </x:c>
      <x:c r="F5869" t="str" s="2">
        <x:v>Meta Ads - Forms</x:v>
      </x:c>
      <x:c r="G5869" t="str" s="2">
        <x:v>Rodrigo Ramirez</x:v>
      </x:c>
      <x:c r="H5869" s="6">
        <x:v>46212.632732488426</x:v>
      </x:c>
      <x:c r="I5869" t="str" s="2">
        <x:v>Joey Marquez</x:v>
      </x:c>
      <x:c r="J5869" s="6">
        <x:v>46219.666666666664</x:v>
      </x:c>
      <x:c r="K5869" s="6">
        <x:v>46218.77268862269</x:v>
      </x:c>
      <x:c r="L5869" t="str" s="2">
        <x:v>Show</x:v>
      </x:c>
    </x:row>
    <x:row r="5870">
      <x:c r="A5870" t="str" s="2">
        <x:f>=HYPERLINK("https://rsms.futurehomex.com/lead/38373", "Kirsten Livingston")</x:f>
      </x:c>
      <x:c r="B5870" t="str" s="2">
        <x:v>Heritage Housing of Jennings</x:v>
      </x:c>
      <x:c r="C5870" t="str" s="2">
        <x:v/>
      </x:c>
      <x:c r="D5870" t="str" s="2">
        <x:v>3378426132</x:v>
      </x:c>
      <x:c r="E5870" t="str" s="2">
        <x:v>lkirsten@hotmail.com</x:v>
      </x:c>
      <x:c r="F5870" t="str" s="2">
        <x:v>Walk-in</x:v>
      </x:c>
      <x:c r="G5870" s="0"/>
      <x:c r="H5870" s="6">
        <x:v>46212.73577962963</x:v>
      </x:c>
      <x:c r="I5870" t="str" s="2">
        <x:v>Mervin Leslie Smith</x:v>
      </x:c>
      <x:c r="J5870" s="0"/>
      <x:c r="K5870" s="0"/>
      <x:c r="L5870" t="str" s="2">
        <x:v>Show</x:v>
      </x:c>
    </x:row>
    <x:row r="5871">
      <x:c r="A5871" t="str" s="2">
        <x:f>=HYPERLINK("https://rsms.futurehomex.com/lead/38382", "Lexi Stanbery")</x:f>
      </x:c>
      <x:c r="B5871" t="str" s="2">
        <x:v>Heritage Housing of Greenville</x:v>
      </x:c>
      <x:c r="C5871" t="str" s="2">
        <x:v/>
      </x:c>
      <x:c r="D5871" t="str" s="2">
        <x:v>9034560749</x:v>
      </x:c>
      <x:c r="E5871" t="str" s="2">
        <x:v>stanberylm07@gmail.com</x:v>
      </x:c>
      <x:c r="F5871" t="str" s="2">
        <x:v>Facebook Messenger</x:v>
      </x:c>
      <x:c r="G5871" t="str" s="2">
        <x:v>Brandie Sartor</x:v>
      </x:c>
      <x:c r="H5871" s="6">
        <x:v>46212.90912592593</x:v>
      </x:c>
      <x:c r="I5871" t="str" s="2">
        <x:v>Brooklynn Allen</x:v>
      </x:c>
      <x:c r="J5871" s="0"/>
      <x:c r="K5871" s="6">
        <x:v>46212.90912592593</x:v>
      </x:c>
      <x:c r="L5871" t="str" s="2">
        <x:v>Show</x:v>
      </x:c>
    </x:row>
    <x:row r="5872">
      <x:c r="A5872" t="str" s="2">
        <x:f>=HYPERLINK("https://rsms.futurehomex.com/lead/38942", "Christopher Ayers")</x:f>
      </x:c>
      <x:c r="B5872" t="str" s="2">
        <x:v>Heritage Housing of Tulsa</x:v>
      </x:c>
      <x:c r="C5872" t="str" s="2">
        <x:v/>
      </x:c>
      <x:c r="D5872" t="str" s="2">
        <x:v>6202057534</x:v>
      </x:c>
      <x:c r="E5872" t="str" s="2">
        <x:v>cayers72@yahoo.com</x:v>
      </x:c>
      <x:c r="F5872" t="str" s="2">
        <x:v>Financing Form</x:v>
      </x:c>
      <x:c r="G5872" t="str" s="2">
        <x:v>Jenna Fransisco</x:v>
      </x:c>
      <x:c r="H5872" s="6">
        <x:v>46213.0452125</x:v>
      </x:c>
      <x:c r="I5872" t="str" s="2">
        <x:v>Jenna Fransisco</x:v>
      </x:c>
      <x:c r="J5872" s="6">
        <x:v>46240.75</x:v>
      </x:c>
      <x:c r="K5872" s="6">
        <x:v>46240.7323653125</x:v>
      </x:c>
      <x:c r="L5872" t="str" s="2">
        <x:v>Show</x:v>
      </x:c>
    </x:row>
    <x:row r="5873">
      <x:c r="A5873" t="str" s="2">
        <x:f>=HYPERLINK("https://rsms.futurehomex.com/lead/38399", "Alder Martinez")</x:f>
      </x:c>
      <x:c r="B5873" t="str" s="2">
        <x:v>Heritage Housing of Asheboro</x:v>
      </x:c>
      <x:c r="C5873" t="str" s="2">
        <x:v/>
      </x:c>
      <x:c r="D5873" t="str" s="2">
        <x:v>3362668480</x:v>
      </x:c>
      <x:c r="E5873" t="str" s="2">
        <x:v>alderflores@icloud.com</x:v>
      </x:c>
      <x:c r="F5873" t="str" s="2">
        <x:v>Financing Form</x:v>
      </x:c>
      <x:c r="G5873" t="str" s="2">
        <x:v>Maria Lopez</x:v>
      </x:c>
      <x:c r="H5873" s="6">
        <x:v>46213.12730165509</x:v>
      </x:c>
      <x:c r="I5873" t="str" s="2">
        <x:v>Maria Lopez</x:v>
      </x:c>
      <x:c r="J5873" s="6">
        <x:v>46214.708333333336</x:v>
      </x:c>
      <x:c r="K5873" s="6">
        <x:v>46214.74541365741</x:v>
      </x:c>
      <x:c r="L5873" t="str" s="2">
        <x:v>Show</x:v>
      </x:c>
    </x:row>
    <x:row r="5874">
      <x:c r="A5874" t="str" s="2">
        <x:f>=HYPERLINK("https://rsms.futurehomex.com/lead/38385", "Appleonea Enos")</x:f>
      </x:c>
      <x:c r="B5874" t="str" s="2">
        <x:v>Heritage Housing Mt Pleasant</x:v>
      </x:c>
      <x:c r="C5874" t="str" s="2">
        <x:v/>
      </x:c>
      <x:c r="D5874" t="str" s="2">
        <x:v>4698163590</x:v>
      </x:c>
      <x:c r="E5874" t="str" s="2">
        <x:v>appleoneaenos@gmail.com</x:v>
      </x:c>
      <x:c r="F5874" t="str" s="2">
        <x:v>Meta Ads - Messenger</x:v>
      </x:c>
      <x:c r="G5874" t="str" s="2">
        <x:v>Yarelis Torres</x:v>
      </x:c>
      <x:c r="H5874" s="6">
        <x:v>46213.63753946759</x:v>
      </x:c>
      <x:c r="I5874" t="str" s="2">
        <x:v>Yarelis Torres</x:v>
      </x:c>
      <x:c r="J5874" s="6">
        <x:v>46213.875</x:v>
      </x:c>
      <x:c r="K5874" s="6">
        <x:v>46213.94631443287</x:v>
      </x:c>
      <x:c r="L5874" t="str" s="2">
        <x:v>Show</x:v>
      </x:c>
    </x:row>
    <x:row r="5875">
      <x:c r="A5875" t="str" s="2">
        <x:f>=HYPERLINK("https://rsms.futurehomex.com/lead/38387", "Ashley Martin")</x:f>
      </x:c>
      <x:c r="B5875" t="str" s="2">
        <x:v>Heritage Housing of Oklahoma City</x:v>
      </x:c>
      <x:c r="C5875" t="str" s="2">
        <x:v/>
      </x:c>
      <x:c r="D5875" t="str" s="2">
        <x:v>4058882387</x:v>
      </x:c>
      <x:c r="E5875" t="str" s="2">
        <x:v>4058882387</x:v>
      </x:c>
      <x:c r="F5875" t="str" s="2">
        <x:v>Facebook Messenger</x:v>
      </x:c>
      <x:c r="G5875" t="str" s="2">
        <x:v>Steve Castell</x:v>
      </x:c>
      <x:c r="H5875" s="6">
        <x:v>46213.63965127315</x:v>
      </x:c>
      <x:c r="I5875" t="str" s="2">
        <x:v>Steve Castell</x:v>
      </x:c>
      <x:c r="J5875" s="6">
        <x:v>46214.8125</x:v>
      </x:c>
      <x:c r="K5875" s="6">
        <x:v>46214.91736331018</x:v>
      </x:c>
      <x:c r="L5875" t="str" s="2">
        <x:v>Show</x:v>
      </x:c>
    </x:row>
    <x:row r="5876">
      <x:c r="A5876" t="str" s="2">
        <x:f>=HYPERLINK("https://rsms.futurehomex.com/lead/38390", "Sam Carroll")</x:f>
      </x:c>
      <x:c r="B5876" t="str" s="2">
        <x:v>Heritage Housing of Asheboro</x:v>
      </x:c>
      <x:c r="C5876" t="str" s="2">
        <x:v/>
      </x:c>
      <x:c r="D5876" t="str" s="2">
        <x:v>3369079334</x:v>
      </x:c>
      <x:c r="E5876" t="str" s="2">
        <x:v>margaretbtilley@gmail.com</x:v>
      </x:c>
      <x:c r="F5876" t="str" s="2">
        <x:v>Walk-in</x:v>
      </x:c>
      <x:c r="G5876" s="0"/>
      <x:c r="H5876" s="6">
        <x:v>46213.69804953704</x:v>
      </x:c>
      <x:c r="I5876" t="str" s="2">
        <x:v>Maria Lopez</x:v>
      </x:c>
      <x:c r="J5876" s="0"/>
      <x:c r="K5876" s="0"/>
      <x:c r="L5876" t="str" s="2">
        <x:v>Show</x:v>
      </x:c>
    </x:row>
    <x:row r="5877">
      <x:c r="A5877" t="str" s="2">
        <x:f>=HYPERLINK("https://rsms.futurehomex.com/lead/38393", "Lucas Gomez")</x:f>
      </x:c>
      <x:c r="B5877" t="str" s="2">
        <x:v>Heritage Housing of Asheboro</x:v>
      </x:c>
      <x:c r="C5877" t="str" s="2">
        <x:v/>
      </x:c>
      <x:c r="D5877" t="str" s="2">
        <x:v>3369538292</x:v>
      </x:c>
      <x:c r="E5877" t="str" s="2">
        <x:v>lucasdaheboro@hotmail.com</x:v>
      </x:c>
      <x:c r="F5877" t="str" s="2">
        <x:v>Walk-in</x:v>
      </x:c>
      <x:c r="G5877" s="0"/>
      <x:c r="H5877" s="6">
        <x:v>46213.748042245374</x:v>
      </x:c>
      <x:c r="I5877" t="str" s="2">
        <x:v>Maria Lopez</x:v>
      </x:c>
      <x:c r="J5877" s="0"/>
      <x:c r="K5877" s="0"/>
      <x:c r="L5877" t="str" s="2">
        <x:v>Show</x:v>
      </x:c>
    </x:row>
    <x:row r="5878">
      <x:c r="A5878" t="str" s="2">
        <x:f>=HYPERLINK("https://rsms.futurehomex.com/lead/38404", "Bradley Humphrey")</x:f>
      </x:c>
      <x:c r="B5878" t="str" s="2">
        <x:v>Heritage Housing of Asheboro</x:v>
      </x:c>
      <x:c r="C5878" t="str" s="2">
        <x:v/>
      </x:c>
      <x:c r="D5878" t="str" s="2">
        <x:v>3363016161</x:v>
      </x:c>
      <x:c r="E5878" t="str" s="2">
        <x:v>bbpbradley@gmail.com</x:v>
      </x:c>
      <x:c r="F5878" t="str" s="2">
        <x:v>Walk-in</x:v>
      </x:c>
      <x:c r="G5878" s="0"/>
      <x:c r="H5878" s="6">
        <x:v>46213.79718541667</x:v>
      </x:c>
      <x:c r="I5878" t="str" s="2">
        <x:v>Maria Lopez</x:v>
      </x:c>
      <x:c r="J5878" s="0"/>
      <x:c r="K5878" s="0"/>
      <x:c r="L5878" t="str" s="2">
        <x:v>Show</x:v>
      </x:c>
    </x:row>
    <x:row r="5879">
      <x:c r="A5879" t="str" s="2">
        <x:f>=HYPERLINK("https://rsms.futurehomex.com/lead/38406", "Lynn Neighbors")</x:f>
      </x:c>
      <x:c r="B5879" t="str" s="2">
        <x:v>Heritage Housing of Oklahoma City</x:v>
      </x:c>
      <x:c r="C5879" t="str" s="2">
        <x:v/>
      </x:c>
      <x:c r="D5879" t="str" s="2">
        <x:v>4056157774</x:v>
      </x:c>
      <x:c r="E5879" t="str" s="2">
        <x:v>htneighbors@gmail.com</x:v>
      </x:c>
      <x:c r="F5879" t="str" s="2">
        <x:v>Walk-in</x:v>
      </x:c>
      <x:c r="G5879" t="str" s="2">
        <x:v>Trey Rixleben</x:v>
      </x:c>
      <x:c r="H5879" s="6">
        <x:v>46213.89860046296</x:v>
      </x:c>
      <x:c r="I5879" t="str" s="2">
        <x:v>Steve Castell</x:v>
      </x:c>
      <x:c r="J5879" s="6">
        <x:v>46242.666666666664</x:v>
      </x:c>
      <x:c r="K5879" s="6">
        <x:v>46241.56442311343</x:v>
      </x:c>
      <x:c r="L5879" t="str" s="2">
        <x:v>Show</x:v>
      </x:c>
    </x:row>
    <x:row r="5880">
      <x:c r="A5880" t="str" s="2">
        <x:f>=HYPERLINK("https://rsms.futurehomex.com/lead/38409", "Jeannie Lott")</x:f>
      </x:c>
      <x:c r="B5880" t="str" s="2">
        <x:v>Heritage Housing of Oklahoma City</x:v>
      </x:c>
      <x:c r="C5880" t="str" s="2">
        <x:v/>
      </x:c>
      <x:c r="D5880" t="str" s="2">
        <x:v>4055503305</x:v>
      </x:c>
      <x:c r="E5880" t="str" s="2">
        <x:v>theindigogypsy@gmail.com</x:v>
      </x:c>
      <x:c r="F5880" t="str" s="2">
        <x:v>Facebook Messenger</x:v>
      </x:c>
      <x:c r="G5880" t="str" s="2">
        <x:v>Steve Castell</x:v>
      </x:c>
      <x:c r="H5880" s="6">
        <x:v>46213.933994212966</x:v>
      </x:c>
      <x:c r="I5880" t="str" s="2">
        <x:v>Alejandra Calderon</x:v>
      </x:c>
      <x:c r="J5880" s="6">
        <x:v>46214.604166666664</x:v>
      </x:c>
      <x:c r="K5880" s="6">
        <x:v>46214.6343559838</x:v>
      </x:c>
      <x:c r="L5880" t="str" s="2">
        <x:v>Show</x:v>
      </x:c>
    </x:row>
    <x:row r="5881">
      <x:c r="A5881" t="str" s="2">
        <x:f>=HYPERLINK("https://rsms.futurehomex.com/lead/38424", "Kiara Romero")</x:f>
      </x:c>
      <x:c r="B5881" t="str" s="2">
        <x:v>Heritage Housing of Asheboro</x:v>
      </x:c>
      <x:c r="C5881" t="str" s="2">
        <x:v/>
      </x:c>
      <x:c r="D5881" t="str" s="2">
        <x:v>3362100480</x:v>
      </x:c>
      <x:c r="E5881" t="str" s="2">
        <x:v>kiarasalgador07@gmail.com</x:v>
      </x:c>
      <x:c r="F5881" t="str" s="2">
        <x:v>Walk-in</x:v>
      </x:c>
      <x:c r="G5881" s="0"/>
      <x:c r="H5881" s="6">
        <x:v>46214.6205931713</x:v>
      </x:c>
      <x:c r="I5881" t="str" s="2">
        <x:v>Maria Lopez</x:v>
      </x:c>
      <x:c r="J5881" s="0"/>
      <x:c r="K5881" s="0"/>
      <x:c r="L5881" t="str" s="2">
        <x:v>Show</x:v>
      </x:c>
    </x:row>
    <x:row r="5882">
      <x:c r="A5882" t="str" s="2">
        <x:f>=HYPERLINK("https://rsms.futurehomex.com/lead/38423", "Robert McBride")</x:f>
      </x:c>
      <x:c r="B5882" t="str" s="2">
        <x:v>Heritage Housing of Asheboro</x:v>
      </x:c>
      <x:c r="C5882" t="str" s="2">
        <x:v/>
      </x:c>
      <x:c r="D5882" t="str" s="2">
        <x:v>3365168749</x:v>
      </x:c>
      <x:c r="E5882" t="str" s="2">
        <x:v>robboogieman@yahoo.com</x:v>
      </x:c>
      <x:c r="F5882" t="str" s="2">
        <x:v>Walk-in</x:v>
      </x:c>
      <x:c r="G5882" s="0"/>
      <x:c r="H5882" s="6">
        <x:v>46214.628262349535</x:v>
      </x:c>
      <x:c r="I5882" t="str" s="2">
        <x:v>Maria Lopez</x:v>
      </x:c>
      <x:c r="J5882" s="0"/>
      <x:c r="K5882" s="0"/>
      <x:c r="L5882" t="str" s="2">
        <x:v>Show</x:v>
      </x:c>
    </x:row>
    <x:row r="5883">
      <x:c r="A5883" t="str" s="2">
        <x:f>=HYPERLINK("https://rsms.futurehomex.com/lead/38416", "Carl &amp; Kim Doyle")</x:f>
      </x:c>
      <x:c r="B5883" t="str" s="2">
        <x:v>Heritage Housing of Oklahoma City</x:v>
      </x:c>
      <x:c r="C5883" t="str" s="2">
        <x:v>0/2</x:v>
      </x:c>
      <x:c r="D5883" t="str" s="2">
        <x:v>4052054004</x:v>
      </x:c>
      <x:c r="E5883" t="str" s="2">
        <x:v>kdmetalworkco@gmail.com</x:v>
      </x:c>
      <x:c r="F5883" t="str" s="2">
        <x:v>Facebook Messenger</x:v>
      </x:c>
      <x:c r="G5883" t="str" s="2">
        <x:v>Steve Castell</x:v>
      </x:c>
      <x:c r="H5883" s="6">
        <x:v>46214.65622430555</x:v>
      </x:c>
      <x:c r="I5883" t="str" s="2">
        <x:v>Steve Castell</x:v>
      </x:c>
      <x:c r="J5883" s="6">
        <x:v>46214.677083333336</x:v>
      </x:c>
      <x:c r="K5883" s="6">
        <x:v>46245.97769471065</x:v>
      </x:c>
      <x:c r="L5883" t="str" s="2">
        <x:v>Show</x:v>
      </x:c>
    </x:row>
    <x:row r="5884">
      <x:c r="A5884" t="str" s="2">
        <x:f>=HYPERLINK("https://rsms.futurehomex.com/lead/38417", "Gabrieal Mathews")</x:f>
      </x:c>
      <x:c r="B5884" t="str" s="2">
        <x:v>Heritage Housing of Albany</x:v>
      </x:c>
      <x:c r="C5884" t="str" s="2">
        <x:v/>
      </x:c>
      <x:c r="D5884" t="str" s="2">
        <x:v>9126780542</x:v>
      </x:c>
      <x:c r="E5884" t="str" s="2">
        <x:v>gabriealmatthews@icloud.com</x:v>
      </x:c>
      <x:c r="F5884" t="str" s="2">
        <x:v>Facebook Messenger</x:v>
      </x:c>
      <x:c r="G5884" t="str" s="2">
        <x:v>Yanet Alvarez</x:v>
      </x:c>
      <x:c r="H5884" s="6">
        <x:v>46214.66233445602</x:v>
      </x:c>
      <x:c r="I5884" t="str" s="2">
        <x:v>Alexander Bryant</x:v>
      </x:c>
      <x:c r="J5884" s="6">
        <x:v>46242.75</x:v>
      </x:c>
      <x:c r="K5884" s="6">
        <x:v>46242.76955616898</x:v>
      </x:c>
      <x:c r="L5884" t="str" s="2">
        <x:v>Show</x:v>
      </x:c>
    </x:row>
    <x:row r="5885">
      <x:c r="A5885" t="str" s="2">
        <x:f>=HYPERLINK("https://rsms.futurehomex.com/lead/38420", "Kathryn Dodson")</x:f>
      </x:c>
      <x:c r="B5885" t="str" s="2">
        <x:v>Heritage Housing Marble Falls</x:v>
      </x:c>
      <x:c r="C5885" t="str" s="2">
        <x:v/>
      </x:c>
      <x:c r="D5885" t="str" s="2">
        <x:v>3617792739</x:v>
      </x:c>
      <x:c r="E5885" t="str" s="2">
        <x:v>Kattdodson@yahoo.com</x:v>
      </x:c>
      <x:c r="F5885" t="str" s="2">
        <x:v>Walk-in</x:v>
      </x:c>
      <x:c r="G5885" s="0"/>
      <x:c r="H5885" s="6">
        <x:v>46214.6918352662</x:v>
      </x:c>
      <x:c r="I5885" t="str" s="2">
        <x:v>Stephen Sanders</x:v>
      </x:c>
      <x:c r="J5885" s="6">
        <x:v>46298.625</x:v>
      </x:c>
      <x:c r="K5885" s="0"/>
      <x:c r="L5885" t="str" s="2">
        <x:v>Show</x:v>
      </x:c>
    </x:row>
    <x:row r="5886">
      <x:c r="A5886" t="str" s="2">
        <x:f>=HYPERLINK("https://rsms.futurehomex.com/lead/38422", "Alex Duffie")</x:f>
      </x:c>
      <x:c r="B5886" t="str" s="2">
        <x:v>Heritage Housing of Asheboro</x:v>
      </x:c>
      <x:c r="C5886" t="str" s="2">
        <x:v/>
      </x:c>
      <x:c r="D5886" t="str" s="2">
        <x:v>3368943259</x:v>
      </x:c>
      <x:c r="E5886" t="str" s="2">
        <x:v>aduffie222@gmail.com</x:v>
      </x:c>
      <x:c r="F5886" t="str" s="2">
        <x:v>Walk-in</x:v>
      </x:c>
      <x:c r="G5886" s="0"/>
      <x:c r="H5886" s="6">
        <x:v>46214.7057244213</x:v>
      </x:c>
      <x:c r="I5886" t="str" s="2">
        <x:v>Maria Lopez</x:v>
      </x:c>
      <x:c r="J5886" s="0"/>
      <x:c r="K5886" s="0"/>
      <x:c r="L5886" t="str" s="2">
        <x:v>Show</x:v>
      </x:c>
    </x:row>
    <x:row r="5887">
      <x:c r="A5887" t="str" s="2">
        <x:f>=HYPERLINK("https://rsms.futurehomex.com/lead/38430", "Adonay Yanes")</x:f>
      </x:c>
      <x:c r="B5887" t="str" s="2">
        <x:v>Heritage Housing Mt Pleasant</x:v>
      </x:c>
      <x:c r="C5887" t="str" s="2">
        <x:v/>
      </x:c>
      <x:c r="D5887" t="str" s="2">
        <x:v>9033059800</x:v>
      </x:c>
      <x:c r="E5887" t="str" s="2">
        <x:v>9033059800</x:v>
      </x:c>
      <x:c r="F5887" t="str" s="2">
        <x:v>META Marketplace</x:v>
      </x:c>
      <x:c r="G5887" t="str" s="2">
        <x:v>Yarelis Torres</x:v>
      </x:c>
      <x:c r="H5887" s="6">
        <x:v>46214.76529780093</x:v>
      </x:c>
      <x:c r="I5887" t="str" s="2">
        <x:v>Sandra Saldana</x:v>
      </x:c>
      <x:c r="J5887" s="6">
        <x:v>46214.916666666664</x:v>
      </x:c>
      <x:c r="K5887" s="6">
        <x:v>46214.99907503472</x:v>
      </x:c>
      <x:c r="L5887" t="str" s="2">
        <x:v>Show</x:v>
      </x:c>
    </x:row>
    <x:row r="5888">
      <x:c r="A5888" t="str" s="2">
        <x:f>=HYPERLINK("https://rsms.futurehomex.com/lead/38432", "Caleb Barton")</x:f>
      </x:c>
      <x:c r="B5888" t="str" s="2">
        <x:v>Heritage Housing of Asheboro</x:v>
      </x:c>
      <x:c r="C5888" t="str" s="2">
        <x:v/>
      </x:c>
      <x:c r="D5888" t="str" s="2">
        <x:v>3365881511</x:v>
      </x:c>
      <x:c r="E5888" t="str" s="2">
        <x:v>shadowraid97@gmail.com</x:v>
      </x:c>
      <x:c r="F5888" t="str" s="2">
        <x:v>Walk-in</x:v>
      </x:c>
      <x:c r="G5888" s="0"/>
      <x:c r="H5888" s="6">
        <x:v>46214.78399467593</x:v>
      </x:c>
      <x:c r="I5888" t="str" s="2">
        <x:v>Maria Lopez</x:v>
      </x:c>
      <x:c r="J5888" s="0"/>
      <x:c r="K5888" s="0"/>
      <x:c r="L5888" t="str" s="2">
        <x:v>Show</x:v>
      </x:c>
    </x:row>
    <x:row r="5889">
      <x:c r="A5889" t="str" s="2">
        <x:f>=HYPERLINK("https://rsms.futurehomex.com/lead/38434", "Jerry Lachman")</x:f>
      </x:c>
      <x:c r="B5889" t="str" s="2">
        <x:v>Heritage Housing of Oklahoma City</x:v>
      </x:c>
      <x:c r="C5889" t="str" s="2">
        <x:v/>
      </x:c>
      <x:c r="D5889" t="str" s="2">
        <x:v>4052403763</x:v>
      </x:c>
      <x:c r="E5889" t="str" s="2">
        <x:v>wandamarshall5115@gmail.com</x:v>
      </x:c>
      <x:c r="F5889" t="str" s="2">
        <x:v>Walk-in</x:v>
      </x:c>
      <x:c r="G5889" t="str" s="2">
        <x:v>Eva Misheva</x:v>
      </x:c>
      <x:c r="H5889" s="6">
        <x:v>46214.82492638889</x:v>
      </x:c>
      <x:c r="I5889" t="str" s="2">
        <x:v>Eva Misheva</x:v>
      </x:c>
      <x:c r="J5889" s="0"/>
      <x:c r="K5889" s="6">
        <x:v>46214.82492638889</x:v>
      </x:c>
      <x:c r="L5889" t="str" s="2">
        <x:v>Show</x:v>
      </x:c>
    </x:row>
    <x:row r="5890">
      <x:c r="A5890" t="str" s="2">
        <x:f>=HYPERLINK("https://rsms.futurehomex.com/lead/38436", "Amanda &amp; DS (Donald) Stewart")</x:f>
      </x:c>
      <x:c r="B5890" t="str" s="2">
        <x:v>Heritage Housing of Oklahoma City</x:v>
      </x:c>
      <x:c r="C5890" t="str" s="2">
        <x:v/>
      </x:c>
      <x:c r="D5890" t="str" s="2">
        <x:v>4056552295</x:v>
      </x:c>
      <x:c r="E5890" t="str" s="2">
        <x:v>4056552295</x:v>
      </x:c>
      <x:c r="F5890" t="str" s="2">
        <x:v>Facebook Messenger</x:v>
      </x:c>
      <x:c r="G5890" t="str" s="2">
        <x:v>Eva Misheva</x:v>
      </x:c>
      <x:c r="H5890" s="6">
        <x:v>46214.831015393516</x:v>
      </x:c>
      <x:c r="I5890" t="str" s="2">
        <x:v>Eva Misheva</x:v>
      </x:c>
      <x:c r="J5890" s="0"/>
      <x:c r="K5890" s="6">
        <x:v>46214.831015393516</x:v>
      </x:c>
      <x:c r="L5890" t="str" s="2">
        <x:v>Show</x:v>
      </x:c>
    </x:row>
    <x:row r="5891">
      <x:c r="A5891" t="str" s="2">
        <x:f>=HYPERLINK("https://rsms.futurehomex.com/lead/38442", "Alicia Harring")</x:f>
      </x:c>
      <x:c r="B5891" t="str" s="2">
        <x:v>Heritage Housing of Tulsa</x:v>
      </x:c>
      <x:c r="C5891" t="str" s="2">
        <x:v/>
      </x:c>
      <x:c r="D5891" t="str" s="2">
        <x:v>5393079225</x:v>
      </x:c>
      <x:c r="E5891" t="str" s="2">
        <x:v>aliciaharring1999@gmail.com</x:v>
      </x:c>
      <x:c r="F5891" t="str" s="2">
        <x:v>Financing Form</x:v>
      </x:c>
      <x:c r="G5891" t="str" s="2">
        <x:v>Jenna Fransisco</x:v>
      </x:c>
      <x:c r="H5891" s="6">
        <x:v>46214.8644190162</x:v>
      </x:c>
      <x:c r="I5891" t="str" s="2">
        <x:v>Derek Searcy</x:v>
      </x:c>
      <x:c r="J5891" s="6">
        <x:v>46219.666666666664</x:v>
      </x:c>
      <x:c r="K5891" s="6">
        <x:v>46223.686801655094</x:v>
      </x:c>
      <x:c r="L5891" t="str" s="2">
        <x:v>Show</x:v>
      </x:c>
    </x:row>
    <x:row r="5892">
      <x:c r="A5892" t="str" s="2">
        <x:f>=HYPERLINK("https://rsms.futurehomex.com/lead/38568", "Alexander Cruz")</x:f>
      </x:c>
      <x:c r="B5892" t="str" s="2">
        <x:v>Heritage Housing of Asheboro</x:v>
      </x:c>
      <x:c r="C5892" t="str" s="2">
        <x:v/>
      </x:c>
      <x:c r="D5892" t="str" s="2">
        <x:v>9809259868</x:v>
      </x:c>
      <x:c r="E5892" t="str" s="2">
        <x:v>alexcruz7267@gmail.com</x:v>
      </x:c>
      <x:c r="F5892" t="str" s="2">
        <x:v>Walk-in</x:v>
      </x:c>
      <x:c r="G5892" t="str" s="2">
        <x:v>Maria Lopez</x:v>
      </x:c>
      <x:c r="H5892" s="6">
        <x:v>46214.865678159724</x:v>
      </x:c>
      <x:c r="I5892" t="str" s="2">
        <x:v>Maria Lopez</x:v>
      </x:c>
      <x:c r="J5892" s="0"/>
      <x:c r="K5892" s="6">
        <x:v>46217.78054140046</x:v>
      </x:c>
      <x:c r="L5892" t="str" s="2">
        <x:v>Show</x:v>
      </x:c>
    </x:row>
    <x:row r="5893">
      <x:c r="A5893" t="str" s="2">
        <x:f>=HYPERLINK("https://rsms.futurehomex.com/lead/38445", "Kayla Soriano")</x:f>
      </x:c>
      <x:c r="B5893" t="str" s="2">
        <x:v>Heritage Housing Mt Pleasant</x:v>
      </x:c>
      <x:c r="C5893" t="str" s="2">
        <x:v/>
      </x:c>
      <x:c r="D5893" t="str" s="2">
        <x:v>7134192454</x:v>
      </x:c>
      <x:c r="E5893" t="str" s="2">
        <x:v>kaylasorianoross@gmail.com</x:v>
      </x:c>
      <x:c r="F5893" t="str" s="2">
        <x:v>META Marketplace</x:v>
      </x:c>
      <x:c r="G5893" t="str" s="2">
        <x:v>Yarelis Torres</x:v>
      </x:c>
      <x:c r="H5893" s="6">
        <x:v>46215.012780289355</x:v>
      </x:c>
      <x:c r="I5893" t="str" s="2">
        <x:v>Yarelis Torres</x:v>
      </x:c>
      <x:c r="J5893" s="6">
        <x:v>46214.729166666664</x:v>
      </x:c>
      <x:c r="K5893" s="6">
        <x:v>46215.018483182874</x:v>
      </x:c>
      <x:c r="L5893" t="str" s="2">
        <x:v>Show</x:v>
      </x:c>
    </x:row>
    <x:row r="5894">
      <x:c r="A5894" t="str" s="2">
        <x:f>=HYPERLINK("https://rsms.futurehomex.com/lead/38557", "Jordan Hardesty")</x:f>
      </x:c>
      <x:c r="B5894" t="str" s="2">
        <x:v>Heritage Housing of Oklahoma City</x:v>
      </x:c>
      <x:c r="C5894" t="str" s="2">
        <x:v>0/1</x:v>
      </x:c>
      <x:c r="D5894" t="str" s="2">
        <x:v>4058810439</x:v>
      </x:c>
      <x:c r="E5894" t="str" s="2">
        <x:v>jordanhardesty76@gmail.com</x:v>
      </x:c>
      <x:c r="F5894" t="str" s="2">
        <x:v>LandingPage</x:v>
      </x:c>
      <x:c r="G5894" t="str" s="2">
        <x:v>Steve Castell</x:v>
      </x:c>
      <x:c r="H5894" s="6">
        <x:v>46215.15268896991</x:v>
      </x:c>
      <x:c r="I5894" t="str" s="2">
        <x:v>Alejandra Calderon</x:v>
      </x:c>
      <x:c r="J5894" s="6">
        <x:v>46220.708333333336</x:v>
      </x:c>
      <x:c r="K5894" s="6">
        <x:v>46220.71743741898</x:v>
      </x:c>
      <x:c r="L5894" t="str" s="2">
        <x:v>Show</x:v>
      </x:c>
    </x:row>
    <x:row r="5895">
      <x:c r="A5895" t="str" s="2">
        <x:f>=HYPERLINK("https://rsms.futurehomex.com/lead/38891", "Kristina Pauley")</x:f>
      </x:c>
      <x:c r="B5895" t="str" s="2">
        <x:v>Heritage Housing of Asheboro</x:v>
      </x:c>
      <x:c r="C5895" t="str" s="2">
        <x:v/>
      </x:c>
      <x:c r="D5895" t="str" s="2">
        <x:v>3362619059</x:v>
      </x:c>
      <x:c r="E5895" t="str" s="2">
        <x:v>kristinapauley85@gmail.com</x:v>
      </x:c>
      <x:c r="F5895" t="str" s="2">
        <x:v>Walk-in</x:v>
      </x:c>
      <x:c r="G5895" t="str" s="2">
        <x:v>Maria Lopez</x:v>
      </x:c>
      <x:c r="H5895" s="6">
        <x:v>46215.22213368055</x:v>
      </x:c>
      <x:c r="I5895" t="str" s="2">
        <x:v>Maria Lopez</x:v>
      </x:c>
      <x:c r="J5895" s="0"/>
      <x:c r="K5895" s="6">
        <x:v>46231</x:v>
      </x:c>
      <x:c r="L5895" t="str" s="2">
        <x:v>Show</x:v>
      </x:c>
    </x:row>
    <x:row r="5896">
      <x:c r="A5896" t="str" s="2">
        <x:f>=HYPERLINK("https://rsms.futurehomex.com/lead/38522", "Alfredo Rojas")</x:f>
      </x:c>
      <x:c r="B5896" t="str" s="2">
        <x:v>Legacy Housing Corp. DBA Americasa</x:v>
      </x:c>
      <x:c r="C5896" t="str" s="2">
        <x:v/>
      </x:c>
      <x:c r="D5896" t="str" s="2">
        <x:v>8323300266</x:v>
      </x:c>
      <x:c r="E5896" t="str" s="2">
        <x:v>a.rojas.truking705@gmail.com</x:v>
      </x:c>
      <x:c r="F5896" t="str" s="2">
        <x:v>Meta Ads - Forms</x:v>
      </x:c>
      <x:c r="G5896" t="str" s="2">
        <x:v>Rodrigo Ramirez</x:v>
      </x:c>
      <x:c r="H5896" s="6">
        <x:v>46215.62601828704</x:v>
      </x:c>
      <x:c r="I5896" t="str" s="2">
        <x:v>Joey Marquez</x:v>
      </x:c>
      <x:c r="J5896" s="6">
        <x:v>46218.666666666664</x:v>
      </x:c>
      <x:c r="K5896" s="6">
        <x:v>46218.7388621875</x:v>
      </x:c>
      <x:c r="L5896" t="str" s="2">
        <x:v>Show</x:v>
      </x:c>
    </x:row>
    <x:row r="5897">
      <x:c r="A5897" t="str" s="2">
        <x:f>=HYPERLINK("https://rsms.futurehomex.com/lead/38447", "Billy Smith")</x:f>
      </x:c>
      <x:c r="B5897" t="str" s="2">
        <x:v>Heritage Housing of Oklahoma City</x:v>
      </x:c>
      <x:c r="C5897" t="str" s="2">
        <x:v/>
      </x:c>
      <x:c r="D5897" t="str" s="2">
        <x:v>4056414757</x:v>
      </x:c>
      <x:c r="E5897" t="str" s="2">
        <x:v>bsmitty64@gmail.com</x:v>
      </x:c>
      <x:c r="F5897" t="str" s="2">
        <x:v>Walk-in</x:v>
      </x:c>
      <x:c r="G5897" t="str" s="2">
        <x:v>Eva Misheva</x:v>
      </x:c>
      <x:c r="H5897" s="6">
        <x:v>46215.91400428241</x:v>
      </x:c>
      <x:c r="I5897" t="str" s="2">
        <x:v>Eva Misheva</x:v>
      </x:c>
      <x:c r="J5897" s="0"/>
      <x:c r="K5897" s="6">
        <x:v>46215.91400428241</x:v>
      </x:c>
      <x:c r="L5897" t="str" s="2">
        <x:v>Show</x:v>
      </x:c>
    </x:row>
    <x:row r="5898">
      <x:c r="A5898" t="str" s="2">
        <x:f>=HYPERLINK("https://rsms.futurehomex.com/lead/38573", "Lemont Calwell")</x:f>
      </x:c>
      <x:c r="B5898" t="str" s="2">
        <x:v>Heritage Housing of Minden</x:v>
      </x:c>
      <x:c r="C5898" t="str" s="2">
        <x:v>0/1</x:v>
      </x:c>
      <x:c r="D5898" t="str" s="2">
        <x:v>8709493906</x:v>
      </x:c>
      <x:c r="E5898" t="str" s="2">
        <x:v>mrnoodle116@gmail.com</x:v>
      </x:c>
      <x:c r="F5898" t="str" s="2">
        <x:v>Meta Ads - Forms</x:v>
      </x:c>
      <x:c r="G5898" t="str" s="2">
        <x:v>Patrick Schuchart</x:v>
      </x:c>
      <x:c r="H5898" s="6">
        <x:v>46216.05023630787</x:v>
      </x:c>
      <x:c r="I5898" t="str" s="2">
        <x:v>Patrick Schuchart</x:v>
      </x:c>
      <x:c r="J5898" s="6">
        <x:v>46226.791666666664</x:v>
      </x:c>
      <x:c r="K5898" s="6">
        <x:v>46226.80268179398</x:v>
      </x:c>
      <x:c r="L5898" t="str" s="2">
        <x:v>Show</x:v>
      </x:c>
    </x:row>
    <x:row r="5899">
      <x:c r="A5899" t="str" s="2">
        <x:f>=HYPERLINK("https://rsms.futurehomex.com/lead/38571", "Zachary Meissner")</x:f>
      </x:c>
      <x:c r="B5899" t="str" s="2">
        <x:v>Heritage Housing of Minden</x:v>
      </x:c>
      <x:c r="C5899" t="str" s="2">
        <x:v>0/2</x:v>
      </x:c>
      <x:c r="D5899" t="str" s="2">
        <x:v>3373755869</x:v>
      </x:c>
      <x:c r="E5899" t="str" s="2">
        <x:v>zachmeiss59@yahoo.com</x:v>
      </x:c>
      <x:c r="F5899" t="str" s="2">
        <x:v>Meta Ads - Forms</x:v>
      </x:c>
      <x:c r="G5899" t="str" s="2">
        <x:v>Patrick Schuchart</x:v>
      </x:c>
      <x:c r="H5899" s="6">
        <x:v>46216.10718584491</x:v>
      </x:c>
      <x:c r="I5899" t="str" s="2">
        <x:v>Patrick Schuchart</x:v>
      </x:c>
      <x:c r="J5899" s="6">
        <x:v>46221.708333333336</x:v>
      </x:c>
      <x:c r="K5899" s="6">
        <x:v>46223.671841979165</x:v>
      </x:c>
      <x:c r="L5899" t="str" s="2">
        <x:v>Show</x:v>
      </x:c>
    </x:row>
    <x:row r="5900">
      <x:c r="A5900" t="str" s="2">
        <x:f>=HYPERLINK("https://rsms.futurehomex.com/lead/38455", "Ginger Hill")</x:f>
      </x:c>
      <x:c r="B5900" t="str" s="2">
        <x:v>Heritage Housing of Greenville</x:v>
      </x:c>
      <x:c r="C5900" t="str" s="2">
        <x:v/>
      </x:c>
      <x:c r="D5900" t="str" s="2">
        <x:v>8178766116</x:v>
      </x:c>
      <x:c r="E5900" t="str" s="2">
        <x:v>ginger.m.hill@gmail.com</x:v>
      </x:c>
      <x:c r="F5900" t="str" s="2">
        <x:v>Facebook Messenger</x:v>
      </x:c>
      <x:c r="G5900" t="str" s="2">
        <x:v>Brandie Sartor</x:v>
      </x:c>
      <x:c r="H5900" s="6">
        <x:v>46216.573258715274</x:v>
      </x:c>
      <x:c r="I5900" t="str" s="2">
        <x:v>Greg Christman</x:v>
      </x:c>
      <x:c r="J5900" s="0"/>
      <x:c r="K5900" s="6">
        <x:v>46216.573258715274</x:v>
      </x:c>
      <x:c r="L5900" t="str" s="2">
        <x:v>Show</x:v>
      </x:c>
    </x:row>
    <x:row r="5901">
      <x:c r="A5901" t="str" s="2">
        <x:f>=HYPERLINK("https://rsms.futurehomex.com/lead/38463", "Tyson Shields")</x:f>
      </x:c>
      <x:c r="B5901" t="str" s="2">
        <x:v>Heritage Housing of Oklahoma City</x:v>
      </x:c>
      <x:c r="C5901" t="str" s="2">
        <x:v>0/1</x:v>
      </x:c>
      <x:c r="D5901" t="str" s="2">
        <x:v>5803638618</x:v>
      </x:c>
      <x:c r="E5901" t="str" s="2">
        <x:v>mizecolton@gmail.com</x:v>
      </x:c>
      <x:c r="F5901" t="str" s="2">
        <x:v>Facebook Messenger</x:v>
      </x:c>
      <x:c r="G5901" t="str" s="2">
        <x:v>Steve Castell</x:v>
      </x:c>
      <x:c r="H5901" s="6">
        <x:v>46216.666537847224</x:v>
      </x:c>
      <x:c r="I5901" t="str" s="2">
        <x:v>Steve Castell</x:v>
      </x:c>
      <x:c r="J5901" s="6">
        <x:v>46223.875</x:v>
      </x:c>
      <x:c r="K5901" s="6">
        <x:v>46227.02720447916</x:v>
      </x:c>
      <x:c r="L5901" t="str" s="2">
        <x:v>Show</x:v>
      </x:c>
    </x:row>
    <x:row r="5902">
      <x:c r="A5902" t="str" s="2">
        <x:f>=HYPERLINK("https://rsms.futurehomex.com/lead/38464", "Greicy Nuñez Velasquez")</x:f>
      </x:c>
      <x:c r="B5902" t="str" s="2">
        <x:v>Heritage Housing Mt Pleasant</x:v>
      </x:c>
      <x:c r="C5902" t="str" s="2">
        <x:v/>
      </x:c>
      <x:c r="D5902" t="str" s="2">
        <x:v>4695287993</x:v>
      </x:c>
      <x:c r="E5902" t="str" s="2">
        <x:v>greicynunez85@gmail.com</x:v>
      </x:c>
      <x:c r="F5902" t="str" s="2">
        <x:v>META Marketplace</x:v>
      </x:c>
      <x:c r="G5902" t="str" s="2">
        <x:v>Yarelis Torres</x:v>
      </x:c>
      <x:c r="H5902" s="6">
        <x:v>46216.677995983795</x:v>
      </x:c>
      <x:c r="I5902" t="str" s="2">
        <x:v>Sandra Saldana</x:v>
      </x:c>
      <x:c r="J5902" s="6">
        <x:v>46216.75</x:v>
      </x:c>
      <x:c r="K5902" s="6">
        <x:v>46216.8208971412</x:v>
      </x:c>
      <x:c r="L5902" t="str" s="2">
        <x:v>Show</x:v>
      </x:c>
    </x:row>
    <x:row r="5903">
      <x:c r="A5903" t="str" s="2">
        <x:f>=HYPERLINK("https://rsms.futurehomex.com/lead/38468", "Alexis Pettey")</x:f>
      </x:c>
      <x:c r="B5903" t="str" s="2">
        <x:v>Heritage Housing of Oklahoma City</x:v>
      </x:c>
      <x:c r="C5903" t="str" s="2">
        <x:v/>
      </x:c>
      <x:c r="D5903" t="str" s="2">
        <x:v>5803779903</x:v>
      </x:c>
      <x:c r="E5903" t="str" s="2">
        <x:v>tazpebbles1234@gmail.com</x:v>
      </x:c>
      <x:c r="F5903" t="str" s="2">
        <x:v>Facebook Messenger</x:v>
      </x:c>
      <x:c r="G5903" t="str" s="2">
        <x:v>Steve Castell</x:v>
      </x:c>
      <x:c r="H5903" s="6">
        <x:v>46216.71707233796</x:v>
      </x:c>
      <x:c r="I5903" t="str" s="2">
        <x:v>Karla Brizuela</x:v>
      </x:c>
      <x:c r="J5903" s="6">
        <x:v>46216.708333333336</x:v>
      </x:c>
      <x:c r="K5903" s="6">
        <x:v>46216.91919846065</x:v>
      </x:c>
      <x:c r="L5903" t="str" s="2">
        <x:v>Show</x:v>
      </x:c>
    </x:row>
    <x:row r="5904">
      <x:c r="A5904" t="str" s="2">
        <x:f>=HYPERLINK("https://rsms.futurehomex.com/lead/38469", "Rebecca Standridge")</x:f>
      </x:c>
      <x:c r="B5904" t="str" s="2">
        <x:v>Heritage Housing of Athens</x:v>
      </x:c>
      <x:c r="C5904" t="str" s="2">
        <x:v/>
      </x:c>
      <x:c r="D5904" t="str" s="2">
        <x:v>7705393899</x:v>
      </x:c>
      <x:c r="E5904" t="str" s="2">
        <x:v>standridge24@yahoo.com</x:v>
      </x:c>
      <x:c r="F5904" t="str" s="2">
        <x:v>Walk-in</x:v>
      </x:c>
      <x:c r="G5904" t="str" s="2">
        <x:v>Iris McKinley</x:v>
      </x:c>
      <x:c r="H5904" s="6">
        <x:v>46216.76032164352</x:v>
      </x:c>
      <x:c r="I5904" t="str" s="2">
        <x:v>Iris McKinley</x:v>
      </x:c>
      <x:c r="J5904" s="0"/>
      <x:c r="K5904" s="6">
        <x:v>46216.76032164352</x:v>
      </x:c>
      <x:c r="L5904" t="str" s="2">
        <x:v>Show</x:v>
      </x:c>
    </x:row>
    <x:row r="5905">
      <x:c r="A5905" t="str" s="2">
        <x:f>=HYPERLINK("https://rsms.futurehomex.com/lead/38470", "Brittany Evette")</x:f>
      </x:c>
      <x:c r="B5905" t="str" s="2">
        <x:v>Legacy Housing Corp. DBA Americasa</x:v>
      </x:c>
      <x:c r="C5905" t="str" s="2">
        <x:v/>
      </x:c>
      <x:c r="D5905" t="str" s="2">
        <x:v>3465519743</x:v>
      </x:c>
      <x:c r="E5905" t="str" s="2">
        <x:v>3465519743</x:v>
      </x:c>
      <x:c r="F5905" t="str" s="2">
        <x:v>Walk-in</x:v>
      </x:c>
      <x:c r="G5905" t="str" s="2">
        <x:v>Angelica Mendoza </x:v>
      </x:c>
      <x:c r="H5905" s="6">
        <x:v>46216.761750150465</x:v>
      </x:c>
      <x:c r="I5905" t="str" s="2">
        <x:v>House</x:v>
      </x:c>
      <x:c r="J5905" s="0"/>
      <x:c r="K5905" s="6">
        <x:v>46216.761750150465</x:v>
      </x:c>
      <x:c r="L5905" t="str" s="2">
        <x:v>Show</x:v>
      </x:c>
    </x:row>
    <x:row r="5906">
      <x:c r="A5906" t="str" s="2">
        <x:f>=HYPERLINK("https://rsms.futurehomex.com/lead/38476", "Sandy Esparza")</x:f>
      </x:c>
      <x:c r="B5906" t="str" s="2">
        <x:v>Heritage Housing of Asheboro</x:v>
      </x:c>
      <x:c r="C5906" t="str" s="2">
        <x:v/>
      </x:c>
      <x:c r="D5906" t="str" s="2">
        <x:v>7432673268</x:v>
      </x:c>
      <x:c r="E5906" t="str" s="2">
        <x:v>sandy.espa866@gmail.com</x:v>
      </x:c>
      <x:c r="F5906" t="str" s="2">
        <x:v>Walk-in</x:v>
      </x:c>
      <x:c r="G5906" s="0"/>
      <x:c r="H5906" s="6">
        <x:v>46216.88477241898</x:v>
      </x:c>
      <x:c r="I5906" t="str" s="2">
        <x:v>Maria Lopez</x:v>
      </x:c>
      <x:c r="J5906" s="0"/>
      <x:c r="K5906" s="0"/>
      <x:c r="L5906" t="str" s="2">
        <x:v>Show</x:v>
      </x:c>
    </x:row>
    <x:row r="5907">
      <x:c r="A5907" t="str" s="2">
        <x:f>=HYPERLINK("https://rsms.futurehomex.com/lead/38555", "Laura Goldsborough")</x:f>
      </x:c>
      <x:c r="B5907" t="str" s="2">
        <x:v>Heritage Housing of Asheboro</x:v>
      </x:c>
      <x:c r="C5907" t="str" s="2">
        <x:v/>
      </x:c>
      <x:c r="D5907" t="str" s="2">
        <x:v>3367365657</x:v>
      </x:c>
      <x:c r="E5907" t="str" s="2">
        <x:v>lauralbeal@gmail.com</x:v>
      </x:c>
      <x:c r="F5907" t="str" s="2">
        <x:v>Walk-in</x:v>
      </x:c>
      <x:c r="G5907" s="0"/>
      <x:c r="H5907" s="6">
        <x:v>46217.62214748842</x:v>
      </x:c>
      <x:c r="I5907" t="str" s="2">
        <x:v>Maria Lopez</x:v>
      </x:c>
      <x:c r="J5907" s="0"/>
      <x:c r="K5907" s="0"/>
      <x:c r="L5907" t="str" s="2">
        <x:v>Show</x:v>
      </x:c>
    </x:row>
    <x:row r="5908">
      <x:c r="A5908" t="str" s="2">
        <x:f>=HYPERLINK("https://rsms.futurehomex.com/lead/38500", "Leona Smith")</x:f>
      </x:c>
      <x:c r="B5908" t="str" s="2">
        <x:v>Heritage Housing of Augusta</x:v>
      </x:c>
      <x:c r="C5908" t="str" s="2">
        <x:v/>
      </x:c>
      <x:c r="D5908" t="str" s="2">
        <x:v>8036347092</x:v>
      </x:c>
      <x:c r="E5908" t="str" s="2">
        <x:v>leonahmailton32@gmail.com</x:v>
      </x:c>
      <x:c r="F5908" t="str" s="2">
        <x:v>Walk-in</x:v>
      </x:c>
      <x:c r="G5908" t="str" s="2">
        <x:v>Jennifer Johnson</x:v>
      </x:c>
      <x:c r="H5908" s="6">
        <x:v>46217.6507193287</x:v>
      </x:c>
      <x:c r="I5908" t="str" s="2">
        <x:v>Jennifer Johnson</x:v>
      </x:c>
      <x:c r="J5908" s="6">
        <x:v>46222.666666666664</x:v>
      </x:c>
      <x:c r="K5908" s="6">
        <x:v>46259.57692172454</x:v>
      </x:c>
      <x:c r="L5908" t="str" s="2">
        <x:v>Show</x:v>
      </x:c>
    </x:row>
    <x:row r="5909">
      <x:c r="A5909" t="str" s="2">
        <x:f>=HYPERLINK("https://rsms.futurehomex.com/lead/38501", "Tony Jones")</x:f>
      </x:c>
      <x:c r="B5909" t="str" s="2">
        <x:v>Heritage Housing Mt Pleasant</x:v>
      </x:c>
      <x:c r="C5909" t="str" s="2">
        <x:v/>
      </x:c>
      <x:c r="D5909" t="str" s="2">
        <x:v>4698315955</x:v>
      </x:c>
      <x:c r="E5909" t="str" s="2">
        <x:v>twaynej60@gmail.com</x:v>
      </x:c>
      <x:c r="F5909" t="str" s="2">
        <x:v>Website</x:v>
      </x:c>
      <x:c r="G5909" t="str" s="2">
        <x:v>Yarelis Torres</x:v>
      </x:c>
      <x:c r="H5909" s="6">
        <x:v>46217.66490038195</x:v>
      </x:c>
      <x:c r="I5909" t="str" s="2">
        <x:v>Yarelis Torres</x:v>
      </x:c>
      <x:c r="J5909" s="6">
        <x:v>46217.666666666664</x:v>
      </x:c>
      <x:c r="K5909" s="6">
        <x:v>46217.69198804398</x:v>
      </x:c>
      <x:c r="L5909" t="str" s="2">
        <x:v>Show</x:v>
      </x:c>
    </x:row>
    <x:row r="5910">
      <x:c r="A5910" t="str" s="2">
        <x:f>=HYPERLINK("https://rsms.futurehomex.com/lead/38503", "cheyanne richards")</x:f>
      </x:c>
      <x:c r="B5910" t="str" s="2">
        <x:v>Heritage Housing of Oklahoma City</x:v>
      </x:c>
      <x:c r="C5910" t="str" s="2">
        <x:v/>
      </x:c>
      <x:c r="D5910" t="str" s="2">
        <x:v>4054646679</x:v>
      </x:c>
      <x:c r="E5910" t="str" s="2">
        <x:v>cheyrichards915@gmail.com</x:v>
      </x:c>
      <x:c r="F5910" t="str" s="2">
        <x:v>Financing Form</x:v>
      </x:c>
      <x:c r="G5910" t="str" s="2">
        <x:v>Trey Rixleben</x:v>
      </x:c>
      <x:c r="H5910" s="6">
        <x:v>46217.68256605324</x:v>
      </x:c>
      <x:c r="I5910" t="str" s="2">
        <x:v>Karla Brizuela</x:v>
      </x:c>
      <x:c r="J5910" s="6">
        <x:v>46217.791666666664</x:v>
      </x:c>
      <x:c r="K5910" s="6">
        <x:v>46217.76325119213</x:v>
      </x:c>
      <x:c r="L5910" t="str" s="2">
        <x:v>Show</x:v>
      </x:c>
    </x:row>
    <x:row r="5911">
      <x:c r="A5911" t="str" s="2">
        <x:f>=HYPERLINK("https://rsms.futurehomex.com/lead/38516", "Christtina Dexon")</x:f>
      </x:c>
      <x:c r="B5911" t="str" s="2">
        <x:v>Heritage Housing Mt Pleasant</x:v>
      </x:c>
      <x:c r="C5911" t="str" s="2">
        <x:v/>
      </x:c>
      <x:c r="D5911" t="str" s="2">
        <x:v>9033051092</x:v>
      </x:c>
      <x:c r="E5911" t="str" s="2">
        <x:v>christymdixon82@gmail.com</x:v>
      </x:c>
      <x:c r="F5911" t="str" s="2">
        <x:v>META Marketplace</x:v>
      </x:c>
      <x:c r="G5911" t="str" s="2">
        <x:v>Yarelis Torres</x:v>
      </x:c>
      <x:c r="H5911" s="6">
        <x:v>46217.905786689815</x:v>
      </x:c>
      <x:c r="I5911" t="str" s="2">
        <x:v>Yarelis Torres</x:v>
      </x:c>
      <x:c r="J5911" s="6">
        <x:v>46223.583333333336</x:v>
      </x:c>
      <x:c r="K5911" s="6">
        <x:v>46223.66115015046</x:v>
      </x:c>
      <x:c r="L5911" t="str" s="2">
        <x:v>Show</x:v>
      </x:c>
    </x:row>
    <x:row r="5912">
      <x:c r="A5912" t="str" s="2">
        <x:f>=HYPERLINK("https://rsms.futurehomex.com/lead/38545", "Ronald Holt")</x:f>
      </x:c>
      <x:c r="B5912" t="str" s="2">
        <x:v>Heritage Housing of Oklahoma City</x:v>
      </x:c>
      <x:c r="C5912" t="str" s="2">
        <x:v/>
      </x:c>
      <x:c r="D5912" t="str" s="2">
        <x:v>4056554408</x:v>
      </x:c>
      <x:c r="E5912" t="str" s="2">
        <x:v>ron5320@att.net</x:v>
      </x:c>
      <x:c r="F5912" t="str" s="2">
        <x:v>Other</x:v>
      </x:c>
      <x:c r="G5912" t="str" s="2">
        <x:v>Trey Rixleben</x:v>
      </x:c>
      <x:c r="H5912" s="6">
        <x:v>46218.53786431713</x:v>
      </x:c>
      <x:c r="I5912" t="str" s="2">
        <x:v>Trey Rixleben</x:v>
      </x:c>
      <x:c r="J5912" s="6">
        <x:v>46221.833333333336</x:v>
      </x:c>
      <x:c r="K5912" s="6">
        <x:v>46221.89929799768</x:v>
      </x:c>
      <x:c r="L5912" t="str" s="2">
        <x:v>Show</x:v>
      </x:c>
    </x:row>
    <x:row r="5913">
      <x:c r="A5913" t="str" s="2">
        <x:f>=HYPERLINK("https://rsms.futurehomex.com/lead/38523", "Clemencia Escobar")</x:f>
      </x:c>
      <x:c r="B5913" t="str" s="2">
        <x:v>Heritage Housing of Asheboro</x:v>
      </x:c>
      <x:c r="C5913" t="str" s="2">
        <x:v/>
      </x:c>
      <x:c r="D5913" t="str" s="2">
        <x:v>3369977845</x:v>
      </x:c>
      <x:c r="E5913" t="str" s="2">
        <x:v>clemenciaws2@gmail.com</x:v>
      </x:c>
      <x:c r="F5913" t="str" s="2">
        <x:v>Walk-in</x:v>
      </x:c>
      <x:c r="G5913" s="0"/>
      <x:c r="H5913" s="6">
        <x:v>46218.56776493056</x:v>
      </x:c>
      <x:c r="I5913" t="str" s="2">
        <x:v>Maria Lopez</x:v>
      </x:c>
      <x:c r="J5913" s="0"/>
      <x:c r="K5913" s="0"/>
      <x:c r="L5913" t="str" s="2">
        <x:v>Show</x:v>
      </x:c>
    </x:row>
    <x:row r="5914">
      <x:c r="A5914" t="str" s="2">
        <x:f>=HYPERLINK("https://rsms.futurehomex.com/lead/38524", "Jose Barboza")</x:f>
      </x:c>
      <x:c r="B5914" t="str" s="2">
        <x:v>Heritage Housing of Asheboro</x:v>
      </x:c>
      <x:c r="C5914" t="str" s="2">
        <x:v/>
      </x:c>
      <x:c r="D5914" t="str" s="2">
        <x:v>3367493126</x:v>
      </x:c>
      <x:c r="E5914" t="str" s="2">
        <x:v>josebarb1748@gmail.com</x:v>
      </x:c>
      <x:c r="F5914" t="str" s="2">
        <x:v>Walk-in</x:v>
      </x:c>
      <x:c r="G5914" s="0"/>
      <x:c r="H5914" s="6">
        <x:v>46218.568697916664</x:v>
      </x:c>
      <x:c r="I5914" t="str" s="2">
        <x:v>Maria Lopez</x:v>
      </x:c>
      <x:c r="J5914" s="0"/>
      <x:c r="K5914" s="0"/>
      <x:c r="L5914" t="str" s="2">
        <x:v>Show</x:v>
      </x:c>
    </x:row>
    <x:row r="5915">
      <x:c r="A5915" t="str" s="2">
        <x:f>=HYPERLINK("https://rsms.futurehomex.com/lead/38527", "Aaron Bush")</x:f>
      </x:c>
      <x:c r="B5915" t="str" s="2">
        <x:v>Heritage Housing of Oklahoma City</x:v>
      </x:c>
      <x:c r="C5915" t="str" s="2">
        <x:v/>
      </x:c>
      <x:c r="D5915" t="str" s="2">
        <x:v>4058802602</x:v>
      </x:c>
      <x:c r="E5915" t="str" s="2">
        <x:v>yeeyeetrain77@gmail.com</x:v>
      </x:c>
      <x:c r="F5915" t="str" s="2">
        <x:v>Office Hot Calls</x:v>
      </x:c>
      <x:c r="G5915" t="str" s="2">
        <x:v>Steve Castell</x:v>
      </x:c>
      <x:c r="H5915" s="6">
        <x:v>46218.671552280095</x:v>
      </x:c>
      <x:c r="I5915" t="str" s="2">
        <x:v>Trey Rixleben</x:v>
      </x:c>
      <x:c r="J5915" s="6">
        <x:v>46218.791666666664</x:v>
      </x:c>
      <x:c r="K5915" s="6">
        <x:v>46218.77910115741</x:v>
      </x:c>
      <x:c r="L5915" t="str" s="2">
        <x:v>Show</x:v>
      </x:c>
    </x:row>
    <x:row r="5916">
      <x:c r="A5916" t="str" s="2">
        <x:f>=HYPERLINK("https://rsms.futurehomex.com/lead/38539", "Tony Parks")</x:f>
      </x:c>
      <x:c r="B5916" t="str" s="2">
        <x:v>Heritage Housing of Asheboro</x:v>
      </x:c>
      <x:c r="C5916" t="str" s="2">
        <x:v/>
      </x:c>
      <x:c r="D5916" t="str" s="2">
        <x:v>3369707998</x:v>
      </x:c>
      <x:c r="E5916" t="str" s="2">
        <x:v>58Tparks@gmail.com</x:v>
      </x:c>
      <x:c r="F5916" t="str" s="2">
        <x:v>Walk-in</x:v>
      </x:c>
      <x:c r="G5916" s="0"/>
      <x:c r="H5916" s="6">
        <x:v>46218.736122372684</x:v>
      </x:c>
      <x:c r="I5916" t="str" s="2">
        <x:v>Maria Lopez</x:v>
      </x:c>
      <x:c r="J5916" s="0"/>
      <x:c r="K5916" s="0"/>
      <x:c r="L5916" t="str" s="2">
        <x:v>Show</x:v>
      </x:c>
    </x:row>
    <x:row r="5917">
      <x:c r="A5917" t="str" s="2">
        <x:f>=HYPERLINK("https://rsms.futurehomex.com/lead/38537", "Elwood Key")</x:f>
      </x:c>
      <x:c r="B5917" t="str" s="2">
        <x:v>Heritage Housing of Asheboro</x:v>
      </x:c>
      <x:c r="C5917" t="str" s="2">
        <x:v/>
      </x:c>
      <x:c r="D5917" t="str" s="2">
        <x:v>3366888665</x:v>
      </x:c>
      <x:c r="E5917" t="str" s="2">
        <x:v>ekey0325@gmail.com</x:v>
      </x:c>
      <x:c r="F5917" t="str" s="2">
        <x:v>Walk-in</x:v>
      </x:c>
      <x:c r="G5917" s="0"/>
      <x:c r="H5917" s="6">
        <x:v>46218.769827777774</x:v>
      </x:c>
      <x:c r="I5917" t="str" s="2">
        <x:v>Maria Lopez</x:v>
      </x:c>
      <x:c r="J5917" s="0"/>
      <x:c r="K5917" s="0"/>
      <x:c r="L5917" t="str" s="2">
        <x:v>Show</x:v>
      </x:c>
    </x:row>
    <x:row r="5918">
      <x:c r="A5918" t="str" s="2">
        <x:f>=HYPERLINK("https://rsms.futurehomex.com/lead/38540", "Lisa Johnson")</x:f>
      </x:c>
      <x:c r="B5918" t="str" s="2">
        <x:v>Heritage Housing of Asheboro</x:v>
      </x:c>
      <x:c r="C5918" t="str" s="2">
        <x:v/>
      </x:c>
      <x:c r="D5918" t="str" s="2">
        <x:v>3362678223</x:v>
      </x:c>
      <x:c r="E5918" t="str" s="2">
        <x:v>ljohnson207@rtmc.net</x:v>
      </x:c>
      <x:c r="F5918" t="str" s="2">
        <x:v>Walk-in</x:v>
      </x:c>
      <x:c r="G5918" s="0"/>
      <x:c r="H5918" s="6">
        <x:v>46218.77190170139</x:v>
      </x:c>
      <x:c r="I5918" t="str" s="2">
        <x:v>Maria Lopez</x:v>
      </x:c>
      <x:c r="J5918" s="0"/>
      <x:c r="K5918" s="0"/>
      <x:c r="L5918" t="str" s="2">
        <x:v>Show</x:v>
      </x:c>
    </x:row>
    <x:row r="5919">
      <x:c r="A5919" t="str" s="2">
        <x:f>=HYPERLINK("https://rsms.futurehomex.com/lead/38538", "Jennifer Marinello")</x:f>
      </x:c>
      <x:c r="B5919" t="str" s="2">
        <x:v>Heritage Housing of Greenville</x:v>
      </x:c>
      <x:c r="C5919" t="str" s="2">
        <x:v/>
      </x:c>
      <x:c r="D5919" t="str" s="2">
        <x:v>9039907030</x:v>
      </x:c>
      <x:c r="E5919" t="str" s="2">
        <x:v>marinello424@gmail.com</x:v>
      </x:c>
      <x:c r="F5919" t="str" s="2">
        <x:v>Facebook Messenger</x:v>
      </x:c>
      <x:c r="G5919" t="str" s="2">
        <x:v>Brandie Sartor</x:v>
      </x:c>
      <x:c r="H5919" s="6">
        <x:v>46218.77305512731</x:v>
      </x:c>
      <x:c r="I5919" t="str" s="2">
        <x:v>Brooklynn Allen</x:v>
      </x:c>
      <x:c r="J5919" s="0"/>
      <x:c r="K5919" s="6">
        <x:v>46218.77305512731</x:v>
      </x:c>
      <x:c r="L5919" t="str" s="2">
        <x:v>Show</x:v>
      </x:c>
    </x:row>
    <x:row r="5920">
      <x:c r="A5920" t="str" s="2">
        <x:f>=HYPERLINK("https://rsms.futurehomex.com/lead/38546", "Terry L Stephens")</x:f>
      </x:c>
      <x:c r="B5920" t="str" s="2">
        <x:v>Heritage Housing of Jennings</x:v>
      </x:c>
      <x:c r="C5920" t="str" s="2">
        <x:v/>
      </x:c>
      <x:c r="D5920" t="str" s="2">
        <x:v>3373963345</x:v>
      </x:c>
      <x:c r="E5920" t="str" s="2">
        <x:v>Tstephens1958@icloud.com</x:v>
      </x:c>
      <x:c r="F5920" t="str" s="2">
        <x:v>Walk-in</x:v>
      </x:c>
      <x:c r="G5920" t="str" s="2">
        <x:v>Mervin Leslie Smith</x:v>
      </x:c>
      <x:c r="H5920" s="6">
        <x:v>46218.79109378472</x:v>
      </x:c>
      <x:c r="I5920" t="str" s="2">
        <x:v>Mervin Leslie Smith</x:v>
      </x:c>
      <x:c r="J5920" s="0"/>
      <x:c r="K5920" s="6">
        <x:v>46245</x:v>
      </x:c>
      <x:c r="L5920" t="str" s="2">
        <x:v>Show</x:v>
      </x:c>
    </x:row>
    <x:row r="5921">
      <x:c r="A5921" t="str" s="2">
        <x:f>=HYPERLINK("https://rsms.futurehomex.com/lead/40473", "Terry L Stephens")</x:f>
      </x:c>
      <x:c r="B5921" t="str" s="2">
        <x:v>Heritage Housing of Jennings</x:v>
      </x:c>
      <x:c r="C5921" t="str" s="2">
        <x:v/>
      </x:c>
      <x:c r="D5921" t="str" s="2">
        <x:v>3373963345</x:v>
      </x:c>
      <x:c r="E5921" t="str" s="2">
        <x:v>Tstephens1958@icloud.com</x:v>
      </x:c>
      <x:c r="F5921" t="str" s="2">
        <x:v>Walk-in</x:v>
      </x:c>
      <x:c r="G5921" t="str" s="2">
        <x:v>Mervin Leslie Smith</x:v>
      </x:c>
      <x:c r="H5921" s="6">
        <x:v>46218.79109378472</x:v>
      </x:c>
      <x:c r="I5921" t="str" s="2">
        <x:v>Clint O'Neal</x:v>
      </x:c>
      <x:c r="J5921" s="0"/>
      <x:c r="K5921" s="6">
        <x:v>46245</x:v>
      </x:c>
      <x:c r="L5921" t="str" s="2">
        <x:v>Show</x:v>
      </x:c>
    </x:row>
    <x:row r="5922">
      <x:c r="A5922" t="str" s="2">
        <x:f>=HYPERLINK("https://rsms.futurehomex.com/lead/38558", "Brannon Barksdale")</x:f>
      </x:c>
      <x:c r="B5922" t="str" s="2">
        <x:v>Heritage Housing of Oklahoma City</x:v>
      </x:c>
      <x:c r="C5922" t="str" s="2">
        <x:v/>
      </x:c>
      <x:c r="D5922" t="str" s="2">
        <x:v>3255143761</x:v>
      </x:c>
      <x:c r="E5922" t="str" s="2">
        <x:v>Brandonbarksdale0000@gmail.com</x:v>
      </x:c>
      <x:c r="F5922" t="str" s="2">
        <x:v>Facebook Messenger</x:v>
      </x:c>
      <x:c r="G5922" t="str" s="2">
        <x:v>Steve Castell</x:v>
      </x:c>
      <x:c r="H5922" s="6">
        <x:v>46219.794094641205</x:v>
      </x:c>
      <x:c r="I5922" t="str" s="2">
        <x:v>Karla Brizuela</x:v>
      </x:c>
      <x:c r="J5922" s="6">
        <x:v>46221.583333333336</x:v>
      </x:c>
      <x:c r="K5922" s="6">
        <x:v>46221.658696990744</x:v>
      </x:c>
      <x:c r="L5922" t="str" s="2">
        <x:v>Show</x:v>
      </x:c>
    </x:row>
    <x:row r="5923">
      <x:c r="A5923" t="str" s="2">
        <x:f>=HYPERLINK("https://rsms.futurehomex.com/lead/38559", "Pamela Nettles")</x:f>
      </x:c>
      <x:c r="B5923" t="str" s="2">
        <x:v>Heritage Housing of Asheboro</x:v>
      </x:c>
      <x:c r="C5923" t="str" s="2">
        <x:v/>
      </x:c>
      <x:c r="D5923" t="str" s="2">
        <x:v>3368249502</x:v>
      </x:c>
      <x:c r="E5923" t="str" s="2">
        <x:v>nettlespamela62@gmail.com</x:v>
      </x:c>
      <x:c r="F5923" t="str" s="2">
        <x:v>Walk-in</x:v>
      </x:c>
      <x:c r="G5923" s="0"/>
      <x:c r="H5923" s="6">
        <x:v>46219.81032318287</x:v>
      </x:c>
      <x:c r="I5923" t="str" s="2">
        <x:v>Maria Lopez</x:v>
      </x:c>
      <x:c r="J5923" s="0"/>
      <x:c r="K5923" s="0"/>
      <x:c r="L5923" t="str" s="2">
        <x:v>Show</x:v>
      </x:c>
    </x:row>
    <x:row r="5924">
      <x:c r="A5924" t="str" s="2">
        <x:f>=HYPERLINK("https://rsms.futurehomex.com/lead/38561", "Jamarcus Glover")</x:f>
      </x:c>
      <x:c r="B5924" t="str" s="2">
        <x:v>Heritage Housing of Minden</x:v>
      </x:c>
      <x:c r="C5924" t="str" s="2">
        <x:v>0/1</x:v>
      </x:c>
      <x:c r="D5924" t="str" s="2">
        <x:v>8709047304</x:v>
      </x:c>
      <x:c r="E5924" t="str" s="2">
        <x:v>Jamarcusglover01@gmail.com</x:v>
      </x:c>
      <x:c r="F5924" t="str" s="2">
        <x:v>Meta Marketplace</x:v>
      </x:c>
      <x:c r="G5924" t="str" s="2">
        <x:v>Patrick Schuchart</x:v>
      </x:c>
      <x:c r="H5924" s="6">
        <x:v>46219.833229247684</x:v>
      </x:c>
      <x:c r="I5924" t="str" s="2">
        <x:v>Patrick Schuchart</x:v>
      </x:c>
      <x:c r="J5924" s="6">
        <x:v>46219.916666666664</x:v>
      </x:c>
      <x:c r="K5924" s="6">
        <x:v>46227.6928091088</x:v>
      </x:c>
      <x:c r="L5924" t="str" s="2">
        <x:v>Show</x:v>
      </x:c>
    </x:row>
    <x:row r="5925">
      <x:c r="A5925" t="str" s="2">
        <x:f>=HYPERLINK("https://rsms.futurehomex.com/lead/38562", "Grady Eaton")</x:f>
      </x:c>
      <x:c r="B5925" t="str" s="2">
        <x:v>Heritage Housing of Oklahoma City</x:v>
      </x:c>
      <x:c r="C5925" t="str" s="2">
        <x:v>0/1</x:v>
      </x:c>
      <x:c r="D5925" t="str" s="2">
        <x:v>4058503607</x:v>
      </x:c>
      <x:c r="E5925" t="str" s="2">
        <x:v>grady4osu@yahoo.com</x:v>
      </x:c>
      <x:c r="F5925" t="str" s="2">
        <x:v>Facebook Messenger</x:v>
      </x:c>
      <x:c r="G5925" t="str" s="2">
        <x:v>Steve Castell</x:v>
      </x:c>
      <x:c r="H5925" s="6">
        <x:v>46219.84867769676</x:v>
      </x:c>
      <x:c r="I5925" t="str" s="2">
        <x:v>Steve Castell</x:v>
      </x:c>
      <x:c r="J5925" s="6">
        <x:v>46221.604166666664</x:v>
      </x:c>
      <x:c r="K5925" s="6">
        <x:v>46221.66419355324</x:v>
      </x:c>
      <x:c r="L5925" t="str" s="2">
        <x:v>Show</x:v>
      </x:c>
    </x:row>
    <x:row r="5926">
      <x:c r="A5926" t="str" s="2">
        <x:f>=HYPERLINK("https://rsms.futurehomex.com/lead/38564", "Maria Carmona")</x:f>
      </x:c>
      <x:c r="B5926" t="str" s="2">
        <x:v>Heritage Housing Mt Pleasant</x:v>
      </x:c>
      <x:c r="C5926" t="str" s="2">
        <x:v/>
      </x:c>
      <x:c r="D5926" t="str" s="2">
        <x:v>9032851025</x:v>
      </x:c>
      <x:c r="E5926" t="str" s="2">
        <x:v>mariacardona74@cloud.com</x:v>
      </x:c>
      <x:c r="F5926" t="str" s="2">
        <x:v>Walk-in</x:v>
      </x:c>
      <x:c r="G5926" t="str" s="2">
        <x:v>Sandra Saldana</x:v>
      </x:c>
      <x:c r="H5926" s="6">
        <x:v>46219.89694722222</x:v>
      </x:c>
      <x:c r="I5926" t="str" s="2">
        <x:v>Sandra Saldana</x:v>
      </x:c>
      <x:c r="J5926" s="6">
        <x:v>46223.958333333336</x:v>
      </x:c>
      <x:c r="K5926" s="6">
        <x:v>46225.58189837963</x:v>
      </x:c>
      <x:c r="L5926" t="str" s="2">
        <x:v>Show</x:v>
      </x:c>
    </x:row>
    <x:row r="5927">
      <x:c r="A5927" t="str" s="2">
        <x:f>=HYPERLINK("https://rsms.futurehomex.com/lead/38580", "Kelly Tinkham")</x:f>
      </x:c>
      <x:c r="B5927" t="str" s="2">
        <x:v>Heritage Housing of Oklahoma City</x:v>
      </x:c>
      <x:c r="C5927" t="str" s="2">
        <x:v/>
      </x:c>
      <x:c r="D5927" t="str" s="2">
        <x:v>4054745544</x:v>
      </x:c>
      <x:c r="E5927" t="str" s="2">
        <x:v>kelly.tinkham@gmail.com</x:v>
      </x:c>
      <x:c r="F5927" t="str" s="2">
        <x:v>Website</x:v>
      </x:c>
      <x:c r="G5927" t="str" s="2">
        <x:v>Trey Rixleben</x:v>
      </x:c>
      <x:c r="H5927" s="6">
        <x:v>46220.76745535879</x:v>
      </x:c>
      <x:c r="I5927" t="str" s="2">
        <x:v>Trey Rixleben</x:v>
      </x:c>
      <x:c r="J5927" s="6">
        <x:v>46223.833333333336</x:v>
      </x:c>
      <x:c r="K5927" s="6">
        <x:v>46223.87962777778</x:v>
      </x:c>
      <x:c r="L5927" t="str" s="2">
        <x:v>Show</x:v>
      </x:c>
    </x:row>
    <x:row r="5928">
      <x:c r="A5928" t="str" s="2">
        <x:f>=HYPERLINK("https://rsms.futurehomex.com/lead/38574", "Austin Gravitt")</x:f>
      </x:c>
      <x:c r="B5928" t="str" s="2">
        <x:v>Heritage Housing of Oklahoma City</x:v>
      </x:c>
      <x:c r="C5928" t="str" s="2">
        <x:v/>
      </x:c>
      <x:c r="D5928" t="str" s="2">
        <x:v>5722727088</x:v>
      </x:c>
      <x:c r="E5928" t="str" s="2">
        <x:v>5722727088</x:v>
      </x:c>
      <x:c r="F5928" t="str" s="2">
        <x:v>Facebook Messenger</x:v>
      </x:c>
      <x:c r="G5928" t="str" s="2">
        <x:v>Steve Castell</x:v>
      </x:c>
      <x:c r="H5928" s="6">
        <x:v>46220.78750046296</x:v>
      </x:c>
      <x:c r="I5928" t="str" s="2">
        <x:v>Steve Castell</x:v>
      </x:c>
      <x:c r="J5928" s="6">
        <x:v>46220.8125</x:v>
      </x:c>
      <x:c r="K5928" s="6">
        <x:v>46220.90907407407</x:v>
      </x:c>
      <x:c r="L5928" t="str" s="2">
        <x:v>Show</x:v>
      </x:c>
    </x:row>
    <x:row r="5929">
      <x:c r="A5929" t="str" s="2">
        <x:f>=HYPERLINK("https://rsms.futurehomex.com/lead/38584", "Ed Hill")</x:f>
      </x:c>
      <x:c r="B5929" t="str" s="2">
        <x:v>Heritage Housing Mt Pleasant</x:v>
      </x:c>
      <x:c r="C5929" t="str" s="2">
        <x:v/>
      </x:c>
      <x:c r="D5929" t="str" s="2">
        <x:v>8178568359</x:v>
      </x:c>
      <x:c r="E5929" t="str" s="2">
        <x:v>hilled734@gmail.com</x:v>
      </x:c>
      <x:c r="F5929" t="str" s="2">
        <x:v>META Marketplace</x:v>
      </x:c>
      <x:c r="G5929" t="str" s="2">
        <x:v>Yarelis Torres</x:v>
      </x:c>
      <x:c r="H5929" s="6">
        <x:v>46220.93820181713</x:v>
      </x:c>
      <x:c r="I5929" t="str" s="2">
        <x:v>Yarelis Torres</x:v>
      </x:c>
      <x:c r="J5929" s="6">
        <x:v>46220.708333333336</x:v>
      </x:c>
      <x:c r="K5929" s="6">
        <x:v>46221.573741782406</x:v>
      </x:c>
      <x:c r="L5929" t="str" s="2">
        <x:v>Show</x:v>
      </x:c>
    </x:row>
    <x:row r="5930">
      <x:c r="A5930" t="str" s="2">
        <x:f>=HYPERLINK("https://rsms.futurehomex.com/lead/38585", "Janis Harder")</x:f>
      </x:c>
      <x:c r="B5930" t="str" s="2">
        <x:v>Heritage Housing Mt Pleasant</x:v>
      </x:c>
      <x:c r="C5930" t="str" s="2">
        <x:v/>
      </x:c>
      <x:c r="D5930" t="str" s="2">
        <x:v>9038412498</x:v>
      </x:c>
      <x:c r="E5930" t="str" s="2">
        <x:v>janisherder2@gmail.com</x:v>
      </x:c>
      <x:c r="F5930" t="str" s="2">
        <x:v>Website</x:v>
      </x:c>
      <x:c r="G5930" t="str" s="2">
        <x:v>Yarelis Torres</x:v>
      </x:c>
      <x:c r="H5930" s="6">
        <x:v>46220.94078758102</x:v>
      </x:c>
      <x:c r="I5930" t="str" s="2">
        <x:v>Yarelis Torres</x:v>
      </x:c>
      <x:c r="J5930" s="6">
        <x:v>46220.666666666664</x:v>
      </x:c>
      <x:c r="K5930" s="6">
        <x:v>46221.573460914355</x:v>
      </x:c>
      <x:c r="L5930" t="str" s="2">
        <x:v>Show</x:v>
      </x:c>
    </x:row>
    <x:row r="5931">
      <x:c r="A5931" t="str" s="2">
        <x:f>=HYPERLINK("https://rsms.futurehomex.com/lead/38587", "Nicole McRae")</x:f>
      </x:c>
      <x:c r="B5931" t="str" s="2">
        <x:v>Heritage Housing of Asheboro</x:v>
      </x:c>
      <x:c r="C5931" t="str" s="2">
        <x:v/>
      </x:c>
      <x:c r="D5931" t="str" s="2">
        <x:v>7432394425</x:v>
      </x:c>
      <x:c r="E5931" t="str" s="2">
        <x:v>nicolemcrae23@gmail.com</x:v>
      </x:c>
      <x:c r="F5931" t="str" s="2">
        <x:v>Walk-in</x:v>
      </x:c>
      <x:c r="G5931" s="0"/>
      <x:c r="H5931" s="6">
        <x:v>46221.558454247686</x:v>
      </x:c>
      <x:c r="I5931" t="str" s="2">
        <x:v>Maria Lopez</x:v>
      </x:c>
      <x:c r="J5931" s="0"/>
      <x:c r="K5931" s="0"/>
      <x:c r="L5931" t="str" s="2">
        <x:v>Show</x:v>
      </x:c>
    </x:row>
    <x:row r="5932">
      <x:c r="A5932" t="str" s="2">
        <x:f>=HYPERLINK("https://rsms.futurehomex.com/lead/38594", "Haley Gregory")</x:f>
      </x:c>
      <x:c r="B5932" t="str" s="2">
        <x:v>Heritage Housing of Asheboro</x:v>
      </x:c>
      <x:c r="C5932" t="str" s="2">
        <x:v/>
      </x:c>
      <x:c r="D5932" t="str" s="2">
        <x:v>9803651019</x:v>
      </x:c>
      <x:c r="E5932" t="str" s="2">
        <x:v>haleygregory2019@yahoo.com</x:v>
      </x:c>
      <x:c r="F5932" t="str" s="2">
        <x:v>Walk-in</x:v>
      </x:c>
      <x:c r="G5932" s="0"/>
      <x:c r="H5932" s="6">
        <x:v>46221.665222951386</x:v>
      </x:c>
      <x:c r="I5932" t="str" s="2">
        <x:v>Maria Lopez</x:v>
      </x:c>
      <x:c r="J5932" s="0"/>
      <x:c r="K5932" s="0"/>
      <x:c r="L5932" t="str" s="2">
        <x:v>Show</x:v>
      </x:c>
    </x:row>
    <x:row r="5933">
      <x:c r="A5933" t="str" s="2">
        <x:f>=HYPERLINK("https://rsms.futurehomex.com/lead/38595", "Rosa Bailon")</x:f>
      </x:c>
      <x:c r="B5933" t="str" s="2">
        <x:v>Heritage Housing of Greenville</x:v>
      </x:c>
      <x:c r="C5933" t="str" s="2">
        <x:v/>
      </x:c>
      <x:c r="D5933" t="str" s="2">
        <x:v>4696595254</x:v>
      </x:c>
      <x:c r="E5933" t="str" s="2">
        <x:v>Rosabailon844@yahoo.com</x:v>
      </x:c>
      <x:c r="F5933" t="str" s="2">
        <x:v>Facebook Messenger</x:v>
      </x:c>
      <x:c r="G5933" t="str" s="2">
        <x:v>Brandie Sartor</x:v>
      </x:c>
      <x:c r="H5933" s="6">
        <x:v>46221.67812658565</x:v>
      </x:c>
      <x:c r="I5933" t="str" s="2">
        <x:v>Oscar Osorio</x:v>
      </x:c>
      <x:c r="J5933" s="0"/>
      <x:c r="K5933" s="6">
        <x:v>46221.67812658565</x:v>
      </x:c>
      <x:c r="L5933" t="str" s="2">
        <x:v>Show</x:v>
      </x:c>
    </x:row>
    <x:row r="5934">
      <x:c r="A5934" t="str" s="2">
        <x:f>=HYPERLINK("https://rsms.futurehomex.com/lead/38624", "Valerie Bushnell")</x:f>
      </x:c>
      <x:c r="B5934" t="str" s="2">
        <x:v>Heritage Housing of Jennings</x:v>
      </x:c>
      <x:c r="C5934" t="str" s="2">
        <x:v>1/2</x:v>
      </x:c>
      <x:c r="D5934" t="str" s="2">
        <x:v>3373900482</x:v>
      </x:c>
      <x:c r="E5934" t="str" s="2">
        <x:v>Taegiginugent@gmail.com</x:v>
      </x:c>
      <x:c r="F5934" t="str" s="2">
        <x:v>Website</x:v>
      </x:c>
      <x:c r="G5934" t="str" s="2">
        <x:v>Mervin Leslie Smith</x:v>
      </x:c>
      <x:c r="H5934" s="6">
        <x:v>46221.679924108794</x:v>
      </x:c>
      <x:c r="I5934" t="str" s="2">
        <x:v>Mervin Leslie Smith</x:v>
      </x:c>
      <x:c r="J5934" s="6">
        <x:v>46223.791666666664</x:v>
      </x:c>
      <x:c r="K5934" s="6">
        <x:v>46223.67976990741</x:v>
      </x:c>
      <x:c r="L5934" t="str" s="2">
        <x:v>Show</x:v>
      </x:c>
    </x:row>
    <x:row r="5935">
      <x:c r="A5935" t="str" s="2">
        <x:f>=HYPERLINK("https://rsms.futurehomex.com/lead/38601", "Jaheim Simon")</x:f>
      </x:c>
      <x:c r="B5935" t="str" s="2">
        <x:v>Heritage Housing of Jennings</x:v>
      </x:c>
      <x:c r="C5935" t="str" s="2">
        <x:v/>
      </x:c>
      <x:c r="D5935" t="str" s="2">
        <x:v>3372490148</x:v>
      </x:c>
      <x:c r="E5935" t="str" s="2">
        <x:v>jaheimsimon51@gmail.com</x:v>
      </x:c>
      <x:c r="F5935" t="str" s="2">
        <x:v>Walk-in</x:v>
      </x:c>
      <x:c r="G5935" s="0"/>
      <x:c r="H5935" s="6">
        <x:v>46221.68731126157</x:v>
      </x:c>
      <x:c r="I5935" t="str" s="2">
        <x:v>Marty Fontenot</x:v>
      </x:c>
      <x:c r="J5935" s="0"/>
      <x:c r="K5935" s="0"/>
      <x:c r="L5935" t="str" s="2">
        <x:v>Show</x:v>
      </x:c>
    </x:row>
    <x:row r="5936">
      <x:c r="A5936" t="str" s="2">
        <x:f>=HYPERLINK("https://rsms.futurehomex.com/lead/38597", "Demetrius Harmon")</x:f>
      </x:c>
      <x:c r="B5936" t="str" s="2">
        <x:v>Heritage Housing of Asheboro</x:v>
      </x:c>
      <x:c r="C5936" t="str" s="2">
        <x:v/>
      </x:c>
      <x:c r="D5936" t="str" s="2">
        <x:v>6892458554</x:v>
      </x:c>
      <x:c r="E5936" t="str" s="2">
        <x:v>harmondemetrius@gmail.com</x:v>
      </x:c>
      <x:c r="F5936" t="str" s="2">
        <x:v>Walk-in</x:v>
      </x:c>
      <x:c r="G5936" s="0"/>
      <x:c r="H5936" s="6">
        <x:v>46221.71789409722</x:v>
      </x:c>
      <x:c r="I5936" t="str" s="2">
        <x:v>Maria Lopez</x:v>
      </x:c>
      <x:c r="J5936" s="0"/>
      <x:c r="K5936" s="0"/>
      <x:c r="L5936" t="str" s="2">
        <x:v>Show</x:v>
      </x:c>
    </x:row>
    <x:row r="5937">
      <x:c r="A5937" t="str" s="2">
        <x:f>=HYPERLINK("https://rsms.futurehomex.com/lead/38599", "David Booker")</x:f>
      </x:c>
      <x:c r="B5937" t="str" s="2">
        <x:v>Heritage Housing of Minden</x:v>
      </x:c>
      <x:c r="C5937" t="str" s="2">
        <x:v>0/3</x:v>
      </x:c>
      <x:c r="D5937" t="str" s="2">
        <x:v>3184139057</x:v>
      </x:c>
      <x:c r="E5937" t="str" s="2">
        <x:v>dbooker505@gmail.com</x:v>
      </x:c>
      <x:c r="F5937" t="str" s="2">
        <x:v>Meta Marketplace</x:v>
      </x:c>
      <x:c r="G5937" t="str" s="2">
        <x:v>Patrick Schuchart</x:v>
      </x:c>
      <x:c r="H5937" s="6">
        <x:v>46221.72882121528</x:v>
      </x:c>
      <x:c r="I5937" t="str" s="2">
        <x:v>Patrick Schuchart</x:v>
      </x:c>
      <x:c r="J5937" s="6">
        <x:v>46224.6875</x:v>
      </x:c>
      <x:c r="K5937" s="6">
        <x:v>46290.78746921296</x:v>
      </x:c>
      <x:c r="L5937" t="str" s="2">
        <x:v>Show</x:v>
      </x:c>
    </x:row>
    <x:row r="5938">
      <x:c r="A5938" t="str" s="2">
        <x:f>=HYPERLINK("https://rsms.futurehomex.com/lead/38602", "Coby Gaspard")</x:f>
      </x:c>
      <x:c r="B5938" t="str" s="2">
        <x:v>Heritage Housing of Jennings</x:v>
      </x:c>
      <x:c r="C5938" t="str" s="2">
        <x:v/>
      </x:c>
      <x:c r="D5938" t="str" s="2">
        <x:v>3374006290</x:v>
      </x:c>
      <x:c r="E5938" t="str" s="2">
        <x:v>gaspardcoby1@gmail.com</x:v>
      </x:c>
      <x:c r="F5938" t="str" s="2">
        <x:v>Walk-in</x:v>
      </x:c>
      <x:c r="G5938" s="0"/>
      <x:c r="H5938" s="6">
        <x:v>46221.73666686343</x:v>
      </x:c>
      <x:c r="I5938" t="str" s="2">
        <x:v>Mervin Leslie Smith</x:v>
      </x:c>
      <x:c r="J5938" s="0"/>
      <x:c r="K5938" s="0"/>
      <x:c r="L5938" t="str" s="2">
        <x:v>Show</x:v>
      </x:c>
    </x:row>
    <x:row r="5939">
      <x:c r="A5939" t="str" s="2">
        <x:f>=HYPERLINK("https://rsms.futurehomex.com/lead/38603", "Rylinn Staffort")</x:f>
      </x:c>
      <x:c r="B5939" t="str" s="2">
        <x:v>Heritage Housing of Oklahoma City</x:v>
      </x:c>
      <x:c r="C5939" t="str" s="2">
        <x:v/>
      </x:c>
      <x:c r="D5939" t="str" s="2">
        <x:v>4056549371</x:v>
      </x:c>
      <x:c r="E5939" t="str" s="2">
        <x:v>RylinnmStaffort@yahoo.com</x:v>
      </x:c>
      <x:c r="F5939" t="str" s="2">
        <x:v>Facebook Messenger</x:v>
      </x:c>
      <x:c r="G5939" t="str" s="2">
        <x:v>Eva Misheva</x:v>
      </x:c>
      <x:c r="H5939" s="6">
        <x:v>46221.76409826389</x:v>
      </x:c>
      <x:c r="I5939" t="str" s="2">
        <x:v>Eva Misheva</x:v>
      </x:c>
      <x:c r="J5939" s="0"/>
      <x:c r="K5939" s="6">
        <x:v>46221.76409826389</x:v>
      </x:c>
      <x:c r="L5939" t="str" s="2">
        <x:v>Show</x:v>
      </x:c>
    </x:row>
    <x:row r="5940">
      <x:c r="A5940" t="str" s="2">
        <x:f>=HYPERLINK("https://rsms.futurehomex.com/lead/38606", "Noah Maynard")</x:f>
      </x:c>
      <x:c r="B5940" t="str" s="2">
        <x:v>Heritage Housing of Asheboro</x:v>
      </x:c>
      <x:c r="C5940" t="str" s="2">
        <x:v/>
      </x:c>
      <x:c r="D5940" t="str" s="2">
        <x:v>7432062087</x:v>
      </x:c>
      <x:c r="E5940" t="str" s="2">
        <x:v>maynardwv1@gmail.com</x:v>
      </x:c>
      <x:c r="F5940" t="str" s="2">
        <x:v>Walk-in</x:v>
      </x:c>
      <x:c r="G5940" s="0"/>
      <x:c r="H5940" s="6">
        <x:v>46221.80680092592</x:v>
      </x:c>
      <x:c r="I5940" t="str" s="2">
        <x:v>Maria Lopez</x:v>
      </x:c>
      <x:c r="J5940" s="0"/>
      <x:c r="K5940" s="0"/>
      <x:c r="L5940" t="str" s="2">
        <x:v>Show</x:v>
      </x:c>
    </x:row>
    <x:row r="5941">
      <x:c r="A5941" t="str" s="2">
        <x:f>=HYPERLINK("https://rsms.futurehomex.com/lead/38607", "Raven Asas")</x:f>
      </x:c>
      <x:c r="B5941" t="str" s="2">
        <x:v>Heritage Housing Mt Pleasant</x:v>
      </x:c>
      <x:c r="C5941" t="str" s="2">
        <x:v/>
      </x:c>
      <x:c r="D5941" t="str" s="2">
        <x:v>9032414740</x:v>
      </x:c>
      <x:c r="E5941" t="str" s="2">
        <x:v>9032414740</x:v>
      </x:c>
      <x:c r="F5941" t="str" s="2">
        <x:v>META Marketplace</x:v>
      </x:c>
      <x:c r="G5941" t="str" s="2">
        <x:v>Yarelis Torres</x:v>
      </x:c>
      <x:c r="H5941" s="6">
        <x:v>46221.80806458333</x:v>
      </x:c>
      <x:c r="I5941" t="str" s="2">
        <x:v>Yarelis Torres</x:v>
      </x:c>
      <x:c r="J5941" s="6">
        <x:v>46221.666666666664</x:v>
      </x:c>
      <x:c r="K5941" s="6">
        <x:v>46221.93531045139</x:v>
      </x:c>
      <x:c r="L5941" t="str" s="2">
        <x:v>Show</x:v>
      </x:c>
    </x:row>
    <x:row r="5942">
      <x:c r="A5942" t="str" s="2">
        <x:f>=HYPERLINK("https://rsms.futurehomex.com/lead/38610", "KAYMIL &amp; Isiah Mcpherson")</x:f>
      </x:c>
      <x:c r="B5942" t="str" s="2">
        <x:v>Heritage Housing of Oklahoma City</x:v>
      </x:c>
      <x:c r="C5942" t="str" s="2">
        <x:v/>
      </x:c>
      <x:c r="D5942" t="str" s="2">
        <x:v>4059866904</x:v>
      </x:c>
      <x:c r="E5942" t="str" s="2">
        <x:v>4059866904</x:v>
      </x:c>
      <x:c r="F5942" t="str" s="2">
        <x:v>Walk-in</x:v>
      </x:c>
      <x:c r="G5942" t="str" s="2">
        <x:v>Eva Misheva</x:v>
      </x:c>
      <x:c r="H5942" s="6">
        <x:v>46221.85337295139</x:v>
      </x:c>
      <x:c r="I5942" t="str" s="2">
        <x:v>Eva Misheva</x:v>
      </x:c>
      <x:c r="J5942" s="0"/>
      <x:c r="K5942" s="6">
        <x:v>46221.85337295139</x:v>
      </x:c>
      <x:c r="L5942" t="str" s="2">
        <x:v>Show</x:v>
      </x:c>
    </x:row>
    <x:row r="5943">
      <x:c r="A5943" t="str" s="2">
        <x:f>=HYPERLINK("https://rsms.futurehomex.com/lead/38611", "Julie Kichler")</x:f>
      </x:c>
      <x:c r="B5943" t="str" s="2">
        <x:v>Heritage Housing of Oklahoma City</x:v>
      </x:c>
      <x:c r="C5943" t="str" s="2">
        <x:v>0/1</x:v>
      </x:c>
      <x:c r="D5943" t="str" s="2">
        <x:v>6207048015</x:v>
      </x:c>
      <x:c r="E5943" t="str" s="2">
        <x:v>julie_kilcher1988@yahoo.com</x:v>
      </x:c>
      <x:c r="F5943" t="str" s="2">
        <x:v>Facebook Messenger</x:v>
      </x:c>
      <x:c r="G5943" t="str" s="2">
        <x:v>Steve Castell</x:v>
      </x:c>
      <x:c r="H5943" s="6">
        <x:v>46221.861853703704</x:v>
      </x:c>
      <x:c r="I5943" t="str" s="2">
        <x:v>Steve Castell</x:v>
      </x:c>
      <x:c r="J5943" s="6">
        <x:v>46221.875</x:v>
      </x:c>
      <x:c r="K5943" s="6">
        <x:v>46227.088275</x:v>
      </x:c>
      <x:c r="L5943" t="str" s="2">
        <x:v>Show</x:v>
      </x:c>
    </x:row>
    <x:row r="5944">
      <x:c r="A5944" t="str" s="2">
        <x:f>=HYPERLINK("https://rsms.futurehomex.com/lead/38613", "Brandon Breaux")</x:f>
      </x:c>
      <x:c r="B5944" t="str" s="2">
        <x:v>Heritage Housing of Jennings</x:v>
      </x:c>
      <x:c r="C5944" t="str" s="2">
        <x:v>0/1</x:v>
      </x:c>
      <x:c r="D5944" t="str" s="2">
        <x:v>3375637602</x:v>
      </x:c>
      <x:c r="E5944" t="str" s="2">
        <x:v>breaux.brandon@icloud.com</x:v>
      </x:c>
      <x:c r="F5944" t="str" s="2">
        <x:v>Walk-in</x:v>
      </x:c>
      <x:c r="G5944" s="0"/>
      <x:c r="H5944" s="6">
        <x:v>46221.89859336805</x:v>
      </x:c>
      <x:c r="I5944" t="str" s="2">
        <x:v>Mervin Leslie Smith</x:v>
      </x:c>
      <x:c r="J5944" s="0"/>
      <x:c r="K5944" s="6">
        <x:v>46227.52309042824</x:v>
      </x:c>
      <x:c r="L5944" t="str" s="2">
        <x:v>Show</x:v>
      </x:c>
    </x:row>
    <x:row r="5945">
      <x:c r="A5945" t="str" s="2">
        <x:f>=HYPERLINK("https://rsms.futurehomex.com/lead/38614", "Robert Andrews")</x:f>
      </x:c>
      <x:c r="B5945" t="str" s="2">
        <x:v>Heritage Housing of Oklahoma City</x:v>
      </x:c>
      <x:c r="C5945" t="str" s="2">
        <x:v/>
      </x:c>
      <x:c r="D5945" t="str" s="2">
        <x:v>9186503964</x:v>
      </x:c>
      <x:c r="E5945" t="str" s="2">
        <x:v>papa.and.mamabear7419@gmail.com</x:v>
      </x:c>
      <x:c r="F5945" t="str" s="2">
        <x:v>Walk-in</x:v>
      </x:c>
      <x:c r="G5945" t="str" s="2">
        <x:v>Eva Misheva</x:v>
      </x:c>
      <x:c r="H5945" s="6">
        <x:v>46221.97050153935</x:v>
      </x:c>
      <x:c r="I5945" t="str" s="2">
        <x:v>Eva Misheva</x:v>
      </x:c>
      <x:c r="J5945" s="6">
        <x:v>46228.833333333336</x:v>
      </x:c>
      <x:c r="K5945" s="6">
        <x:v>46229.852478622684</x:v>
      </x:c>
      <x:c r="L5945" t="str" s="2">
        <x:v>Show</x:v>
      </x:c>
    </x:row>
    <x:row r="5946">
      <x:c r="A5946" t="str" s="2">
        <x:f>=HYPERLINK("https://rsms.futurehomex.com/lead/38615", "Mimi Turner")</x:f>
      </x:c>
      <x:c r="B5946" t="str" s="2">
        <x:v>Heritage Housing Mt Pleasant</x:v>
      </x:c>
      <x:c r="C5946" t="str" s="2">
        <x:v/>
      </x:c>
      <x:c r="D5946" t="str" s="2">
        <x:v>8702925490</x:v>
      </x:c>
      <x:c r="E5946" t="str" s="2">
        <x:v>8702925490</x:v>
      </x:c>
      <x:c r="F5946" t="str" s="2">
        <x:v>META Marketplace</x:v>
      </x:c>
      <x:c r="G5946" t="str" s="2">
        <x:v>Yarelis Torres</x:v>
      </x:c>
      <x:c r="H5946" s="6">
        <x:v>46221.99064822917</x:v>
      </x:c>
      <x:c r="I5946" t="str" s="2">
        <x:v>Yarelis Torres</x:v>
      </x:c>
      <x:c r="J5946" s="6">
        <x:v>46223.833333333336</x:v>
      </x:c>
      <x:c r="K5946" s="6">
        <x:v>46224.066468715275</x:v>
      </x:c>
      <x:c r="L5946" t="str" s="2">
        <x:v>Show</x:v>
      </x:c>
    </x:row>
    <x:row r="5947">
      <x:c r="A5947" t="str" s="2">
        <x:f>=HYPERLINK("https://rsms.futurehomex.com/lead/40095", "Taylor Norment")</x:f>
      </x:c>
      <x:c r="B5947" t="str" s="2">
        <x:v>Heritage Housing of Minden</x:v>
      </x:c>
      <x:c r="C5947" t="str" s="2">
        <x:v/>
      </x:c>
      <x:c r="D5947" t="str" s="2">
        <x:v>3184333364</x:v>
      </x:c>
      <x:c r="E5947" t="str" s="2">
        <x:v>tayloranorment24@gmail.com</x:v>
      </x:c>
      <x:c r="F5947" t="str" s="2">
        <x:v>Website</x:v>
      </x:c>
      <x:c r="G5947" t="str" s="2">
        <x:v>Patrick Schuchart</x:v>
      </x:c>
      <x:c r="H5947" s="6">
        <x:v>46222.06174394676</x:v>
      </x:c>
      <x:c r="I5947" t="str" s="2">
        <x:v>Patrick Schuchart</x:v>
      </x:c>
      <x:c r="J5947" s="6">
        <x:v>46282.9375</x:v>
      </x:c>
      <x:c r="K5947" s="6">
        <x:v>46282.9651897338</x:v>
      </x:c>
      <x:c r="L5947" t="str" s="2">
        <x:v>Show</x:v>
      </x:c>
    </x:row>
    <x:row r="5948">
      <x:c r="A5948" t="str" s="2">
        <x:f>=HYPERLINK("https://rsms.futurehomex.com/lead/38626", "Taylor Norment")</x:f>
      </x:c>
      <x:c r="B5948" t="str" s="2">
        <x:v>Heritage Housing of Minden</x:v>
      </x:c>
      <x:c r="C5948" t="str" s="2">
        <x:v/>
      </x:c>
      <x:c r="D5948" t="str" s="2">
        <x:v>3184333364</x:v>
      </x:c>
      <x:c r="E5948" t="str" s="2">
        <x:v>tayloranorment24@gmail.com</x:v>
      </x:c>
      <x:c r="F5948" t="str" s="2">
        <x:v>Website</x:v>
      </x:c>
      <x:c r="G5948" t="str" s="2">
        <x:v>Patrick Schuchart</x:v>
      </x:c>
      <x:c r="H5948" s="6">
        <x:v>46222.06174394676</x:v>
      </x:c>
      <x:c r="I5948" t="str" s="2">
        <x:v>Patrick Schuchart</x:v>
      </x:c>
      <x:c r="J5948" s="6">
        <x:v>46230.833333333336</x:v>
      </x:c>
      <x:c r="K5948" s="6">
        <x:v>46282.9651897338</x:v>
      </x:c>
      <x:c r="L5948" t="str" s="2">
        <x:v>Show</x:v>
      </x:c>
    </x:row>
    <x:row r="5949">
      <x:c r="A5949" t="str" s="2">
        <x:f>=HYPERLINK("https://rsms.futurehomex.com/lead/38617", "Jose Medrano Carillo")</x:f>
      </x:c>
      <x:c r="B5949" t="str" s="2">
        <x:v>Heritage Housing of Oklahoma City</x:v>
      </x:c>
      <x:c r="C5949" t="str" s="2">
        <x:v/>
      </x:c>
      <x:c r="D5949" t="str" s="2">
        <x:v>4055008139</x:v>
      </x:c>
      <x:c r="E5949" t="str" s="2">
        <x:v>poder8501@gmail.com</x:v>
      </x:c>
      <x:c r="F5949" t="str" s="2">
        <x:v>Facebook Messenger</x:v>
      </x:c>
      <x:c r="G5949" t="str" s="2">
        <x:v>Eva Misheva</x:v>
      </x:c>
      <x:c r="H5949" s="6">
        <x:v>46222.925132986114</x:v>
      </x:c>
      <x:c r="I5949" t="str" s="2">
        <x:v>Eva Misheva</x:v>
      </x:c>
      <x:c r="J5949" s="0"/>
      <x:c r="K5949" s="6">
        <x:v>46222.925132986114</x:v>
      </x:c>
      <x:c r="L5949" t="str" s="2">
        <x:v>Show</x:v>
      </x:c>
    </x:row>
    <x:row r="5950">
      <x:c r="A5950" t="str" s="2">
        <x:f>=HYPERLINK("https://rsms.futurehomex.com/lead/38812", "Logan McDaniel")</x:f>
      </x:c>
      <x:c r="B5950" t="str" s="2">
        <x:v>Heritage Housing of Asheboro</x:v>
      </x:c>
      <x:c r="C5950" t="str" s="2">
        <x:v>0/1</x:v>
      </x:c>
      <x:c r="D5950" t="str" s="2">
        <x:v>3362336154</x:v>
      </x:c>
      <x:c r="E5950" t="str" s="2">
        <x:v>loganbrookedalton@gmail.com</x:v>
      </x:c>
      <x:c r="F5950" t="str" s="2">
        <x:v>LandingPage</x:v>
      </x:c>
      <x:c r="G5950" t="str" s="2">
        <x:v>Maria Lopez</x:v>
      </x:c>
      <x:c r="H5950" s="6">
        <x:v>46223.579695486114</x:v>
      </x:c>
      <x:c r="I5950" t="str" s="2">
        <x:v>Maria Lopez</x:v>
      </x:c>
      <x:c r="J5950" s="6">
        <x:v>46231.916666666664</x:v>
      </x:c>
      <x:c r="K5950" s="6">
        <x:v>46231.95178368055</x:v>
      </x:c>
      <x:c r="L5950" t="str" s="2">
        <x:v>Show</x:v>
      </x:c>
    </x:row>
    <x:row r="5951">
      <x:c r="A5951" t="str" s="2">
        <x:f>=HYPERLINK("https://rsms.futurehomex.com/lead/38625", "Jordan Dees")</x:f>
      </x:c>
      <x:c r="B5951" t="str" s="2">
        <x:v>Heritage Housing of Greenville</x:v>
      </x:c>
      <x:c r="C5951" t="str" s="2">
        <x:v/>
      </x:c>
      <x:c r="D5951" t="str" s="2">
        <x:v>5418916125</x:v>
      </x:c>
      <x:c r="E5951" t="str" s="2">
        <x:v>Bambidees@gmail.com</x:v>
      </x:c>
      <x:c r="F5951" t="str" s="2">
        <x:v>Facebook Messenger</x:v>
      </x:c>
      <x:c r="G5951" t="str" s="2">
        <x:v>Brandie Sartor</x:v>
      </x:c>
      <x:c r="H5951" s="6">
        <x:v>46223.596765891205</x:v>
      </x:c>
      <x:c r="I5951" t="str" s="2">
        <x:v>Greg Christman</x:v>
      </x:c>
      <x:c r="J5951" s="0"/>
      <x:c r="K5951" s="6">
        <x:v>46223.596765891205</x:v>
      </x:c>
      <x:c r="L5951" t="str" s="2">
        <x:v>Show</x:v>
      </x:c>
    </x:row>
    <x:row r="5952">
      <x:c r="A5952" t="str" s="2">
        <x:f>=HYPERLINK("https://rsms.futurehomex.com/lead/38632", "April Guidry")</x:f>
      </x:c>
      <x:c r="B5952" t="str" s="2">
        <x:v>Heritage Housing of Jennings</x:v>
      </x:c>
      <x:c r="C5952" t="str" s="2">
        <x:v/>
      </x:c>
      <x:c r="D5952" t="str" s="2">
        <x:v>3372505805</x:v>
      </x:c>
      <x:c r="E5952" t="str" s="2">
        <x:v>julia41684@gmail.com</x:v>
      </x:c>
      <x:c r="F5952" t="str" s="2">
        <x:v>Other</x:v>
      </x:c>
      <x:c r="G5952" t="str" s="2">
        <x:v>Drew Dogay</x:v>
      </x:c>
      <x:c r="H5952" s="6">
        <x:v>46223.679486458335</x:v>
      </x:c>
      <x:c r="I5952" t="str" s="2">
        <x:v>Drew Dogay</x:v>
      </x:c>
      <x:c r="J5952" s="0"/>
      <x:c r="K5952" s="6">
        <x:v>46223.679486458335</x:v>
      </x:c>
      <x:c r="L5952" t="str" s="2">
        <x:v>Show</x:v>
      </x:c>
    </x:row>
    <x:row r="5953">
      <x:c r="A5953" t="str" s="2">
        <x:f>=HYPERLINK("https://rsms.futurehomex.com/lead/38638", "James Tomlin")</x:f>
      </x:c>
      <x:c r="B5953" t="str" s="2">
        <x:v>Heritage Housing of Asheboro</x:v>
      </x:c>
      <x:c r="C5953" t="str" s="2">
        <x:v/>
      </x:c>
      <x:c r="D5953" t="str" s="2">
        <x:v>3364652380</x:v>
      </x:c>
      <x:c r="E5953" t="str" s="2">
        <x:v>jamestomlin37@gmail.com</x:v>
      </x:c>
      <x:c r="F5953" t="str" s="2">
        <x:v>Walk-in</x:v>
      </x:c>
      <x:c r="G5953" s="0"/>
      <x:c r="H5953" s="6">
        <x:v>46223.77314513889</x:v>
      </x:c>
      <x:c r="I5953" t="str" s="2">
        <x:v>Maria Lopez</x:v>
      </x:c>
      <x:c r="J5953" s="0"/>
      <x:c r="K5953" s="0"/>
      <x:c r="L5953" t="str" s="2">
        <x:v>Show</x:v>
      </x:c>
    </x:row>
    <x:row r="5954">
      <x:c r="A5954" t="str" s="2">
        <x:f>=HYPERLINK("https://rsms.futurehomex.com/lead/38639", "Curtis Cavin")</x:f>
      </x:c>
      <x:c r="B5954" t="str" s="2">
        <x:v>Heritage Housing Mt Pleasant</x:v>
      </x:c>
      <x:c r="C5954" t="str" s="2">
        <x:v/>
      </x:c>
      <x:c r="D5954" t="str" s="2">
        <x:v>9033559512</x:v>
      </x:c>
      <x:c r="E5954" t="str" s="2">
        <x:v>flashmobilerv@gmail.com</x:v>
      </x:c>
      <x:c r="F5954" t="str" s="2">
        <x:v>META Marketplace</x:v>
      </x:c>
      <x:c r="G5954" t="str" s="2">
        <x:v>Yarelis Torres</x:v>
      </x:c>
      <x:c r="H5954" s="6">
        <x:v>46223.77575876157</x:v>
      </x:c>
      <x:c r="I5954" t="str" s="2">
        <x:v>Yarelis Torres</x:v>
      </x:c>
      <x:c r="J5954" s="6">
        <x:v>46228.583333333336</x:v>
      </x:c>
      <x:c r="K5954" s="6">
        <x:v>46229.76382630787</x:v>
      </x:c>
      <x:c r="L5954" t="str" s="2">
        <x:v>Show</x:v>
      </x:c>
    </x:row>
    <x:row r="5955">
      <x:c r="A5955" t="str" s="2">
        <x:f>=HYPERLINK("https://rsms.futurehomex.com/lead/38879", "Carlos Pesina")</x:f>
      </x:c>
      <x:c r="B5955" t="str" s="2">
        <x:v>Heritage Housing of Oklahoma City</x:v>
      </x:c>
      <x:c r="C5955" t="str" s="2">
        <x:v/>
      </x:c>
      <x:c r="D5955" t="str" s="2">
        <x:v>7858290866</x:v>
      </x:c>
      <x:c r="E5955" t="str" s="2">
        <x:v>PESINACARLOS776@GMAIL.COM</x:v>
      </x:c>
      <x:c r="F5955" t="str" s="2">
        <x:v>Facebook Messenger</x:v>
      </x:c>
      <x:c r="G5955" t="str" s="2">
        <x:v>Steve Castell</x:v>
      </x:c>
      <x:c r="H5955" s="6">
        <x:v>46223.96089834491</x:v>
      </x:c>
      <x:c r="I5955" t="str" s="2">
        <x:v>Alejandra Calderon</x:v>
      </x:c>
      <x:c r="J5955" s="6">
        <x:v>46237.791666666664</x:v>
      </x:c>
      <x:c r="K5955" s="6">
        <x:v>46237.82205818287</x:v>
      </x:c>
      <x:c r="L5955" t="str" s="2">
        <x:v>Show</x:v>
      </x:c>
    </x:row>
    <x:row r="5956">
      <x:c r="A5956" t="str" s="2">
        <x:f>=HYPERLINK("https://rsms.futurehomex.com/lead/38649", "Jadyn &amp; Kade Stewart")</x:f>
      </x:c>
      <x:c r="B5956" t="str" s="2">
        <x:v>Heritage Housing of Oklahoma City</x:v>
      </x:c>
      <x:c r="C5956" t="str" s="2">
        <x:v/>
      </x:c>
      <x:c r="D5956" t="str" s="2">
        <x:v>5808604089</x:v>
      </x:c>
      <x:c r="E5956" t="str" s="2">
        <x:v>jadynstewart06@gmail.com</x:v>
      </x:c>
      <x:c r="F5956" t="str" s="2">
        <x:v>Financing Form</x:v>
      </x:c>
      <x:c r="G5956" t="str" s="2">
        <x:v>Steve Castell</x:v>
      </x:c>
      <x:c r="H5956" s="6">
        <x:v>46224.015774733794</x:v>
      </x:c>
      <x:c r="I5956" t="str" s="2">
        <x:v>Steve Castell</x:v>
      </x:c>
      <x:c r="J5956" s="6">
        <x:v>46227.875</x:v>
      </x:c>
      <x:c r="K5956" s="6">
        <x:v>46227.94780983796</x:v>
      </x:c>
      <x:c r="L5956" t="str" s="2">
        <x:v>Show</x:v>
      </x:c>
    </x:row>
    <x:row r="5957">
      <x:c r="A5957" t="str" s="2">
        <x:f>=HYPERLINK("https://rsms.futurehomex.com/lead/38650", "Alvin Putman, Jr.")</x:f>
      </x:c>
      <x:c r="B5957" t="str" s="2">
        <x:v>Heritage Housing of Canton</x:v>
      </x:c>
      <x:c r="C5957" t="str" s="2">
        <x:v/>
      </x:c>
      <x:c r="D5957" t="str" s="2">
        <x:v>9722078410</x:v>
      </x:c>
      <x:c r="E5957" t="str" s="2">
        <x:v>ghputman45@gmail.com</x:v>
      </x:c>
      <x:c r="F5957" t="str" s="2">
        <x:v>Canton</x:v>
      </x:c>
      <x:c r="G5957" t="str" s="2">
        <x:v>Melanie Auclair</x:v>
      </x:c>
      <x:c r="H5957" s="6">
        <x:v>46224.56930844908</x:v>
      </x:c>
      <x:c r="I5957" t="str" s="2">
        <x:v>Adriana Jaimes-Martinez</x:v>
      </x:c>
      <x:c r="J5957" s="0"/>
      <x:c r="K5957" s="6">
        <x:v>46224.56930844908</x:v>
      </x:c>
      <x:c r="L5957" t="str" s="2">
        <x:v>Show</x:v>
      </x:c>
    </x:row>
    <x:row r="5958">
      <x:c r="A5958" t="str" s="2">
        <x:f>=HYPERLINK("https://rsms.futurehomex.com/lead/38659", "RICKY MIRELES")</x:f>
      </x:c>
      <x:c r="B5958" t="str" s="2">
        <x:v>Legacy Housing Corp. DBA Americasa</x:v>
      </x:c>
      <x:c r="C5958" t="str" s="2">
        <x:v/>
      </x:c>
      <x:c r="D5958" t="str" s="2">
        <x:v>7135424438</x:v>
      </x:c>
      <x:c r="E5958" t="str" s="2">
        <x:v>deleon.marivel@yahoo.com</x:v>
      </x:c>
      <x:c r="F5958" t="str" s="2">
        <x:v>Walk-in</x:v>
      </x:c>
      <x:c r="G5958" t="str" s="2">
        <x:v>Jose Parada</x:v>
      </x:c>
      <x:c r="H5958" s="6">
        <x:v>46224.684266979166</x:v>
      </x:c>
      <x:c r="I5958" t="str" s="2">
        <x:v>Jose Parada</x:v>
      </x:c>
      <x:c r="J5958" s="0"/>
      <x:c r="K5958" s="0"/>
      <x:c r="L5958" t="str" s="2">
        <x:v>Show</x:v>
      </x:c>
    </x:row>
    <x:row r="5959">
      <x:c r="A5959" t="str" s="2">
        <x:f>=HYPERLINK("https://rsms.futurehomex.com/lead/38663", "Antonio Bustamante")</x:f>
      </x:c>
      <x:c r="B5959" t="str" s="2">
        <x:v>Heritage Housing of Asheboro</x:v>
      </x:c>
      <x:c r="C5959" t="str" s="2">
        <x:v/>
      </x:c>
      <x:c r="D5959" t="str" s="2">
        <x:v>9198882374</x:v>
      </x:c>
      <x:c r="E5959" t="str" s="2">
        <x:v>antoniorambtte919@gmail.com</x:v>
      </x:c>
      <x:c r="F5959" t="str" s="2">
        <x:v>Walk-in</x:v>
      </x:c>
      <x:c r="G5959" s="0"/>
      <x:c r="H5959" s="6">
        <x:v>46224.8728466088</x:v>
      </x:c>
      <x:c r="I5959" t="str" s="2">
        <x:v>Maria Lopez</x:v>
      </x:c>
      <x:c r="J5959" s="0"/>
      <x:c r="K5959" s="0"/>
      <x:c r="L5959" t="str" s="2">
        <x:v>Show</x:v>
      </x:c>
    </x:row>
    <x:row r="5960">
      <x:c r="A5960" t="str" s="2">
        <x:f>=HYPERLINK("https://rsms.futurehomex.com/lead/38672", "Laura Borders")</x:f>
      </x:c>
      <x:c r="B5960" t="str" s="2">
        <x:v>Heritage Housing Mt Pleasant</x:v>
      </x:c>
      <x:c r="C5960" t="str" s="2">
        <x:v/>
      </x:c>
      <x:c r="D5960" t="str" s="2" xml:space="preserve">
        <x:v> 9032190130    </x:v>
      </x:c>
      <x:c r="E5960" t="str" s="2">
        <x:v>watsonborderslgail591@gmail.com</x:v>
      </x:c>
      <x:c r="F5960" t="str" s="2">
        <x:v>META Marketplace</x:v>
      </x:c>
      <x:c r="G5960" t="str" s="2">
        <x:v>Yarelis Torres</x:v>
      </x:c>
      <x:c r="H5960" s="6">
        <x:v>46225.027416516205</x:v>
      </x:c>
      <x:c r="I5960" t="str" s="2">
        <x:v>Yarelis Torres</x:v>
      </x:c>
      <x:c r="J5960" s="6">
        <x:v>46224.916666666664</x:v>
      </x:c>
      <x:c r="K5960" s="6">
        <x:v>46225.03330196759</x:v>
      </x:c>
      <x:c r="L5960" t="str" s="2">
        <x:v>Show</x:v>
      </x:c>
    </x:row>
    <x:row r="5961">
      <x:c r="A5961" t="str" s="2">
        <x:f>=HYPERLINK("https://rsms.futurehomex.com/lead/38676", "Christian Test")</x:f>
      </x:c>
      <x:c r="B5961" t="str" s="2">
        <x:v>Heritage Housing of Augusta</x:v>
      </x:c>
      <x:c r="C5961" t="str" s="2">
        <x:v/>
      </x:c>
      <x:c r="D5961" t="str" s="2">
        <x:v>8039913108</x:v>
      </x:c>
      <x:c r="E5961" t="str" s="2">
        <x:v>christian425601@gmail.com</x:v>
      </x:c>
      <x:c r="F5961" t="str" s="2">
        <x:v>Walk-in</x:v>
      </x:c>
      <x:c r="G5961" s="0"/>
      <x:c r="H5961" s="6">
        <x:v>46225.65702924768</x:v>
      </x:c>
      <x:c r="I5961" t="str" s="2">
        <x:v>Alex Jones</x:v>
      </x:c>
      <x:c r="J5961" s="0"/>
      <x:c r="K5961" s="0"/>
      <x:c r="L5961" t="str" s="2">
        <x:v>Show</x:v>
      </x:c>
    </x:row>
    <x:row r="5962">
      <x:c r="A5962" t="str" s="2">
        <x:f>=HYPERLINK("https://rsms.futurehomex.com/lead/38681", "Wesley Head")</x:f>
      </x:c>
      <x:c r="B5962" t="str" s="2">
        <x:v>Heritage Housing Mt Pleasant</x:v>
      </x:c>
      <x:c r="C5962" t="str" s="2">
        <x:v/>
      </x:c>
      <x:c r="D5962" t="str" s="2">
        <x:v>4173798477</x:v>
      </x:c>
      <x:c r="E5962" t="str" s="2">
        <x:v>weshead0008@gmail.com</x:v>
      </x:c>
      <x:c r="F5962" t="str" s="2">
        <x:v>META Marketplace</x:v>
      </x:c>
      <x:c r="G5962" t="str" s="2">
        <x:v>Yarelis Torres</x:v>
      </x:c>
      <x:c r="H5962" s="6">
        <x:v>46225.6979775463</x:v>
      </x:c>
      <x:c r="I5962" t="str" s="2">
        <x:v>Yarelis Torres</x:v>
      </x:c>
      <x:c r="J5962" s="6">
        <x:v>46225.895833333336</x:v>
      </x:c>
      <x:c r="K5962" s="6">
        <x:v>46266.97032623843</x:v>
      </x:c>
      <x:c r="L5962" t="str" s="2">
        <x:v>Show</x:v>
      </x:c>
    </x:row>
    <x:row r="5963">
      <x:c r="A5963" t="str" s="2">
        <x:f>=HYPERLINK("https://rsms.futurehomex.com/lead/38684", "Luis Enrique Morales Arreola")</x:f>
      </x:c>
      <x:c r="B5963" t="str" s="2">
        <x:v>Heritage Housing of Oklahoma City</x:v>
      </x:c>
      <x:c r="C5963" t="str" s="2">
        <x:v/>
      </x:c>
      <x:c r="D5963" t="str" s="2">
        <x:v>40055434281</x:v>
      </x:c>
      <x:c r="E5963" t="str" s="2">
        <x:v>luis.morales95@icloud.com</x:v>
      </x:c>
      <x:c r="F5963" t="str" s="2">
        <x:v>Facebook Messenger</x:v>
      </x:c>
      <x:c r="G5963" t="str" s="2">
        <x:v>Steve Castell</x:v>
      </x:c>
      <x:c r="H5963" s="6">
        <x:v>46225.74622149306</x:v>
      </x:c>
      <x:c r="I5963" t="str" s="2">
        <x:v>Alejandra Calderon</x:v>
      </x:c>
      <x:c r="J5963" s="6">
        <x:v>46230.833333333336</x:v>
      </x:c>
      <x:c r="K5963" s="6">
        <x:v>46230.91518333333</x:v>
      </x:c>
      <x:c r="L5963" t="str" s="2">
        <x:v>Show</x:v>
      </x:c>
    </x:row>
    <x:row r="5964">
      <x:c r="A5964" t="str" s="2">
        <x:f>=HYPERLINK("https://rsms.futurehomex.com/lead/38688", "Tom Posten")</x:f>
      </x:c>
      <x:c r="B5964" t="str" s="2">
        <x:v>Heritage Housing of Augusta</x:v>
      </x:c>
      <x:c r="C5964" t="str" s="2">
        <x:v/>
      </x:c>
      <x:c r="D5964" t="str" s="2">
        <x:v>8432676022</x:v>
      </x:c>
      <x:c r="E5964" t="str" s="2">
        <x:v>shellshock10124@gmail.com</x:v>
      </x:c>
      <x:c r="F5964" t="str" s="2">
        <x:v>Walk-in</x:v>
      </x:c>
      <x:c r="G5964" t="str" s="2">
        <x:v>Faye Lively</x:v>
      </x:c>
      <x:c r="H5964" s="6">
        <x:v>46225.774360613425</x:v>
      </x:c>
      <x:c r="I5964" t="str" s="2">
        <x:v>Jennifer Johnson</x:v>
      </x:c>
      <x:c r="J5964" s="6">
        <x:v>46225.833333333336</x:v>
      </x:c>
      <x:c r="K5964" s="6">
        <x:v>46246.61028101852</x:v>
      </x:c>
      <x:c r="L5964" t="str" s="2">
        <x:v>Show</x:v>
      </x:c>
    </x:row>
    <x:row r="5965">
      <x:c r="A5965" t="str" s="2">
        <x:f>=HYPERLINK("https://rsms.futurehomex.com/lead/38689", "Antonio Marshall")</x:f>
      </x:c>
      <x:c r="B5965" t="str" s="2">
        <x:v>Heritage Housing of Asheboro</x:v>
      </x:c>
      <x:c r="C5965" t="str" s="2">
        <x:v/>
      </x:c>
      <x:c r="D5965" t="str" s="2">
        <x:v>3368484952</x:v>
      </x:c>
      <x:c r="E5965" t="str" s="2">
        <x:v>antoniomarshall381980@gmail.com</x:v>
      </x:c>
      <x:c r="F5965" t="str" s="2">
        <x:v>Website</x:v>
      </x:c>
      <x:c r="G5965" t="str" s="2">
        <x:v>Maria Lopez</x:v>
      </x:c>
      <x:c r="H5965" s="6">
        <x:v>46225.775130636575</x:v>
      </x:c>
      <x:c r="I5965" t="str" s="2">
        <x:v>Maria Lopez</x:v>
      </x:c>
      <x:c r="J5965" s="6">
        <x:v>46227.708333333336</x:v>
      </x:c>
      <x:c r="K5965" s="6">
        <x:v>46228.578855590276</x:v>
      </x:c>
      <x:c r="L5965" t="str" s="2">
        <x:v>Show</x:v>
      </x:c>
    </x:row>
    <x:row r="5966">
      <x:c r="A5966" t="str" s="2">
        <x:f>=HYPERLINK("https://rsms.futurehomex.com/lead/38696", "Joshua Moore")</x:f>
      </x:c>
      <x:c r="B5966" t="str" s="2">
        <x:v>Heritage Housing of Oklahoma City</x:v>
      </x:c>
      <x:c r="C5966" t="str" s="2">
        <x:v/>
      </x:c>
      <x:c r="D5966" t="str" s="2">
        <x:v>4053281656</x:v>
      </x:c>
      <x:c r="E5966" t="str" s="2">
        <x:v>jm69691100@gmail.com</x:v>
      </x:c>
      <x:c r="F5966" t="str" s="2">
        <x:v>Facebook Messenger</x:v>
      </x:c>
      <x:c r="G5966" t="str" s="2">
        <x:v>Steve Castell</x:v>
      </x:c>
      <x:c r="H5966" s="6">
        <x:v>46226.015932256945</x:v>
      </x:c>
      <x:c r="I5966" t="str" s="2">
        <x:v>Steve Castell</x:v>
      </x:c>
      <x:c r="J5966" s="6">
        <x:v>46226.9375</x:v>
      </x:c>
      <x:c r="K5966" s="6">
        <x:v>46226.868212037036</x:v>
      </x:c>
      <x:c r="L5966" t="str" s="2">
        <x:v>Show</x:v>
      </x:c>
    </x:row>
    <x:row r="5967">
      <x:c r="A5967" t="str" s="2">
        <x:f>=HYPERLINK("https://rsms.futurehomex.com/lead/38697", "Brandon Ereman")</x:f>
      </x:c>
      <x:c r="B5967" t="str" s="2">
        <x:v>Heritage Housing Mt Pleasant</x:v>
      </x:c>
      <x:c r="C5967" t="str" s="2">
        <x:v/>
      </x:c>
      <x:c r="D5967" t="str" s="2">
        <x:v>9033052358</x:v>
      </x:c>
      <x:c r="E5967" t="str" s="2">
        <x:v>9033052358</x:v>
      </x:c>
      <x:c r="F5967" t="str" s="2">
        <x:v>META Marketplace</x:v>
      </x:c>
      <x:c r="G5967" t="str" s="2">
        <x:v>Yarelis Torres</x:v>
      </x:c>
      <x:c r="H5967" s="6">
        <x:v>46226.03485451389</x:v>
      </x:c>
      <x:c r="I5967" t="str" s="2">
        <x:v>Yarelis Torres</x:v>
      </x:c>
      <x:c r="J5967" s="6">
        <x:v>46225.8125</x:v>
      </x:c>
      <x:c r="K5967" s="6">
        <x:v>46226.04450304398</x:v>
      </x:c>
      <x:c r="L5967" t="str" s="2">
        <x:v>Show</x:v>
      </x:c>
    </x:row>
    <x:row r="5968">
      <x:c r="A5968" t="str" s="2">
        <x:f>=HYPERLINK("https://rsms.futurehomex.com/lead/38726", "Kristian Toomer")</x:f>
      </x:c>
      <x:c r="B5968" t="str" s="2">
        <x:v>Heritage Housing of Asheboro</x:v>
      </x:c>
      <x:c r="C5968" t="str" s="2">
        <x:v>0/1</x:v>
      </x:c>
      <x:c r="D5968" t="str" s="2">
        <x:v>9106039042</x:v>
      </x:c>
      <x:c r="E5968" t="str" s="2">
        <x:v>kristiantoomer93@gmail.com</x:v>
      </x:c>
      <x:c r="F5968" t="str" s="2">
        <x:v>Walk-in</x:v>
      </x:c>
      <x:c r="G5968" t="str" s="2">
        <x:v>Maria Lopez</x:v>
      </x:c>
      <x:c r="H5968" s="6">
        <x:v>46226.19742878472</x:v>
      </x:c>
      <x:c r="I5968" t="str" s="2">
        <x:v>Maria Lopez</x:v>
      </x:c>
      <x:c r="J5968" s="0"/>
      <x:c r="K5968" s="6">
        <x:v>46227</x:v>
      </x:c>
      <x:c r="L5968" t="str" s="2">
        <x:v>Show</x:v>
      </x:c>
    </x:row>
    <x:row r="5969">
      <x:c r="A5969" t="str" s="2">
        <x:f>=HYPERLINK("https://rsms.futurehomex.com/lead/38790", "Erintina Davis")</x:f>
      </x:c>
      <x:c r="B5969" t="str" s="2">
        <x:v>Heritage Housing of Minden</x:v>
      </x:c>
      <x:c r="C5969" t="str" s="2">
        <x:v>0/4</x:v>
      </x:c>
      <x:c r="D5969" t="str" s="2">
        <x:v>3182650255</x:v>
      </x:c>
      <x:c r="E5969" t="str" s="2">
        <x:v>daviserintina@yahoo.com</x:v>
      </x:c>
      <x:c r="F5969" t="str" s="2">
        <x:v>Financing Form</x:v>
      </x:c>
      <x:c r="G5969" t="str" s="2">
        <x:v>Patrick Schuchart</x:v>
      </x:c>
      <x:c r="H5969" s="6">
        <x:v>46226.58913144676</x:v>
      </x:c>
      <x:c r="I5969" t="str" s="2">
        <x:v>Patrick Schuchart</x:v>
      </x:c>
      <x:c r="J5969" s="6">
        <x:v>46237.791666666664</x:v>
      </x:c>
      <x:c r="K5969" s="6">
        <x:v>46290.734443981484</x:v>
      </x:c>
      <x:c r="L5969" t="str" s="2">
        <x:v>Show</x:v>
      </x:c>
    </x:row>
    <x:row r="5970">
      <x:c r="A5970" t="str" s="2">
        <x:f>=HYPERLINK("https://rsms.futurehomex.com/lead/38700", "Lissa Smith")</x:f>
      </x:c>
      <x:c r="B5970" t="str" s="2">
        <x:v>Heritage Housing of Asheboro</x:v>
      </x:c>
      <x:c r="C5970" t="str" s="2">
        <x:v/>
      </x:c>
      <x:c r="D5970" t="str" s="2">
        <x:v>3362575253</x:v>
      </x:c>
      <x:c r="E5970" t="str" s="2">
        <x:v>lisamsmith1956@outlook.com</x:v>
      </x:c>
      <x:c r="F5970" t="str" s="2">
        <x:v>Walk-in</x:v>
      </x:c>
      <x:c r="G5970" s="0"/>
      <x:c r="H5970" s="6">
        <x:v>46226.64495069444</x:v>
      </x:c>
      <x:c r="I5970" t="str" s="2">
        <x:v>Maria Lopez</x:v>
      </x:c>
      <x:c r="J5970" s="0"/>
      <x:c r="K5970" s="0"/>
      <x:c r="L5970" t="str" s="2">
        <x:v>Show</x:v>
      </x:c>
    </x:row>
    <x:row r="5971">
      <x:c r="A5971" t="str" s="2">
        <x:f>=HYPERLINK("https://rsms.futurehomex.com/lead/38701", "Angela Woodard")</x:f>
      </x:c>
      <x:c r="B5971" t="str" s="2">
        <x:v>Heritage Housing of Minden</x:v>
      </x:c>
      <x:c r="C5971" t="str" s="2">
        <x:v>0/2</x:v>
      </x:c>
      <x:c r="D5971" t="str" s="2">
        <x:v>3185101513</x:v>
      </x:c>
      <x:c r="E5971" t="str" s="2">
        <x:v>angelawoodard69my@yahoo.com</x:v>
      </x:c>
      <x:c r="F5971" t="str" s="2">
        <x:v>HH - Minden</x:v>
      </x:c>
      <x:c r="G5971" t="str" s="2">
        <x:v>Frankie Eliott</x:v>
      </x:c>
      <x:c r="H5971" s="6">
        <x:v>46226.65299707176</x:v>
      </x:c>
      <x:c r="I5971" t="str" s="2">
        <x:v>Patrick Schuchart</x:v>
      </x:c>
      <x:c r="J5971" s="0"/>
      <x:c r="K5971" s="6">
        <x:v>46305.811915011574</x:v>
      </x:c>
      <x:c r="L5971" t="str" s="2">
        <x:v>Show</x:v>
      </x:c>
    </x:row>
    <x:row r="5972">
      <x:c r="A5972" t="str" s="2">
        <x:f>=HYPERLINK("https://rsms.futurehomex.com/lead/38706", "LaSharon Kately")</x:f>
      </x:c>
      <x:c r="B5972" t="str" s="2">
        <x:v>Heritage Housing of Jennings</x:v>
      </x:c>
      <x:c r="C5972" t="str" s="2">
        <x:v/>
      </x:c>
      <x:c r="D5972" t="str" s="2">
        <x:v>3373880052</x:v>
      </x:c>
      <x:c r="E5972" t="str" s="2">
        <x:v>lasharonk@yahoo.com</x:v>
      </x:c>
      <x:c r="F5972" t="str" s="2">
        <x:v>Walk-in</x:v>
      </x:c>
      <x:c r="G5972" s="0"/>
      <x:c r="H5972" s="6">
        <x:v>46226.711366400465</x:v>
      </x:c>
      <x:c r="I5972" t="str" s="2">
        <x:v>Mervin Leslie Smith</x:v>
      </x:c>
      <x:c r="J5972" s="0"/>
      <x:c r="K5972" s="0"/>
      <x:c r="L5972" t="str" s="2">
        <x:v>Show</x:v>
      </x:c>
    </x:row>
    <x:row r="5973">
      <x:c r="A5973" t="str" s="2">
        <x:f>=HYPERLINK("https://rsms.futurehomex.com/lead/38708", "Emmanuel Mendoza Granados")</x:f>
      </x:c>
      <x:c r="B5973" t="str" s="2">
        <x:v>Heritage Housing of Greenville</x:v>
      </x:c>
      <x:c r="C5973" t="str" s="2">
        <x:v/>
      </x:c>
      <x:c r="D5973" t="str" s="2">
        <x:v>4302803714</x:v>
      </x:c>
      <x:c r="E5973" t="str" s="2">
        <x:v>granadosemmanuel@icloud.com</x:v>
      </x:c>
      <x:c r="F5973" t="str" s="2">
        <x:v>Facebook Messenger</x:v>
      </x:c>
      <x:c r="G5973" t="str" s="2">
        <x:v>Brandie Sartor</x:v>
      </x:c>
      <x:c r="H5973" s="6">
        <x:v>46226.801121412034</x:v>
      </x:c>
      <x:c r="I5973" t="str" s="2">
        <x:v>Ana Garcia</x:v>
      </x:c>
      <x:c r="J5973" s="0"/>
      <x:c r="K5973" s="6">
        <x:v>46226.801121412034</x:v>
      </x:c>
      <x:c r="L5973" t="str" s="2">
        <x:v>Show</x:v>
      </x:c>
    </x:row>
    <x:row r="5974">
      <x:c r="A5974" t="str" s="2">
        <x:f>=HYPERLINK("https://rsms.futurehomex.com/lead/38717", "Wendyl Vick")</x:f>
      </x:c>
      <x:c r="B5974" t="str" s="2">
        <x:v>Heritage Housing of Oklahoma City</x:v>
      </x:c>
      <x:c r="C5974" t="str" s="2">
        <x:v/>
      </x:c>
      <x:c r="D5974" t="str" s="2">
        <x:v>5805744568</x:v>
      </x:c>
      <x:c r="E5974" t="str" s="2">
        <x:v>wendylvick@gmail.com</x:v>
      </x:c>
      <x:c r="F5974" t="str" s="2">
        <x:v>Facebook Messenger</x:v>
      </x:c>
      <x:c r="G5974" t="str" s="2">
        <x:v>Steve Castell</x:v>
      </x:c>
      <x:c r="H5974" s="6">
        <x:v>46227.01940833333</x:v>
      </x:c>
      <x:c r="I5974" t="str" s="2">
        <x:v>Steve Castell</x:v>
      </x:c>
      <x:c r="J5974" s="6">
        <x:v>46228.6875</x:v>
      </x:c>
      <x:c r="K5974" s="6">
        <x:v>46241.031033761574</x:v>
      </x:c>
      <x:c r="L5974" t="str" s="2">
        <x:v>Show</x:v>
      </x:c>
    </x:row>
    <x:row r="5975">
      <x:c r="A5975" t="str" s="2">
        <x:f>=HYPERLINK("https://rsms.futurehomex.com/lead/38719", "Dylan Hebert")</x:f>
      </x:c>
      <x:c r="B5975" t="str" s="2">
        <x:v>Heritage Housing of Jennings</x:v>
      </x:c>
      <x:c r="C5975" t="str" s="2">
        <x:v/>
      </x:c>
      <x:c r="D5975" t="str" s="2">
        <x:v>4232604072</x:v>
      </x:c>
      <x:c r="E5975" t="str" s="2">
        <x:v>dylannhebert@gmail.com</x:v>
      </x:c>
      <x:c r="F5975" t="str" s="2">
        <x:v>Walk-in</x:v>
      </x:c>
      <x:c r="G5975" s="0"/>
      <x:c r="H5975" s="6">
        <x:v>46227.61394811342</x:v>
      </x:c>
      <x:c r="I5975" t="str" s="2">
        <x:v>Clint O'Neal</x:v>
      </x:c>
      <x:c r="J5975" s="0"/>
      <x:c r="K5975" s="0"/>
      <x:c r="L5975" t="str" s="2">
        <x:v>Show</x:v>
      </x:c>
    </x:row>
    <x:row r="5976">
      <x:c r="A5976" t="str" s="2">
        <x:f>=HYPERLINK("https://rsms.futurehomex.com/lead/38732", "Antonio Gerardo")</x:f>
      </x:c>
      <x:c r="B5976" t="str" s="2">
        <x:v>Legacy Housing Corp. DBA Americasa</x:v>
      </x:c>
      <x:c r="C5976" t="str" s="2">
        <x:v/>
      </x:c>
      <x:c r="D5976" t="str" s="2">
        <x:v>9567317763</x:v>
      </x:c>
      <x:c r="E5976" t="str" s="2">
        <x:v>annygirl_09@hotmail.com</x:v>
      </x:c>
      <x:c r="F5976" t="str" s="2">
        <x:v>Walk-in</x:v>
      </x:c>
      <x:c r="G5976" s="0"/>
      <x:c r="H5976" s="6">
        <x:v>46227.734429780096</x:v>
      </x:c>
      <x:c r="I5976" t="str" s="2">
        <x:v>Jose Parada</x:v>
      </x:c>
      <x:c r="J5976" s="0"/>
      <x:c r="K5976" s="0"/>
      <x:c r="L5976" t="str" s="2">
        <x:v>Show</x:v>
      </x:c>
    </x:row>
    <x:row r="5977">
      <x:c r="A5977" t="str" s="2">
        <x:f>=HYPERLINK("https://rsms.futurehomex.com/lead/38727", "Khailah Marshall")</x:f>
      </x:c>
      <x:c r="B5977" t="str" s="2">
        <x:v>Heritage Housing of Asheboro</x:v>
      </x:c>
      <x:c r="C5977" t="str" s="2">
        <x:v/>
      </x:c>
      <x:c r="D5977" t="str" s="2">
        <x:v>9102205418</x:v>
      </x:c>
      <x:c r="E5977" t="str" s="2">
        <x:v>marshallnykia@gmail.com</x:v>
      </x:c>
      <x:c r="F5977" t="str" s="2">
        <x:v>Walk-in</x:v>
      </x:c>
      <x:c r="G5977" s="0"/>
      <x:c r="H5977" s="6">
        <x:v>46227.84750744213</x:v>
      </x:c>
      <x:c r="I5977" t="str" s="2">
        <x:v>Maria Lopez</x:v>
      </x:c>
      <x:c r="J5977" s="0"/>
      <x:c r="K5977" s="0"/>
      <x:c r="L5977" t="str" s="2">
        <x:v>Show</x:v>
      </x:c>
    </x:row>
    <x:row r="5978">
      <x:c r="A5978" t="str" s="2">
        <x:f>=HYPERLINK("https://rsms.futurehomex.com/lead/39029", "Nicholas Caulder II")</x:f>
      </x:c>
      <x:c r="B5978" t="str" s="2">
        <x:v>Heritage Housing of Asheboro</x:v>
      </x:c>
      <x:c r="C5978" t="str" s="2">
        <x:v/>
      </x:c>
      <x:c r="D5978" t="str" s="2">
        <x:v>7432673222</x:v>
      </x:c>
      <x:c r="E5978" t="str" s="2">
        <x:v>nicholascaulder2003@gmail.com</x:v>
      </x:c>
      <x:c r="F5978" t="str" s="2">
        <x:v>Financing Form</x:v>
      </x:c>
      <x:c r="G5978" t="str" s="2">
        <x:v>Maria Lopez</x:v>
      </x:c>
      <x:c r="H5978" s="6">
        <x:v>46227.94097491898</x:v>
      </x:c>
      <x:c r="I5978" t="str" s="2">
        <x:v>Maria Lopez</x:v>
      </x:c>
      <x:c r="J5978" s="6">
        <x:v>46242.322916666664</x:v>
      </x:c>
      <x:c r="K5978" s="6">
        <x:v>46242.82457858796</x:v>
      </x:c>
      <x:c r="L5978" t="str" s="2">
        <x:v>Show</x:v>
      </x:c>
    </x:row>
    <x:row r="5979">
      <x:c r="A5979" t="str" s="2">
        <x:f>=HYPERLINK("https://rsms.futurehomex.com/lead/38734", "Andrea Miller")</x:f>
      </x:c>
      <x:c r="B5979" t="str" s="2">
        <x:v>Heritage Housing of Jennings</x:v>
      </x:c>
      <x:c r="C5979" t="str" s="2">
        <x:v/>
      </x:c>
      <x:c r="D5979" t="str" s="2">
        <x:v>3373687726</x:v>
      </x:c>
      <x:c r="E5979" t="str" s="2">
        <x:v>simarak@yahoo.com</x:v>
      </x:c>
      <x:c r="F5979" t="str" s="2">
        <x:v>Walk-in</x:v>
      </x:c>
      <x:c r="G5979" s="0"/>
      <x:c r="H5979" s="6">
        <x:v>46227.96333028935</x:v>
      </x:c>
      <x:c r="I5979" t="str" s="2">
        <x:v>Mervin Leslie Smith</x:v>
      </x:c>
      <x:c r="J5979" s="0"/>
      <x:c r="K5979" s="0"/>
      <x:c r="L5979" t="str" s="2">
        <x:v>Show</x:v>
      </x:c>
    </x:row>
    <x:row r="5980">
      <x:c r="A5980" t="str" s="2">
        <x:f>=HYPERLINK("https://rsms.futurehomex.com/lead/38738", "Todd Pearce")</x:f>
      </x:c>
      <x:c r="B5980" t="str" s="2">
        <x:v>Heritage Housing of Oklahoma City</x:v>
      </x:c>
      <x:c r="C5980" t="str" s="2">
        <x:v>0/1</x:v>
      </x:c>
      <x:c r="D5980" t="str" s="2">
        <x:v>4054717408</x:v>
      </x:c>
      <x:c r="E5980" t="str" s="2">
        <x:v>1892todd@gmail.com</x:v>
      </x:c>
      <x:c r="F5980" t="str" s="2">
        <x:v>Facebook Messenger</x:v>
      </x:c>
      <x:c r="G5980" t="str" s="2">
        <x:v>Steve Castell</x:v>
      </x:c>
      <x:c r="H5980" s="6">
        <x:v>46228.59714853009</x:v>
      </x:c>
      <x:c r="I5980" t="str" s="2">
        <x:v>Steve Castell</x:v>
      </x:c>
      <x:c r="J5980" s="6">
        <x:v>46228.645833333336</x:v>
      </x:c>
      <x:c r="K5980" s="6">
        <x:v>46228.665961493054</x:v>
      </x:c>
      <x:c r="L5980" t="str" s="2">
        <x:v>Show</x:v>
      </x:c>
    </x:row>
    <x:row r="5981">
      <x:c r="A5981" t="str" s="2">
        <x:f>=HYPERLINK("https://rsms.futurehomex.com/lead/38739", "Amy Pousson")</x:f>
      </x:c>
      <x:c r="B5981" t="str" s="2">
        <x:v>Heritage Housing of Jennings</x:v>
      </x:c>
      <x:c r="C5981" t="str" s="2">
        <x:v/>
      </x:c>
      <x:c r="D5981" t="str" s="2">
        <x:v>3373194734</x:v>
      </x:c>
      <x:c r="E5981" t="str" s="2">
        <x:v>amypousson76@yahoo.com</x:v>
      </x:c>
      <x:c r="F5981" t="str" s="2">
        <x:v>Walk-in</x:v>
      </x:c>
      <x:c r="G5981" s="0"/>
      <x:c r="H5981" s="6">
        <x:v>46228.59854583333</x:v>
      </x:c>
      <x:c r="I5981" t="str" s="2">
        <x:v>Mervin Leslie Smith</x:v>
      </x:c>
      <x:c r="J5981" s="0"/>
      <x:c r="K5981" s="0"/>
      <x:c r="L5981" t="str" s="2">
        <x:v>Show</x:v>
      </x:c>
    </x:row>
    <x:row r="5982">
      <x:c r="A5982" t="str" s="2">
        <x:f>="Brayden Wills"</x:f>
      </x:c>
      <x:c r="B5982" t="str" s="2">
        <x:v>Heritage Housing Marble Falls</x:v>
      </x:c>
      <x:c r="C5982" t="str" s="2">
        <x:v/>
      </x:c>
      <x:c r="D5982" t="str" s="2">
        <x:v>5125256818</x:v>
      </x:c>
      <x:c r="E5982" t="str" s="2">
        <x:v>BBwills91@gmail.com</x:v>
      </x:c>
      <x:c r="F5982" t="str" s="2">
        <x:v>Referrals</x:v>
      </x:c>
      <x:c r="G5982" t="str" s="2">
        <x:v>Stephen Sanders</x:v>
      </x:c>
      <x:c r="H5982" s="6">
        <x:v>46228.61819621528</x:v>
      </x:c>
      <x:c r="I5982" s="0"/>
      <x:c r="J5982" s="0"/>
      <x:c r="K5982" s="6">
        <x:v>46228.61819621528</x:v>
      </x:c>
      <x:c r="L5982" t="str" s="2">
        <x:v>Show</x:v>
      </x:c>
    </x:row>
    <x:row r="5983">
      <x:c r="A5983" t="str" s="2">
        <x:f>=HYPERLINK("https://rsms.futurehomex.com/lead/38766", "Todd Caron")</x:f>
      </x:c>
      <x:c r="B5983" t="str" s="2">
        <x:v>Heritage Housing of Augusta</x:v>
      </x:c>
      <x:c r="C5983" t="str" s="2">
        <x:v/>
      </x:c>
      <x:c r="D5983" t="str" s="2">
        <x:v>7063390016</x:v>
      </x:c>
      <x:c r="E5983" t="str" s="2">
        <x:v>tecaron242@gmail.com</x:v>
      </x:c>
      <x:c r="F5983" t="str" s="2">
        <x:v>Walk-in</x:v>
      </x:c>
      <x:c r="G5983" s="0"/>
      <x:c r="H5983" s="6">
        <x:v>46228.66635413194</x:v>
      </x:c>
      <x:c r="I5983" t="str" s="2">
        <x:v>Jennifer Johnson</x:v>
      </x:c>
      <x:c r="J5983" s="0"/>
      <x:c r="K5983" s="0"/>
      <x:c r="L5983" t="str" s="2">
        <x:v>Show</x:v>
      </x:c>
    </x:row>
    <x:row r="5984">
      <x:c r="A5984" t="str" s="2">
        <x:f>=HYPERLINK("https://rsms.futurehomex.com/lead/38743", "CL Hamilton")</x:f>
      </x:c>
      <x:c r="B5984" t="str" s="2">
        <x:v>Heritage Housing of Minden</x:v>
      </x:c>
      <x:c r="C5984" t="str" s="2">
        <x:v>0/3</x:v>
      </x:c>
      <x:c r="D5984" t="str" s="2">
        <x:v>3182050270</x:v>
      </x:c>
      <x:c r="E5984" t="str" s="2">
        <x:v>clarahamilton46@icloud.com</x:v>
      </x:c>
      <x:c r="F5984" t="str" s="2">
        <x:v>Walk-in</x:v>
      </x:c>
      <x:c r="G5984" t="str" s="2">
        <x:v>Patrick Schuchart</x:v>
      </x:c>
      <x:c r="H5984" s="6">
        <x:v>46228.70386570602</x:v>
      </x:c>
      <x:c r="I5984" t="str" s="2">
        <x:v>Patrick Schuchart</x:v>
      </x:c>
      <x:c r="J5984" s="6">
        <x:v>46228.75</x:v>
      </x:c>
      <x:c r="K5984" s="6">
        <x:v>46256.877222256946</x:v>
      </x:c>
      <x:c r="L5984" t="str" s="2">
        <x:v>Show</x:v>
      </x:c>
    </x:row>
    <x:row r="5985">
      <x:c r="A5985" t="str" s="2">
        <x:f>=HYPERLINK("https://rsms.futurehomex.com/lead/38744", "Rachel Shue")</x:f>
      </x:c>
      <x:c r="B5985" t="str" s="2">
        <x:v>Heritage Housing of Asheboro</x:v>
      </x:c>
      <x:c r="C5985" t="str" s="2">
        <x:v/>
      </x:c>
      <x:c r="D5985" t="str" s="2">
        <x:v>6106338079</x:v>
      </x:c>
      <x:c r="E5985" t="str" s="2">
        <x:v>shuerachel@gmail.com</x:v>
      </x:c>
      <x:c r="F5985" t="str" s="2">
        <x:v>Walk-in</x:v>
      </x:c>
      <x:c r="G5985" s="0"/>
      <x:c r="H5985" s="6">
        <x:v>46228.708591319446</x:v>
      </x:c>
      <x:c r="I5985" t="str" s="2">
        <x:v>Maria Lopez</x:v>
      </x:c>
      <x:c r="J5985" s="0"/>
      <x:c r="K5985" s="0"/>
      <x:c r="L5985" t="str" s="2">
        <x:v>Show</x:v>
      </x:c>
    </x:row>
    <x:row r="5986">
      <x:c r="A5986" t="str" s="2">
        <x:f>=HYPERLINK("https://rsms.futurehomex.com/lead/38746", "Mark Gonzales")</x:f>
      </x:c>
      <x:c r="B5986" t="str" s="2">
        <x:v>Heritage Housing of Oklahoma City</x:v>
      </x:c>
      <x:c r="C5986" t="str" s="2">
        <x:v/>
      </x:c>
      <x:c r="D5986" t="str" s="2">
        <x:v>5803601029</x:v>
      </x:c>
      <x:c r="E5986" t="str" s="2">
        <x:v>gonzalesmark746@gmail.com</x:v>
      </x:c>
      <x:c r="F5986" t="str" s="2">
        <x:v>Facebook Messenger</x:v>
      </x:c>
      <x:c r="G5986" t="str" s="2">
        <x:v>Steve Castell</x:v>
      </x:c>
      <x:c r="H5986" s="6">
        <x:v>46228.756286805554</x:v>
      </x:c>
      <x:c r="I5986" t="str" s="2">
        <x:v>Steve Castell</x:v>
      </x:c>
      <x:c r="J5986" s="6">
        <x:v>46235.6875</x:v>
      </x:c>
      <x:c r="K5986" s="6">
        <x:v>46245.984917361115</x:v>
      </x:c>
      <x:c r="L5986" t="str" s="2">
        <x:v>Show</x:v>
      </x:c>
    </x:row>
    <x:row r="5987">
      <x:c r="A5987" t="str" s="2">
        <x:f>=HYPERLINK("https://rsms.futurehomex.com/lead/38772", "Jeff Morris")</x:f>
      </x:c>
      <x:c r="B5987" t="str" s="2">
        <x:v>Heritage Housing of Asheboro</x:v>
      </x:c>
      <x:c r="C5987" t="str" s="2">
        <x:v/>
      </x:c>
      <x:c r="D5987" t="str" s="2">
        <x:v>9108822380</x:v>
      </x:c>
      <x:c r="E5987" t="str" s="2">
        <x:v>flounder1226@gmail.com</x:v>
      </x:c>
      <x:c r="F5987" t="str" s="2">
        <x:v>Walk-in</x:v>
      </x:c>
      <x:c r="G5987" s="0"/>
      <x:c r="H5987" s="6">
        <x:v>46228.76471883102</x:v>
      </x:c>
      <x:c r="I5987" t="str" s="2">
        <x:v>Maria Lopez</x:v>
      </x:c>
      <x:c r="J5987" s="0"/>
      <x:c r="K5987" s="0"/>
      <x:c r="L5987" t="str" s="2">
        <x:v>Show</x:v>
      </x:c>
    </x:row>
    <x:row r="5988">
      <x:c r="A5988" t="str" s="2">
        <x:f>=HYPERLINK("https://rsms.futurehomex.com/lead/38747", "Rodney Coakley")</x:f>
      </x:c>
      <x:c r="B5988" t="str" s="2">
        <x:v>Heritage Housing of Asheboro</x:v>
      </x:c>
      <x:c r="C5988" t="str" s="2">
        <x:v/>
      </x:c>
      <x:c r="D5988" t="str" s="2">
        <x:v>3367085326</x:v>
      </x:c>
      <x:c r="E5988" t="str" s="2">
        <x:v>rcoakley1976@gmail.com</x:v>
      </x:c>
      <x:c r="F5988" t="str" s="2">
        <x:v>Walk-in</x:v>
      </x:c>
      <x:c r="G5988" s="0"/>
      <x:c r="H5988" s="6">
        <x:v>46228.76603167824</x:v>
      </x:c>
      <x:c r="I5988" t="str" s="2">
        <x:v>Maria Lopez</x:v>
      </x:c>
      <x:c r="J5988" s="0"/>
      <x:c r="K5988" s="0"/>
      <x:c r="L5988" t="str" s="2">
        <x:v>Show</x:v>
      </x:c>
    </x:row>
    <x:row r="5989">
      <x:c r="A5989" t="str" s="2">
        <x:f>=HYPERLINK("https://rsms.futurehomex.com/lead/38748", "Zachary Combs")</x:f>
      </x:c>
      <x:c r="B5989" t="str" s="2">
        <x:v>Heritage Housing of Asheboro</x:v>
      </x:c>
      <x:c r="C5989" t="str" s="2">
        <x:v/>
      </x:c>
      <x:c r="D5989" t="str" s="2">
        <x:v>9106501366</x:v>
      </x:c>
      <x:c r="E5989" t="str" s="2">
        <x:v>combsz1990@yahoo.com</x:v>
      </x:c>
      <x:c r="F5989" t="str" s="2">
        <x:v>Walk-in</x:v>
      </x:c>
      <x:c r="G5989" s="0"/>
      <x:c r="H5989" s="6">
        <x:v>46228.80412971065</x:v>
      </x:c>
      <x:c r="I5989" t="str" s="2">
        <x:v>Maria Lopez</x:v>
      </x:c>
      <x:c r="J5989" s="0"/>
      <x:c r="K5989" s="0"/>
      <x:c r="L5989" t="str" s="2">
        <x:v>Show</x:v>
      </x:c>
    </x:row>
    <x:row r="5990">
      <x:c r="A5990" t="str" s="2">
        <x:f>=HYPERLINK("https://rsms.futurehomex.com/lead/38773", "Tonya Ingle")</x:f>
      </x:c>
      <x:c r="B5990" t="str" s="2">
        <x:v>Heritage Housing of Asheboro</x:v>
      </x:c>
      <x:c r="C5990" t="str" s="2">
        <x:v/>
      </x:c>
      <x:c r="D5990" t="str" s="2">
        <x:v>7436436013</x:v>
      </x:c>
      <x:c r="E5990" t="str" s="2">
        <x:v>tshoeswork@yahoo.com</x:v>
      </x:c>
      <x:c r="F5990" t="str" s="2">
        <x:v>Walk-in</x:v>
      </x:c>
      <x:c r="G5990" t="str" s="2">
        <x:v>Maria Lopez</x:v>
      </x:c>
      <x:c r="H5990" s="6">
        <x:v>46229.53256299769</x:v>
      </x:c>
      <x:c r="I5990" t="str" s="2">
        <x:v>Maria Lopez</x:v>
      </x:c>
      <x:c r="J5990" s="0"/>
      <x:c r="K5990" s="6">
        <x:v>46229</x:v>
      </x:c>
      <x:c r="L5990" t="str" s="2">
        <x:v>Show</x:v>
      </x:c>
    </x:row>
    <x:row r="5991">
      <x:c r="A5991" t="str" s="2">
        <x:f>=HYPERLINK("https://rsms.futurehomex.com/lead/38756", "Bryan Vaughan")</x:f>
      </x:c>
      <x:c r="B5991" t="str" s="2">
        <x:v>Heritage Housing Mt Pleasant</x:v>
      </x:c>
      <x:c r="C5991" t="str" s="2">
        <x:v/>
      </x:c>
      <x:c r="D5991" t="str" s="2">
        <x:v>9039462829</x:v>
      </x:c>
      <x:c r="E5991" t="str" s="2">
        <x:v>9033053392</x:v>
      </x:c>
      <x:c r="F5991" t="str" s="2">
        <x:v>Facebook Messenger</x:v>
      </x:c>
      <x:c r="G5991" t="str" s="2">
        <x:v>Yarelis Torres</x:v>
      </x:c>
      <x:c r="H5991" s="6">
        <x:v>46229.76737179398</x:v>
      </x:c>
      <x:c r="I5991" t="str" s="2">
        <x:v>Yarelis Torres</x:v>
      </x:c>
      <x:c r="J5991" s="6">
        <x:v>46229.791666666664</x:v>
      </x:c>
      <x:c r="K5991" s="6">
        <x:v>46230.6124383912</x:v>
      </x:c>
      <x:c r="L5991" t="str" s="2">
        <x:v>Show</x:v>
      </x:c>
    </x:row>
    <x:row r="5992">
      <x:c r="A5992" t="str" s="2">
        <x:f>=HYPERLINK("https://rsms.futurehomex.com/lead/38757", "Shirley Jeffery")</x:f>
      </x:c>
      <x:c r="B5992" t="str" s="2">
        <x:v>Heritage Housing Mt Pleasant</x:v>
      </x:c>
      <x:c r="C5992" t="str" s="2">
        <x:v/>
      </x:c>
      <x:c r="D5992" t="str" s="2">
        <x:v>9037673319</x:v>
      </x:c>
      <x:c r="E5992" t="str" s="2">
        <x:v>9037673319</x:v>
      </x:c>
      <x:c r="F5992" t="str" s="2">
        <x:v>Facebook Messenger</x:v>
      </x:c>
      <x:c r="G5992" t="str" s="2">
        <x:v>Yarelis Torres</x:v>
      </x:c>
      <x:c r="H5992" s="6">
        <x:v>46229.771130636575</x:v>
      </x:c>
      <x:c r="I5992" t="str" s="2">
        <x:v>Yarelis Torres</x:v>
      </x:c>
      <x:c r="J5992" s="6">
        <x:v>46229.666666666664</x:v>
      </x:c>
      <x:c r="K5992" s="6">
        <x:v>46229.77925320602</x:v>
      </x:c>
      <x:c r="L5992" t="str" s="2">
        <x:v>Show</x:v>
      </x:c>
    </x:row>
    <x:row r="5993">
      <x:c r="A5993" t="str" s="2">
        <x:f>=HYPERLINK("https://rsms.futurehomex.com/lead/38760", "Angel Kier")</x:f>
      </x:c>
      <x:c r="B5993" t="str" s="2">
        <x:v>Heritage Housing of Oklahoma City</x:v>
      </x:c>
      <x:c r="C5993" t="str" s="2">
        <x:v/>
      </x:c>
      <x:c r="D5993" t="str" s="2">
        <x:v>4058030692</x:v>
      </x:c>
      <x:c r="E5993" t="str" s="2">
        <x:v>kierfam3@gmail.com</x:v>
      </x:c>
      <x:c r="F5993" t="str" s="2">
        <x:v>Facebook Messenger</x:v>
      </x:c>
      <x:c r="G5993" t="str" s="2">
        <x:v>Eva Misheva</x:v>
      </x:c>
      <x:c r="H5993" s="6">
        <x:v>46229.909017743055</x:v>
      </x:c>
      <x:c r="I5993" t="str" s="2">
        <x:v>Eva Misheva</x:v>
      </x:c>
      <x:c r="J5993" s="0"/>
      <x:c r="K5993" s="6">
        <x:v>46229.909017743055</x:v>
      </x:c>
      <x:c r="L5993" t="str" s="2">
        <x:v>Show</x:v>
      </x:c>
    </x:row>
    <x:row r="5994">
      <x:c r="A5994" t="str" s="2">
        <x:f>=HYPERLINK("https://rsms.futurehomex.com/lead/38761", "Melinda Hernandez")</x:f>
      </x:c>
      <x:c r="B5994" t="str" s="2">
        <x:v>Heritage Housing of Oklahoma City</x:v>
      </x:c>
      <x:c r="C5994" t="str" s="2">
        <x:v/>
      </x:c>
      <x:c r="D5994" t="str" s="2">
        <x:v>4056620033</x:v>
      </x:c>
      <x:c r="E5994" t="str" s="2">
        <x:v>86melih@gmail.com</x:v>
      </x:c>
      <x:c r="F5994" t="str" s="2">
        <x:v>Walk-in</x:v>
      </x:c>
      <x:c r="G5994" t="str" s="2">
        <x:v>Eva Misheva</x:v>
      </x:c>
      <x:c r="H5994" s="6">
        <x:v>46229.91262167824</x:v>
      </x:c>
      <x:c r="I5994" t="str" s="2">
        <x:v>Trey Rixleben</x:v>
      </x:c>
      <x:c r="J5994" s="0"/>
      <x:c r="K5994" s="6">
        <x:v>46229.91262167824</x:v>
      </x:c>
      <x:c r="L5994" t="str" s="2">
        <x:v>Show</x:v>
      </x:c>
    </x:row>
    <x:row r="5995">
      <x:c r="A5995" t="str" s="2">
        <x:f>=HYPERLINK("https://rsms.futurehomex.com/lead/38765", "Deborah Gajewski")</x:f>
      </x:c>
      <x:c r="B5995" t="str" s="2">
        <x:v>Heritage Housing of Greenville</x:v>
      </x:c>
      <x:c r="C5995" t="str" s="2">
        <x:v/>
      </x:c>
      <x:c r="D5995" t="str" s="2">
        <x:v>2147962100</x:v>
      </x:c>
      <x:c r="E5995" t="str" s="2">
        <x:v>dagaljewski65@gmail.com</x:v>
      </x:c>
      <x:c r="F5995" t="str" s="2">
        <x:v>Facebook Messenger</x:v>
      </x:c>
      <x:c r="G5995" t="str" s="2">
        <x:v>Brandie Sartor</x:v>
      </x:c>
      <x:c r="H5995" s="6">
        <x:v>46230.629706631946</x:v>
      </x:c>
      <x:c r="I5995" t="str" s="2">
        <x:v>Greg Christman</x:v>
      </x:c>
      <x:c r="J5995" s="0"/>
      <x:c r="K5995" s="6">
        <x:v>46230.629706631946</x:v>
      </x:c>
      <x:c r="L5995" t="str" s="2">
        <x:v>Show</x:v>
      </x:c>
    </x:row>
    <x:row r="5996">
      <x:c r="A5996" t="str" s="2">
        <x:f>=HYPERLINK("https://rsms.futurehomex.com/lead/38768", "Kaitlyn Oneal")</x:f>
      </x:c>
      <x:c r="B5996" t="str" s="2">
        <x:v>Heritage Housing of Oklahoma City</x:v>
      </x:c>
      <x:c r="C5996" t="str" s="2">
        <x:v/>
      </x:c>
      <x:c r="D5996" t="str" s="2">
        <x:v>4057147453</x:v>
      </x:c>
      <x:c r="E5996" t="str" s="2">
        <x:v>koneal0205@gmail.com</x:v>
      </x:c>
      <x:c r="F5996" t="str" s="2">
        <x:v>Walk-in</x:v>
      </x:c>
      <x:c r="G5996" t="str" s="2">
        <x:v>Trey Rixleben</x:v>
      </x:c>
      <x:c r="H5996" s="6">
        <x:v>46230.65515057871</x:v>
      </x:c>
      <x:c r="I5996" t="str" s="2">
        <x:v>Trey Rixleben</x:v>
      </x:c>
      <x:c r="J5996" s="6">
        <x:v>46235.75</x:v>
      </x:c>
      <x:c r="K5996" s="6">
        <x:v>46235.8065878125</x:v>
      </x:c>
      <x:c r="L5996" t="str" s="2">
        <x:v>Show</x:v>
      </x:c>
    </x:row>
    <x:row r="5997">
      <x:c r="A5997" t="str" s="2">
        <x:f>=HYPERLINK("https://rsms.futurehomex.com/lead/38769", "Robert Chambers")</x:f>
      </x:c>
      <x:c r="B5997" t="str" s="2">
        <x:v>Heritage Housing of Asheboro</x:v>
      </x:c>
      <x:c r="C5997" t="str" s="2">
        <x:v/>
      </x:c>
      <x:c r="D5997" t="str" s="2">
        <x:v>9109955827</x:v>
      </x:c>
      <x:c r="E5997" t="str" s="2">
        <x:v>RC8240173@gmail.com</x:v>
      </x:c>
      <x:c r="F5997" t="str" s="2">
        <x:v>Walk-in</x:v>
      </x:c>
      <x:c r="G5997" s="0"/>
      <x:c r="H5997" s="6">
        <x:v>46230.68063892361</x:v>
      </x:c>
      <x:c r="I5997" t="str" s="2">
        <x:v>Maria Lopez</x:v>
      </x:c>
      <x:c r="J5997" s="0"/>
      <x:c r="K5997" s="0"/>
      <x:c r="L5997" t="str" s="2">
        <x:v>Show</x:v>
      </x:c>
    </x:row>
    <x:row r="5998">
      <x:c r="A5998" t="str" s="2">
        <x:f>=HYPERLINK("https://rsms.futurehomex.com/lead/38771", "Norly Miguel Amaya")</x:f>
      </x:c>
      <x:c r="B5998" t="str" s="2">
        <x:v>Legacy Housing Corp. DBA Americasa</x:v>
      </x:c>
      <x:c r="C5998" t="str" s="2">
        <x:v/>
      </x:c>
      <x:c r="D5998" t="str" s="2">
        <x:v>3468224041</x:v>
      </x:c>
      <x:c r="E5998" t="str" s="2">
        <x:v>norlyamaya9@gmail.com</x:v>
      </x:c>
      <x:c r="F5998" t="str" s="2">
        <x:v>Office Hot Calls</x:v>
      </x:c>
      <x:c r="G5998" t="str" s="2">
        <x:v>Angelica Mendoza </x:v>
      </x:c>
      <x:c r="H5998" s="6">
        <x:v>46230.69308596065</x:v>
      </x:c>
      <x:c r="I5998" t="str" s="2">
        <x:v>Jose Parada</x:v>
      </x:c>
      <x:c r="J5998" s="6">
        <x:v>46232.666666666664</x:v>
      </x:c>
      <x:c r="K5998" s="6">
        <x:v>46232.78029737269</x:v>
      </x:c>
      <x:c r="L5998" t="str" s="2">
        <x:v>Show</x:v>
      </x:c>
    </x:row>
    <x:row r="5999">
      <x:c r="A5999" t="str" s="2">
        <x:f>=HYPERLINK("https://rsms.futurehomex.com/lead/38795", "Chris Cagle")</x:f>
      </x:c>
      <x:c r="B5999" t="str" s="2">
        <x:v>Heritage Housing of Asheboro</x:v>
      </x:c>
      <x:c r="C5999" t="str" s="2">
        <x:v/>
      </x:c>
      <x:c r="D5999" t="str" s="2">
        <x:v>3362570857</x:v>
      </x:c>
      <x:c r="E5999" t="str" s="2">
        <x:v>csctransport27203@gmail.com</x:v>
      </x:c>
      <x:c r="F5999" t="str" s="2">
        <x:v>Walk-in</x:v>
      </x:c>
      <x:c r="G5999" s="0"/>
      <x:c r="H5999" s="6">
        <x:v>46231.62931635416</x:v>
      </x:c>
      <x:c r="I5999" t="str" s="2">
        <x:v>Maria Lopez</x:v>
      </x:c>
      <x:c r="J5999" s="0"/>
      <x:c r="K5999" s="0"/>
      <x:c r="L5999" t="str" s="2">
        <x:v>Show</x:v>
      </x:c>
    </x:row>
    <x:row r="6000">
      <x:c r="A6000" t="str" s="2">
        <x:f>=HYPERLINK("https://rsms.futurehomex.com/lead/38796", "Lupita Bernal")</x:f>
      </x:c>
      <x:c r="B6000" t="str" s="2">
        <x:v>Heritage Housing Mt Pleasant</x:v>
      </x:c>
      <x:c r="C6000" t="str" s="2">
        <x:v/>
      </x:c>
      <x:c r="D6000" t="str" s="2">
        <x:v>9032618256</x:v>
      </x:c>
      <x:c r="E6000" t="str" s="2">
        <x:v>9032618256</x:v>
      </x:c>
      <x:c r="F6000" t="str" s="2">
        <x:v>Other</x:v>
      </x:c>
      <x:c r="G6000" t="str" s="2">
        <x:v>Sandra Saldana</x:v>
      </x:c>
      <x:c r="H6000" s="6">
        <x:v>46231.648464895836</x:v>
      </x:c>
      <x:c r="I6000" t="str" s="2">
        <x:v>Sandra Saldana</x:v>
      </x:c>
      <x:c r="J6000" s="6">
        <x:v>46233.8125</x:v>
      </x:c>
      <x:c r="K6000" s="6">
        <x:v>46233.86628275463</x:v>
      </x:c>
      <x:c r="L6000" t="str" s="2">
        <x:v>Show</x:v>
      </x:c>
    </x:row>
    <x:row r="6001">
      <x:c r="A6001" t="str" s="2">
        <x:f>=HYPERLINK("https://rsms.futurehomex.com/lead/38798", "Stelarie Vidal")</x:f>
      </x:c>
      <x:c r="B6001" t="str" s="2">
        <x:v>Legacy Housing Corp. DBA Americasa</x:v>
      </x:c>
      <x:c r="C6001" t="str" s="2">
        <x:v/>
      </x:c>
      <x:c r="D6001" t="str" s="2">
        <x:v>3463828218</x:v>
      </x:c>
      <x:c r="E6001" t="str" s="2">
        <x:v>stelarievidal@gmail.com</x:v>
      </x:c>
      <x:c r="F6001" t="str" s="2">
        <x:v>Referrals</x:v>
      </x:c>
      <x:c r="G6001" t="str" s="2">
        <x:v>Rodrigo Ramirez</x:v>
      </x:c>
      <x:c r="H6001" s="6">
        <x:v>46231.64855740741</x:v>
      </x:c>
      <x:c r="I6001" t="str" s="2">
        <x:v>Jose Parada</x:v>
      </x:c>
      <x:c r="J6001" s="6">
        <x:v>46233.666666666664</x:v>
      </x:c>
      <x:c r="K6001" s="6">
        <x:v>46233.836315775465</x:v>
      </x:c>
      <x:c r="L6001" t="str" s="2">
        <x:v>Show</x:v>
      </x:c>
    </x:row>
    <x:row r="6002">
      <x:c r="A6002" t="str" s="2">
        <x:f>=HYPERLINK("https://rsms.futurehomex.com/lead/38800", "Lance Bradley")</x:f>
      </x:c>
      <x:c r="B6002" t="str" s="2">
        <x:v>Heritage Housing of Oklahoma City</x:v>
      </x:c>
      <x:c r="C6002" t="str" s="2">
        <x:v>0/1</x:v>
      </x:c>
      <x:c r="D6002" t="str" s="2">
        <x:v>4057779192</x:v>
      </x:c>
      <x:c r="E6002" t="str" s="2">
        <x:v>lancebradley77@gmail.com</x:v>
      </x:c>
      <x:c r="F6002" t="str" s="2">
        <x:v>Facebook Messenger</x:v>
      </x:c>
      <x:c r="G6002" t="str" s="2">
        <x:v>Steve Castell</x:v>
      </x:c>
      <x:c r="H6002" s="6">
        <x:v>46231.660038194444</x:v>
      </x:c>
      <x:c r="I6002" t="str" s="2">
        <x:v>Steve Castell</x:v>
      </x:c>
      <x:c r="J6002" s="6">
        <x:v>46231.791666666664</x:v>
      </x:c>
      <x:c r="K6002" s="6">
        <x:v>46249.02228931713</x:v>
      </x:c>
      <x:c r="L6002" t="str" s="2">
        <x:v>Show</x:v>
      </x:c>
    </x:row>
    <x:row r="6003">
      <x:c r="A6003" t="str" s="2">
        <x:f>=HYPERLINK("https://rsms.futurehomex.com/lead/38805", "Jim Tipton")</x:f>
      </x:c>
      <x:c r="B6003" t="str" s="2">
        <x:v>Heritage Housing of Asheboro</x:v>
      </x:c>
      <x:c r="C6003" t="str" s="2">
        <x:v/>
      </x:c>
      <x:c r="D6003" t="str" s="2">
        <x:v>8603674425</x:v>
      </x:c>
      <x:c r="E6003" t="str" s="2">
        <x:v>cwo5@hotmail.com</x:v>
      </x:c>
      <x:c r="F6003" t="str" s="2">
        <x:v>Walk-in</x:v>
      </x:c>
      <x:c r="G6003" s="0"/>
      <x:c r="H6003" s="6">
        <x:v>46231.8038571412</x:v>
      </x:c>
      <x:c r="I6003" t="str" s="2">
        <x:v>Maria Lopez</x:v>
      </x:c>
      <x:c r="J6003" s="0"/>
      <x:c r="K6003" s="0"/>
      <x:c r="L6003" t="str" s="2">
        <x:v>Show</x:v>
      </x:c>
    </x:row>
    <x:row r="6004">
      <x:c r="A6004" t="str" s="2">
        <x:f>=HYPERLINK("https://rsms.futurehomex.com/lead/38827", "Michael Coleman")</x:f>
      </x:c>
      <x:c r="B6004" t="str" s="2">
        <x:v>Heritage Housing Gainesville</x:v>
      </x:c>
      <x:c r="C6004" t="str" s="2">
        <x:v/>
      </x:c>
      <x:c r="D6004" t="str" s="2">
        <x:v>9402247867</x:v>
      </x:c>
      <x:c r="E6004" t="str" s="2">
        <x:v>abcdetailin@gmail.com</x:v>
      </x:c>
      <x:c r="F6004" t="str" s="2">
        <x:v>Facebook Messenger</x:v>
      </x:c>
      <x:c r="G6004" t="str" s="2">
        <x:v>Kelly Ford</x:v>
      </x:c>
      <x:c r="H6004" s="6">
        <x:v>46232.876238425924</x:v>
      </x:c>
      <x:c r="I6004" t="str" s="2">
        <x:v>John Schwichtenberg</x:v>
      </x:c>
      <x:c r="J6004" s="0"/>
      <x:c r="K6004" s="6">
        <x:v>46232.876238425924</x:v>
      </x:c>
      <x:c r="L6004" t="str" s="2">
        <x:v>Show</x:v>
      </x:c>
    </x:row>
    <x:row r="6005">
      <x:c r="A6005" t="str" s="2">
        <x:f>=HYPERLINK("https://rsms.futurehomex.com/lead/38834", "Dianne Moore")</x:f>
      </x:c>
      <x:c r="B6005" t="str" s="2">
        <x:v>Heritage Housing of Jennings</x:v>
      </x:c>
      <x:c r="C6005" t="str" s="2">
        <x:v/>
      </x:c>
      <x:c r="D6005" t="str" s="2">
        <x:v>3374058214</x:v>
      </x:c>
      <x:c r="E6005" t="str" s="2">
        <x:v>diannemoore96@icloud.com</x:v>
      </x:c>
      <x:c r="F6005" t="str" s="2">
        <x:v>Walk-in</x:v>
      </x:c>
      <x:c r="G6005" s="0"/>
      <x:c r="H6005" s="6">
        <x:v>46232.93561871528</x:v>
      </x:c>
      <x:c r="I6005" t="str" s="2">
        <x:v>Mervin Leslie Smith</x:v>
      </x:c>
      <x:c r="J6005" s="0"/>
      <x:c r="K6005" s="0"/>
      <x:c r="L6005" t="str" s="2">
        <x:v>Show</x:v>
      </x:c>
    </x:row>
    <x:row r="6006">
      <x:c r="A6006" t="str" s="2">
        <x:f>=HYPERLINK("https://rsms.futurehomex.com/lead/38839", "David Clark")</x:f>
      </x:c>
      <x:c r="B6006" t="str" s="2">
        <x:v>Heritage Housing of Asheboro</x:v>
      </x:c>
      <x:c r="C6006" t="str" s="2">
        <x:v/>
      </x:c>
      <x:c r="D6006" t="str" s="2">
        <x:v>3369532341</x:v>
      </x:c>
      <x:c r="E6006" t="str" s="2">
        <x:v>Woodylatham82@gmail.com</x:v>
      </x:c>
      <x:c r="F6006" t="str" s="2">
        <x:v>Walk-in</x:v>
      </x:c>
      <x:c r="G6006" s="0"/>
      <x:c r="H6006" s="6">
        <x:v>46232.94784768519</x:v>
      </x:c>
      <x:c r="I6006" t="str" s="2">
        <x:v>Maria Lopez</x:v>
      </x:c>
      <x:c r="J6006" s="0"/>
      <x:c r="K6006" s="0"/>
      <x:c r="L6006" t="str" s="2">
        <x:v>Show</x:v>
      </x:c>
    </x:row>
    <x:row r="6007">
      <x:c r="A6007" t="str" s="2">
        <x:f>=HYPERLINK("https://rsms.futurehomex.com/lead/38841", "Heather Baughman")</x:f>
      </x:c>
      <x:c r="B6007" t="str" s="2">
        <x:v>Heritage Housing of Asheboro</x:v>
      </x:c>
      <x:c r="C6007" t="str" s="2">
        <x:v/>
      </x:c>
      <x:c r="D6007" t="str" s="2">
        <x:v>7046683823</x:v>
      </x:c>
      <x:c r="E6007" t="str" s="2">
        <x:v>hbaughman01@gmail.com</x:v>
      </x:c>
      <x:c r="F6007" t="str" s="2">
        <x:v>Walk-in</x:v>
      </x:c>
      <x:c r="G6007" s="0"/>
      <x:c r="H6007" s="6">
        <x:v>46233.6568059375</x:v>
      </x:c>
      <x:c r="I6007" t="str" s="2">
        <x:v>Maria Lopez</x:v>
      </x:c>
      <x:c r="J6007" s="0"/>
      <x:c r="K6007" s="0"/>
      <x:c r="L6007" t="str" s="2">
        <x:v>Show</x:v>
      </x:c>
    </x:row>
    <x:row r="6008">
      <x:c r="A6008" t="str" s="2">
        <x:f>=HYPERLINK("https://rsms.futurehomex.com/lead/38842", "Kayla Robert")</x:f>
      </x:c>
      <x:c r="B6008" t="str" s="2">
        <x:v>Heritage Housing of Asheboro</x:v>
      </x:c>
      <x:c r="C6008" t="str" s="2">
        <x:v/>
      </x:c>
      <x:c r="D6008" t="str" s="2">
        <x:v>9193066890</x:v>
      </x:c>
      <x:c r="E6008" t="str" s="2">
        <x:v>kaylarobert069@gmail.com</x:v>
      </x:c>
      <x:c r="F6008" t="str" s="2">
        <x:v>Walk-in</x:v>
      </x:c>
      <x:c r="G6008" s="0"/>
      <x:c r="H6008" s="6">
        <x:v>46233.75325644676</x:v>
      </x:c>
      <x:c r="I6008" t="str" s="2">
        <x:v>Maria Lopez</x:v>
      </x:c>
      <x:c r="J6008" s="0"/>
      <x:c r="K6008" s="0"/>
      <x:c r="L6008" t="str" s="2">
        <x:v>Show</x:v>
      </x:c>
    </x:row>
    <x:row r="6009">
      <x:c r="A6009" t="str" s="2">
        <x:f>=HYPERLINK("https://rsms.futurehomex.com/lead/38846", "Eva Oliver")</x:f>
      </x:c>
      <x:c r="B6009" t="str" s="2">
        <x:v>Heritage Housing of Albany</x:v>
      </x:c>
      <x:c r="C6009" t="str" s="2">
        <x:v/>
      </x:c>
      <x:c r="D6009" t="str" s="2">
        <x:v>7069849088</x:v>
      </x:c>
      <x:c r="E6009" t="str" s="2">
        <x:v>joelhatter@hotmail.com</x:v>
      </x:c>
      <x:c r="F6009" t="str" s="2">
        <x:v>Facebook Messenger</x:v>
      </x:c>
      <x:c r="G6009" t="str" s="2">
        <x:v>Yanet Alvarez</x:v>
      </x:c>
      <x:c r="H6009" s="6">
        <x:v>46233.81160755787</x:v>
      </x:c>
      <x:c r="I6009" t="str" s="2">
        <x:v>Alexander Bryant</x:v>
      </x:c>
      <x:c r="J6009" s="6">
        <x:v>46234.75</x:v>
      </x:c>
      <x:c r="K6009" s="6">
        <x:v>46234.949346608795</x:v>
      </x:c>
      <x:c r="L6009" t="str" s="2">
        <x:v>Show</x:v>
      </x:c>
    </x:row>
    <x:row r="6010">
      <x:c r="A6010" t="str" s="2">
        <x:f>=HYPERLINK("https://rsms.futurehomex.com/lead/38852", "Johnith Kiffe")</x:f>
      </x:c>
      <x:c r="B6010" t="str" s="2">
        <x:v>Heritage Housing of Jennings</x:v>
      </x:c>
      <x:c r="C6010" t="str" s="2">
        <x:v/>
      </x:c>
      <x:c r="D6010" t="str" s="2">
        <x:v>3377640531</x:v>
      </x:c>
      <x:c r="E6010" t="str" s="2">
        <x:v>kiffejohnith@gmail.com</x:v>
      </x:c>
      <x:c r="F6010" t="str" s="2">
        <x:v>Walk-in</x:v>
      </x:c>
      <x:c r="G6010" s="0"/>
      <x:c r="H6010" s="6">
        <x:v>46233.939852083335</x:v>
      </x:c>
      <x:c r="I6010" t="str" s="2">
        <x:v>Mervin Leslie Smith</x:v>
      </x:c>
      <x:c r="J6010" s="0"/>
      <x:c r="K6010" s="0"/>
      <x:c r="L6010" t="str" s="2">
        <x:v>Show</x:v>
      </x:c>
    </x:row>
    <x:row r="6011">
      <x:c r="A6011" t="str" s="2">
        <x:f>=HYPERLINK("https://rsms.futurehomex.com/lead/38871", "Donnie Harkrider")</x:f>
      </x:c>
      <x:c r="B6011" t="str" s="2">
        <x:v>Heritage Housing Mt Pleasant</x:v>
      </x:c>
      <x:c r="C6011" t="str" s="2">
        <x:v/>
      </x:c>
      <x:c r="D6011" t="str" s="2">
        <x:v>9036507841</x:v>
      </x:c>
      <x:c r="E6011" t="str" s="2">
        <x:v>donnieharkrider895@gmail.com</x:v>
      </x:c>
      <x:c r="F6011" t="str" s="2">
        <x:v>Website</x:v>
      </x:c>
      <x:c r="G6011" t="str" s="2">
        <x:v>Yarelis Torres</x:v>
      </x:c>
      <x:c r="H6011" s="6">
        <x:v>46234.08636072917</x:v>
      </x:c>
      <x:c r="I6011" t="str" s="2">
        <x:v>Yarelis Torres</x:v>
      </x:c>
      <x:c r="J6011" s="6">
        <x:v>46235.666666666664</x:v>
      </x:c>
      <x:c r="K6011" s="6">
        <x:v>46235.85594108796</x:v>
      </x:c>
      <x:c r="L6011" t="str" s="2">
        <x:v>Show</x:v>
      </x:c>
    </x:row>
    <x:row r="6012">
      <x:c r="A6012" t="str" s="2">
        <x:f>=HYPERLINK("https://rsms.futurehomex.com/lead/38854", "Christine Bunton")</x:f>
      </x:c>
      <x:c r="B6012" t="str" s="2">
        <x:v>Heritage Housing of Asheboro</x:v>
      </x:c>
      <x:c r="C6012" t="str" s="2">
        <x:v/>
      </x:c>
      <x:c r="D6012" t="str" s="2">
        <x:v>3362020384</x:v>
      </x:c>
      <x:c r="E6012" t="str" s="2">
        <x:v>rayv5@hotmail.com</x:v>
      </x:c>
      <x:c r="F6012" t="str" s="2">
        <x:v>Walk-in</x:v>
      </x:c>
      <x:c r="G6012" s="0"/>
      <x:c r="H6012" s="6">
        <x:v>46234.65006875</x:v>
      </x:c>
      <x:c r="I6012" t="str" s="2">
        <x:v>Maria Lopez</x:v>
      </x:c>
      <x:c r="J6012" s="0"/>
      <x:c r="K6012" s="0"/>
      <x:c r="L6012" t="str" s="2">
        <x:v>Show</x:v>
      </x:c>
    </x:row>
    <x:row r="6013">
      <x:c r="A6013" t="str" s="2">
        <x:f>=HYPERLINK("https://rsms.futurehomex.com/lead/38872", "Jill Page")</x:f>
      </x:c>
      <x:c r="B6013" t="str" s="2">
        <x:v>Heritage Housing of Asheboro</x:v>
      </x:c>
      <x:c r="C6013" t="str" s="2">
        <x:v/>
      </x:c>
      <x:c r="D6013" t="str" s="2">
        <x:v>3366281247</x:v>
      </x:c>
      <x:c r="E6013" t="str" s="2">
        <x:v>jillp349@gmail.com</x:v>
      </x:c>
      <x:c r="F6013" t="str" s="2">
        <x:v>Walk-in</x:v>
      </x:c>
      <x:c r="G6013" s="0"/>
      <x:c r="H6013" s="6">
        <x:v>46234.81272650463</x:v>
      </x:c>
      <x:c r="I6013" t="str" s="2">
        <x:v>Maria Lopez</x:v>
      </x:c>
      <x:c r="J6013" s="0"/>
      <x:c r="K6013" s="0"/>
      <x:c r="L6013" t="str" s="2">
        <x:v>Show</x:v>
      </x:c>
    </x:row>
    <x:row r="6014">
      <x:c r="A6014" t="str" s="2">
        <x:f>=HYPERLINK("https://rsms.futurehomex.com/lead/38861", "Linsay Leonard")</x:f>
      </x:c>
      <x:c r="B6014" t="str" s="2">
        <x:v>Heritage Housing of Asheboro</x:v>
      </x:c>
      <x:c r="C6014" t="str" s="2">
        <x:v/>
      </x:c>
      <x:c r="D6014" t="str" s="2">
        <x:v>7044313352</x:v>
      </x:c>
      <x:c r="E6014" t="str" s="2">
        <x:v>linsayleonard@gmail.com</x:v>
      </x:c>
      <x:c r="F6014" t="str" s="2">
        <x:v>Walk-in</x:v>
      </x:c>
      <x:c r="G6014" s="0"/>
      <x:c r="H6014" s="6">
        <x:v>46234.83711666667</x:v>
      </x:c>
      <x:c r="I6014" t="str" s="2">
        <x:v>Maria Lopez</x:v>
      </x:c>
      <x:c r="J6014" s="0"/>
      <x:c r="K6014" s="0"/>
      <x:c r="L6014" t="str" s="2">
        <x:v>Show</x:v>
      </x:c>
    </x:row>
    <x:row r="6015">
      <x:c r="A6015" t="str" s="2">
        <x:f>=HYPERLINK("https://rsms.futurehomex.com/lead/38863", "LaToya Solomon")</x:f>
      </x:c>
      <x:c r="B6015" t="str" s="2">
        <x:v>Heritage Housing of Jennings</x:v>
      </x:c>
      <x:c r="C6015" t="str" s="2">
        <x:v/>
      </x:c>
      <x:c r="D6015" t="str" s="2">
        <x:v>3373846171</x:v>
      </x:c>
      <x:c r="E6015" t="str" s="2">
        <x:v>latoyasolomon92@yahoo.com</x:v>
      </x:c>
      <x:c r="F6015" t="str" s="2">
        <x:v>Walk-in</x:v>
      </x:c>
      <x:c r="G6015" s="0"/>
      <x:c r="H6015" s="6">
        <x:v>46234.87394861111</x:v>
      </x:c>
      <x:c r="I6015" t="str" s="2">
        <x:v>Mervin Leslie Smith</x:v>
      </x:c>
      <x:c r="J6015" s="0"/>
      <x:c r="K6015" s="0"/>
      <x:c r="L6015" t="str" s="2">
        <x:v>Show</x:v>
      </x:c>
    </x:row>
    <x:row r="6016">
      <x:c r="A6016" t="str" s="2">
        <x:f>=HYPERLINK("https://rsms.futurehomex.com/lead/38873", "Ricardo Mendiola Uriostegui")</x:f>
      </x:c>
      <x:c r="B6016" t="str" s="2">
        <x:v>Heritage Housing of Asheboro</x:v>
      </x:c>
      <x:c r="C6016" t="str" s="2">
        <x:v/>
      </x:c>
      <x:c r="D6016" t="str" s="2">
        <x:v>9195877627</x:v>
      </x:c>
      <x:c r="E6016" t="str" s="2">
        <x:v>ricardocereno99@gmail.com</x:v>
      </x:c>
      <x:c r="F6016" t="str" s="2">
        <x:v>Walk-in</x:v>
      </x:c>
      <x:c r="G6016" s="0"/>
      <x:c r="H6016" s="6">
        <x:v>46235.573778356484</x:v>
      </x:c>
      <x:c r="I6016" t="str" s="2">
        <x:v>Maria Lopez</x:v>
      </x:c>
      <x:c r="J6016" s="0"/>
      <x:c r="K6016" s="0"/>
      <x:c r="L6016" t="str" s="2">
        <x:v>Show</x:v>
      </x:c>
    </x:row>
    <x:row r="6017">
      <x:c r="A6017" t="str" s="2">
        <x:f>=HYPERLINK("https://rsms.futurehomex.com/lead/38875", "Guillermo Chavez")</x:f>
      </x:c>
      <x:c r="B6017" t="str" s="2">
        <x:v>Heritage Housing of Asheboro</x:v>
      </x:c>
      <x:c r="C6017" t="str" s="2">
        <x:v/>
      </x:c>
      <x:c r="D6017" t="str" s="2">
        <x:v>9104435063</x:v>
      </x:c>
      <x:c r="E6017" t="str" s="2">
        <x:v>memo043chave@gmail.com</x:v>
      </x:c>
      <x:c r="F6017" t="str" s="2">
        <x:v>Walk-in</x:v>
      </x:c>
      <x:c r="G6017" s="0"/>
      <x:c r="H6017" s="6">
        <x:v>46235.63336385417</x:v>
      </x:c>
      <x:c r="I6017" t="str" s="2">
        <x:v>Maria Lopez</x:v>
      </x:c>
      <x:c r="J6017" s="0"/>
      <x:c r="K6017" s="0"/>
      <x:c r="L6017" t="str" s="2">
        <x:v>Show</x:v>
      </x:c>
    </x:row>
    <x:row r="6018">
      <x:c r="A6018" t="str" s="2">
        <x:f>=HYPERLINK("https://rsms.futurehomex.com/lead/38877", "Rachel Mitchell")</x:f>
      </x:c>
      <x:c r="B6018" t="str" s="2">
        <x:v>Heritage Housing of Oklahoma City</x:v>
      </x:c>
      <x:c r="C6018" t="str" s="2">
        <x:v>0/1</x:v>
      </x:c>
      <x:c r="D6018" t="str" s="2">
        <x:v>4058373447</x:v>
      </x:c>
      <x:c r="E6018" t="str" s="2">
        <x:v>rnelson012172@gmail.com</x:v>
      </x:c>
      <x:c r="F6018" t="str" s="2">
        <x:v>Facebook Messenger</x:v>
      </x:c>
      <x:c r="G6018" t="str" s="2">
        <x:v>Steve Castell</x:v>
      </x:c>
      <x:c r="H6018" s="6">
        <x:v>46235.655849386574</x:v>
      </x:c>
      <x:c r="I6018" t="str" s="2">
        <x:v>Steve Castell</x:v>
      </x:c>
      <x:c r="J6018" s="6">
        <x:v>46235.8125</x:v>
      </x:c>
      <x:c r="K6018" s="6">
        <x:v>46235.86942137731</x:v>
      </x:c>
      <x:c r="L6018" t="str" s="2">
        <x:v>Show</x:v>
      </x:c>
    </x:row>
    <x:row r="6019">
      <x:c r="A6019" t="str" s="2">
        <x:f>=HYPERLINK("https://rsms.futurehomex.com/lead/38880", "Ralph Stevens")</x:f>
      </x:c>
      <x:c r="B6019" t="str" s="2">
        <x:v>Heritage Housing of Canton</x:v>
      </x:c>
      <x:c r="C6019" t="str" s="2">
        <x:v/>
      </x:c>
      <x:c r="D6019" t="str" s="2">
        <x:v>2148598665</x:v>
      </x:c>
      <x:c r="E6019" t="str" s="2">
        <x:v>tiffanystevens598@yahoo.com</x:v>
      </x:c>
      <x:c r="F6019" t="str" s="2">
        <x:v>Facebook Messenger</x:v>
      </x:c>
      <x:c r="G6019" t="str" s="2">
        <x:v>Jacob Hatten</x:v>
      </x:c>
      <x:c r="H6019" s="6">
        <x:v>46235.6950721875</x:v>
      </x:c>
      <x:c r="I6019" t="str" s="2">
        <x:v>Jacob Hatten</x:v>
      </x:c>
      <x:c r="J6019" s="6">
        <x:v>46255.625</x:v>
      </x:c>
      <x:c r="K6019" s="6">
        <x:v>46265.584577430556</x:v>
      </x:c>
      <x:c r="L6019" t="str" s="2">
        <x:v>Show</x:v>
      </x:c>
    </x:row>
    <x:row r="6020">
      <x:c r="A6020" t="str" s="2">
        <x:f>=HYPERLINK("https://rsms.futurehomex.com/lead/38881", "Chase Campbell")</x:f>
      </x:c>
      <x:c r="B6020" t="str" s="2">
        <x:v>Heritage Housing of Oklahoma City</x:v>
      </x:c>
      <x:c r="C6020" t="str" s="2">
        <x:v/>
      </x:c>
      <x:c r="D6020" t="str" s="2">
        <x:v>4056549566</x:v>
      </x:c>
      <x:c r="E6020" t="str" s="2">
        <x:v>campbellchase1010@gmail.com</x:v>
      </x:c>
      <x:c r="F6020" t="str" s="2">
        <x:v>Walk-in</x:v>
      </x:c>
      <x:c r="G6020" t="str" s="2">
        <x:v>Eva Misheva</x:v>
      </x:c>
      <x:c r="H6020" s="6">
        <x:v>46235.7106534375</x:v>
      </x:c>
      <x:c r="I6020" t="str" s="2">
        <x:v>Eva Misheva</x:v>
      </x:c>
      <x:c r="J6020" s="0"/>
      <x:c r="K6020" s="6">
        <x:v>46235.7106534375</x:v>
      </x:c>
      <x:c r="L6020" t="str" s="2">
        <x:v>Show</x:v>
      </x:c>
    </x:row>
    <x:row r="6021">
      <x:c r="A6021" t="str" s="2">
        <x:f>=HYPERLINK("https://rsms.futurehomex.com/lead/38883", "Jimmy Robbins")</x:f>
      </x:c>
      <x:c r="B6021" t="str" s="2">
        <x:v>Heritage Housing of Asheboro</x:v>
      </x:c>
      <x:c r="C6021" t="str" s="2">
        <x:v/>
      </x:c>
      <x:c r="D6021" t="str" s="2">
        <x:v>3362719803</x:v>
      </x:c>
      <x:c r="E6021" t="str" s="2">
        <x:v>aebaseball2005@hotmail.com</x:v>
      </x:c>
      <x:c r="F6021" t="str" s="2">
        <x:v>Walk-in</x:v>
      </x:c>
      <x:c r="G6021" s="0"/>
      <x:c r="H6021" s="6">
        <x:v>46235.73236145834</x:v>
      </x:c>
      <x:c r="I6021" t="str" s="2">
        <x:v>Maria Lopez</x:v>
      </x:c>
      <x:c r="J6021" s="0"/>
      <x:c r="K6021" s="0"/>
      <x:c r="L6021" t="str" s="2">
        <x:v>Show</x:v>
      </x:c>
    </x:row>
    <x:row r="6022">
      <x:c r="A6022" t="str" s="2">
        <x:f>=HYPERLINK("https://rsms.futurehomex.com/lead/38884", "Alfredo Hernandez")</x:f>
      </x:c>
      <x:c r="B6022" t="str" s="2">
        <x:v>Heritage Housing of Asheboro</x:v>
      </x:c>
      <x:c r="C6022" t="str" s="2">
        <x:v/>
      </x:c>
      <x:c r="D6022" t="str" s="2">
        <x:v>9106906060</x:v>
      </x:c>
      <x:c r="E6022" t="str" s="2">
        <x:v>basilioalfred12@icloud.com</x:v>
      </x:c>
      <x:c r="F6022" t="str" s="2">
        <x:v>Walk-in</x:v>
      </x:c>
      <x:c r="G6022" s="0"/>
      <x:c r="H6022" s="6">
        <x:v>46235.76945894676</x:v>
      </x:c>
      <x:c r="I6022" t="str" s="2">
        <x:v>Maria Lopez</x:v>
      </x:c>
      <x:c r="J6022" s="0"/>
      <x:c r="K6022" s="0"/>
      <x:c r="L6022" t="str" s="2">
        <x:v>Show</x:v>
      </x:c>
    </x:row>
    <x:row r="6023">
      <x:c r="A6023" t="str" s="2">
        <x:f>=HYPERLINK("https://rsms.futurehomex.com/lead/38885", "Austin LAWSON")</x:f>
      </x:c>
      <x:c r="B6023" t="str" s="2">
        <x:v>Heritage Housing of Oklahoma City</x:v>
      </x:c>
      <x:c r="C6023" t="str" s="2">
        <x:v/>
      </x:c>
      <x:c r="D6023" t="str" s="2">
        <x:v>4052016461</x:v>
      </x:c>
      <x:c r="E6023" t="str" s="2">
        <x:v>austinJ52@gmail.com</x:v>
      </x:c>
      <x:c r="F6023" t="str" s="2">
        <x:v>Walk-in</x:v>
      </x:c>
      <x:c r="G6023" t="str" s="2">
        <x:v>Eva Misheva</x:v>
      </x:c>
      <x:c r="H6023" s="6">
        <x:v>46235.7863403588</x:v>
      </x:c>
      <x:c r="I6023" t="str" s="2">
        <x:v>Eva Misheva</x:v>
      </x:c>
      <x:c r="J6023" s="0"/>
      <x:c r="K6023" s="6">
        <x:v>46235.7863403588</x:v>
      </x:c>
      <x:c r="L6023" t="str" s="2">
        <x:v>Show</x:v>
      </x:c>
    </x:row>
    <x:row r="6024">
      <x:c r="A6024" t="str" s="2">
        <x:f>=HYPERLINK("https://rsms.futurehomex.com/lead/38886", "Cristie OBrien")</x:f>
      </x:c>
      <x:c r="B6024" t="str" s="2">
        <x:v>Heritage Housing of Oklahoma City</x:v>
      </x:c>
      <x:c r="C6024" t="str" s="2">
        <x:v/>
      </x:c>
      <x:c r="D6024" t="str" s="2">
        <x:v>5805951511</x:v>
      </x:c>
      <x:c r="E6024" t="str" s="2">
        <x:v>cristieobrien@gmail.com</x:v>
      </x:c>
      <x:c r="F6024" t="str" s="2">
        <x:v>Facebook Messenger</x:v>
      </x:c>
      <x:c r="G6024" t="str" s="2">
        <x:v>Trey Rixleben</x:v>
      </x:c>
      <x:c r="H6024" s="6">
        <x:v>46235.80246258102</x:v>
      </x:c>
      <x:c r="I6024" t="str" s="2">
        <x:v>Trey Rixleben</x:v>
      </x:c>
      <x:c r="J6024" s="6">
        <x:v>46235.979166666664</x:v>
      </x:c>
      <x:c r="K6024" s="6">
        <x:v>46235.98590173611</x:v>
      </x:c>
      <x:c r="L6024" t="str" s="2">
        <x:v>Show</x:v>
      </x:c>
    </x:row>
    <x:row r="6025">
      <x:c r="A6025" t="str" s="2">
        <x:f>=HYPERLINK("https://rsms.futurehomex.com/lead/38889", "Kyle Sorter")</x:f>
      </x:c>
      <x:c r="B6025" t="str" s="2">
        <x:v>Heritage Housing of Oklahoma City</x:v>
      </x:c>
      <x:c r="C6025" t="str" s="2">
        <x:v/>
      </x:c>
      <x:c r="D6025" t="str" s="2">
        <x:v>4053883860</x:v>
      </x:c>
      <x:c r="E6025" t="str" s="2">
        <x:v>sirsorter@hotmail.com</x:v>
      </x:c>
      <x:c r="F6025" t="str" s="2">
        <x:v>Walk-in</x:v>
      </x:c>
      <x:c r="G6025" t="str" s="2">
        <x:v>Eva Misheva</x:v>
      </x:c>
      <x:c r="H6025" s="6">
        <x:v>46235.828054895836</x:v>
      </x:c>
      <x:c r="I6025" t="str" s="2">
        <x:v>Eva Misheva</x:v>
      </x:c>
      <x:c r="J6025" s="0"/>
      <x:c r="K6025" s="6">
        <x:v>46235.828054895836</x:v>
      </x:c>
      <x:c r="L6025" t="str" s="2">
        <x:v>Show</x:v>
      </x:c>
    </x:row>
    <x:row r="6026">
      <x:c r="A6026" t="str" s="2">
        <x:f>=HYPERLINK("https://rsms.futurehomex.com/lead/38905", "Julie Davis")</x:f>
      </x:c>
      <x:c r="B6026" t="str" s="2">
        <x:v>Heritage Housing of Oklahoma City</x:v>
      </x:c>
      <x:c r="C6026" t="str" s="2">
        <x:v/>
      </x:c>
      <x:c r="D6026" t="str" s="2">
        <x:v>4054239123</x:v>
      </x:c>
      <x:c r="E6026" t="str" s="2">
        <x:v>julzdavz@gmail.com</x:v>
      </x:c>
      <x:c r="F6026" t="str" s="2">
        <x:v>Website</x:v>
      </x:c>
      <x:c r="G6026" t="str" s="2">
        <x:v>Steve Castell</x:v>
      </x:c>
      <x:c r="H6026" s="6">
        <x:v>46235.896130520836</x:v>
      </x:c>
      <x:c r="I6026" t="str" s="2">
        <x:v>Alejandra Calderon</x:v>
      </x:c>
      <x:c r="J6026" s="6">
        <x:v>46239.75</x:v>
      </x:c>
      <x:c r="K6026" s="6">
        <x:v>46239.785136886574</x:v>
      </x:c>
      <x:c r="L6026" t="str" s="2">
        <x:v>Show</x:v>
      </x:c>
    </x:row>
    <x:row r="6027">
      <x:c r="A6027" t="str" s="2">
        <x:f>=HYPERLINK("https://rsms.futurehomex.com/lead/38892", "Jason Cowherd")</x:f>
      </x:c>
      <x:c r="B6027" t="str" s="2">
        <x:v>Heritage Housing of Oklahoma City</x:v>
      </x:c>
      <x:c r="C6027" t="str" s="2">
        <x:v/>
      </x:c>
      <x:c r="D6027" t="str" s="2">
        <x:v>5805418681</x:v>
      </x:c>
      <x:c r="E6027" t="str" s="2">
        <x:v>steve@swcplumbing.com</x:v>
      </x:c>
      <x:c r="F6027" t="str" s="2">
        <x:v>Walk-in</x:v>
      </x:c>
      <x:c r="G6027" t="str" s="2">
        <x:v>Steve Castell</x:v>
      </x:c>
      <x:c r="H6027" s="6">
        <x:v>46235.9058241088</x:v>
      </x:c>
      <x:c r="I6027" t="str" s="2">
        <x:v>Steve Castell</x:v>
      </x:c>
      <x:c r="J6027" s="6">
        <x:v>46298.666666666664</x:v>
      </x:c>
      <x:c r="K6027" s="6">
        <x:v>46300.765827233794</x:v>
      </x:c>
      <x:c r="L6027" t="str" s="2">
        <x:v>Show</x:v>
      </x:c>
    </x:row>
    <x:row r="6028">
      <x:c r="A6028" t="str" s="2">
        <x:f>=HYPERLINK("https://rsms.futurehomex.com/lead/38893", "Mary Curtis")</x:f>
      </x:c>
      <x:c r="B6028" t="str" s="2">
        <x:v>Heritage Housing Mt Pleasant</x:v>
      </x:c>
      <x:c r="C6028" t="str" s="2">
        <x:v/>
      </x:c>
      <x:c r="D6028" t="str" s="2">
        <x:v>9034135489</x:v>
      </x:c>
      <x:c r="E6028" t="str" s="2">
        <x:v>9034135489</x:v>
      </x:c>
      <x:c r="F6028" t="str" s="2">
        <x:v>Facebook Messenger</x:v>
      </x:c>
      <x:c r="G6028" t="str" s="2">
        <x:v>Yarelis Torres</x:v>
      </x:c>
      <x:c r="H6028" s="6">
        <x:v>46235.95924174769</x:v>
      </x:c>
      <x:c r="I6028" t="str" s="2">
        <x:v>Yarelis Torres</x:v>
      </x:c>
      <x:c r="J6028" s="6">
        <x:v>46237.75</x:v>
      </x:c>
      <x:c r="K6028" s="6">
        <x:v>46237.80633966435</x:v>
      </x:c>
      <x:c r="L6028" t="str" s="2">
        <x:v>Show</x:v>
      </x:c>
    </x:row>
    <x:row r="6029">
      <x:c r="A6029" t="str" s="2">
        <x:f>=HYPERLINK("https://rsms.futurehomex.com/lead/38900", "Micah Saunders")</x:f>
      </x:c>
      <x:c r="B6029" t="str" s="2">
        <x:v>Heritage Housing Mt Pleasant</x:v>
      </x:c>
      <x:c r="C6029" t="str" s="2">
        <x:v/>
      </x:c>
      <x:c r="D6029" t="str" s="2">
        <x:v>9032853406</x:v>
      </x:c>
      <x:c r="E6029" t="str" s="2">
        <x:v>micahsaunders10@gmail.com</x:v>
      </x:c>
      <x:c r="F6029" t="str" s="2">
        <x:v>Financing Form</x:v>
      </x:c>
      <x:c r="G6029" t="str" s="2">
        <x:v>Yarelis Torres</x:v>
      </x:c>
      <x:c r="H6029" s="6">
        <x:v>46236.796934756945</x:v>
      </x:c>
      <x:c r="I6029" t="str" s="2">
        <x:v>Elias Gallardo</x:v>
      </x:c>
      <x:c r="J6029" s="6">
        <x:v>46236.614583333336</x:v>
      </x:c>
      <x:c r="K6029" s="6">
        <x:v>46237.98527037037</x:v>
      </x:c>
      <x:c r="L6029" t="str" s="2">
        <x:v>Show</x:v>
      </x:c>
    </x:row>
    <x:row r="6030">
      <x:c r="A6030" t="str" s="2">
        <x:f>=HYPERLINK("https://rsms.futurehomex.com/lead/38897", "Ivonne Cortez")</x:f>
      </x:c>
      <x:c r="B6030" t="str" s="2">
        <x:v>Heritage Housing of Oklahoma City</x:v>
      </x:c>
      <x:c r="C6030" t="str" s="2">
        <x:v/>
      </x:c>
      <x:c r="D6030" t="str" s="2">
        <x:v>9154718285</x:v>
      </x:c>
      <x:c r="E6030" t="str" s="2">
        <x:v>ivonnecortezfdz@gmail.com</x:v>
      </x:c>
      <x:c r="F6030" t="str" s="2">
        <x:v>Facebook Messenger</x:v>
      </x:c>
      <x:c r="G6030" t="str" s="2">
        <x:v>Eva Misheva</x:v>
      </x:c>
      <x:c r="H6030" s="6">
        <x:v>46236.8181440625</x:v>
      </x:c>
      <x:c r="I6030" t="str" s="2">
        <x:v>Trey Rixleben</x:v>
      </x:c>
      <x:c r="J6030" s="0"/>
      <x:c r="K6030" s="6">
        <x:v>46236.8181440625</x:v>
      </x:c>
      <x:c r="L6030" t="str" s="2">
        <x:v>Show</x:v>
      </x:c>
    </x:row>
    <x:row r="6031">
      <x:c r="A6031" t="str" s="2">
        <x:f>=HYPERLINK("https://rsms.futurehomex.com/lead/38898", "Seryna Ellis")</x:f>
      </x:c>
      <x:c r="B6031" t="str" s="2">
        <x:v>Heritage Housing of Oklahoma City</x:v>
      </x:c>
      <x:c r="C6031" t="str" s="2">
        <x:v/>
      </x:c>
      <x:c r="D6031" t="str" s="2">
        <x:v>6234326427</x:v>
      </x:c>
      <x:c r="E6031" t="str" s="2">
        <x:v>serynagivethankstogod@gmail.com</x:v>
      </x:c>
      <x:c r="F6031" t="str" s="2">
        <x:v>Walk-in</x:v>
      </x:c>
      <x:c r="G6031" t="str" s="2">
        <x:v>Eva Misheva</x:v>
      </x:c>
      <x:c r="H6031" s="6">
        <x:v>46236.86669892361</x:v>
      </x:c>
      <x:c r="I6031" t="str" s="2">
        <x:v>Eva Misheva</x:v>
      </x:c>
      <x:c r="J6031" s="0"/>
      <x:c r="K6031" s="6">
        <x:v>46236.86669892361</x:v>
      </x:c>
      <x:c r="L6031" t="str" s="2">
        <x:v>Show</x:v>
      </x:c>
    </x:row>
    <x:row r="6032">
      <x:c r="A6032" t="str" s="2">
        <x:f>=HYPERLINK("https://rsms.futurehomex.com/lead/38904", "Dominique Cobb")</x:f>
      </x:c>
      <x:c r="B6032" t="str" s="2">
        <x:v>Heritage Housing of Albany</x:v>
      </x:c>
      <x:c r="C6032" t="str" s="2">
        <x:v/>
      </x:c>
      <x:c r="D6032" t="str" s="2">
        <x:v>6783207529</x:v>
      </x:c>
      <x:c r="E6032" t="str" s="2">
        <x:v>6783207529</x:v>
      </x:c>
      <x:c r="F6032" t="str" s="2">
        <x:v>Financing Form</x:v>
      </x:c>
      <x:c r="G6032" t="str" s="2">
        <x:v>Dane Lara</x:v>
      </x:c>
      <x:c r="H6032" s="6">
        <x:v>46237.593352777774</x:v>
      </x:c>
      <x:c r="I6032" t="str" s="2">
        <x:v>Alexander Bryant</x:v>
      </x:c>
      <x:c r="J6032" s="0"/>
      <x:c r="K6032" s="6">
        <x:v>46237.593352777774</x:v>
      </x:c>
      <x:c r="L6032" t="str" s="2">
        <x:v>Show</x:v>
      </x:c>
    </x:row>
    <x:row r="6033">
      <x:c r="A6033" t="str" s="2">
        <x:f>=HYPERLINK("https://rsms.futurehomex.com/lead/38740", "Koy Chapman")</x:f>
      </x:c>
      <x:c r="B6033" s="0"/>
      <x:c r="C6033" t="str" s="2">
        <x:v/>
      </x:c>
      <x:c r="D6033" t="str" s="2">
        <x:v>8302650072</x:v>
      </x:c>
      <x:c r="E6033" t="str" s="2">
        <x:v>KoyChapman02@gmail.com</x:v>
      </x:c>
      <x:c r="F6033" t="str" s="2">
        <x:v>Referrals</x:v>
      </x:c>
      <x:c r="G6033" t="str" s="2">
        <x:v>Stephen Sanders</x:v>
      </x:c>
      <x:c r="H6033" s="6">
        <x:v>46237.65811400463</x:v>
      </x:c>
      <x:c r="I6033" t="str" s="2">
        <x:v>Stephen Sanders</x:v>
      </x:c>
      <x:c r="J6033" s="0"/>
      <x:c r="K6033" s="0"/>
      <x:c r="L6033" t="str" s="2">
        <x:v>Show</x:v>
      </x:c>
    </x:row>
    <x:row r="6034">
      <x:c r="A6034" t="str" s="2">
        <x:f>=HYPERLINK("https://rsms.futurehomex.com/lead/38914", "Alfredo mendiola Mendiola")</x:f>
      </x:c>
      <x:c r="B6034" t="str" s="2">
        <x:v>Heritage Housing of Asheboro</x:v>
      </x:c>
      <x:c r="C6034" t="str" s="2">
        <x:v/>
      </x:c>
      <x:c r="D6034" t="str" s="2">
        <x:v>9194418840</x:v>
      </x:c>
      <x:c r="E6034" t="str" s="2">
        <x:v>uriosteguimendiola@cloud.com</x:v>
      </x:c>
      <x:c r="F6034" t="str" s="2">
        <x:v>Walk-in</x:v>
      </x:c>
      <x:c r="G6034" s="0"/>
      <x:c r="H6034" s="6">
        <x:v>46237.73246234954</x:v>
      </x:c>
      <x:c r="I6034" t="str" s="2">
        <x:v>Maria Lopez</x:v>
      </x:c>
      <x:c r="J6034" s="0"/>
      <x:c r="K6034" s="0"/>
      <x:c r="L6034" t="str" s="2">
        <x:v>Show</x:v>
      </x:c>
    </x:row>
    <x:row r="6035">
      <x:c r="A6035" t="str" s="2">
        <x:f>=HYPERLINK("https://rsms.futurehomex.com/lead/38917", "Destiny Fuller")</x:f>
      </x:c>
      <x:c r="B6035" t="str" s="2">
        <x:v>Heritage Housing of Asheboro</x:v>
      </x:c>
      <x:c r="C6035" t="str" s="2">
        <x:v/>
      </x:c>
      <x:c r="D6035" t="str" s="2">
        <x:v>3362574072</x:v>
      </x:c>
      <x:c r="E6035" t="str" s="2">
        <x:v>destinyfuller2003@icloud.com</x:v>
      </x:c>
      <x:c r="F6035" t="str" s="2">
        <x:v>Walk-in</x:v>
      </x:c>
      <x:c r="G6035" s="0"/>
      <x:c r="H6035" s="6">
        <x:v>46237.75601704861</x:v>
      </x:c>
      <x:c r="I6035" t="str" s="2">
        <x:v>Maria Lopez</x:v>
      </x:c>
      <x:c r="J6035" s="0"/>
      <x:c r="K6035" s="0"/>
      <x:c r="L6035" t="str" s="2">
        <x:v>Show</x:v>
      </x:c>
    </x:row>
    <x:row r="6036">
      <x:c r="A6036" t="str" s="2">
        <x:f>=HYPERLINK("https://rsms.futurehomex.com/lead/38918", "Mary Hernandez")</x:f>
      </x:c>
      <x:c r="B6036" t="str" s="2">
        <x:v>Heritage Housing Mt Pleasant</x:v>
      </x:c>
      <x:c r="C6036" t="str" s="2">
        <x:v/>
      </x:c>
      <x:c r="D6036" t="str" s="2">
        <x:v>9034349667</x:v>
      </x:c>
      <x:c r="E6036" t="str" s="2">
        <x:v>9034349667</x:v>
      </x:c>
      <x:c r="F6036" t="str" s="2">
        <x:v>Other</x:v>
      </x:c>
      <x:c r="G6036" t="str" s="2">
        <x:v>Sandra Saldana</x:v>
      </x:c>
      <x:c r="H6036" s="6">
        <x:v>46237.779272997686</x:v>
      </x:c>
      <x:c r="I6036" t="str" s="2">
        <x:v>Sandra Saldana</x:v>
      </x:c>
      <x:c r="J6036" s="6">
        <x:v>46237.895833333336</x:v>
      </x:c>
      <x:c r="K6036" s="6">
        <x:v>46237.96316987269</x:v>
      </x:c>
      <x:c r="L6036" t="str" s="2">
        <x:v>Show</x:v>
      </x:c>
    </x:row>
    <x:row r="6037">
      <x:c r="A6037" t="str" s="2">
        <x:f>=HYPERLINK("https://rsms.futurehomex.com/lead/38922", "Morgan Hess")</x:f>
      </x:c>
      <x:c r="B6037" t="str" s="2">
        <x:v>Heritage Housing of Oklahoma City</x:v>
      </x:c>
      <x:c r="C6037" t="str" s="2">
        <x:v/>
      </x:c>
      <x:c r="D6037" t="str" s="2">
        <x:v>5803340966</x:v>
      </x:c>
      <x:c r="E6037" t="str" s="2">
        <x:v>morganphillips215@gmail.com</x:v>
      </x:c>
      <x:c r="F6037" t="str" s="2">
        <x:v>HH - Oklahoma City</x:v>
      </x:c>
      <x:c r="G6037" t="str" s="2">
        <x:v>Trey Rixleben</x:v>
      </x:c>
      <x:c r="H6037" s="6">
        <x:v>46237.782707175924</x:v>
      </x:c>
      <x:c r="I6037" t="str" s="2">
        <x:v>Trey Rixleben</x:v>
      </x:c>
      <x:c r="J6037" s="6">
        <x:v>46242.666666666664</x:v>
      </x:c>
      <x:c r="K6037" s="6">
        <x:v>46242.62156137732</x:v>
      </x:c>
      <x:c r="L6037" t="str" s="2">
        <x:v>Show</x:v>
      </x:c>
    </x:row>
    <x:row r="6038">
      <x:c r="A6038" t="str" s="2">
        <x:f>=HYPERLINK("https://rsms.futurehomex.com/lead/38920", "Irma Martinez")</x:f>
      </x:c>
      <x:c r="B6038" t="str" s="2">
        <x:v>Heritage Housing Mt Pleasant</x:v>
      </x:c>
      <x:c r="C6038" t="str" s="2">
        <x:v/>
      </x:c>
      <x:c r="D6038" t="str" s="2">
        <x:v>9033157135</x:v>
      </x:c>
      <x:c r="E6038" t="str" s="2">
        <x:v>9033157135</x:v>
      </x:c>
      <x:c r="F6038" t="str" s="2">
        <x:v>Other</x:v>
      </x:c>
      <x:c r="G6038" t="str" s="2">
        <x:v>Sandra Saldana</x:v>
      </x:c>
      <x:c r="H6038" s="6">
        <x:v>46237.794051157405</x:v>
      </x:c>
      <x:c r="I6038" t="str" s="2">
        <x:v>Sandra Saldana</x:v>
      </x:c>
      <x:c r="J6038" s="6">
        <x:v>46237.875</x:v>
      </x:c>
      <x:c r="K6038" s="6">
        <x:v>46237.852158761576</x:v>
      </x:c>
      <x:c r="L6038" t="str" s="2">
        <x:v>Show</x:v>
      </x:c>
    </x:row>
    <x:row r="6039">
      <x:c r="A6039" t="str" s="2">
        <x:f>=HYPERLINK("https://rsms.futurehomex.com/lead/38931", "Valerie Castillo")</x:f>
      </x:c>
      <x:c r="B6039" t="str" s="2">
        <x:v>Heritage Housing of Oklahoma City</x:v>
      </x:c>
      <x:c r="C6039" t="str" s="2">
        <x:v>0/1</x:v>
      </x:c>
      <x:c r="D6039" t="str" s="2">
        <x:v>4055934586</x:v>
      </x:c>
      <x:c r="E6039" t="str" s="2">
        <x:v>valerie.castillo96@gmail.com</x:v>
      </x:c>
      <x:c r="F6039" t="str" s="2">
        <x:v>Facebook Messenger</x:v>
      </x:c>
      <x:c r="G6039" t="str" s="2">
        <x:v>Steve Castell</x:v>
      </x:c>
      <x:c r="H6039" s="6">
        <x:v>46238.02054869213</x:v>
      </x:c>
      <x:c r="I6039" t="str" s="2">
        <x:v>Steve Castell</x:v>
      </x:c>
      <x:c r="J6039" s="6">
        <x:v>46238.635416666664</x:v>
      </x:c>
      <x:c r="K6039" s="6">
        <x:v>46238.694704594905</x:v>
      </x:c>
      <x:c r="L6039" t="str" s="2">
        <x:v>Show</x:v>
      </x:c>
    </x:row>
    <x:row r="6040">
      <x:c r="A6040" t="str" s="2">
        <x:f>=HYPERLINK("https://rsms.futurehomex.com/lead/38933", "Buddy Mays")</x:f>
      </x:c>
      <x:c r="B6040" t="str" s="2">
        <x:v>Heritage Housing of Greenville</x:v>
      </x:c>
      <x:c r="C6040" t="str" s="2">
        <x:v/>
      </x:c>
      <x:c r="D6040" t="str" s="2">
        <x:v>4695603960</x:v>
      </x:c>
      <x:c r="E6040" t="str" s="2">
        <x:v>buddymays9@gmail.com</x:v>
      </x:c>
      <x:c r="F6040" t="str" s="2">
        <x:v>Facebook Messenger</x:v>
      </x:c>
      <x:c r="G6040" t="str" s="2">
        <x:v>Brandie Sartor</x:v>
      </x:c>
      <x:c r="H6040" s="6">
        <x:v>46238.60535690972</x:v>
      </x:c>
      <x:c r="I6040" t="str" s="2">
        <x:v>Greg Christman</x:v>
      </x:c>
      <x:c r="J6040" s="0"/>
      <x:c r="K6040" s="6">
        <x:v>46238.60535690972</x:v>
      </x:c>
      <x:c r="L6040" t="str" s="2">
        <x:v>Show</x:v>
      </x:c>
    </x:row>
    <x:row r="6041">
      <x:c r="A6041" t="str" s="2">
        <x:f>=HYPERLINK("https://rsms.futurehomex.com/lead/39088", "John Burdg")</x:f>
      </x:c>
      <x:c r="B6041" t="str" s="2">
        <x:v>Heritage Housing of Oklahoma City</x:v>
      </x:c>
      <x:c r="C6041" t="str" s="2">
        <x:v>0/2</x:v>
      </x:c>
      <x:c r="D6041" t="str" s="2">
        <x:v>5803072578</x:v>
      </x:c>
      <x:c r="E6041" t="str" s="2">
        <x:v>bigjohn071480@gmail.com</x:v>
      </x:c>
      <x:c r="F6041" t="str" s="2">
        <x:v>LandingPage</x:v>
      </x:c>
      <x:c r="G6041" t="str" s="2">
        <x:v>Steve Castell</x:v>
      </x:c>
      <x:c r="H6041" s="6">
        <x:v>46238.72160413195</x:v>
      </x:c>
      <x:c r="I6041" t="str" s="2">
        <x:v>Eva Misheva</x:v>
      </x:c>
      <x:c r="J6041" s="6">
        <x:v>46250.75</x:v>
      </x:c>
      <x:c r="K6041" s="6">
        <x:v>46250.88797118056</x:v>
      </x:c>
      <x:c r="L6041" t="str" s="2">
        <x:v>Show</x:v>
      </x:c>
    </x:row>
    <x:row r="6042">
      <x:c r="A6042" t="str" s="2">
        <x:f>=HYPERLINK("https://rsms.futurehomex.com/lead/38938", "Bill Burns")</x:f>
      </x:c>
      <x:c r="B6042" t="str" s="2">
        <x:v>Heritage Housing of Greenville</x:v>
      </x:c>
      <x:c r="C6042" t="str" s="2">
        <x:v/>
      </x:c>
      <x:c r="D6042" t="str" s="2">
        <x:v>2143169293</x:v>
      </x:c>
      <x:c r="E6042" t="str" s="2">
        <x:v>bwburns51@gmail.com</x:v>
      </x:c>
      <x:c r="F6042" t="str" s="2">
        <x:v>Facebook Messenger</x:v>
      </x:c>
      <x:c r="G6042" t="str" s="2">
        <x:v>Brandie Sartor</x:v>
      </x:c>
      <x:c r="H6042" s="6">
        <x:v>46238.75836064815</x:v>
      </x:c>
      <x:c r="I6042" t="str" s="2">
        <x:v>Greg Christman</x:v>
      </x:c>
      <x:c r="J6042" s="0"/>
      <x:c r="K6042" s="6">
        <x:v>46238.75836064815</x:v>
      </x:c>
      <x:c r="L6042" t="str" s="2">
        <x:v>Show</x:v>
      </x:c>
    </x:row>
    <x:row r="6043">
      <x:c r="A6043" t="str" s="2">
        <x:f>=HYPERLINK("https://rsms.futurehomex.com/lead/39019", "Eltaurus Randle")</x:f>
      </x:c>
      <x:c r="B6043" t="str" s="2">
        <x:v>Heritage Housing of Minden</x:v>
      </x:c>
      <x:c r="C6043" t="str" s="2">
        <x:v/>
      </x:c>
      <x:c r="D6043" t="str" s="2">
        <x:v>3184538213</x:v>
      </x:c>
      <x:c r="E6043" t="str" s="2">
        <x:v>randlecamilla@gmail.com</x:v>
      </x:c>
      <x:c r="F6043" t="str" s="2">
        <x:v>Office Hot Calls</x:v>
      </x:c>
      <x:c r="G6043" t="str" s="2">
        <x:v>Kyla Brown</x:v>
      </x:c>
      <x:c r="H6043" s="6">
        <x:v>46238.77084660879</x:v>
      </x:c>
      <x:c r="I6043" t="str" s="2">
        <x:v>Patrick Schuchart</x:v>
      </x:c>
      <x:c r="J6043" s="6">
        <x:v>46242.770833333336</x:v>
      </x:c>
      <x:c r="K6043" s="6">
        <x:v>46242.85455008102</x:v>
      </x:c>
      <x:c r="L6043" t="str" s="2">
        <x:v>Show</x:v>
      </x:c>
    </x:row>
    <x:row r="6044">
      <x:c r="A6044" t="str" s="2">
        <x:f>=HYPERLINK("https://rsms.futurehomex.com/lead/38941", "Edwin Arrecis")</x:f>
      </x:c>
      <x:c r="B6044" t="str" s="2">
        <x:v>Heritage Housing of Oklahoma City</x:v>
      </x:c>
      <x:c r="C6044" t="str" s="2">
        <x:v/>
      </x:c>
      <x:c r="D6044" t="str" s="2">
        <x:v>4059204429</x:v>
      </x:c>
      <x:c r="E6044" t="str" s="2">
        <x:v>ARRECISEEDWIN16@GMAIL.COM</x:v>
      </x:c>
      <x:c r="F6044" t="str" s="2">
        <x:v>Facebook Messenger</x:v>
      </x:c>
      <x:c r="G6044" t="str" s="2">
        <x:v>Steve Castell</x:v>
      </x:c>
      <x:c r="H6044" s="6">
        <x:v>46238.774024189814</x:v>
      </x:c>
      <x:c r="I6044" t="str" s="2">
        <x:v>Alejandra Calderon</x:v>
      </x:c>
      <x:c r="J6044" s="6">
        <x:v>46242.75</x:v>
      </x:c>
      <x:c r="K6044" s="6">
        <x:v>46242.79006438657</x:v>
      </x:c>
      <x:c r="L6044" t="str" s="2">
        <x:v>Show</x:v>
      </x:c>
    </x:row>
    <x:row r="6045">
      <x:c r="A6045" t="str" s="2">
        <x:f>=HYPERLINK("https://rsms.futurehomex.com/lead/38943", "Sandra Hargrave")</x:f>
      </x:c>
      <x:c r="B6045" t="str" s="2">
        <x:v>Heritage Housing of Jennings</x:v>
      </x:c>
      <x:c r="C6045" t="str" s="2">
        <x:v/>
      </x:c>
      <x:c r="D6045" t="str" s="2">
        <x:v>3373716911</x:v>
      </x:c>
      <x:c r="E6045" t="str" s="2">
        <x:v>sandrahargrave1962@gmail.com</x:v>
      </x:c>
      <x:c r="F6045" t="str" s="2">
        <x:v>Walk-in</x:v>
      </x:c>
      <x:c r="G6045" s="0"/>
      <x:c r="H6045" s="6">
        <x:v>46238.78256724537</x:v>
      </x:c>
      <x:c r="I6045" t="str" s="2">
        <x:v>Clint O'Neal</x:v>
      </x:c>
      <x:c r="J6045" s="0"/>
      <x:c r="K6045" s="0"/>
      <x:c r="L6045" t="str" s="2">
        <x:v>Show</x:v>
      </x:c>
    </x:row>
    <x:row r="6046">
      <x:c r="A6046" t="str" s="2">
        <x:f>=HYPERLINK("https://rsms.futurehomex.com/lead/38944", "Shelly Brown")</x:f>
      </x:c>
      <x:c r="B6046" t="str" s="2">
        <x:v>Heritage Housing of Jennings</x:v>
      </x:c>
      <x:c r="C6046" t="str" s="2">
        <x:v/>
      </x:c>
      <x:c r="D6046" t="str" s="2">
        <x:v>2392016862</x:v>
      </x:c>
      <x:c r="E6046" t="str" s="2">
        <x:v>shellybrown936@gmail.com</x:v>
      </x:c>
      <x:c r="F6046" t="str" s="2">
        <x:v>Walk-in</x:v>
      </x:c>
      <x:c r="G6046" s="0"/>
      <x:c r="H6046" s="6">
        <x:v>46238.78634247685</x:v>
      </x:c>
      <x:c r="I6046" t="str" s="2">
        <x:v>Mervin Leslie Smith</x:v>
      </x:c>
      <x:c r="J6046" s="0"/>
      <x:c r="K6046" s="0"/>
      <x:c r="L6046" t="str" s="2">
        <x:v>Show</x:v>
      </x:c>
    </x:row>
    <x:row r="6047">
      <x:c r="A6047" t="str" s="2">
        <x:f>=HYPERLINK("https://rsms.futurehomex.com/lead/38946", "Josue Macias Jimenez")</x:f>
      </x:c>
      <x:c r="B6047" t="str" s="2">
        <x:v>Heritage Housing of Greenville</x:v>
      </x:c>
      <x:c r="C6047" t="str" s="2">
        <x:v/>
      </x:c>
      <x:c r="D6047" t="str" s="2">
        <x:v>9452672689</x:v>
      </x:c>
      <x:c r="E6047" t="str" s="2">
        <x:v>Adolfojimenez637@gmail.com</x:v>
      </x:c>
      <x:c r="F6047" t="str" s="2">
        <x:v>Facebook Messenger</x:v>
      </x:c>
      <x:c r="G6047" t="str" s="2">
        <x:v>Brandie Sartor</x:v>
      </x:c>
      <x:c r="H6047" s="6">
        <x:v>46238.81441582176</x:v>
      </x:c>
      <x:c r="I6047" t="str" s="2">
        <x:v>Ana Garcia</x:v>
      </x:c>
      <x:c r="J6047" s="0"/>
      <x:c r="K6047" s="6">
        <x:v>46238.81441582176</x:v>
      </x:c>
      <x:c r="L6047" t="str" s="2">
        <x:v>Show</x:v>
      </x:c>
    </x:row>
    <x:row r="6048">
      <x:c r="A6048" t="str" s="2">
        <x:f>=HYPERLINK("https://rsms.futurehomex.com/lead/38947", "Rebecca Whalen")</x:f>
      </x:c>
      <x:c r="B6048" t="str" s="2">
        <x:v>Heritage Housing of Minden</x:v>
      </x:c>
      <x:c r="C6048" t="str" s="2">
        <x:v>0/4</x:v>
      </x:c>
      <x:c r="D6048" t="str" s="2">
        <x:v>8709498111</x:v>
      </x:c>
      <x:c r="E6048" t="str" s="2">
        <x:v>becwhalen2018@gmail.com</x:v>
      </x:c>
      <x:c r="F6048" t="str" s="2">
        <x:v>Facebook Messenger</x:v>
      </x:c>
      <x:c r="G6048" t="str" s="2">
        <x:v>Patrick Schuchart</x:v>
      </x:c>
      <x:c r="H6048" s="6">
        <x:v>46238.821293946756</x:v>
      </x:c>
      <x:c r="I6048" t="str" s="2">
        <x:v>Patrick Schuchart</x:v>
      </x:c>
      <x:c r="J6048" s="6">
        <x:v>46248.666666666664</x:v>
      </x:c>
      <x:c r="K6048" s="6">
        <x:v>46247.804907488426</x:v>
      </x:c>
      <x:c r="L6048" t="str" s="2">
        <x:v>Show</x:v>
      </x:c>
    </x:row>
    <x:row r="6049">
      <x:c r="A6049" t="str" s="2">
        <x:f>=HYPERLINK("https://rsms.futurehomex.com/lead/39557", "Ashford Diaz")</x:f>
      </x:c>
      <x:c r="B6049" t="str" s="2">
        <x:v>Heritage Housing Mt Pleasant</x:v>
      </x:c>
      <x:c r="C6049" t="str" s="2">
        <x:v/>
      </x:c>
      <x:c r="D6049" t="str" s="2">
        <x:v>9568657412</x:v>
      </x:c>
      <x:c r="E6049" t="str" s="2">
        <x:v>gms210@icloud.com</x:v>
      </x:c>
      <x:c r="F6049" t="str" s="2">
        <x:v>Landing_BPM</x:v>
      </x:c>
      <x:c r="G6049" t="str" s="2">
        <x:v>Yarelis Torres</x:v>
      </x:c>
      <x:c r="H6049" s="6">
        <x:v>46239.00938538194</x:v>
      </x:c>
      <x:c r="I6049" t="str" s="2">
        <x:v>Yarelis Torres</x:v>
      </x:c>
      <x:c r="J6049" s="6">
        <x:v>46266.979166666664</x:v>
      </x:c>
      <x:c r="K6049" s="6">
        <x:v>46280.98436559028</x:v>
      </x:c>
      <x:c r="L6049" t="str" s="2">
        <x:v>Show</x:v>
      </x:c>
    </x:row>
    <x:row r="6050">
      <x:c r="A6050" t="str" s="2">
        <x:f>=HYPERLINK("https://rsms.futurehomex.com/lead/38960", "Sunnye Travis")</x:f>
      </x:c>
      <x:c r="B6050" t="str" s="2">
        <x:v>Heritage Housing Marble Falls</x:v>
      </x:c>
      <x:c r="C6050" t="str" s="2">
        <x:v/>
      </x:c>
      <x:c r="D6050" t="str" s="2">
        <x:v>8302623850</x:v>
      </x:c>
      <x:c r="E6050" t="str" s="2">
        <x:v>sunnyetravis93@gmail.com</x:v>
      </x:c>
      <x:c r="F6050" t="str" s="2">
        <x:v>Website</x:v>
      </x:c>
      <x:c r="G6050" t="str" s="2">
        <x:v>Stephen Sanders</x:v>
      </x:c>
      <x:c r="H6050" s="6">
        <x:v>46239.49714424768</x:v>
      </x:c>
      <x:c r="I6050" t="str" s="2">
        <x:v>Stephen Sanders</x:v>
      </x:c>
      <x:c r="J6050" s="6">
        <x:v>46241.875</x:v>
      </x:c>
      <x:c r="K6050" s="6">
        <x:v>46288.6590943287</x:v>
      </x:c>
      <x:c r="L6050" t="str" s="2">
        <x:v>Show</x:v>
      </x:c>
    </x:row>
    <x:row r="6051">
      <x:c r="A6051" t="str" s="2">
        <x:f>=HYPERLINK("https://rsms.futurehomex.com/lead/38958", "Amauron Reyes-Siler")</x:f>
      </x:c>
      <x:c r="B6051" t="str" s="2">
        <x:v>Heritage Housing of Asheboro</x:v>
      </x:c>
      <x:c r="C6051" t="str" s="2">
        <x:v/>
      </x:c>
      <x:c r="D6051" t="str" s="2">
        <x:v>3368408649</x:v>
      </x:c>
      <x:c r="E6051" t="str" s="2">
        <x:v>maurysiler@gmail.com</x:v>
      </x:c>
      <x:c r="F6051" t="str" s="2">
        <x:v>Walk-in</x:v>
      </x:c>
      <x:c r="G6051" s="0"/>
      <x:c r="H6051" s="6">
        <x:v>46239.72895373843</x:v>
      </x:c>
      <x:c r="I6051" t="str" s="2">
        <x:v>Cory Martin</x:v>
      </x:c>
      <x:c r="J6051" s="0"/>
      <x:c r="K6051" s="0"/>
      <x:c r="L6051" t="str" s="2">
        <x:v>Show</x:v>
      </x:c>
    </x:row>
    <x:row r="6052">
      <x:c r="A6052" t="str" s="2">
        <x:f>=HYPERLINK("https://rsms.futurehomex.com/lead/38964", "Andrew Carpenter")</x:f>
      </x:c>
      <x:c r="B6052" t="str" s="2">
        <x:v>Heritage Housing of Asheboro</x:v>
      </x:c>
      <x:c r="C6052" t="str" s="2">
        <x:v/>
      </x:c>
      <x:c r="D6052" t="str" s="2">
        <x:v>3369085744</x:v>
      </x:c>
      <x:c r="E6052" t="str" s="2">
        <x:v>adcarpenter1996@gmail.com</x:v>
      </x:c>
      <x:c r="F6052" t="str" s="2">
        <x:v>Walk-in</x:v>
      </x:c>
      <x:c r="G6052" s="0"/>
      <x:c r="H6052" s="6">
        <x:v>46239.863255324075</x:v>
      </x:c>
      <x:c r="I6052" t="str" s="2">
        <x:v>Maria Lopez</x:v>
      </x:c>
      <x:c r="J6052" s="0"/>
      <x:c r="K6052" s="0"/>
      <x:c r="L6052" t="str" s="2">
        <x:v>Show</x:v>
      </x:c>
    </x:row>
    <x:row r="6053">
      <x:c r="A6053" t="str" s="2">
        <x:f>=HYPERLINK("https://rsms.futurehomex.com/lead/38984", "James Shaughnessy")</x:f>
      </x:c>
      <x:c r="B6053" t="str" s="2">
        <x:v>Heritage Housing of Oklahoma City</x:v>
      </x:c>
      <x:c r="C6053" t="str" s="2">
        <x:v/>
      </x:c>
      <x:c r="D6053" t="str" s="2">
        <x:v>5802781074</x:v>
      </x:c>
      <x:c r="E6053" t="str" s="2">
        <x:v>jstennisproshop@gmail.com</x:v>
      </x:c>
      <x:c r="F6053" t="str" s="2">
        <x:v>Facebook Messenger</x:v>
      </x:c>
      <x:c r="G6053" t="str" s="2">
        <x:v>Trey Rixleben</x:v>
      </x:c>
      <x:c r="H6053" s="6">
        <x:v>46240.94463880787</x:v>
      </x:c>
      <x:c r="I6053" t="str" s="2">
        <x:v>Trey Rixleben</x:v>
      </x:c>
      <x:c r="J6053" s="6">
        <x:v>46266.677083333336</x:v>
      </x:c>
      <x:c r="K6053" s="6">
        <x:v>46266.75334050926</x:v>
      </x:c>
      <x:c r="L6053" t="str" s="2">
        <x:v>Show</x:v>
      </x:c>
    </x:row>
    <x:row r="6054">
      <x:c r="A6054" t="str" s="2">
        <x:f>=HYPERLINK("https://rsms.futurehomex.com/lead/38985", "Judy Oppelt")</x:f>
      </x:c>
      <x:c r="B6054" t="str" s="2">
        <x:v>Heritage Housing of Tulsa</x:v>
      </x:c>
      <x:c r="C6054" t="str" s="2">
        <x:v/>
      </x:c>
      <x:c r="D6054" t="str" s="2">
        <x:v>9189013325</x:v>
      </x:c>
      <x:c r="E6054" t="str" s="2">
        <x:v>9189013325</x:v>
      </x:c>
      <x:c r="F6054" t="str" s="2">
        <x:v>HH - Tulsa</x:v>
      </x:c>
      <x:c r="G6054" t="str" s="2">
        <x:v>Jenna Fransisco</x:v>
      </x:c>
      <x:c r="H6054" s="6">
        <x:v>46240.948767511574</x:v>
      </x:c>
      <x:c r="I6054" t="str" s="2">
        <x:v>Derek Searcy</x:v>
      </x:c>
      <x:c r="J6054" s="6">
        <x:v>46241.833333333336</x:v>
      </x:c>
      <x:c r="K6054" s="6">
        <x:v>46245.92103133102</x:v>
      </x:c>
      <x:c r="L6054" t="str" s="2">
        <x:v>Show</x:v>
      </x:c>
    </x:row>
    <x:row r="6055">
      <x:c r="A6055" t="str" s="2">
        <x:f>=HYPERLINK("https://rsms.futurehomex.com/lead/38990", "Valerie Ramirez")</x:f>
      </x:c>
      <x:c r="B6055" t="str" s="2">
        <x:v>Heritage Housing of Oklahoma City</x:v>
      </x:c>
      <x:c r="C6055" t="str" s="2">
        <x:v/>
      </x:c>
      <x:c r="D6055" t="str" s="2">
        <x:v>6192457238</x:v>
      </x:c>
      <x:c r="E6055" t="str" s="2">
        <x:v>ramirezvalerie2005@gmail.com</x:v>
      </x:c>
      <x:c r="F6055" t="str" s="2">
        <x:v>HH - Oklahoma City</x:v>
      </x:c>
      <x:c r="G6055" t="str" s="2">
        <x:v>Richard Bell</x:v>
      </x:c>
      <x:c r="H6055" s="6">
        <x:v>46241.62461446759</x:v>
      </x:c>
      <x:c r="I6055" t="str" s="2">
        <x:v>Karla Brizuela</x:v>
      </x:c>
      <x:c r="J6055" s="0"/>
      <x:c r="K6055" s="6">
        <x:v>46241.62461446759</x:v>
      </x:c>
      <x:c r="L6055" t="str" s="2">
        <x:v>Show</x:v>
      </x:c>
    </x:row>
    <x:row r="6056">
      <x:c r="A6056" t="str" s="2">
        <x:f>=HYPERLINK("https://rsms.futurehomex.com/lead/39004", "Dawn Smith")</x:f>
      </x:c>
      <x:c r="B6056" t="str" s="2">
        <x:v>Heritage Housing of Asheboro</x:v>
      </x:c>
      <x:c r="C6056" t="str" s="2">
        <x:v/>
      </x:c>
      <x:c r="D6056" t="str" s="2">
        <x:v>3369472516</x:v>
      </x:c>
      <x:c r="E6056" t="str" s="2">
        <x:v>darlingdawn81@gmail.com</x:v>
      </x:c>
      <x:c r="F6056" t="str" s="2">
        <x:v>Walk-in</x:v>
      </x:c>
      <x:c r="G6056" s="0"/>
      <x:c r="H6056" s="6">
        <x:v>46241.81632346065</x:v>
      </x:c>
      <x:c r="I6056" t="str" s="2">
        <x:v>Maria Lopez</x:v>
      </x:c>
      <x:c r="J6056" s="0"/>
      <x:c r="K6056" s="0"/>
      <x:c r="L6056" t="str" s="2">
        <x:v>Show</x:v>
      </x:c>
    </x:row>
    <x:row r="6057">
      <x:c r="A6057" t="str" s="2">
        <x:f>=HYPERLINK("https://rsms.futurehomex.com/lead/39011", "Pedro Rios")</x:f>
      </x:c>
      <x:c r="B6057" t="str" s="2">
        <x:v>Heritage Housing of Asheboro</x:v>
      </x:c>
      <x:c r="C6057" t="str" s="2">
        <x:v/>
      </x:c>
      <x:c r="D6057" t="str" s="2">
        <x:v>7048980607</x:v>
      </x:c>
      <x:c r="E6057" t="str" s="2">
        <x:v>pedroriosnc@gmail.com</x:v>
      </x:c>
      <x:c r="F6057" t="str" s="2">
        <x:v>Walk-in</x:v>
      </x:c>
      <x:c r="G6057" s="0"/>
      <x:c r="H6057" s="6">
        <x:v>46241.90979690972</x:v>
      </x:c>
      <x:c r="I6057" t="str" s="2">
        <x:v>Maria Lopez</x:v>
      </x:c>
      <x:c r="J6057" s="0"/>
      <x:c r="K6057" s="0"/>
      <x:c r="L6057" t="str" s="2">
        <x:v>Show</x:v>
      </x:c>
    </x:row>
    <x:row r="6058">
      <x:c r="A6058" t="str" s="2">
        <x:f>=HYPERLINK("https://rsms.futurehomex.com/lead/39015", "Beth Shacklford")</x:f>
      </x:c>
      <x:c r="B6058" t="str" s="2">
        <x:v>Heritage Housing of Minden</x:v>
      </x:c>
      <x:c r="C6058" t="str" s="2">
        <x:v/>
      </x:c>
      <x:c r="D6058" t="str" s="2">
        <x:v>3185730539</x:v>
      </x:c>
      <x:c r="E6058" t="str" s="2">
        <x:v>elizabeth_s35@yahoo.com</x:v>
      </x:c>
      <x:c r="F6058" t="str" s="2">
        <x:v>Facebook Messenger</x:v>
      </x:c>
      <x:c r="G6058" t="str" s="2">
        <x:v>Patrick Schuchart</x:v>
      </x:c>
      <x:c r="H6058" s="6">
        <x:v>46242.602399537034</x:v>
      </x:c>
      <x:c r="I6058" t="str" s="2">
        <x:v>Patrick Schuchart</x:v>
      </x:c>
      <x:c r="J6058" s="6">
        <x:v>46244.625</x:v>
      </x:c>
      <x:c r="K6058" s="6">
        <x:v>46244.63649174768</x:v>
      </x:c>
      <x:c r="L6058" t="str" s="2">
        <x:v>Show</x:v>
      </x:c>
    </x:row>
    <x:row r="6059">
      <x:c r="A6059" t="str" s="2">
        <x:f>=HYPERLINK("https://rsms.futurehomex.com/lead/39016", "Brandon Hunt")</x:f>
      </x:c>
      <x:c r="B6059" t="str" s="2">
        <x:v>Heritage Housing of Asheboro</x:v>
      </x:c>
      <x:c r="C6059" t="str" s="2">
        <x:v/>
      </x:c>
      <x:c r="D6059" t="str" s="2">
        <x:v>3369956064</x:v>
      </x:c>
      <x:c r="E6059" t="str" s="2">
        <x:v>bkhuntdeer@gmail.com</x:v>
      </x:c>
      <x:c r="F6059" t="str" s="2">
        <x:v>Walk-in</x:v>
      </x:c>
      <x:c r="G6059" s="0"/>
      <x:c r="H6059" s="6">
        <x:v>46242.61924730324</x:v>
      </x:c>
      <x:c r="I6059" t="str" s="2">
        <x:v>Maria Lopez</x:v>
      </x:c>
      <x:c r="J6059" s="0"/>
      <x:c r="K6059" s="0"/>
      <x:c r="L6059" t="str" s="2">
        <x:v>Show</x:v>
      </x:c>
    </x:row>
    <x:row r="6060">
      <x:c r="A6060" t="str" s="2">
        <x:f>=HYPERLINK("https://rsms.futurehomex.com/lead/39018", "Barbara Moore")</x:f>
      </x:c>
      <x:c r="B6060" t="str" s="2">
        <x:v>Heritage Housing of Oklahoma City</x:v>
      </x:c>
      <x:c r="C6060" t="str" s="2">
        <x:v>1/1</x:v>
      </x:c>
      <x:c r="D6060" t="str" s="2">
        <x:v>5803517322</x:v>
      </x:c>
      <x:c r="E6060" t="str" s="2">
        <x:v>5803517322</x:v>
      </x:c>
      <x:c r="F6060" t="str" s="2">
        <x:v>Facebook Messenger</x:v>
      </x:c>
      <x:c r="G6060" t="str" s="2">
        <x:v>Steve Castell</x:v>
      </x:c>
      <x:c r="H6060" s="6">
        <x:v>46242.66041582176</x:v>
      </x:c>
      <x:c r="I6060" t="str" s="2">
        <x:v>Steve Castell</x:v>
      </x:c>
      <x:c r="J6060" s="6">
        <x:v>46242.708333333336</x:v>
      </x:c>
      <x:c r="K6060" s="6">
        <x:v>46249.06364707176</x:v>
      </x:c>
      <x:c r="L6060" t="str" s="2">
        <x:v>Show</x:v>
      </x:c>
    </x:row>
    <x:row r="6061">
      <x:c r="A6061" t="str" s="2">
        <x:f>=HYPERLINK("https://rsms.futurehomex.com/lead/39023", "Irene Parra")</x:f>
      </x:c>
      <x:c r="B6061" t="str" s="2">
        <x:v>Heritage Housing of Asheboro</x:v>
      </x:c>
      <x:c r="C6061" t="str" s="2">
        <x:v/>
      </x:c>
      <x:c r="D6061" t="str" s="2">
        <x:v>9109750406</x:v>
      </x:c>
      <x:c r="E6061" t="str" s="2">
        <x:v>irobleto@hotmail.com</x:v>
      </x:c>
      <x:c r="F6061" t="str" s="2">
        <x:v>Walk-in</x:v>
      </x:c>
      <x:c r="G6061" s="0"/>
      <x:c r="H6061" s="6">
        <x:v>46242.75613267361</x:v>
      </x:c>
      <x:c r="I6061" t="str" s="2">
        <x:v>Maria Lopez</x:v>
      </x:c>
      <x:c r="J6061" s="0"/>
      <x:c r="K6061" s="0"/>
      <x:c r="L6061" t="str" s="2">
        <x:v>Show</x:v>
      </x:c>
    </x:row>
    <x:row r="6062">
      <x:c r="A6062" t="str" s="2">
        <x:f>=HYPERLINK("https://rsms.futurehomex.com/lead/39025", "Cristian Granjeno-Avila")</x:f>
      </x:c>
      <x:c r="B6062" t="str" s="2">
        <x:v>Heritage Housing of Albany</x:v>
      </x:c>
      <x:c r="C6062" t="str" s="2">
        <x:v/>
      </x:c>
      <x:c r="D6062" t="str" s="2">
        <x:v>9122452156</x:v>
      </x:c>
      <x:c r="E6062" t="str" s="2">
        <x:v>cgranjeno02@gmail.com</x:v>
      </x:c>
      <x:c r="F6062" t="str" s="2">
        <x:v>Facebook Messenger</x:v>
      </x:c>
      <x:c r="G6062" t="str" s="2">
        <x:v>Yanet Alvarez</x:v>
      </x:c>
      <x:c r="H6062" s="6">
        <x:v>46242.76180934028</x:v>
      </x:c>
      <x:c r="I6062" t="str" s="2">
        <x:v>Alexander Bryant</x:v>
      </x:c>
      <x:c r="J6062" s="6">
        <x:v>46249.666666666664</x:v>
      </x:c>
      <x:c r="K6062" s="6">
        <x:v>46249.699390243055</x:v>
      </x:c>
      <x:c r="L6062" t="str" s="2">
        <x:v>Show</x:v>
      </x:c>
    </x:row>
    <x:row r="6063">
      <x:c r="A6063" t="str" s="2">
        <x:f>=HYPERLINK("https://rsms.futurehomex.com/lead/39026", "Tina Mckinney")</x:f>
      </x:c>
      <x:c r="B6063" t="str" s="2">
        <x:v>Heritage Housing of Oklahoma City</x:v>
      </x:c>
      <x:c r="C6063" t="str" s="2">
        <x:v/>
      </x:c>
      <x:c r="D6063" t="str" s="2">
        <x:v>4053204762</x:v>
      </x:c>
      <x:c r="E6063" t="str" s="2">
        <x:v>shedidn'tgivemeone@GMAIL.COM</x:v>
      </x:c>
      <x:c r="F6063" t="str" s="2">
        <x:v>Facebook Messenger</x:v>
      </x:c>
      <x:c r="G6063" t="str" s="2">
        <x:v>Eva Misheva</x:v>
      </x:c>
      <x:c r="H6063" s="6">
        <x:v>46242.7642059375</x:v>
      </x:c>
      <x:c r="I6063" t="str" s="2">
        <x:v>Eva Misheva</x:v>
      </x:c>
      <x:c r="J6063" s="0"/>
      <x:c r="K6063" s="6">
        <x:v>46242.7642059375</x:v>
      </x:c>
      <x:c r="L6063" t="str" s="2">
        <x:v>Show</x:v>
      </x:c>
    </x:row>
    <x:row r="6064">
      <x:c r="A6064" t="str" s="2">
        <x:f>=HYPERLINK("https://rsms.futurehomex.com/lead/39028", "Marilyn McCracken")</x:f>
      </x:c>
      <x:c r="B6064" t="str" s="2">
        <x:v>Heritage Housing of Oklahoma City</x:v>
      </x:c>
      <x:c r="C6064" t="str" s="2">
        <x:v/>
      </x:c>
      <x:c r="D6064" t="str" s="2">
        <x:v>5803198405</x:v>
      </x:c>
      <x:c r="E6064" t="str" s="2">
        <x:v>mccrackenm743@gmail.com</x:v>
      </x:c>
      <x:c r="F6064" t="str" s="2">
        <x:v>Facebook Messenger</x:v>
      </x:c>
      <x:c r="G6064" t="str" s="2">
        <x:v>Steve Castell</x:v>
      </x:c>
      <x:c r="H6064" s="6">
        <x:v>46242.79666431713</x:v>
      </x:c>
      <x:c r="I6064" t="str" s="2">
        <x:v>Steve Castell</x:v>
      </x:c>
      <x:c r="J6064" s="6">
        <x:v>46242.854166666664</x:v>
      </x:c>
      <x:c r="K6064" s="6">
        <x:v>46242.98765072917</x:v>
      </x:c>
      <x:c r="L6064" t="str" s="2">
        <x:v>Show</x:v>
      </x:c>
    </x:row>
    <x:row r="6065">
      <x:c r="A6065" t="str" s="2">
        <x:f>=HYPERLINK("https://rsms.futurehomex.com/lead/39030", "BLAKE RAMPEL")</x:f>
      </x:c>
      <x:c r="B6065" t="str" s="2">
        <x:v>Heritage Housing of Oklahoma City</x:v>
      </x:c>
      <x:c r="C6065" t="str" s="2">
        <x:v/>
      </x:c>
      <x:c r="D6065" t="str" s="2">
        <x:v>4055667960</x:v>
      </x:c>
      <x:c r="E6065" t="str" s="2">
        <x:v>4055667960</x:v>
      </x:c>
      <x:c r="F6065" t="str" s="2">
        <x:v>Walk-in</x:v>
      </x:c>
      <x:c r="G6065" t="str" s="2">
        <x:v>Eva Misheva</x:v>
      </x:c>
      <x:c r="H6065" s="6">
        <x:v>46242.837252314814</x:v>
      </x:c>
      <x:c r="I6065" t="str" s="2">
        <x:v>Eva Misheva</x:v>
      </x:c>
      <x:c r="J6065" s="0"/>
      <x:c r="K6065" s="6">
        <x:v>46242.837252314814</x:v>
      </x:c>
      <x:c r="L6065" t="str" s="2">
        <x:v>Show</x:v>
      </x:c>
    </x:row>
    <x:row r="6066">
      <x:c r="A6066" t="str" s="2">
        <x:f>=HYPERLINK("https://rsms.futurehomex.com/lead/39031", "Grace Oneal")</x:f>
      </x:c>
      <x:c r="B6066" t="str" s="2">
        <x:v>Heritage Housing of Jennings</x:v>
      </x:c>
      <x:c r="C6066" t="str" s="2">
        <x:v/>
      </x:c>
      <x:c r="D6066" t="str" s="2">
        <x:v>3373044946</x:v>
      </x:c>
      <x:c r="E6066" t="str" s="2">
        <x:v>gvonealx9@yahoo.com</x:v>
      </x:c>
      <x:c r="F6066" t="str" s="2">
        <x:v>Walk-in</x:v>
      </x:c>
      <x:c r="G6066" s="0"/>
      <x:c r="H6066" s="6">
        <x:v>46242.84904690972</x:v>
      </x:c>
      <x:c r="I6066" t="str" s="2">
        <x:v>Clint O'Neal</x:v>
      </x:c>
      <x:c r="J6066" s="0"/>
      <x:c r="K6066" s="0"/>
      <x:c r="L6066" t="str" s="2">
        <x:v>Show</x:v>
      </x:c>
    </x:row>
    <x:row r="6067">
      <x:c r="A6067" t="str" s="2">
        <x:f>=HYPERLINK("https://rsms.futurehomex.com/lead/39032", "VALERIE MATHEWS")</x:f>
      </x:c>
      <x:c r="B6067" t="str" s="2">
        <x:v>Heritage Housing of Oklahoma City</x:v>
      </x:c>
      <x:c r="C6067" t="str" s="2">
        <x:v/>
      </x:c>
      <x:c r="D6067" t="str" s="2">
        <x:v>8062050105</x:v>
      </x:c>
      <x:c r="E6067" t="str" s="2">
        <x:v>8062050105</x:v>
      </x:c>
      <x:c r="F6067" t="str" s="2">
        <x:v>Walk-in</x:v>
      </x:c>
      <x:c r="G6067" t="str" s="2">
        <x:v>Eva Misheva</x:v>
      </x:c>
      <x:c r="H6067" s="6">
        <x:v>46242.86624568287</x:v>
      </x:c>
      <x:c r="I6067" t="str" s="2">
        <x:v>Eva Misheva</x:v>
      </x:c>
      <x:c r="J6067" s="0"/>
      <x:c r="K6067" s="6">
        <x:v>46242.86624568287</x:v>
      </x:c>
      <x:c r="L6067" t="str" s="2">
        <x:v>Show</x:v>
      </x:c>
    </x:row>
    <x:row r="6068">
      <x:c r="A6068" t="str" s="2">
        <x:f>=HYPERLINK("https://rsms.futurehomex.com/lead/39035", "Luis Cruz")</x:f>
      </x:c>
      <x:c r="B6068" t="str" s="2">
        <x:v>Heritage Housing Mt Pleasant</x:v>
      </x:c>
      <x:c r="C6068" t="str" s="2">
        <x:v/>
      </x:c>
      <x:c r="D6068" t="str" s="2">
        <x:v>9032614262</x:v>
      </x:c>
      <x:c r="E6068" t="str" s="2">
        <x:v>9032614262</x:v>
      </x:c>
      <x:c r="F6068" t="str" s="2">
        <x:v>Other</x:v>
      </x:c>
      <x:c r="G6068" t="str" s="2">
        <x:v>Sandra Saldana</x:v>
      </x:c>
      <x:c r="H6068" s="6">
        <x:v>46242.93215381944</x:v>
      </x:c>
      <x:c r="I6068" t="str" s="2">
        <x:v>Sandra Saldana</x:v>
      </x:c>
      <x:c r="J6068" s="6">
        <x:v>46242.9375</x:v>
      </x:c>
      <x:c r="K6068" s="6">
        <x:v>46242.939994872686</x:v>
      </x:c>
      <x:c r="L6068" t="str" s="2">
        <x:v>Show</x:v>
      </x:c>
    </x:row>
    <x:row r="6069">
      <x:c r="A6069" t="str" s="2">
        <x:f>=HYPERLINK("https://rsms.futurehomex.com/lead/39036", "Antony Ramirez")</x:f>
      </x:c>
      <x:c r="B6069" t="str" s="2">
        <x:v>Heritage Housing Mt Pleasant</x:v>
      </x:c>
      <x:c r="C6069" t="str" s="2">
        <x:v/>
      </x:c>
      <x:c r="D6069" t="str" s="2">
        <x:v>9037172861</x:v>
      </x:c>
      <x:c r="E6069" t="str" s="2">
        <x:v>9037172861</x:v>
      </x:c>
      <x:c r="F6069" t="str" s="2">
        <x:v>Other</x:v>
      </x:c>
      <x:c r="G6069" t="str" s="2">
        <x:v>Sandra Saldana</x:v>
      </x:c>
      <x:c r="H6069" s="6">
        <x:v>46242.93378063657</x:v>
      </x:c>
      <x:c r="I6069" t="str" s="2">
        <x:v>Sandra Saldana</x:v>
      </x:c>
      <x:c r="J6069" s="6">
        <x:v>46242.96527777778</x:v>
      </x:c>
      <x:c r="K6069" s="6">
        <x:v>46242.97884822917</x:v>
      </x:c>
      <x:c r="L6069" t="str" s="2">
        <x:v>Show</x:v>
      </x:c>
    </x:row>
    <x:row r="6070">
      <x:c r="A6070" t="str" s="2">
        <x:f>=HYPERLINK("https://rsms.futurehomex.com/lead/39038", "Elexya Parry")</x:f>
      </x:c>
      <x:c r="B6070" t="str" s="2">
        <x:v>Heritage Housing Mt Pleasant</x:v>
      </x:c>
      <x:c r="C6070" t="str" s="2">
        <x:v/>
      </x:c>
      <x:c r="D6070" t="str" s="2">
        <x:v>9037174094</x:v>
      </x:c>
      <x:c r="E6070" t="str" s="2">
        <x:v>9037174094</x:v>
      </x:c>
      <x:c r="F6070" t="str" s="2">
        <x:v>Referrals</x:v>
      </x:c>
      <x:c r="G6070" t="str" s="2">
        <x:v>Yarelis Torres</x:v>
      </x:c>
      <x:c r="H6070" s="6">
        <x:v>46242.95499236111</x:v>
      </x:c>
      <x:c r="I6070" t="str" s="2">
        <x:v>Yarelis Torres</x:v>
      </x:c>
      <x:c r="J6070" s="6">
        <x:v>46242.708333333336</x:v>
      </x:c>
      <x:c r="K6070" s="6">
        <x:v>46246.68613996528</x:v>
      </x:c>
      <x:c r="L6070" t="str" s="2">
        <x:v>Show</x:v>
      </x:c>
    </x:row>
    <x:row r="6071">
      <x:c r="A6071" t="str" s="2">
        <x:f>=HYPERLINK("https://rsms.futurehomex.com/lead/39039", "Audrey Richey")</x:f>
      </x:c>
      <x:c r="B6071" t="str" s="2">
        <x:v>Heritage Housing Mt Pleasant</x:v>
      </x:c>
      <x:c r="C6071" t="str" s="2">
        <x:v/>
      </x:c>
      <x:c r="D6071" t="str" s="2">
        <x:v>8302796641</x:v>
      </x:c>
      <x:c r="E6071" t="str" s="2">
        <x:v>audreydeerichey@gmail.com</x:v>
      </x:c>
      <x:c r="F6071" t="str" s="2">
        <x:v>Other</x:v>
      </x:c>
      <x:c r="G6071" t="str" s="2">
        <x:v>Yarelis Torres</x:v>
      </x:c>
      <x:c r="H6071" s="6">
        <x:v>46242.95804131944</x:v>
      </x:c>
      <x:c r="I6071" t="str" s="2">
        <x:v>Yarelis Torres</x:v>
      </x:c>
      <x:c r="J6071" s="6">
        <x:v>46242.229166666664</x:v>
      </x:c>
      <x:c r="K6071" s="6">
        <x:v>46246.66441898148</x:v>
      </x:c>
      <x:c r="L6071" t="str" s="2">
        <x:v>Show</x:v>
      </x:c>
    </x:row>
    <x:row r="6072">
      <x:c r="A6072" t="str" s="2">
        <x:f>=HYPERLINK("https://rsms.futurehomex.com/lead/39728", "Kierra Wright")</x:f>
      </x:c>
      <x:c r="B6072" t="str" s="2">
        <x:v>Heritage Housing of Asheboro</x:v>
      </x:c>
      <x:c r="C6072" t="str" s="2">
        <x:v>0/2</x:v>
      </x:c>
      <x:c r="D6072" t="str" s="2">
        <x:v>7043002805</x:v>
      </x:c>
      <x:c r="E6072" t="str" s="2">
        <x:v>mylashon27@yahoo.com</x:v>
      </x:c>
      <x:c r="F6072" t="str" s="2">
        <x:v>Walk-in</x:v>
      </x:c>
      <x:c r="G6072" t="str" s="2">
        <x:v>Maria Lopez</x:v>
      </x:c>
      <x:c r="H6072" s="6">
        <x:v>46243.032091863424</x:v>
      </x:c>
      <x:c r="I6072" t="str" s="2">
        <x:v>Maria Lopez</x:v>
      </x:c>
      <x:c r="J6072" s="0"/>
      <x:c r="K6072" s="6">
        <x:v>46269</x:v>
      </x:c>
      <x:c r="L6072" t="str" s="2">
        <x:v>Show</x:v>
      </x:c>
    </x:row>
    <x:row r="6073">
      <x:c r="A6073" t="str" s="2">
        <x:f>=HYPERLINK("https://rsms.futurehomex.com/lead/39081", "Nena Kesner")</x:f>
      </x:c>
      <x:c r="B6073" t="str" s="2">
        <x:v>Heritage Housing of Oklahoma City</x:v>
      </x:c>
      <x:c r="C6073" t="str" s="2">
        <x:v>0/1</x:v>
      </x:c>
      <x:c r="D6073" t="str" s="2">
        <x:v>4053945043</x:v>
      </x:c>
      <x:c r="E6073" t="str" s="2">
        <x:v>nenakesner@gmail.com</x:v>
      </x:c>
      <x:c r="F6073" t="str" s="2">
        <x:v>Financing Form</x:v>
      </x:c>
      <x:c r="G6073" t="str" s="2">
        <x:v>Steve Castell</x:v>
      </x:c>
      <x:c r="H6073" s="6">
        <x:v>46243.35161820602</x:v>
      </x:c>
      <x:c r="I6073" t="str" s="2">
        <x:v>Alejandra Calderon</x:v>
      </x:c>
      <x:c r="J6073" s="6">
        <x:v>46249.708333333336</x:v>
      </x:c>
      <x:c r="K6073" s="6">
        <x:v>46249.83175613426</x:v>
      </x:c>
      <x:c r="L6073" t="str" s="2">
        <x:v>Show</x:v>
      </x:c>
    </x:row>
    <x:row r="6074">
      <x:c r="A6074" t="str" s="2">
        <x:f>=HYPERLINK("https://rsms.futurehomex.com/lead/39057", "Tisha Kennedy")</x:f>
      </x:c>
      <x:c r="B6074" t="str" s="2">
        <x:v>Heritage Housing of Oklahoma City</x:v>
      </x:c>
      <x:c r="C6074" t="str" s="2">
        <x:v/>
      </x:c>
      <x:c r="D6074" t="str" s="2">
        <x:v>9187189437</x:v>
      </x:c>
      <x:c r="E6074" t="str" s="2">
        <x:v>kennedytisha9@gmail.com</x:v>
      </x:c>
      <x:c r="F6074" t="str" s="2">
        <x:v>Landing_BPM</x:v>
      </x:c>
      <x:c r="G6074" t="str" s="2">
        <x:v>Trey Rixleben</x:v>
      </x:c>
      <x:c r="H6074" s="6">
        <x:v>46243.457285069446</x:v>
      </x:c>
      <x:c r="I6074" t="str" s="2">
        <x:v>Trey Rixleben</x:v>
      </x:c>
      <x:c r="J6074" s="6">
        <x:v>46246.59375</x:v>
      </x:c>
      <x:c r="K6074" s="6">
        <x:v>46246.61918260417</x:v>
      </x:c>
      <x:c r="L6074" t="str" s="2">
        <x:v>Show</x:v>
      </x:c>
    </x:row>
    <x:row r="6075">
      <x:c r="A6075" t="str" s="2">
        <x:f>=HYPERLINK("https://rsms.futurehomex.com/lead/39077", "Eric Whatley")</x:f>
      </x:c>
      <x:c r="B6075" t="str" s="2">
        <x:v>Heritage Housing Gainesville</x:v>
      </x:c>
      <x:c r="C6075" t="str" s="2">
        <x:v/>
      </x:c>
      <x:c r="D6075" t="str" s="2">
        <x:v>9406425789</x:v>
      </x:c>
      <x:c r="E6075" t="str" s="2">
        <x:v>ericswhatley@gmail.com</x:v>
      </x:c>
      <x:c r="F6075" t="str" s="2">
        <x:v>Landing_BPM</x:v>
      </x:c>
      <x:c r="G6075" t="str" s="2">
        <x:v>Jeniffer Arellano</x:v>
      </x:c>
      <x:c r="H6075" s="6">
        <x:v>46243.58928784722</x:v>
      </x:c>
      <x:c r="I6075" t="str" s="2">
        <x:v>Chris Michniacki</x:v>
      </x:c>
      <x:c r="J6075" s="6">
        <x:v>46245.645833333336</x:v>
      </x:c>
      <x:c r="K6075" s="6">
        <x:v>46245.65120883102</x:v>
      </x:c>
      <x:c r="L6075" t="str" s="2">
        <x:v>Show</x:v>
      </x:c>
    </x:row>
    <x:row r="6076">
      <x:c r="A6076" t="str" s="2">
        <x:f>=HYPERLINK("https://rsms.futurehomex.com/lead/39044", "James Hon")</x:f>
      </x:c>
      <x:c r="B6076" t="str" s="2">
        <x:v>Heritage Housing of Albany</x:v>
      </x:c>
      <x:c r="C6076" t="str" s="2">
        <x:v/>
      </x:c>
      <x:c r="D6076" t="str" s="2">
        <x:v>4782129190</x:v>
      </x:c>
      <x:c r="E6076" t="str" s="2">
        <x:v>southernstreettowing@gmail.com</x:v>
      </x:c>
      <x:c r="F6076" t="str" s="2">
        <x:v>Facebook Messenger</x:v>
      </x:c>
      <x:c r="G6076" t="str" s="2">
        <x:v>Yanet Alvarez</x:v>
      </x:c>
      <x:c r="H6076" s="6">
        <x:v>46243.73052103009</x:v>
      </x:c>
      <x:c r="I6076" t="str" s="2">
        <x:v>Yanet Alvarez</x:v>
      </x:c>
      <x:c r="J6076" s="6">
        <x:v>46243.760416666664</x:v>
      </x:c>
      <x:c r="K6076" s="6">
        <x:v>46243.74586403935</x:v>
      </x:c>
      <x:c r="L6076" t="str" s="2">
        <x:v>Show</x:v>
      </x:c>
    </x:row>
    <x:row r="6077">
      <x:c r="A6077" t="str" s="2">
        <x:f>=HYPERLINK("https://rsms.futurehomex.com/lead/39045", "Paola Colorado")</x:f>
      </x:c>
      <x:c r="B6077" t="str" s="2">
        <x:v>Heritage Housing of Asheboro</x:v>
      </x:c>
      <x:c r="C6077" t="str" s="2">
        <x:v/>
      </x:c>
      <x:c r="D6077" t="str" s="2">
        <x:v>6467042179</x:v>
      </x:c>
      <x:c r="E6077" t="str" s="2">
        <x:v>pcolorado30@gmail.com</x:v>
      </x:c>
      <x:c r="F6077" t="str" s="2">
        <x:v>Walk-in</x:v>
      </x:c>
      <x:c r="G6077" s="0"/>
      <x:c r="H6077" s="6">
        <x:v>46243.745396527775</x:v>
      </x:c>
      <x:c r="I6077" t="str" s="2">
        <x:v>Maria Lopez</x:v>
      </x:c>
      <x:c r="J6077" s="0"/>
      <x:c r="K6077" s="0"/>
      <x:c r="L6077" t="str" s="2">
        <x:v>Show</x:v>
      </x:c>
    </x:row>
    <x:row r="6078">
      <x:c r="A6078" t="str" s="2">
        <x:f>=HYPERLINK("https://rsms.futurehomex.com/lead/39047", "Selena Calvin Day")</x:f>
      </x:c>
      <x:c r="B6078" t="str" s="2">
        <x:v>Heritage Housing of Oklahoma City</x:v>
      </x:c>
      <x:c r="C6078" t="str" s="2">
        <x:v/>
      </x:c>
      <x:c r="D6078" t="str" s="2">
        <x:v>4054201679</x:v>
      </x:c>
      <x:c r="E6078" t="str" s="2">
        <x:v>CalvinDay1984@gmail.com</x:v>
      </x:c>
      <x:c r="F6078" t="str" s="2">
        <x:v>Facebook Messenger</x:v>
      </x:c>
      <x:c r="G6078" t="str" s="2">
        <x:v>Eva Misheva</x:v>
      </x:c>
      <x:c r="H6078" s="6">
        <x:v>46243.908079479166</x:v>
      </x:c>
      <x:c r="I6078" t="str" s="2">
        <x:v>Eva Misheva</x:v>
      </x:c>
      <x:c r="J6078" s="0"/>
      <x:c r="K6078" s="6">
        <x:v>46243.908079479166</x:v>
      </x:c>
      <x:c r="L6078" t="str" s="2">
        <x:v>Show</x:v>
      </x:c>
    </x:row>
    <x:row r="6079">
      <x:c r="A6079" t="str" s="2">
        <x:f>=HYPERLINK("https://rsms.futurehomex.com/lead/39050", "Heidi Ogea")</x:f>
      </x:c>
      <x:c r="B6079" t="str" s="2">
        <x:v>Heritage Housing of Jennings</x:v>
      </x:c>
      <x:c r="C6079" t="str" s="2">
        <x:v/>
      </x:c>
      <x:c r="D6079" t="str" s="2">
        <x:v>3373682106</x:v>
      </x:c>
      <x:c r="E6079" t="str" s="2">
        <x:v>heidiogea@gmail.com</x:v>
      </x:c>
      <x:c r="F6079" t="str" s="2">
        <x:v>Walk-in</x:v>
      </x:c>
      <x:c r="G6079" s="0"/>
      <x:c r="H6079" s="6">
        <x:v>46244.59942175926</x:v>
      </x:c>
      <x:c r="I6079" t="str" s="2">
        <x:v>Mervin Leslie Smith</x:v>
      </x:c>
      <x:c r="J6079" s="0"/>
      <x:c r="K6079" s="0"/>
      <x:c r="L6079" t="str" s="2">
        <x:v>Show</x:v>
      </x:c>
    </x:row>
    <x:row r="6080">
      <x:c r="A6080" t="str" s="2">
        <x:f>=HYPERLINK("https://rsms.futurehomex.com/lead/39051", "Tim Byrd")</x:f>
      </x:c>
      <x:c r="B6080" t="str" s="2">
        <x:v>Heritage Housing of Asheboro</x:v>
      </x:c>
      <x:c r="C6080" t="str" s="2">
        <x:v/>
      </x:c>
      <x:c r="D6080" t="str" s="2">
        <x:v>9106503585</x:v>
      </x:c>
      <x:c r="E6080" t="str" s="2">
        <x:v>roadcase8@yahoo.com</x:v>
      </x:c>
      <x:c r="F6080" t="str" s="2">
        <x:v>Walk-in</x:v>
      </x:c>
      <x:c r="G6080" s="0"/>
      <x:c r="H6080" s="6">
        <x:v>46244.636518252315</x:v>
      </x:c>
      <x:c r="I6080" t="str" s="2">
        <x:v>Maria Lopez</x:v>
      </x:c>
      <x:c r="J6080" s="0"/>
      <x:c r="K6080" s="0"/>
      <x:c r="L6080" t="str" s="2">
        <x:v>Show</x:v>
      </x:c>
    </x:row>
    <x:row r="6081">
      <x:c r="A6081" t="str" s="2">
        <x:f>=HYPERLINK("https://rsms.futurehomex.com/lead/39054", "Yuly Lovaina")</x:f>
      </x:c>
      <x:c r="B6081" t="str" s="2">
        <x:v>Legacy Housing Corp. DBA Americasa</x:v>
      </x:c>
      <x:c r="C6081" t="str" s="2">
        <x:v/>
      </x:c>
      <x:c r="D6081" t="str" s="2">
        <x:v>3466329884</x:v>
      </x:c>
      <x:c r="E6081" t="str" s="2">
        <x:v>yulylovaina@gmail.com</x:v>
      </x:c>
      <x:c r="F6081" t="str" s="2">
        <x:v>Meta Marketplace</x:v>
      </x:c>
      <x:c r="G6081" t="str" s="2">
        <x:v>Rodrigo Ramirez</x:v>
      </x:c>
      <x:c r="H6081" s="6">
        <x:v>46244.750228275465</x:v>
      </x:c>
      <x:c r="I6081" t="str" s="2">
        <x:v>Jose Parada</x:v>
      </x:c>
      <x:c r="J6081" s="6">
        <x:v>46244.770833333336</x:v>
      </x:c>
      <x:c r="K6081" s="6">
        <x:v>46244.91032048611</x:v>
      </x:c>
      <x:c r="L6081" t="str" s="2">
        <x:v>Show</x:v>
      </x:c>
    </x:row>
    <x:row r="6082">
      <x:c r="A6082" t="str" s="2">
        <x:f>=HYPERLINK("https://rsms.futurehomex.com/lead/39426", "Laterra Heron")</x:f>
      </x:c>
      <x:c r="B6082" t="str" s="2">
        <x:v>Heritage Housing of Minden</x:v>
      </x:c>
      <x:c r="C6082" t="str" s="2">
        <x:v>0/2</x:v>
      </x:c>
      <x:c r="D6082" t="str" s="2">
        <x:v>8635121701</x:v>
      </x:c>
      <x:c r="E6082" t="str" s="2">
        <x:v>8635121701</x:v>
      </x:c>
      <x:c r="F6082" t="str" s="2">
        <x:v>Facebook Messenger</x:v>
      </x:c>
      <x:c r="G6082" t="str" s="2">
        <x:v>Patrick Schuchart</x:v>
      </x:c>
      <x:c r="H6082" s="6">
        <x:v>46244.75593209491</x:v>
      </x:c>
      <x:c r="I6082" t="str" s="2">
        <x:v>Patrick Schuchart</x:v>
      </x:c>
      <x:c r="J6082" s="6">
        <x:v>46263.666666666664</x:v>
      </x:c>
      <x:c r="K6082" s="6">
        <x:v>46263.7700119213</x:v>
      </x:c>
      <x:c r="L6082" t="str" s="2">
        <x:v>Show</x:v>
      </x:c>
    </x:row>
    <x:row r="6083">
      <x:c r="A6083" t="str" s="2">
        <x:f>=HYPERLINK("https://rsms.futurehomex.com/lead/39058", "Stafford Randolph")</x:f>
      </x:c>
      <x:c r="B6083" t="str" s="2">
        <x:v>Heritage Housing of Augusta</x:v>
      </x:c>
      <x:c r="C6083" t="str" s="2">
        <x:v/>
      </x:c>
      <x:c r="D6083" t="str" s="2">
        <x:v>4048052398</x:v>
      </x:c>
      <x:c r="E6083" t="str" s="2">
        <x:v>a1.mechanical@yahoo.com</x:v>
      </x:c>
      <x:c r="F6083" t="str" s="2">
        <x:v>Walk-in</x:v>
      </x:c>
      <x:c r="G6083" s="0"/>
      <x:c r="H6083" s="6">
        <x:v>46244.78820362269</x:v>
      </x:c>
      <x:c r="I6083" t="str" s="2">
        <x:v>Jennifer Johnson</x:v>
      </x:c>
      <x:c r="J6083" s="0"/>
      <x:c r="K6083" s="0"/>
      <x:c r="L6083" t="str" s="2">
        <x:v>Show</x:v>
      </x:c>
    </x:row>
    <x:row r="6084">
      <x:c r="A6084" t="str" s="2">
        <x:f>=HYPERLINK("https://rsms.futurehomex.com/lead/39066", "Latanya Lincor")</x:f>
      </x:c>
      <x:c r="B6084" t="str" s="2">
        <x:v>Heritage Housing of Oklahoma City</x:v>
      </x:c>
      <x:c r="C6084" t="str" s="2">
        <x:v/>
      </x:c>
      <x:c r="D6084" t="str" s="2">
        <x:v>4057198536</x:v>
      </x:c>
      <x:c r="E6084" t="str" s="2">
        <x:v>l4dylink3r@gmail.com</x:v>
      </x:c>
      <x:c r="F6084" t="str" s="2">
        <x:v>Office Hot Calls</x:v>
      </x:c>
      <x:c r="G6084" t="str" s="2">
        <x:v>Steve Castell</x:v>
      </x:c>
      <x:c r="H6084" s="6">
        <x:v>46244.90514938658</x:v>
      </x:c>
      <x:c r="I6084" t="str" s="2">
        <x:v>Alejandra Calderon</x:v>
      </x:c>
      <x:c r="J6084" s="6">
        <x:v>46249.75</x:v>
      </x:c>
      <x:c r="K6084" s="6">
        <x:v>46251.615095023146</x:v>
      </x:c>
      <x:c r="L6084" t="str" s="2">
        <x:v>Show</x:v>
      </x:c>
    </x:row>
    <x:row r="6085">
      <x:c r="A6085" t="str" s="2">
        <x:f>=HYPERLINK("https://rsms.futurehomex.com/lead/39069", "Dianne Rodriguez")</x:f>
      </x:c>
      <x:c r="B6085" t="str" s="2">
        <x:v>Heritage Housing of Asheboro</x:v>
      </x:c>
      <x:c r="C6085" t="str" s="2">
        <x:v/>
      </x:c>
      <x:c r="D6085" t="str" s="2">
        <x:v>3366536309</x:v>
      </x:c>
      <x:c r="E6085" t="str" s="2">
        <x:v>drodri377@gmail.com</x:v>
      </x:c>
      <x:c r="F6085" t="str" s="2">
        <x:v>Walk-in</x:v>
      </x:c>
      <x:c r="G6085" s="0"/>
      <x:c r="H6085" s="6">
        <x:v>46244.92533209491</x:v>
      </x:c>
      <x:c r="I6085" t="str" s="2">
        <x:v>Maria Lopez</x:v>
      </x:c>
      <x:c r="J6085" s="0"/>
      <x:c r="K6085" s="0"/>
      <x:c r="L6085" t="str" s="2">
        <x:v>Show</x:v>
      </x:c>
    </x:row>
    <x:row r="6086">
      <x:c r="A6086" t="str" s="2">
        <x:f>=HYPERLINK("https://rsms.futurehomex.com/lead/39067", "Jacob HARRINGTON")</x:f>
      </x:c>
      <x:c r="B6086" t="str" s="2">
        <x:v>Heritage Housing of Jennings</x:v>
      </x:c>
      <x:c r="C6086" t="str" s="2">
        <x:v/>
      </x:c>
      <x:c r="D6086" t="str" s="2">
        <x:v>3379360541</x:v>
      </x:c>
      <x:c r="E6086" t="str" s="2">
        <x:v>jacobharrington673@gmail.com</x:v>
      </x:c>
      <x:c r="F6086" t="str" s="2">
        <x:v>Walk-in</x:v>
      </x:c>
      <x:c r="G6086" s="0"/>
      <x:c r="H6086" s="6">
        <x:v>46244.927178935184</x:v>
      </x:c>
      <x:c r="I6086" t="str" s="2">
        <x:v>Mervin Leslie Smith</x:v>
      </x:c>
      <x:c r="J6086" s="0"/>
      <x:c r="K6086" s="0"/>
      <x:c r="L6086" t="str" s="2">
        <x:v>Show</x:v>
      </x:c>
    </x:row>
    <x:row r="6087">
      <x:c r="A6087" t="str" s="2">
        <x:f>=HYPERLINK("https://rsms.futurehomex.com/lead/39070", "Myles Willingham")</x:f>
      </x:c>
      <x:c r="B6087" t="str" s="2">
        <x:v>Heritage Housing of Oklahoma City</x:v>
      </x:c>
      <x:c r="C6087" t="str" s="2">
        <x:v/>
      </x:c>
      <x:c r="D6087" t="str" s="2">
        <x:v>4052149419</x:v>
      </x:c>
      <x:c r="E6087" t="str" s="2">
        <x:v>myleserror87@gmail.com</x:v>
      </x:c>
      <x:c r="F6087" t="str" s="2">
        <x:v>Meta Marketplace</x:v>
      </x:c>
      <x:c r="G6087" t="str" s="2">
        <x:v>Steve Castell</x:v>
      </x:c>
      <x:c r="H6087" s="6">
        <x:v>46244.94022511574</x:v>
      </x:c>
      <x:c r="I6087" t="str" s="2">
        <x:v>Alejandra Calderon</x:v>
      </x:c>
      <x:c r="J6087" s="6">
        <x:v>46249.833333333336</x:v>
      </x:c>
      <x:c r="K6087" s="6">
        <x:v>46251.739557789355</x:v>
      </x:c>
      <x:c r="L6087" t="str" s="2">
        <x:v>Show</x:v>
      </x:c>
    </x:row>
    <x:row r="6088">
      <x:c r="A6088" t="str" s="2">
        <x:f>=HYPERLINK("https://rsms.futurehomex.com/lead/39071", "Harry Duggins")</x:f>
      </x:c>
      <x:c r="B6088" t="str" s="2">
        <x:v>Heritage Housing of Oklahoma City</x:v>
      </x:c>
      <x:c r="C6088" t="str" s="2">
        <x:v/>
      </x:c>
      <x:c r="D6088" t="str" s="2">
        <x:v>4056142665</x:v>
      </x:c>
      <x:c r="E6088" t="str" s="2">
        <x:v>4056142665</x:v>
      </x:c>
      <x:c r="F6088" t="str" s="2">
        <x:v>Facebook Messenger</x:v>
      </x:c>
      <x:c r="G6088" t="str" s="2">
        <x:v>Steve Castell</x:v>
      </x:c>
      <x:c r="H6088" s="6">
        <x:v>46244.94477202546</x:v>
      </x:c>
      <x:c r="I6088" t="str" s="2">
        <x:v>Alejandra Calderon</x:v>
      </x:c>
      <x:c r="J6088" s="6">
        <x:v>46247.958333333336</x:v>
      </x:c>
      <x:c r="K6088" s="6">
        <x:v>46249.68562056713</x:v>
      </x:c>
      <x:c r="L6088" t="str" s="2">
        <x:v>Show</x:v>
      </x:c>
    </x:row>
    <x:row r="6089">
      <x:c r="A6089" t="str" s="2">
        <x:f>=HYPERLINK("https://rsms.futurehomex.com/lead/39072", "Cristi Burns")</x:f>
      </x:c>
      <x:c r="B6089" t="str" s="2">
        <x:v>Heritage Housing of Oklahoma City</x:v>
      </x:c>
      <x:c r="C6089" t="str" s="2">
        <x:v/>
      </x:c>
      <x:c r="D6089" t="str" s="2">
        <x:v>4058814263</x:v>
      </x:c>
      <x:c r="E6089" t="str" s="2">
        <x:v>caburns43@gmail.com</x:v>
      </x:c>
      <x:c r="F6089" t="str" s="2">
        <x:v>Facebook Messenger</x:v>
      </x:c>
      <x:c r="G6089" t="str" s="2">
        <x:v>Steve Castell</x:v>
      </x:c>
      <x:c r="H6089" s="6">
        <x:v>46244.952734375</x:v>
      </x:c>
      <x:c r="I6089" t="str" s="2">
        <x:v>Alejandra Calderon</x:v>
      </x:c>
      <x:c r="J6089" s="6">
        <x:v>46247.875</x:v>
      </x:c>
      <x:c r="K6089" s="6">
        <x:v>46247.89072824074</x:v>
      </x:c>
      <x:c r="L6089" t="str" s="2">
        <x:v>Show</x:v>
      </x:c>
    </x:row>
    <x:row r="6090">
      <x:c r="A6090" t="str" s="2">
        <x:f>=HYPERLINK("https://rsms.futurehomex.com/lead/39074", "Norma Garcia")</x:f>
      </x:c>
      <x:c r="B6090" t="str" s="2">
        <x:v>Heritage Housing Mt Pleasant</x:v>
      </x:c>
      <x:c r="C6090" t="str" s="2">
        <x:v/>
      </x:c>
      <x:c r="D6090" t="str" s="2">
        <x:v>9033872879</x:v>
      </x:c>
      <x:c r="E6090" t="str" s="2">
        <x:v>9033872879</x:v>
      </x:c>
      <x:c r="F6090" t="str" s="2">
        <x:v>Meta Ads - Messenger</x:v>
      </x:c>
      <x:c r="G6090" t="str" s="2">
        <x:v>Sandra Saldana</x:v>
      </x:c>
      <x:c r="H6090" s="6">
        <x:v>46244.963297222224</x:v>
      </x:c>
      <x:c r="I6090" t="str" s="2">
        <x:v>Sandra Saldana</x:v>
      </x:c>
      <x:c r="J6090" s="6">
        <x:v>46244.975694444445</x:v>
      </x:c>
      <x:c r="K6090" s="6">
        <x:v>46244.98420034722</x:v>
      </x:c>
      <x:c r="L6090" t="str" s="2">
        <x:v>Show</x:v>
      </x:c>
    </x:row>
    <x:row r="6091">
      <x:c r="A6091" t="str" s="2">
        <x:f>=HYPERLINK("https://rsms.futurehomex.com/lead/39080", "TORI HEBERT")</x:f>
      </x:c>
      <x:c r="B6091" t="str" s="2">
        <x:v>Heritage Housing of Jennings</x:v>
      </x:c>
      <x:c r="C6091" t="str" s="2">
        <x:v/>
      </x:c>
      <x:c r="D6091" t="str" s="2">
        <x:v>3372478089</x:v>
      </x:c>
      <x:c r="E6091" t="str" s="2">
        <x:v>rainbowtorilynn@gmail.com</x:v>
      </x:c>
      <x:c r="F6091" t="str" s="2">
        <x:v>Landing_BPM</x:v>
      </x:c>
      <x:c r="G6091" t="str" s="2">
        <x:v>Mervin Leslie Smith</x:v>
      </x:c>
      <x:c r="H6091" s="6">
        <x:v>46245.168522569445</x:v>
      </x:c>
      <x:c r="I6091" t="str" s="2">
        <x:v>Mervin Leslie Smith</x:v>
      </x:c>
      <x:c r="J6091" s="6">
        <x:v>46248.666666666664</x:v>
      </x:c>
      <x:c r="K6091" s="6">
        <x:v>46249.75642534722</x:v>
      </x:c>
      <x:c r="L6091" t="str" s="2">
        <x:v>Show</x:v>
      </x:c>
    </x:row>
    <x:row r="6092">
      <x:c r="A6092" t="str" s="2">
        <x:f>=HYPERLINK("https://rsms.futurehomex.com/lead/39093", "Raul Cortez")</x:f>
      </x:c>
      <x:c r="B6092" t="str" s="2">
        <x:v>Legacy Housing Corp. DBA Americasa</x:v>
      </x:c>
      <x:c r="C6092" t="str" s="2">
        <x:v/>
      </x:c>
      <x:c r="D6092" t="str" s="2">
        <x:v>2812234758</x:v>
      </x:c>
      <x:c r="E6092" t="str" s="2">
        <x:v>raulcortez312tx@gmail.com</x:v>
      </x:c>
      <x:c r="F6092" t="str" s="2">
        <x:v>Landing_BPM</x:v>
      </x:c>
      <x:c r="G6092" t="str" s="2">
        <x:v>Rodrigo Ramirez</x:v>
      </x:c>
      <x:c r="H6092" s="6">
        <x:v>46245.26682658565</x:v>
      </x:c>
      <x:c r="I6092" t="str" s="2">
        <x:v>Jose Parada</x:v>
      </x:c>
      <x:c r="J6092" s="6">
        <x:v>46247.666666666664</x:v>
      </x:c>
      <x:c r="K6092" s="6">
        <x:v>46247.66022704861</x:v>
      </x:c>
      <x:c r="L6092" t="str" s="2">
        <x:v>Show</x:v>
      </x:c>
    </x:row>
    <x:row r="6093">
      <x:c r="A6093" t="str" s="2">
        <x:f>=HYPERLINK("https://rsms.futurehomex.com/lead/39076", "ESAU NAVARRO")</x:f>
      </x:c>
      <x:c r="B6093" t="str" s="2">
        <x:v>Heritage Housing of Canton</x:v>
      </x:c>
      <x:c r="C6093" t="str" s="2">
        <x:v/>
      </x:c>
      <x:c r="D6093" t="str" s="2">
        <x:v>2148748126</x:v>
      </x:c>
      <x:c r="E6093" t="str" s="2">
        <x:v>ESAUNAVARRO75@GMAIL.COM</x:v>
      </x:c>
      <x:c r="F6093" t="str" s="2">
        <x:v>Facebook Messenger</x:v>
      </x:c>
      <x:c r="G6093" t="str" s="2">
        <x:v>Jacob Hatten</x:v>
      </x:c>
      <x:c r="H6093" s="6">
        <x:v>46245.56750520833</x:v>
      </x:c>
      <x:c r="I6093" t="str" s="2">
        <x:v>Jacob Hatten</x:v>
      </x:c>
      <x:c r="J6093" s="6">
        <x:v>46253.572916666664</x:v>
      </x:c>
      <x:c r="K6093" s="6">
        <x:v>46253.64655478009</x:v>
      </x:c>
      <x:c r="L6093" t="str" s="2">
        <x:v>Show</x:v>
      </x:c>
    </x:row>
    <x:row r="6094">
      <x:c r="A6094" t="str" s="2">
        <x:f>=HYPERLINK("https://rsms.futurehomex.com/lead/39079", "Steve &amp; Brenda Broughton")</x:f>
      </x:c>
      <x:c r="B6094" t="str" s="2">
        <x:v>Heritage Housing of Oklahoma City</x:v>
      </x:c>
      <x:c r="C6094" t="str" s="2">
        <x:v/>
      </x:c>
      <x:c r="D6094" t="str" s="2">
        <x:v>9188550390</x:v>
      </x:c>
      <x:c r="E6094" t="str" s="2">
        <x:v>bsbroughton2017@gmail.com</x:v>
      </x:c>
      <x:c r="F6094" t="str" s="2">
        <x:v>Facebook Messenger</x:v>
      </x:c>
      <x:c r="G6094" t="str" s="2">
        <x:v>Steve Castell</x:v>
      </x:c>
      <x:c r="H6094" s="6">
        <x:v>46245.597406747685</x:v>
      </x:c>
      <x:c r="I6094" t="str" s="2">
        <x:v>Steve Castell</x:v>
      </x:c>
      <x:c r="J6094" s="6">
        <x:v>46245.75</x:v>
      </x:c>
      <x:c r="K6094" s="6">
        <x:v>46245.72991015046</x:v>
      </x:c>
      <x:c r="L6094" t="str" s="2">
        <x:v>Show</x:v>
      </x:c>
    </x:row>
    <x:row r="6095">
      <x:c r="A6095" t="str" s="2">
        <x:f>=HYPERLINK("https://rsms.futurehomex.com/lead/39086", "Mollee Cook")</x:f>
      </x:c>
      <x:c r="B6095" t="str" s="2">
        <x:v>Heritage Housing Mt Pleasant</x:v>
      </x:c>
      <x:c r="C6095" t="str" s="2">
        <x:v/>
      </x:c>
      <x:c r="D6095" t="str" s="2">
        <x:v>9039752821</x:v>
      </x:c>
      <x:c r="E6095" t="str" s="2">
        <x:v>Cook.mollee@gmail.com</x:v>
      </x:c>
      <x:c r="F6095" t="str" s="2">
        <x:v>Website</x:v>
      </x:c>
      <x:c r="G6095" t="str" s="2">
        <x:v>Sandra Saldana</x:v>
      </x:c>
      <x:c r="H6095" s="6">
        <x:v>46245.714946608794</x:v>
      </x:c>
      <x:c r="I6095" t="str" s="2">
        <x:v>Sandra Saldana</x:v>
      </x:c>
      <x:c r="J6095" s="6">
        <x:v>46246.583333333336</x:v>
      </x:c>
      <x:c r="K6095" s="6">
        <x:v>46253.792803206015</x:v>
      </x:c>
      <x:c r="L6095" t="str" s="2">
        <x:v>Show</x:v>
      </x:c>
    </x:row>
    <x:row r="6096">
      <x:c r="A6096" t="str" s="2">
        <x:f>=HYPERLINK("https://rsms.futurehomex.com/lead/40196", "Mark Joshua")</x:f>
      </x:c>
      <x:c r="B6096" t="str" s="2">
        <x:v>Heritage Housing of Oklahoma City</x:v>
      </x:c>
      <x:c r="C6096" t="str" s="2">
        <x:v>0/1</x:v>
      </x:c>
      <x:c r="D6096" t="str" s="2">
        <x:v>4053833359</x:v>
      </x:c>
      <x:c r="E6096" t="str" s="2">
        <x:v>lmjoshua2016@gmail.com</x:v>
      </x:c>
      <x:c r="F6096" t="str" s="2">
        <x:v>Website</x:v>
      </x:c>
      <x:c r="G6096" t="str" s="2">
        <x:v>Steve Castell</x:v>
      </x:c>
      <x:c r="H6096" s="6">
        <x:v>46245.72758063657</x:v>
      </x:c>
      <x:c r="I6096" t="str" s="2">
        <x:v>Alejandra Calderon</x:v>
      </x:c>
      <x:c r="J6096" s="6">
        <x:v>46284.75</x:v>
      </x:c>
      <x:c r="K6096" s="6">
        <x:v>46284.84965509259</x:v>
      </x:c>
      <x:c r="L6096" t="str" s="2">
        <x:v>Show</x:v>
      </x:c>
    </x:row>
    <x:row r="6097">
      <x:c r="A6097" t="str" s="2">
        <x:f>=HYPERLINK("https://rsms.futurehomex.com/lead/39085", "Ashley Whitlow")</x:f>
      </x:c>
      <x:c r="B6097" t="str" s="2">
        <x:v>Heritage Housing of Asheboro</x:v>
      </x:c>
      <x:c r="C6097" t="str" s="2">
        <x:v/>
      </x:c>
      <x:c r="D6097" t="str" s="2">
        <x:v>7432016294</x:v>
      </x:c>
      <x:c r="E6097" t="str" s="2">
        <x:v>ashleywhitlow892@gmail.com</x:v>
      </x:c>
      <x:c r="F6097" t="str" s="2">
        <x:v>Walk-in</x:v>
      </x:c>
      <x:c r="G6097" s="0"/>
      <x:c r="H6097" s="6">
        <x:v>46245.80352133102</x:v>
      </x:c>
      <x:c r="I6097" t="str" s="2">
        <x:v>Maria Lopez</x:v>
      </x:c>
      <x:c r="J6097" s="0"/>
      <x:c r="K6097" s="0"/>
      <x:c r="L6097" t="str" s="2">
        <x:v>Show</x:v>
      </x:c>
    </x:row>
    <x:row r="6098">
      <x:c r="A6098" t="str" s="2">
        <x:f>=HYPERLINK("https://rsms.futurehomex.com/lead/39141", "Keith Dreger Keith Dreger")</x:f>
      </x:c>
      <x:c r="B6098" t="str" s="2">
        <x:v>Heritage Housing of Oklahoma City</x:v>
      </x:c>
      <x:c r="C6098" t="str" s="2">
        <x:v>0/1</x:v>
      </x:c>
      <x:c r="D6098" t="str" s="2">
        <x:v>5395778464</x:v>
      </x:c>
      <x:c r="E6098" t="str" s="2">
        <x:v>kdreger12@gmail.com</x:v>
      </x:c>
      <x:c r="F6098" t="str" s="2">
        <x:v>Landing_BPM</x:v>
      </x:c>
      <x:c r="G6098" t="str" s="2">
        <x:v>Trey Rixleben</x:v>
      </x:c>
      <x:c r="H6098" s="6">
        <x:v>46246.14650274305</x:v>
      </x:c>
      <x:c r="I6098" t="str" s="2">
        <x:v>Trey Rixleben</x:v>
      </x:c>
      <x:c r="J6098" s="6">
        <x:v>46249.875</x:v>
      </x:c>
      <x:c r="K6098" s="6">
        <x:v>46256.90220755787</x:v>
      </x:c>
      <x:c r="L6098" t="str" s="2">
        <x:v>Show</x:v>
      </x:c>
    </x:row>
    <x:row r="6099">
      <x:c r="A6099" t="str" s="2">
        <x:f>=HYPERLINK("https://rsms.futurehomex.com/lead/39094", "Alejandro Enriquez Garza")</x:f>
      </x:c>
      <x:c r="B6099" t="str" s="2">
        <x:v>Heritage Housing of Greenville</x:v>
      </x:c>
      <x:c r="C6099" t="str" s="2">
        <x:v/>
      </x:c>
      <x:c r="D6099" t="str" s="2">
        <x:v>8177245700</x:v>
      </x:c>
      <x:c r="E6099" t="str" s="2">
        <x:v>alejandro.enriquez.lovicka@gmail.com</x:v>
      </x:c>
      <x:c r="F6099" t="str" s="2">
        <x:v>TikTok</x:v>
      </x:c>
      <x:c r="G6099" t="str" s="2">
        <x:v>Brandie Sartor</x:v>
      </x:c>
      <x:c r="H6099" s="6">
        <x:v>46246.58107438657</x:v>
      </x:c>
      <x:c r="I6099" t="str" s="2">
        <x:v>Oscar Osorio</x:v>
      </x:c>
      <x:c r="J6099" s="0"/>
      <x:c r="K6099" s="6">
        <x:v>46246.58107438657</x:v>
      </x:c>
      <x:c r="L6099" t="str" s="2">
        <x:v>Show</x:v>
      </x:c>
    </x:row>
    <x:row r="6100">
      <x:c r="A6100" t="str" s="2">
        <x:f>=HYPERLINK("https://rsms.futurehomex.com/lead/39098", "La'Destiny Brown")</x:f>
      </x:c>
      <x:c r="B6100" t="str" s="2">
        <x:v>Heritage Housing of Asheboro</x:v>
      </x:c>
      <x:c r="C6100" t="str" s="2">
        <x:v/>
      </x:c>
      <x:c r="D6100" t="str" s="2">
        <x:v>9103669446</x:v>
      </x:c>
      <x:c r="E6100" t="str" s="2">
        <x:v>ladestiny3@gmail.com</x:v>
      </x:c>
      <x:c r="F6100" t="str" s="2">
        <x:v>Walk-in</x:v>
      </x:c>
      <x:c r="G6100" s="0"/>
      <x:c r="H6100" s="6">
        <x:v>46246.64947936343</x:v>
      </x:c>
      <x:c r="I6100" t="str" s="2">
        <x:v>Cory Martin</x:v>
      </x:c>
      <x:c r="J6100" s="0"/>
      <x:c r="K6100" s="0"/>
      <x:c r="L6100" t="str" s="2">
        <x:v>Show</x:v>
      </x:c>
    </x:row>
    <x:row r="6101">
      <x:c r="A6101" t="str" s="2">
        <x:f>=HYPERLINK("https://rsms.futurehomex.com/lead/39099", "Marshall Adams")</x:f>
      </x:c>
      <x:c r="B6101" t="str" s="2">
        <x:v>Heritage Housing of Greenville</x:v>
      </x:c>
      <x:c r="C6101" t="str" s="2">
        <x:v/>
      </x:c>
      <x:c r="D6101" t="str" s="2">
        <x:v>9726709273</x:v>
      </x:c>
      <x:c r="E6101" t="str" s="2">
        <x:v>marshall_adams21@yahoo.com</x:v>
      </x:c>
      <x:c r="F6101" t="str" s="2">
        <x:v>Facebook Messenger</x:v>
      </x:c>
      <x:c r="G6101" t="str" s="2">
        <x:v>Brandie Sartor</x:v>
      </x:c>
      <x:c r="H6101" s="6">
        <x:v>46246.665265891206</x:v>
      </x:c>
      <x:c r="I6101" t="str" s="2">
        <x:v>Greg Christman</x:v>
      </x:c>
      <x:c r="J6101" s="0"/>
      <x:c r="K6101" s="6">
        <x:v>46246.665265891206</x:v>
      </x:c>
      <x:c r="L6101" t="str" s="2">
        <x:v>Show</x:v>
      </x:c>
    </x:row>
    <x:row r="6102">
      <x:c r="A6102" t="str" s="2">
        <x:f>=HYPERLINK("https://rsms.futurehomex.com/lead/39101", "Peggy Bedingfield")</x:f>
      </x:c>
      <x:c r="B6102" t="str" s="2">
        <x:v>Heritage Housing of Greenville</x:v>
      </x:c>
      <x:c r="C6102" t="str" s="2">
        <x:v/>
      </x:c>
      <x:c r="D6102" t="str" s="2">
        <x:v>9034139381</x:v>
      </x:c>
      <x:c r="E6102" t="str" s="2">
        <x:v>lonknl@cumbytel.com</x:v>
      </x:c>
      <x:c r="F6102" t="str" s="2">
        <x:v>Facebook Messenger</x:v>
      </x:c>
      <x:c r="G6102" t="str" s="2">
        <x:v>Brandie Sartor</x:v>
      </x:c>
      <x:c r="H6102" s="6">
        <x:v>46246.67933931713</x:v>
      </x:c>
      <x:c r="I6102" t="str" s="2">
        <x:v>Greg Christman</x:v>
      </x:c>
      <x:c r="J6102" s="0"/>
      <x:c r="K6102" s="6">
        <x:v>46246.67933931713</x:v>
      </x:c>
      <x:c r="L6102" t="str" s="2">
        <x:v>Show</x:v>
      </x:c>
    </x:row>
    <x:row r="6103">
      <x:c r="A6103" t="str" s="2">
        <x:f>=HYPERLINK("https://rsms.futurehomex.com/lead/39102", "Pablo Ocampo")</x:f>
      </x:c>
      <x:c r="B6103" t="str" s="2">
        <x:v>Heritage Housing of Oklahoma City</x:v>
      </x:c>
      <x:c r="C6103" t="str" s="2">
        <x:v/>
      </x:c>
      <x:c r="D6103" t="str" s="2">
        <x:v>9724158149</x:v>
      </x:c>
      <x:c r="E6103" t="str" s="2">
        <x:v>9724158149</x:v>
      </x:c>
      <x:c r="F6103" t="str" s="2">
        <x:v>Walk-in</x:v>
      </x:c>
      <x:c r="G6103" t="str" s="2">
        <x:v>Steve Castell</x:v>
      </x:c>
      <x:c r="H6103" s="6">
        <x:v>46246.69435424769</x:v>
      </x:c>
      <x:c r="I6103" t="str" s="2">
        <x:v>Alejandra Calderon</x:v>
      </x:c>
      <x:c r="J6103" s="0"/>
      <x:c r="K6103" s="6">
        <x:v>46246.69435424769</x:v>
      </x:c>
      <x:c r="L6103" t="str" s="2">
        <x:v>Show</x:v>
      </x:c>
    </x:row>
    <x:row r="6104">
      <x:c r="A6104" t="str" s="2">
        <x:f>=HYPERLINK("https://rsms.futurehomex.com/lead/39107", "Daniela Rubio")</x:f>
      </x:c>
      <x:c r="B6104" t="str" s="2">
        <x:v>Heritage Housing Mt Pleasant</x:v>
      </x:c>
      <x:c r="C6104" t="str" s="2">
        <x:v/>
      </x:c>
      <x:c r="D6104" t="str" s="2">
        <x:v>9037675552</x:v>
      </x:c>
      <x:c r="E6104" t="str" s="2">
        <x:v>9037675552</x:v>
      </x:c>
      <x:c r="F6104" t="str" s="2">
        <x:v>Other</x:v>
      </x:c>
      <x:c r="G6104" t="str" s="2">
        <x:v>Sandra Saldana</x:v>
      </x:c>
      <x:c r="H6104" s="6">
        <x:v>46246.81248260417</x:v>
      </x:c>
      <x:c r="I6104" t="str" s="2">
        <x:v>Sandra Saldana</x:v>
      </x:c>
      <x:c r="J6104" s="6">
        <x:v>46247.604166666664</x:v>
      </x:c>
      <x:c r="K6104" s="6">
        <x:v>46247.6407290162</x:v>
      </x:c>
      <x:c r="L6104" t="str" s="2">
        <x:v>Show</x:v>
      </x:c>
    </x:row>
    <x:row r="6105">
      <x:c r="A6105" t="str" s="2">
        <x:f>=HYPERLINK("https://rsms.futurehomex.com/lead/39115", "Tulsa Dane Test")</x:f>
      </x:c>
      <x:c r="B6105" t="str" s="2">
        <x:v>Heritage Housing of Tulsa</x:v>
      </x:c>
      <x:c r="C6105" t="str" s="2">
        <x:v/>
      </x:c>
      <x:c r="D6105" t="str" s="2">
        <x:v>8568568569</x:v>
      </x:c>
      <x:c r="E6105" t="str" s="2">
        <x:v>tulsadane@nomail.com</x:v>
      </x:c>
      <x:c r="F6105" t="str" s="2">
        <x:v>Walk-in</x:v>
      </x:c>
      <x:c r="G6105" s="0"/>
      <x:c r="H6105" s="6">
        <x:v>46246.93473796296</x:v>
      </x:c>
      <x:c r="I6105" t="str" s="2">
        <x:v>Madison Chapman</x:v>
      </x:c>
      <x:c r="J6105" s="0"/>
      <x:c r="K6105" s="0"/>
      <x:c r="L6105" t="str" s="2">
        <x:v>Show</x:v>
      </x:c>
    </x:row>
    <x:row r="6106">
      <x:c r="A6106" t="str" s="2">
        <x:f>=HYPERLINK("https://rsms.futurehomex.com/lead/39116", "Aileen Mier")</x:f>
      </x:c>
      <x:c r="B6106" t="str" s="2">
        <x:v>Heritage Housing of Oklahoma City</x:v>
      </x:c>
      <x:c r="C6106" t="str" s="2">
        <x:v/>
      </x:c>
      <x:c r="D6106" t="str" s="2">
        <x:v>4058612942</x:v>
      </x:c>
      <x:c r="E6106" t="str" s="2">
        <x:v>miero4@icloud.com</x:v>
      </x:c>
      <x:c r="F6106" t="str" s="2">
        <x:v>Walk-in</x:v>
      </x:c>
      <x:c r="G6106" t="str" s="2">
        <x:v>Steve Castell</x:v>
      </x:c>
      <x:c r="H6106" s="6">
        <x:v>46246.93893587963</x:v>
      </x:c>
      <x:c r="I6106" t="str" s="2">
        <x:v>Alejandra Calderon</x:v>
      </x:c>
      <x:c r="J6106" s="0"/>
      <x:c r="K6106" s="6">
        <x:v>46246.93893587963</x:v>
      </x:c>
      <x:c r="L6106" t="str" s="2">
        <x:v>Show</x:v>
      </x:c>
    </x:row>
    <x:row r="6107">
      <x:c r="A6107" t="str" s="2">
        <x:f>=HYPERLINK("https://rsms.futurehomex.com/lead/39121", "Sheree Johnson")</x:f>
      </x:c>
      <x:c r="B6107" t="str" s="2">
        <x:v>Heritage Housing of Tulsa</x:v>
      </x:c>
      <x:c r="C6107" t="str" s="2">
        <x:v/>
      </x:c>
      <x:c r="D6107" t="str" s="2">
        <x:v>9182842067</x:v>
      </x:c>
      <x:c r="E6107" t="str" s="2">
        <x:v>whitesid@nsuok.edu</x:v>
      </x:c>
      <x:c r="F6107" t="str" s="2">
        <x:v>Walk-in</x:v>
      </x:c>
      <x:c r="G6107" t="str" s="2">
        <x:v>Jenna Fransisco</x:v>
      </x:c>
      <x:c r="H6107" s="6">
        <x:v>46247.621568055554</x:v>
      </x:c>
      <x:c r="I6107" t="str" s="2">
        <x:v>Derek Searcy</x:v>
      </x:c>
      <x:c r="J6107" s="0"/>
      <x:c r="K6107" s="0"/>
      <x:c r="L6107" t="str" s="2">
        <x:v>Show</x:v>
      </x:c>
    </x:row>
    <x:row r="6108">
      <x:c r="A6108" t="str" s="2">
        <x:f>=HYPERLINK("https://rsms.futurehomex.com/lead/39126", "Regina Marleny Aguilar Mancia")</x:f>
      </x:c>
      <x:c r="B6108" t="str" s="2">
        <x:v>Heritage Housing of Greenville</x:v>
      </x:c>
      <x:c r="C6108" t="str" s="2">
        <x:v/>
      </x:c>
      <x:c r="D6108" t="str" s="2">
        <x:v>5102584714</x:v>
      </x:c>
      <x:c r="E6108" t="str" s="2">
        <x:v>Aguilar.regina@yahoo.com</x:v>
      </x:c>
      <x:c r="F6108" t="str" s="2">
        <x:v>TikTok</x:v>
      </x:c>
      <x:c r="G6108" t="str" s="2">
        <x:v>Brandie Sartor</x:v>
      </x:c>
      <x:c r="H6108" s="6">
        <x:v>46247.65836840278</x:v>
      </x:c>
      <x:c r="I6108" t="str" s="2">
        <x:v>Oscar Osorio</x:v>
      </x:c>
      <x:c r="J6108" s="0"/>
      <x:c r="K6108" s="6">
        <x:v>46247.65836840278</x:v>
      </x:c>
      <x:c r="L6108" t="str" s="2">
        <x:v>Show</x:v>
      </x:c>
    </x:row>
    <x:row r="6109">
      <x:c r="A6109" t="str" s="2">
        <x:f>=HYPERLINK("https://rsms.futurehomex.com/lead/39128", "Michael &amp; Ashlee Weimer")</x:f>
      </x:c>
      <x:c r="B6109" t="str" s="2">
        <x:v>Heritage Housing of Oklahoma City</x:v>
      </x:c>
      <x:c r="C6109" t="str" s="2">
        <x:v/>
      </x:c>
      <x:c r="D6109" t="str" s="2">
        <x:v>5803744174</x:v>
      </x:c>
      <x:c r="E6109" t="str" s="2">
        <x:v>aml.mrl.bubbles.1991@gmail.com</x:v>
      </x:c>
      <x:c r="F6109" t="str" s="2">
        <x:v>Facebook Messenger</x:v>
      </x:c>
      <x:c r="G6109" t="str" s="2">
        <x:v>Steve Castell</x:v>
      </x:c>
      <x:c r="H6109" s="6">
        <x:v>46247.663458599534</x:v>
      </x:c>
      <x:c r="I6109" t="str" s="2">
        <x:v>Steve Castell</x:v>
      </x:c>
      <x:c r="J6109" s="6">
        <x:v>46247.802083333336</x:v>
      </x:c>
      <x:c r="K6109" s="6">
        <x:v>46247.80495578704</x:v>
      </x:c>
      <x:c r="L6109" t="str" s="2">
        <x:v>Show</x:v>
      </x:c>
    </x:row>
    <x:row r="6110">
      <x:c r="A6110" t="str" s="2">
        <x:f>=HYPERLINK("https://rsms.futurehomex.com/lead/39139", "Luella Johnson")</x:f>
      </x:c>
      <x:c r="B6110" t="str" s="2">
        <x:v>Heritage Housing of Oklahoma City</x:v>
      </x:c>
      <x:c r="C6110" t="str" s="2">
        <x:v/>
      </x:c>
      <x:c r="D6110" t="str" s="2">
        <x:v>4054327450</x:v>
      </x:c>
      <x:c r="E6110" t="str" s="2">
        <x:v>johnson.luella@yahoo.com</x:v>
      </x:c>
      <x:c r="F6110" t="str" s="2">
        <x:v>Meta Ads - Forms</x:v>
      </x:c>
      <x:c r="G6110" t="str" s="2">
        <x:v>Steve Castell</x:v>
      </x:c>
      <x:c r="H6110" s="6">
        <x:v>46247.78585586805</x:v>
      </x:c>
      <x:c r="I6110" t="str" s="2">
        <x:v>Alejandra Calderon</x:v>
      </x:c>
      <x:c r="J6110" s="6">
        <x:v>46249.791666666664</x:v>
      </x:c>
      <x:c r="K6110" s="6">
        <x:v>46251.738909722226</x:v>
      </x:c>
      <x:c r="L6110" t="str" s="2">
        <x:v>Show</x:v>
      </x:c>
    </x:row>
    <x:row r="6111">
      <x:c r="A6111" t="str" s="2">
        <x:f>=HYPERLINK("https://rsms.futurehomex.com/lead/38386", "Kenneth Stanley Jr.")</x:f>
      </x:c>
      <x:c r="B6111" s="0"/>
      <x:c r="C6111" t="str" s="2">
        <x:v/>
      </x:c>
      <x:c r="D6111" t="str" s="2">
        <x:v>70667556341</x:v>
      </x:c>
      <x:c r="E6111" t="str" s="2">
        <x:v>kenny04ks@icloud.com</x:v>
      </x:c>
      <x:c r="F6111" t="str" s="2">
        <x:v>Meta Ads - Forms</x:v>
      </x:c>
      <x:c r="G6111" t="str" s="2">
        <x:v>Brian Amato</x:v>
      </x:c>
      <x:c r="H6111" s="6">
        <x:v>46247.88735370371</x:v>
      </x:c>
      <x:c r="I6111" t="str" s="2">
        <x:v>Jennifer Johnson</x:v>
      </x:c>
      <x:c r="J6111" s="6">
        <x:v>46217.729166666664</x:v>
      </x:c>
      <x:c r="K6111" s="0"/>
      <x:c r="L6111" t="str" s="2">
        <x:v>Show</x:v>
      </x:c>
    </x:row>
    <x:row r="6112">
      <x:c r="A6112" t="str" s="2">
        <x:f>=HYPERLINK("https://rsms.futurehomex.com/lead/39150", "Lucy Baraja")</x:f>
      </x:c>
      <x:c r="B6112" t="str" s="2">
        <x:v>Heritage Housing Marble Falls</x:v>
      </x:c>
      <x:c r="C6112" t="str" s="2">
        <x:v/>
      </x:c>
      <x:c r="D6112" t="str" s="2">
        <x:v>8306378253</x:v>
      </x:c>
      <x:c r="E6112" t="str" s="2">
        <x:v>8306378253</x:v>
      </x:c>
      <x:c r="F6112" t="str" s="2">
        <x:v>Website</x:v>
      </x:c>
      <x:c r="G6112" t="str" s="2">
        <x:v>Garrett Riedesel</x:v>
      </x:c>
      <x:c r="H6112" s="6">
        <x:v>46248.73150795139</x:v>
      </x:c>
      <x:c r="I6112" t="str" s="2">
        <x:v>Garrett Riedesel</x:v>
      </x:c>
      <x:c r="J6112" s="6">
        <x:v>46250.875</x:v>
      </x:c>
      <x:c r="K6112" s="6">
        <x:v>46288.80769050926</x:v>
      </x:c>
      <x:c r="L6112" t="str" s="2">
        <x:v>Show</x:v>
      </x:c>
    </x:row>
    <x:row r="6113">
      <x:c r="A6113" t="str" s="2">
        <x:f>=HYPERLINK("https://rsms.futurehomex.com/lead/39151", "Ciscoe Reyes")</x:f>
      </x:c>
      <x:c r="B6113" t="str" s="2">
        <x:v>Heritage Housing of Asheboro</x:v>
      </x:c>
      <x:c r="C6113" t="str" s="2">
        <x:v/>
      </x:c>
      <x:c r="D6113" t="str" s="2">
        <x:v>3364605235</x:v>
      </x:c>
      <x:c r="E6113" t="str" s="2">
        <x:v>ciscoe@gmail.com</x:v>
      </x:c>
      <x:c r="F6113" t="str" s="2">
        <x:v>Walk-in</x:v>
      </x:c>
      <x:c r="G6113" s="0"/>
      <x:c r="H6113" s="6">
        <x:v>46248.73933923611</x:v>
      </x:c>
      <x:c r="I6113" t="str" s="2">
        <x:v>Maria Lopez</x:v>
      </x:c>
      <x:c r="J6113" s="0"/>
      <x:c r="K6113" s="0"/>
      <x:c r="L6113" t="str" s="2">
        <x:v>Show</x:v>
      </x:c>
    </x:row>
    <x:row r="6114">
      <x:c r="A6114" t="str" s="2">
        <x:f>=HYPERLINK("https://rsms.futurehomex.com/lead/39153", "Rob Costelow")</x:f>
      </x:c>
      <x:c r="B6114" t="str" s="2">
        <x:v>Heritage Housing of Asheboro</x:v>
      </x:c>
      <x:c r="C6114" t="str" s="2">
        <x:v/>
      </x:c>
      <x:c r="D6114" t="str" s="2">
        <x:v>8133400024</x:v>
      </x:c>
      <x:c r="E6114" t="str" s="2">
        <x:v>rcostelow@verizon.net</x:v>
      </x:c>
      <x:c r="F6114" t="str" s="2">
        <x:v>Walk-in</x:v>
      </x:c>
      <x:c r="G6114" s="0"/>
      <x:c r="H6114" s="6">
        <x:v>46248.74095274306</x:v>
      </x:c>
      <x:c r="I6114" t="str" s="2">
        <x:v>Maria Lopez</x:v>
      </x:c>
      <x:c r="J6114" s="0"/>
      <x:c r="K6114" s="0"/>
      <x:c r="L6114" t="str" s="2">
        <x:v>Show</x:v>
      </x:c>
    </x:row>
    <x:row r="6115">
      <x:c r="A6115" t="str" s="2">
        <x:f>=HYPERLINK("https://rsms.futurehomex.com/lead/39155", "Pamala Shephard")</x:f>
      </x:c>
      <x:c r="B6115" t="str" s="2">
        <x:v>Heritage Housing of Asheboro</x:v>
      </x:c>
      <x:c r="C6115" t="str" s="2">
        <x:v/>
      </x:c>
      <x:c r="D6115" t="str" s="2">
        <x:v>9102996822</x:v>
      </x:c>
      <x:c r="E6115" t="str" s="2">
        <x:v>pshepherd12670@gmail.com</x:v>
      </x:c>
      <x:c r="F6115" t="str" s="2">
        <x:v>Walk-in</x:v>
      </x:c>
      <x:c r="G6115" s="0"/>
      <x:c r="H6115" s="6">
        <x:v>46248.819205405096</x:v>
      </x:c>
      <x:c r="I6115" t="str" s="2">
        <x:v>Maria Lopez</x:v>
      </x:c>
      <x:c r="J6115" s="0"/>
      <x:c r="K6115" s="0"/>
      <x:c r="L6115" t="str" s="2">
        <x:v>Show</x:v>
      </x:c>
    </x:row>
    <x:row r="6116">
      <x:c r="A6116" t="str" s="2">
        <x:f>=HYPERLINK("https://rsms.futurehomex.com/lead/39159", "Xuan Nguyen-Franklin")</x:f>
      </x:c>
      <x:c r="B6116" t="str" s="2">
        <x:v>Heritage Housing of Oklahoma City</x:v>
      </x:c>
      <x:c r="C6116" t="str" s="2">
        <x:v>0/1</x:v>
      </x:c>
      <x:c r="D6116" t="str" s="2">
        <x:v>4054304658</x:v>
      </x:c>
      <x:c r="E6116" t="str" s="2">
        <x:v>xuanenguyen123@gmail.com</x:v>
      </x:c>
      <x:c r="F6116" t="str" s="2">
        <x:v>Facebook Messenger</x:v>
      </x:c>
      <x:c r="G6116" t="str" s="2">
        <x:v>Steve Castell</x:v>
      </x:c>
      <x:c r="H6116" s="6">
        <x:v>46248.84718394676</x:v>
      </x:c>
      <x:c r="I6116" t="str" s="2">
        <x:v>Steve Castell</x:v>
      </x:c>
      <x:c r="J6116" s="6">
        <x:v>46248.885416666664</x:v>
      </x:c>
      <x:c r="K6116" s="6">
        <x:v>46248.90688275463</x:v>
      </x:c>
      <x:c r="L6116" t="str" s="2">
        <x:v>Show</x:v>
      </x:c>
    </x:row>
    <x:row r="6117">
      <x:c r="A6117" t="str" s="2">
        <x:f>=HYPERLINK("https://rsms.futurehomex.com/lead/39166", "Logan Reneau")</x:f>
      </x:c>
      <x:c r="B6117" t="str" s="2">
        <x:v>Heritage Housing of Asheboro</x:v>
      </x:c>
      <x:c r="C6117" t="str" s="2">
        <x:v/>
      </x:c>
      <x:c r="D6117" t="str" s="2">
        <x:v>9195482613</x:v>
      </x:c>
      <x:c r="E6117" t="str" s="2">
        <x:v>logan.reneau@gmail.com</x:v>
      </x:c>
      <x:c r="F6117" t="str" s="2">
        <x:v>Walk-in</x:v>
      </x:c>
      <x:c r="G6117" s="0"/>
      <x:c r="H6117" s="6">
        <x:v>46249.56868394676</x:v>
      </x:c>
      <x:c r="I6117" t="str" s="2">
        <x:v>Maria Lopez</x:v>
      </x:c>
      <x:c r="J6117" s="0"/>
      <x:c r="K6117" s="0"/>
      <x:c r="L6117" t="str" s="2">
        <x:v>Show</x:v>
      </x:c>
    </x:row>
    <x:row r="6118">
      <x:c r="A6118" t="str" s="2">
        <x:f>=HYPERLINK("https://rsms.futurehomex.com/lead/39168", "Chuck Pitre")</x:f>
      </x:c>
      <x:c r="B6118" t="str" s="2">
        <x:v>Heritage Housing of Jennings</x:v>
      </x:c>
      <x:c r="C6118" t="str" s="2">
        <x:v/>
      </x:c>
      <x:c r="D6118" t="str" s="2">
        <x:v>7138515995</x:v>
      </x:c>
      <x:c r="E6118" t="str" s="2">
        <x:v>captainchuck315@yahoo.com</x:v>
      </x:c>
      <x:c r="F6118" t="str" s="2">
        <x:v>Walk-in</x:v>
      </x:c>
      <x:c r="G6118" s="0"/>
      <x:c r="H6118" s="6">
        <x:v>46249.60524375</x:v>
      </x:c>
      <x:c r="I6118" t="str" s="2">
        <x:v>Mervin Leslie Smith</x:v>
      </x:c>
      <x:c r="J6118" s="0"/>
      <x:c r="K6118" s="0"/>
      <x:c r="L6118" t="str" s="2">
        <x:v>Show</x:v>
      </x:c>
    </x:row>
    <x:row r="6119">
      <x:c r="A6119" t="str" s="2">
        <x:f>=HYPERLINK("https://rsms.futurehomex.com/lead/39169", "Laytwuan Brower")</x:f>
      </x:c>
      <x:c r="B6119" t="str" s="2">
        <x:v>Heritage Housing of Asheboro</x:v>
      </x:c>
      <x:c r="C6119" t="str" s="2">
        <x:v/>
      </x:c>
      <x:c r="D6119" t="str" s="2">
        <x:v>3369472562</x:v>
      </x:c>
      <x:c r="E6119" t="str" s="2">
        <x:v>laytwuanharris@gmail.com</x:v>
      </x:c>
      <x:c r="F6119" t="str" s="2">
        <x:v>Walk-in</x:v>
      </x:c>
      <x:c r="G6119" s="0"/>
      <x:c r="H6119" s="6">
        <x:v>46249.64760355324</x:v>
      </x:c>
      <x:c r="I6119" t="str" s="2">
        <x:v>Jeremy Jacques</x:v>
      </x:c>
      <x:c r="J6119" s="0"/>
      <x:c r="K6119" s="0"/>
      <x:c r="L6119" t="str" s="2">
        <x:v>Show</x:v>
      </x:c>
    </x:row>
    <x:row r="6120">
      <x:c r="A6120" t="str" s="2">
        <x:f>=HYPERLINK("https://rsms.futurehomex.com/lead/39171", "Jason Rasmussen")</x:f>
      </x:c>
      <x:c r="B6120" t="str" s="2">
        <x:v>Heritage Housing of Oklahoma City</x:v>
      </x:c>
      <x:c r="C6120" t="str" s="2">
        <x:v/>
      </x:c>
      <x:c r="D6120" t="str" s="2">
        <x:v>9287103585</x:v>
      </x:c>
      <x:c r="E6120" t="str" s="2">
        <x:v>xilr8r68@gmail.com</x:v>
      </x:c>
      <x:c r="F6120" t="str" s="2">
        <x:v>Walk-in</x:v>
      </x:c>
      <x:c r="G6120" t="str" s="2">
        <x:v>Eva Misheva</x:v>
      </x:c>
      <x:c r="H6120" s="6">
        <x:v>46249.66395517361</x:v>
      </x:c>
      <x:c r="I6120" t="str" s="2">
        <x:v>Eva Misheva</x:v>
      </x:c>
      <x:c r="J6120" s="0"/>
      <x:c r="K6120" s="6">
        <x:v>46249.66395517361</x:v>
      </x:c>
      <x:c r="L6120" t="str" s="2">
        <x:v>Show</x:v>
      </x:c>
    </x:row>
    <x:row r="6121">
      <x:c r="A6121" t="str" s="2">
        <x:f>=HYPERLINK("https://rsms.futurehomex.com/lead/39172", "Dustin Daily")</x:f>
      </x:c>
      <x:c r="B6121" t="str" s="2">
        <x:v>Heritage Housing of Oklahoma City</x:v>
      </x:c>
      <x:c r="C6121" t="str" s="2">
        <x:v/>
      </x:c>
      <x:c r="D6121" t="str" s="2">
        <x:v>4056945464</x:v>
      </x:c>
      <x:c r="E6121" t="str" s="2">
        <x:v>dustindaily08@gmail.com</x:v>
      </x:c>
      <x:c r="F6121" t="str" s="2">
        <x:v>Facebook Messenger</x:v>
      </x:c>
      <x:c r="G6121" t="str" s="2">
        <x:v>Steve Castell</x:v>
      </x:c>
      <x:c r="H6121" s="6">
        <x:v>46249.67799498843</x:v>
      </x:c>
      <x:c r="I6121" t="str" s="2">
        <x:v>Steve Castell</x:v>
      </x:c>
      <x:c r="J6121" s="6">
        <x:v>46249.6875</x:v>
      </x:c>
      <x:c r="K6121" s="6">
        <x:v>46249.70869359954</x:v>
      </x:c>
      <x:c r="L6121" t="str" s="2">
        <x:v>Show</x:v>
      </x:c>
    </x:row>
    <x:row r="6122">
      <x:c r="A6122" t="str" s="2">
        <x:f>=HYPERLINK("https://rsms.futurehomex.com/lead/39173", "Dj Miller")</x:f>
      </x:c>
      <x:c r="B6122" t="str" s="2">
        <x:v>Heritage Housing of Jennings</x:v>
      </x:c>
      <x:c r="C6122" t="str" s="2">
        <x:v/>
      </x:c>
      <x:c r="D6122" t="str" s="2">
        <x:v>3373029320</x:v>
      </x:c>
      <x:c r="E6122" t="str" s="2">
        <x:v>millerdj89@gmail.com</x:v>
      </x:c>
      <x:c r="F6122" t="str" s="2">
        <x:v>Walk-in</x:v>
      </x:c>
      <x:c r="G6122" s="0"/>
      <x:c r="H6122" s="6">
        <x:v>46249.70933240741</x:v>
      </x:c>
      <x:c r="I6122" t="str" s="2">
        <x:v>Mervin Leslie Smith</x:v>
      </x:c>
      <x:c r="J6122" s="0"/>
      <x:c r="K6122" s="0"/>
      <x:c r="L6122" t="str" s="2">
        <x:v>Show</x:v>
      </x:c>
    </x:row>
    <x:row r="6123">
      <x:c r="A6123" t="str" s="2">
        <x:f>=HYPERLINK("https://rsms.futurehomex.com/lead/39174", "Glen Bearden")</x:f>
      </x:c>
      <x:c r="B6123" t="str" s="2">
        <x:v>Heritage Housing of Oklahoma City</x:v>
      </x:c>
      <x:c r="C6123" t="str" s="2">
        <x:v/>
      </x:c>
      <x:c r="D6123" t="str" s="2">
        <x:v>4052683004</x:v>
      </x:c>
      <x:c r="E6123" t="str" s="2">
        <x:v>1976BUICK1977REGAL@GMAIL.COM</x:v>
      </x:c>
      <x:c r="F6123" t="str" s="2">
        <x:v>Facebook Messenger</x:v>
      </x:c>
      <x:c r="G6123" t="str" s="2">
        <x:v>Steve Castell</x:v>
      </x:c>
      <x:c r="H6123" s="6">
        <x:v>46249.72005914352</x:v>
      </x:c>
      <x:c r="I6123" t="str" s="2">
        <x:v>Steve Castell</x:v>
      </x:c>
      <x:c r="J6123" s="6">
        <x:v>46250.75</x:v>
      </x:c>
      <x:c r="K6123" s="6">
        <x:v>46250.76978614584</x:v>
      </x:c>
      <x:c r="L6123" t="str" s="2">
        <x:v>Show</x:v>
      </x:c>
    </x:row>
    <x:row r="6124">
      <x:c r="A6124" t="str" s="2">
        <x:f>=HYPERLINK("https://rsms.futurehomex.com/lead/39179", "Ginger Easley")</x:f>
      </x:c>
      <x:c r="B6124" t="str" s="2">
        <x:v>Heritage Housing of Oklahoma City</x:v>
      </x:c>
      <x:c r="C6124" t="str" s="2">
        <x:v/>
      </x:c>
      <x:c r="D6124" t="str" s="2">
        <x:v>4052005419</x:v>
      </x:c>
      <x:c r="E6124" t="str" s="2">
        <x:v>4052005419</x:v>
      </x:c>
      <x:c r="F6124" t="str" s="2">
        <x:v>Facebook Messenger</x:v>
      </x:c>
      <x:c r="G6124" t="str" s="2">
        <x:v>Eva Misheva</x:v>
      </x:c>
      <x:c r="H6124" s="6">
        <x:v>46249.762498344906</x:v>
      </x:c>
      <x:c r="I6124" t="str" s="2">
        <x:v>Eva Misheva</x:v>
      </x:c>
      <x:c r="J6124" s="0"/>
      <x:c r="K6124" s="6">
        <x:v>46249.762498344906</x:v>
      </x:c>
      <x:c r="L6124" t="str" s="2">
        <x:v>Show</x:v>
      </x:c>
    </x:row>
    <x:row r="6125">
      <x:c r="A6125" t="str" s="2">
        <x:f>=HYPERLINK("https://rsms.futurehomex.com/lead/39189", "Phillip Mc Gill")</x:f>
      </x:c>
      <x:c r="B6125" t="str" s="2">
        <x:v>Heritage Housing Mt Pleasant</x:v>
      </x:c>
      <x:c r="C6125" t="str" s="2">
        <x:v>1/1</x:v>
      </x:c>
      <x:c r="D6125" t="str" s="2">
        <x:v>8177170878</x:v>
      </x:c>
      <x:c r="E6125" t="str" s="2">
        <x:v>8177170878</x:v>
      </x:c>
      <x:c r="F6125" t="str" s="2">
        <x:v>Referrals</x:v>
      </x:c>
      <x:c r="G6125" t="str" s="2">
        <x:v>Yarelis Torres</x:v>
      </x:c>
      <x:c r="H6125" s="6">
        <x:v>46249.96164903935</x:v>
      </x:c>
      <x:c r="I6125" t="str" s="2">
        <x:v>Yarelis Torres</x:v>
      </x:c>
      <x:c r="J6125" s="6">
        <x:v>46249.833333333336</x:v>
      </x:c>
      <x:c r="K6125" s="6">
        <x:v>46274.91348116898</x:v>
      </x:c>
      <x:c r="L6125" t="str" s="2">
        <x:v>Show</x:v>
      </x:c>
    </x:row>
    <x:row r="6126">
      <x:c r="A6126" t="str" s="2">
        <x:f>=HYPERLINK("https://rsms.futurehomex.com/lead/39190", "Ashley Brandon")</x:f>
      </x:c>
      <x:c r="B6126" t="str" s="2">
        <x:v>Heritage Housing Mt Pleasant</x:v>
      </x:c>
      <x:c r="C6126" t="str" s="2">
        <x:v/>
      </x:c>
      <x:c r="D6126" t="str" s="2">
        <x:v>8324070671</x:v>
      </x:c>
      <x:c r="E6126" t="str" s="2">
        <x:v>8324070671</x:v>
      </x:c>
      <x:c r="F6126" t="str" s="2">
        <x:v>Referrals</x:v>
      </x:c>
      <x:c r="G6126" t="str" s="2">
        <x:v>Yarelis Torres</x:v>
      </x:c>
      <x:c r="H6126" s="6">
        <x:v>46249.964950347225</x:v>
      </x:c>
      <x:c r="I6126" t="str" s="2">
        <x:v>Yarelis Torres</x:v>
      </x:c>
      <x:c r="J6126" s="6">
        <x:v>46249.895833333336</x:v>
      </x:c>
      <x:c r="K6126" s="6">
        <x:v>46251.72695586806</x:v>
      </x:c>
      <x:c r="L6126" t="str" s="2">
        <x:v>Show</x:v>
      </x:c>
    </x:row>
    <x:row r="6127">
      <x:c r="A6127" t="str" s="2">
        <x:f>=HYPERLINK("https://rsms.futurehomex.com/lead/39193", "Josh Tilson")</x:f>
      </x:c>
      <x:c r="B6127" t="str" s="2">
        <x:v>Heritage Housing of Greenville</x:v>
      </x:c>
      <x:c r="C6127" t="str" s="2">
        <x:v/>
      </x:c>
      <x:c r="D6127" t="str" s="2">
        <x:v>4024995175</x:v>
      </x:c>
      <x:c r="E6127" t="str" s="2">
        <x:v>Orangemonster419@yahoo.com</x:v>
      </x:c>
      <x:c r="F6127" t="str" s="2">
        <x:v>Facebook Messenger</x:v>
      </x:c>
      <x:c r="G6127" t="str" s="2">
        <x:v>Brandie Sartor</x:v>
      </x:c>
      <x:c r="H6127" s="6">
        <x:v>46250.764612418985</x:v>
      </x:c>
      <x:c r="I6127" t="str" s="2">
        <x:v>Brooklynn Allen</x:v>
      </x:c>
      <x:c r="J6127" s="0"/>
      <x:c r="K6127" s="6">
        <x:v>46250.764612418985</x:v>
      </x:c>
      <x:c r="L6127" t="str" s="2">
        <x:v>Show</x:v>
      </x:c>
    </x:row>
    <x:row r="6128">
      <x:c r="A6128" t="str" s="2">
        <x:f>=HYPERLINK("https://rsms.futurehomex.com/lead/39194", "Syprena Ledesma")</x:f>
      </x:c>
      <x:c r="B6128" t="str" s="2">
        <x:v>Heritage Housing Mt Pleasant</x:v>
      </x:c>
      <x:c r="C6128" t="str" s="2">
        <x:v/>
      </x:c>
      <x:c r="D6128" t="str" s="2">
        <x:v>9033058764</x:v>
      </x:c>
      <x:c r="E6128" t="str" s="2">
        <x:v>9033058764</x:v>
      </x:c>
      <x:c r="F6128" t="str" s="2">
        <x:v>Meta Marketplace</x:v>
      </x:c>
      <x:c r="G6128" t="str" s="2">
        <x:v>Yarelis Torres</x:v>
      </x:c>
      <x:c r="H6128" s="6">
        <x:v>46250.846939386574</x:v>
      </x:c>
      <x:c r="I6128" t="str" s="2">
        <x:v>Elias Gallardo</x:v>
      </x:c>
      <x:c r="J6128" s="6">
        <x:v>46250.78125</x:v>
      </x:c>
      <x:c r="K6128" s="6">
        <x:v>46250.85772734954</x:v>
      </x:c>
      <x:c r="L6128" t="str" s="2">
        <x:v>Show</x:v>
      </x:c>
    </x:row>
    <x:row r="6129">
      <x:c r="A6129" t="str" s="2">
        <x:f>=HYPERLINK("https://rsms.futurehomex.com/lead/39195", "Cassie Treadway")</x:f>
      </x:c>
      <x:c r="B6129" t="str" s="2">
        <x:v>Heritage Housing Mt Pleasant</x:v>
      </x:c>
      <x:c r="C6129" t="str" s="2">
        <x:v/>
      </x:c>
      <x:c r="D6129" t="str" s="2">
        <x:v>9039750710</x:v>
      </x:c>
      <x:c r="E6129" t="str" s="2">
        <x:v>9039750710</x:v>
      </x:c>
      <x:c r="F6129" t="str" s="2">
        <x:v>Meta Marketplace</x:v>
      </x:c>
      <x:c r="G6129" t="str" s="2">
        <x:v>Yarelis Torres</x:v>
      </x:c>
      <x:c r="H6129" s="6">
        <x:v>46250.8596221412</x:v>
      </x:c>
      <x:c r="I6129" t="str" s="2">
        <x:v>Elias Gallardo</x:v>
      </x:c>
      <x:c r="J6129" s="6">
        <x:v>46250.75</x:v>
      </x:c>
      <x:c r="K6129" s="6">
        <x:v>46250.860877314815</x:v>
      </x:c>
      <x:c r="L6129" t="str" s="2">
        <x:v>Show</x:v>
      </x:c>
    </x:row>
    <x:row r="6130">
      <x:c r="A6130" t="str" s="2">
        <x:f>=HYPERLINK("https://rsms.futurehomex.com/lead/39197", "Anthony Tainte")</x:f>
      </x:c>
      <x:c r="B6130" t="str" s="2">
        <x:v>Heritage Housing of Oklahoma City</x:v>
      </x:c>
      <x:c r="C6130" t="str" s="2">
        <x:v/>
      </x:c>
      <x:c r="D6130" t="str" s="2">
        <x:v>6362330575</x:v>
      </x:c>
      <x:c r="E6130" t="str" s="2">
        <x:v>6362330575</x:v>
      </x:c>
      <x:c r="F6130" t="str" s="2">
        <x:v>Facebook Messenger</x:v>
      </x:c>
      <x:c r="G6130" t="str" s="2">
        <x:v>Eva Misheva</x:v>
      </x:c>
      <x:c r="H6130" s="6">
        <x:v>46250.91102947917</x:v>
      </x:c>
      <x:c r="I6130" t="str" s="2">
        <x:v>Eva Misheva</x:v>
      </x:c>
      <x:c r="J6130" s="0"/>
      <x:c r="K6130" s="6">
        <x:v>46250.91102947917</x:v>
      </x:c>
      <x:c r="L6130" t="str" s="2">
        <x:v>Show</x:v>
      </x:c>
    </x:row>
    <x:row r="6131">
      <x:c r="A6131" t="str" s="2">
        <x:f>=HYPERLINK("https://rsms.futurehomex.com/lead/39198", "Virgil Lohman")</x:f>
      </x:c>
      <x:c r="B6131" t="str" s="2">
        <x:v>Heritage Housing of Oklahoma City</x:v>
      </x:c>
      <x:c r="C6131" t="str" s="2">
        <x:v/>
      </x:c>
      <x:c r="D6131" t="str" s="2">
        <x:v>4052362363</x:v>
      </x:c>
      <x:c r="E6131" t="str" s="2">
        <x:v>4052362363</x:v>
      </x:c>
      <x:c r="F6131" t="str" s="2">
        <x:v>Facebook Messenger</x:v>
      </x:c>
      <x:c r="G6131" t="str" s="2">
        <x:v>Eva Misheva</x:v>
      </x:c>
      <x:c r="H6131" s="6">
        <x:v>46250.91380015046</x:v>
      </x:c>
      <x:c r="I6131" t="str" s="2">
        <x:v>Eva Misheva</x:v>
      </x:c>
      <x:c r="J6131" s="0"/>
      <x:c r="K6131" s="6">
        <x:v>46250.91380015046</x:v>
      </x:c>
      <x:c r="L6131" t="str" s="2">
        <x:v>Show</x:v>
      </x:c>
    </x:row>
    <x:row r="6132">
      <x:c r="A6132" t="str" s="2">
        <x:f>=HYPERLINK("https://rsms.futurehomex.com/lead/39199", "Yvonne Tamano")</x:f>
      </x:c>
      <x:c r="B6132" t="str" s="2">
        <x:v>Heritage Housing of Oklahoma City</x:v>
      </x:c>
      <x:c r="C6132" t="str" s="2">
        <x:v/>
      </x:c>
      <x:c r="D6132" t="str" s="2">
        <x:v>4053391578</x:v>
      </x:c>
      <x:c r="E6132" t="str" s="2">
        <x:v>4053391578</x:v>
      </x:c>
      <x:c r="F6132" t="str" s="2">
        <x:v>Facebook Messenger</x:v>
      </x:c>
      <x:c r="G6132" t="str" s="2">
        <x:v>Eva Misheva</x:v>
      </x:c>
      <x:c r="H6132" s="6">
        <x:v>46250.91643553241</x:v>
      </x:c>
      <x:c r="I6132" t="str" s="2">
        <x:v>Eva Misheva</x:v>
      </x:c>
      <x:c r="J6132" s="0"/>
      <x:c r="K6132" s="6">
        <x:v>46250.91643553241</x:v>
      </x:c>
      <x:c r="L6132" t="str" s="2">
        <x:v>Show</x:v>
      </x:c>
    </x:row>
    <x:row r="6133">
      <x:c r="A6133" t="str" s="2">
        <x:f>=HYPERLINK("https://rsms.futurehomex.com/lead/39201", "Luis Angel Muniz")</x:f>
      </x:c>
      <x:c r="B6133" t="str" s="2">
        <x:v>Heritage Housing of Canton</x:v>
      </x:c>
      <x:c r="C6133" t="str" s="2">
        <x:v/>
      </x:c>
      <x:c r="D6133" t="str" s="2">
        <x:v>2145775957</x:v>
      </x:c>
      <x:c r="E6133" t="str" s="2">
        <x:v>luianmu@gmail.com</x:v>
      </x:c>
      <x:c r="F6133" t="str" s="2">
        <x:v>Facebook Messenger</x:v>
      </x:c>
      <x:c r="G6133" t="str" s="2">
        <x:v>Jacob Hatten</x:v>
      </x:c>
      <x:c r="H6133" s="6">
        <x:v>46251.57367283565</x:v>
      </x:c>
      <x:c r="I6133" t="str" s="2">
        <x:v>Jacob Hatten</x:v>
      </x:c>
      <x:c r="J6133" s="6">
        <x:v>46253.6875</x:v>
      </x:c>
      <x:c r="K6133" s="6">
        <x:v>46253.64433892361</x:v>
      </x:c>
      <x:c r="L6133" t="str" s="2">
        <x:v>Show</x:v>
      </x:c>
    </x:row>
    <x:row r="6134">
      <x:c r="A6134" t="str" s="2">
        <x:f>=HYPERLINK("https://rsms.futurehomex.com/lead/39204", "Austin Hughes")</x:f>
      </x:c>
      <x:c r="B6134" t="str" s="2">
        <x:v>Heritage Housing of Asheboro</x:v>
      </x:c>
      <x:c r="C6134" t="str" s="2">
        <x:v/>
      </x:c>
      <x:c r="D6134" t="str" s="2">
        <x:v>3369531296</x:v>
      </x:c>
      <x:c r="E6134" t="str" s="2">
        <x:v>awhughes11@icloud.com</x:v>
      </x:c>
      <x:c r="F6134" t="str" s="2">
        <x:v>Walk-in</x:v>
      </x:c>
      <x:c r="G6134" s="0"/>
      <x:c r="H6134" s="6">
        <x:v>46251.617698344904</x:v>
      </x:c>
      <x:c r="I6134" t="str" s="2">
        <x:v>Maria Lopez</x:v>
      </x:c>
      <x:c r="J6134" s="0"/>
      <x:c r="K6134" s="0"/>
      <x:c r="L6134" t="str" s="2">
        <x:v>Show</x:v>
      </x:c>
    </x:row>
    <x:row r="6135">
      <x:c r="A6135" t="str" s="2">
        <x:f>=HYPERLINK("https://rsms.futurehomex.com/lead/39205", "Mariah McGruder")</x:f>
      </x:c>
      <x:c r="B6135" t="str" s="2">
        <x:v>Heritage Housing of Augusta</x:v>
      </x:c>
      <x:c r="C6135" t="str" s="2">
        <x:v/>
      </x:c>
      <x:c r="D6135" t="str" s="2">
        <x:v>7069146755</x:v>
      </x:c>
      <x:c r="E6135" t="str" s="2">
        <x:v>mcgruder188@gmail.com</x:v>
      </x:c>
      <x:c r="F6135" t="str" s="2">
        <x:v>Office Hot Calls</x:v>
      </x:c>
      <x:c r="G6135" t="str" s="2">
        <x:v>Jennifer Johnson</x:v>
      </x:c>
      <x:c r="H6135" s="6">
        <x:v>46251.64311056713</x:v>
      </x:c>
      <x:c r="I6135" t="str" s="2">
        <x:v>Jennifer Johnson</x:v>
      </x:c>
      <x:c r="J6135" s="6">
        <x:v>46251.833333333336</x:v>
      </x:c>
      <x:c r="K6135" s="6">
        <x:v>46251.84958457176</x:v>
      </x:c>
      <x:c r="L6135" t="str" s="2">
        <x:v>Show</x:v>
      </x:c>
    </x:row>
    <x:row r="6136">
      <x:c r="A6136" t="str" s="2">
        <x:f>=HYPERLINK("https://rsms.futurehomex.com/lead/39207", "Doug Dunning")</x:f>
      </x:c>
      <x:c r="B6136" t="str" s="2">
        <x:v>Heritage Housing Mt Pleasant</x:v>
      </x:c>
      <x:c r="C6136" t="str" s="2">
        <x:v/>
      </x:c>
      <x:c r="D6136" t="str" s="2">
        <x:v>9035739742</x:v>
      </x:c>
      <x:c r="E6136" t="str" s="2">
        <x:v>9035739742</x:v>
      </x:c>
      <x:c r="F6136" t="str" s="2">
        <x:v>Office Hot Calls</x:v>
      </x:c>
      <x:c r="G6136" t="str" s="2">
        <x:v>Yarelis Torres</x:v>
      </x:c>
      <x:c r="H6136" s="6">
        <x:v>46251.67591380787</x:v>
      </x:c>
      <x:c r="I6136" t="str" s="2">
        <x:v>Yarelis Torres</x:v>
      </x:c>
      <x:c r="J6136" s="6">
        <x:v>46296.645833333336</x:v>
      </x:c>
      <x:c r="K6136" s="6">
        <x:v>46266.91757450232</x:v>
      </x:c>
      <x:c r="L6136" t="str" s="2">
        <x:v>Show</x:v>
      </x:c>
    </x:row>
    <x:row r="6137">
      <x:c r="A6137" t="str" s="2">
        <x:f>=HYPERLINK("https://rsms.futurehomex.com/lead/39214", "Johnny Rose")</x:f>
      </x:c>
      <x:c r="B6137" t="str" s="2">
        <x:v>Heritage Housing of Tulsa</x:v>
      </x:c>
      <x:c r="C6137" t="str" s="2">
        <x:v/>
      </x:c>
      <x:c r="D6137" t="str" s="2">
        <x:v>9182043733</x:v>
      </x:c>
      <x:c r="E6137" t="str" s="2">
        <x:v>johnnyrose0399@gmail.com</x:v>
      </x:c>
      <x:c r="F6137" t="str" s="2">
        <x:v>Walk-in</x:v>
      </x:c>
      <x:c r="G6137" s="0"/>
      <x:c r="H6137" s="6">
        <x:v>46251.78281265046</x:v>
      </x:c>
      <x:c r="I6137" t="str" s="2">
        <x:v>Derek Searcy</x:v>
      </x:c>
      <x:c r="J6137" s="0"/>
      <x:c r="K6137" s="0"/>
      <x:c r="L6137" t="str" s="2">
        <x:v>Show</x:v>
      </x:c>
    </x:row>
    <x:row r="6138">
      <x:c r="A6138" t="str" s="2">
        <x:f>=HYPERLINK("https://rsms.futurehomex.com/lead/39302", "Nakita Marcum")</x:f>
      </x:c>
      <x:c r="B6138" t="str" s="2">
        <x:v>Heritage Housing of Asheboro</x:v>
      </x:c>
      <x:c r="C6138" t="str" s="2">
        <x:v/>
      </x:c>
      <x:c r="D6138" t="str" s="2">
        <x:v>3366899585</x:v>
      </x:c>
      <x:c r="E6138" t="str" s="2">
        <x:v>nakita.marcum@iloud.om</x:v>
      </x:c>
      <x:c r="F6138" t="str" s="2">
        <x:v>Walk-in</x:v>
      </x:c>
      <x:c r="G6138" s="0"/>
      <x:c r="H6138" s="6">
        <x:v>46251.81166369213</x:v>
      </x:c>
      <x:c r="I6138" t="str" s="2">
        <x:v>Maria Lopez</x:v>
      </x:c>
      <x:c r="J6138" s="0"/>
      <x:c r="K6138" s="0"/>
      <x:c r="L6138" t="str" s="2">
        <x:v>Show</x:v>
      </x:c>
    </x:row>
    <x:row r="6139">
      <x:c r="A6139" t="str" s="2">
        <x:f>=HYPERLINK("https://rsms.futurehomex.com/lead/39217", "Liliana G Campio Diaz")</x:f>
      </x:c>
      <x:c r="B6139" t="str" s="2">
        <x:v>Legacy Housing Corp. DBA Americasa</x:v>
      </x:c>
      <x:c r="C6139" t="str" s="2">
        <x:v/>
      </x:c>
      <x:c r="D6139" t="str" s="2">
        <x:v>3462437654</x:v>
      </x:c>
      <x:c r="E6139" t="str" s="2">
        <x:v>lilianacampio1814@gmail.com</x:v>
      </x:c>
      <x:c r="F6139" t="str" s="2">
        <x:v>TikTok</x:v>
      </x:c>
      <x:c r="G6139" t="str" s="2">
        <x:v>Rodrigo Ramirez</x:v>
      </x:c>
      <x:c r="H6139" s="6">
        <x:v>46251.81442326389</x:v>
      </x:c>
      <x:c r="I6139" t="str" s="2">
        <x:v>Rodrigo Ramirez</x:v>
      </x:c>
      <x:c r="J6139" s="6">
        <x:v>46258.708333333336</x:v>
      </x:c>
      <x:c r="K6139" s="6">
        <x:v>46258.6879122338</x:v>
      </x:c>
      <x:c r="L6139" t="str" s="2">
        <x:v>Show</x:v>
      </x:c>
    </x:row>
    <x:row r="6140">
      <x:c r="A6140" t="str" s="2">
        <x:f>=HYPERLINK("https://rsms.futurehomex.com/lead/39218", "Drew Penly")</x:f>
      </x:c>
      <x:c r="B6140" t="str" s="2">
        <x:v>Heritage Housing of Oklahoma City</x:v>
      </x:c>
      <x:c r="C6140" t="str" s="2">
        <x:v/>
      </x:c>
      <x:c r="D6140" t="str" s="2">
        <x:v>4057888589</x:v>
      </x:c>
      <x:c r="E6140" t="str" s="2">
        <x:v>penly06@gmail.com</x:v>
      </x:c>
      <x:c r="F6140" t="str" s="2">
        <x:v>Facebook Messenger</x:v>
      </x:c>
      <x:c r="G6140" t="str" s="2">
        <x:v>Steve Castell</x:v>
      </x:c>
      <x:c r="H6140" s="6">
        <x:v>46251.81592800926</x:v>
      </x:c>
      <x:c r="I6140" t="str" s="2">
        <x:v>Steve Castell</x:v>
      </x:c>
      <x:c r="J6140" s="6">
        <x:v>46252.75</x:v>
      </x:c>
      <x:c r="K6140" s="6">
        <x:v>46252.802032025465</x:v>
      </x:c>
      <x:c r="L6140" t="str" s="2">
        <x:v>Show</x:v>
      </x:c>
    </x:row>
    <x:row r="6141">
      <x:c r="A6141" t="str" s="2">
        <x:f>=HYPERLINK("https://rsms.futurehomex.com/lead/39224", "Marla Cotter")</x:f>
      </x:c>
      <x:c r="B6141" t="str" s="2">
        <x:v>Heritage Housing of Canton</x:v>
      </x:c>
      <x:c r="C6141" t="str" s="2">
        <x:v/>
      </x:c>
      <x:c r="D6141" t="str" s="2">
        <x:v>9726580158</x:v>
      </x:c>
      <x:c r="E6141" t="str" s="2">
        <x:v>mc6707@yahoo.com</x:v>
      </x:c>
      <x:c r="F6141" t="str" s="2">
        <x:v>Facebook Messenger</x:v>
      </x:c>
      <x:c r="G6141" t="str" s="2">
        <x:v>Jacob Hatten</x:v>
      </x:c>
      <x:c r="H6141" s="6">
        <x:v>46251.89028255787</x:v>
      </x:c>
      <x:c r="I6141" t="str" s="2">
        <x:v>Jacob Hatten</x:v>
      </x:c>
      <x:c r="J6141" s="6">
        <x:v>46253.75</x:v>
      </x:c>
      <x:c r="K6141" s="6">
        <x:v>46253.64563194445</x:v>
      </x:c>
      <x:c r="L6141" t="str" s="2">
        <x:v>Show</x:v>
      </x:c>
    </x:row>
    <x:row r="6142">
      <x:c r="A6142" t="str" s="2">
        <x:f>=HYPERLINK("https://rsms.futurehomex.com/lead/39226", "Jerrod David Dodd")</x:f>
      </x:c>
      <x:c r="B6142" t="str" s="2">
        <x:v>Heritage Housing of Oklahoma City</x:v>
      </x:c>
      <x:c r="C6142" t="str" s="2">
        <x:v/>
      </x:c>
      <x:c r="D6142" t="str" s="2">
        <x:v>5722731327</x:v>
      </x:c>
      <x:c r="E6142" t="str" s="2">
        <x:v>5722731327</x:v>
      </x:c>
      <x:c r="F6142" t="str" s="2">
        <x:v>Facebook Messenger</x:v>
      </x:c>
      <x:c r="G6142" t="str" s="2">
        <x:v>Steve Castell</x:v>
      </x:c>
      <x:c r="H6142" s="6">
        <x:v>46251.921958136576</x:v>
      </x:c>
      <x:c r="I6142" t="str" s="2">
        <x:v>Alejandra Calderon</x:v>
      </x:c>
      <x:c r="J6142" s="6">
        <x:v>46252.770833333336</x:v>
      </x:c>
      <x:c r="K6142" s="6">
        <x:v>46251.921958136576</x:v>
      </x:c>
      <x:c r="L6142" t="str" s="2">
        <x:v>Show</x:v>
      </x:c>
    </x:row>
    <x:row r="6143">
      <x:c r="A6143" t="str" s="2">
        <x:f>=HYPERLINK("https://rsms.futurehomex.com/lead/39340", "Erika Silva")</x:f>
      </x:c>
      <x:c r="B6143" t="str" s="2">
        <x:v>Legacy Housing Corp. DBA Americasa</x:v>
      </x:c>
      <x:c r="C6143" t="str" s="2">
        <x:v/>
      </x:c>
      <x:c r="D6143" t="str" s="2">
        <x:v>3466048495</x:v>
      </x:c>
      <x:c r="E6143" t="str" s="2">
        <x:v>silvaerikitac@gmail.com</x:v>
      </x:c>
      <x:c r="F6143" t="str" s="2">
        <x:v>Referrals</x:v>
      </x:c>
      <x:c r="G6143" t="str" s="2">
        <x:v>Rodrigo Ramirez</x:v>
      </x:c>
      <x:c r="H6143" s="6">
        <x:v>46251.937158368055</x:v>
      </x:c>
      <x:c r="I6143" t="str" s="2">
        <x:v>Joey Marquez</x:v>
      </x:c>
      <x:c r="J6143" s="6">
        <x:v>46258.8125</x:v>
      </x:c>
      <x:c r="K6143" s="6">
        <x:v>46258.82036172454</x:v>
      </x:c>
      <x:c r="L6143" t="str" s="2">
        <x:v>Show</x:v>
      </x:c>
    </x:row>
    <x:row r="6144">
      <x:c r="A6144" t="str" s="2">
        <x:f>=HYPERLINK("https://rsms.futurehomex.com/lead/39231", "Trevor Scott")</x:f>
      </x:c>
      <x:c r="B6144" t="str" s="2">
        <x:v>Heritage Housing of Tulsa</x:v>
      </x:c>
      <x:c r="C6144" t="str" s="2">
        <x:v/>
      </x:c>
      <x:c r="D6144" t="str" s="2">
        <x:v>9187293382</x:v>
      </x:c>
      <x:c r="E6144" t="str" s="2">
        <x:v>destiny.kissee23@gmail.com</x:v>
      </x:c>
      <x:c r="F6144" t="str" s="2">
        <x:v>Walk-in</x:v>
      </x:c>
      <x:c r="G6144" s="0"/>
      <x:c r="H6144" s="6">
        <x:v>46252.72956721065</x:v>
      </x:c>
      <x:c r="I6144" t="str" s="2">
        <x:v>Jenna Fransisco</x:v>
      </x:c>
      <x:c r="J6144" s="0"/>
      <x:c r="K6144" s="0"/>
      <x:c r="L6144" t="str" s="2">
        <x:v>Show</x:v>
      </x:c>
    </x:row>
    <x:row r="6145">
      <x:c r="A6145" t="str" s="2">
        <x:f>=HYPERLINK("https://rsms.futurehomex.com/lead/39235", "Glendora Frazier")</x:f>
      </x:c>
      <x:c r="B6145" t="str" s="2">
        <x:v>Heritage Housing of Minden</x:v>
      </x:c>
      <x:c r="C6145" t="str" s="2">
        <x:v>1/1</x:v>
      </x:c>
      <x:c r="D6145" t="str" s="2">
        <x:v>3182052419</x:v>
      </x:c>
      <x:c r="E6145" t="str" s="2">
        <x:v>3182052419</x:v>
      </x:c>
      <x:c r="F6145" t="str" s="2">
        <x:v>Website</x:v>
      </x:c>
      <x:c r="G6145" t="str" s="2">
        <x:v>Patrick Schuchart</x:v>
      </x:c>
      <x:c r="H6145" s="6">
        <x:v>46252.741194016206</x:v>
      </x:c>
      <x:c r="I6145" t="str" s="2">
        <x:v>Patrick Schuchart</x:v>
      </x:c>
      <x:c r="J6145" s="6">
        <x:v>46252.625</x:v>
      </x:c>
      <x:c r="K6145" s="6">
        <x:v>46302.85525320602</x:v>
      </x:c>
      <x:c r="L6145" t="str" s="2">
        <x:v>Show</x:v>
      </x:c>
    </x:row>
    <x:row r="6146">
      <x:c r="A6146" t="str" s="2">
        <x:f>=HYPERLINK("https://rsms.futurehomex.com/lead/39236", "Juan Martinez")</x:f>
      </x:c>
      <x:c r="B6146" t="str" s="2">
        <x:v>Heritage Housing Mt Pleasant</x:v>
      </x:c>
      <x:c r="C6146" t="str" s="2">
        <x:v/>
      </x:c>
      <x:c r="D6146" t="str" s="2">
        <x:v>9037080324</x:v>
      </x:c>
      <x:c r="E6146" t="str" s="2">
        <x:v>9037080324</x:v>
      </x:c>
      <x:c r="F6146" t="str" s="2">
        <x:v>Meta Marketplace</x:v>
      </x:c>
      <x:c r="G6146" t="str" s="2">
        <x:v>Sandra Saldana</x:v>
      </x:c>
      <x:c r="H6146" s="6">
        <x:v>46252.74248765047</x:v>
      </x:c>
      <x:c r="I6146" t="str" s="2">
        <x:v>Sandra Saldana</x:v>
      </x:c>
      <x:c r="J6146" s="6">
        <x:v>46253.625</x:v>
      </x:c>
      <x:c r="K6146" s="6">
        <x:v>46252.7488872338</x:v>
      </x:c>
      <x:c r="L6146" t="str" s="2">
        <x:v>Show</x:v>
      </x:c>
    </x:row>
    <x:row r="6147">
      <x:c r="A6147" t="str" s="2">
        <x:f>=HYPERLINK("https://rsms.futurehomex.com/lead/39238", "Giezi Daniel Aguillon Oviedo")</x:f>
      </x:c>
      <x:c r="B6147" t="str" s="2">
        <x:v>Heritage Housing of Greenville</x:v>
      </x:c>
      <x:c r="C6147" t="str" s="2">
        <x:v/>
      </x:c>
      <x:c r="D6147" t="str" s="2">
        <x:v>4302353991</x:v>
      </x:c>
      <x:c r="E6147" t="str" s="2">
        <x:v>Danielaguillon022@gmail.com</x:v>
      </x:c>
      <x:c r="F6147" t="str" s="2">
        <x:v>Facebook Messenger</x:v>
      </x:c>
      <x:c r="G6147" t="str" s="2">
        <x:v>Brandie Sartor</x:v>
      </x:c>
      <x:c r="H6147" s="6">
        <x:v>46252.76986655092</x:v>
      </x:c>
      <x:c r="I6147" t="str" s="2">
        <x:v>Ana Garcia</x:v>
      </x:c>
      <x:c r="J6147" s="0"/>
      <x:c r="K6147" s="6">
        <x:v>46252.76986655092</x:v>
      </x:c>
      <x:c r="L6147" t="str" s="2">
        <x:v>Show</x:v>
      </x:c>
    </x:row>
    <x:row r="6148">
      <x:c r="A6148" t="str" s="2">
        <x:f>=HYPERLINK("https://rsms.futurehomex.com/lead/39240", "Martha Mendoza")</x:f>
      </x:c>
      <x:c r="B6148" t="str" s="2">
        <x:v>Heritage Housing Mt Pleasant</x:v>
      </x:c>
      <x:c r="C6148" t="str" s="2">
        <x:v/>
      </x:c>
      <x:c r="D6148" t="str" s="2">
        <x:v>9037080394</x:v>
      </x:c>
      <x:c r="E6148" t="str" s="2">
        <x:v>9037080394</x:v>
      </x:c>
      <x:c r="F6148" t="str" s="2">
        <x:v>Other</x:v>
      </x:c>
      <x:c r="G6148" t="str" s="2">
        <x:v>Sandra Saldana</x:v>
      </x:c>
      <x:c r="H6148" s="6">
        <x:v>46252.775738344906</x:v>
      </x:c>
      <x:c r="I6148" t="str" s="2">
        <x:v>Sandra Saldana</x:v>
      </x:c>
      <x:c r="J6148" s="6">
        <x:v>46252.333333333336</x:v>
      </x:c>
      <x:c r="K6148" s="6">
        <x:v>46252.95131732639</x:v>
      </x:c>
      <x:c r="L6148" t="str" s="2">
        <x:v>Show</x:v>
      </x:c>
    </x:row>
    <x:row r="6149">
      <x:c r="A6149" t="str" s="2">
        <x:f>=HYPERLINK("https://rsms.futurehomex.com/lead/40344", "April Lawless")</x:f>
      </x:c>
      <x:c r="B6149" t="str" s="2">
        <x:v>Heritage Housing of Asheboro</x:v>
      </x:c>
      <x:c r="C6149" t="str" s="2">
        <x:v/>
      </x:c>
      <x:c r="D6149" t="str" s="2">
        <x:v>7432090460</x:v>
      </x:c>
      <x:c r="E6149" t="str" s="2">
        <x:v>adlawless88@gmail.com</x:v>
      </x:c>
      <x:c r="F6149" t="str" s="2">
        <x:v>Walk-in</x:v>
      </x:c>
      <x:c r="G6149" t="str" s="2">
        <x:v>Maria Lopez</x:v>
      </x:c>
      <x:c r="H6149" s="6">
        <x:v>46252.796623344904</x:v>
      </x:c>
      <x:c r="I6149" t="str" s="2">
        <x:v>Kate Gutierrez</x:v>
      </x:c>
      <x:c r="J6149" s="0"/>
      <x:c r="K6149" s="6">
        <x:v>46259.74209811343</x:v>
      </x:c>
      <x:c r="L6149" t="str" s="2">
        <x:v>Show</x:v>
      </x:c>
    </x:row>
    <x:row r="6150">
      <x:c r="A6150" t="str" s="2">
        <x:f>=HYPERLINK("https://rsms.futurehomex.com/lead/39241", "Michael Walton")</x:f>
      </x:c>
      <x:c r="B6150" t="str" s="2">
        <x:v>Heritage Housing Mt Pleasant</x:v>
      </x:c>
      <x:c r="C6150" t="str" s="2">
        <x:v/>
      </x:c>
      <x:c r="D6150" t="str" s="2">
        <x:v>9405777843</x:v>
      </x:c>
      <x:c r="E6150" t="str" s="2">
        <x:v>9405777843</x:v>
      </x:c>
      <x:c r="F6150" t="str" s="2">
        <x:v>Other</x:v>
      </x:c>
      <x:c r="G6150" t="str" s="2">
        <x:v>Yarelis Torres</x:v>
      </x:c>
      <x:c r="H6150" s="6">
        <x:v>46252.800321793984</x:v>
      </x:c>
      <x:c r="I6150" t="str" s="2">
        <x:v>Yarelis Torres</x:v>
      </x:c>
      <x:c r="J6150" s="6">
        <x:v>46252.666666666664</x:v>
      </x:c>
      <x:c r="K6150" s="6">
        <x:v>46252.93115616898</x:v>
      </x:c>
      <x:c r="L6150" t="str" s="2">
        <x:v>Show</x:v>
      </x:c>
    </x:row>
    <x:row r="6151">
      <x:c r="A6151" t="str" s="2">
        <x:f>=HYPERLINK("https://rsms.futurehomex.com/lead/39247", "Ty Mc Nutt")</x:f>
      </x:c>
      <x:c r="B6151" t="str" s="2">
        <x:v>Heritage Housing Mt Pleasant</x:v>
      </x:c>
      <x:c r="C6151" t="str" s="2">
        <x:v/>
      </x:c>
      <x:c r="D6151" t="str" s="2">
        <x:v>9039460882</x:v>
      </x:c>
      <x:c r="E6151" t="str" s="2">
        <x:v>mcnutt1580@icloud.com</x:v>
      </x:c>
      <x:c r="F6151" t="str" s="2">
        <x:v>Office Hot Calls</x:v>
      </x:c>
      <x:c r="G6151" t="str" s="2">
        <x:v>Yarelis Torres</x:v>
      </x:c>
      <x:c r="H6151" s="6">
        <x:v>46252.97174212963</x:v>
      </x:c>
      <x:c r="I6151" t="str" s="2">
        <x:v>Yarelis Torres</x:v>
      </x:c>
      <x:c r="J6151" s="6">
        <x:v>46252.9375</x:v>
      </x:c>
      <x:c r="K6151" s="6">
        <x:v>46266.916813194446</x:v>
      </x:c>
      <x:c r="L6151" t="str" s="2">
        <x:v>Show</x:v>
      </x:c>
    </x:row>
    <x:row r="6152">
      <x:c r="A6152" t="str" s="2">
        <x:f>=HYPERLINK("https://rsms.futurehomex.com/lead/39266", "Maria Salinas Salinas")</x:f>
      </x:c>
      <x:c r="B6152" t="str" s="2">
        <x:v>Heritage Housing of Jennings</x:v>
      </x:c>
      <x:c r="C6152" t="str" s="2">
        <x:v/>
      </x:c>
      <x:c r="D6152" t="str" s="2">
        <x:v>3377062075</x:v>
      </x:c>
      <x:c r="E6152" t="str" s="2">
        <x:v>jackie2284@aol.com</x:v>
      </x:c>
      <x:c r="F6152" t="str" s="2">
        <x:v>Landing_BPM</x:v>
      </x:c>
      <x:c r="G6152" t="str" s="2">
        <x:v>Mervin Leslie Smith</x:v>
      </x:c>
      <x:c r="H6152" s="6">
        <x:v>46253.08150443287</x:v>
      </x:c>
      <x:c r="I6152" t="str" s="2">
        <x:v>Mervin Leslie Smith</x:v>
      </x:c>
      <x:c r="J6152" s="6">
        <x:v>46256.625</x:v>
      </x:c>
      <x:c r="K6152" s="6">
        <x:v>46256.67301396991</x:v>
      </x:c>
      <x:c r="L6152" t="str" s="2">
        <x:v>Show</x:v>
      </x:c>
    </x:row>
    <x:row r="6153">
      <x:c r="A6153" t="str" s="2">
        <x:f>=HYPERLINK("https://rsms.futurehomex.com/lead/39250", "Nayeli Torres")</x:f>
      </x:c>
      <x:c r="B6153" t="str" s="2">
        <x:v>Heritage Housing of Asheboro</x:v>
      </x:c>
      <x:c r="C6153" t="str" s="2">
        <x:v/>
      </x:c>
      <x:c r="D6153" t="str" s="2">
        <x:v>3362673006</x:v>
      </x:c>
      <x:c r="E6153" t="str" s="2">
        <x:v>Nayeli.ctorres@gmail.com</x:v>
      </x:c>
      <x:c r="F6153" t="str" s="2">
        <x:v>Walk-in</x:v>
      </x:c>
      <x:c r="G6153" s="0"/>
      <x:c r="H6153" s="6">
        <x:v>46253.58969846065</x:v>
      </x:c>
      <x:c r="I6153" t="str" s="2">
        <x:v>Maria Lopez</x:v>
      </x:c>
      <x:c r="J6153" s="0"/>
      <x:c r="K6153" s="0"/>
      <x:c r="L6153" t="str" s="2">
        <x:v>Show</x:v>
      </x:c>
    </x:row>
    <x:row r="6154">
      <x:c r="A6154" t="str" s="2">
        <x:f>=HYPERLINK("https://rsms.futurehomex.com/lead/39253", "Ana Perez")</x:f>
      </x:c>
      <x:c r="B6154" t="str" s="2">
        <x:v>Heritage Housing Mt Pleasant</x:v>
      </x:c>
      <x:c r="C6154" t="str" s="2">
        <x:v/>
      </x:c>
      <x:c r="D6154" t="str" s="2">
        <x:v>9033808575</x:v>
      </x:c>
      <x:c r="E6154" t="str" s="2">
        <x:v>9033808575</x:v>
      </x:c>
      <x:c r="F6154" t="str" s="2">
        <x:v>Other</x:v>
      </x:c>
      <x:c r="G6154" t="str" s="2">
        <x:v>Sandra Saldana</x:v>
      </x:c>
      <x:c r="H6154" s="6">
        <x:v>46253.63047103009</x:v>
      </x:c>
      <x:c r="I6154" t="str" s="2">
        <x:v>Sandra Saldana</x:v>
      </x:c>
      <x:c r="J6154" s="6">
        <x:v>46253.6875</x:v>
      </x:c>
      <x:c r="K6154" s="6">
        <x:v>46253.754402280094</x:v>
      </x:c>
      <x:c r="L6154" t="str" s="2">
        <x:v>Show</x:v>
      </x:c>
    </x:row>
    <x:row r="6155">
      <x:c r="A6155" t="str" s="2">
        <x:f>=HYPERLINK("https://rsms.futurehomex.com/lead/39255", "Evelyn Holt")</x:f>
      </x:c>
      <x:c r="B6155" t="str" s="2">
        <x:v>Heritage Housing of Canton</x:v>
      </x:c>
      <x:c r="C6155" t="str" s="2">
        <x:v/>
      </x:c>
      <x:c r="D6155" t="str" s="2">
        <x:v>9032887560</x:v>
      </x:c>
      <x:c r="E6155" t="str" s="2">
        <x:v>evholt321@gmail.com</x:v>
      </x:c>
      <x:c r="F6155" t="str" s="2">
        <x:v>Facebook Messenger</x:v>
      </x:c>
      <x:c r="G6155" t="str" s="2">
        <x:v>Jacob Hatten</x:v>
      </x:c>
      <x:c r="H6155" s="6">
        <x:v>46253.63449675926</x:v>
      </x:c>
      <x:c r="I6155" t="str" s="2">
        <x:v>Jacob Hatten</x:v>
      </x:c>
      <x:c r="J6155" s="6">
        <x:v>46253.604166666664</x:v>
      </x:c>
      <x:c r="K6155" s="6">
        <x:v>46253.642746261576</x:v>
      </x:c>
      <x:c r="L6155" t="str" s="2">
        <x:v>Show</x:v>
      </x:c>
    </x:row>
    <x:row r="6156">
      <x:c r="A6156" t="str" s="2">
        <x:f>=HYPERLINK("https://rsms.futurehomex.com/lead/39259", "Gabriela Vaquera")</x:f>
      </x:c>
      <x:c r="B6156" t="str" s="2">
        <x:v>Heritage Housing Mt Pleasant</x:v>
      </x:c>
      <x:c r="C6156" t="str" s="2">
        <x:v/>
      </x:c>
      <x:c r="D6156" t="str" s="2">
        <x:v>9032041651</x:v>
      </x:c>
      <x:c r="E6156" t="str" s="2">
        <x:v>9032041651</x:v>
      </x:c>
      <x:c r="F6156" t="str" s="2">
        <x:v>Other</x:v>
      </x:c>
      <x:c r="G6156" t="str" s="2">
        <x:v>Sandra Saldana</x:v>
      </x:c>
      <x:c r="H6156" s="6">
        <x:v>46253.70243572917</x:v>
      </x:c>
      <x:c r="I6156" t="str" s="2">
        <x:v>Sandra Saldana</x:v>
      </x:c>
      <x:c r="J6156" s="6">
        <x:v>46253.229166666664</x:v>
      </x:c>
      <x:c r="K6156" s="6">
        <x:v>46253.75337827546</x:v>
      </x:c>
      <x:c r="L6156" t="str" s="2">
        <x:v>Show</x:v>
      </x:c>
    </x:row>
    <x:row r="6157">
      <x:c r="A6157" t="str" s="2">
        <x:f>=HYPERLINK("https://rsms.futurehomex.com/lead/39260", "Donna Weddle")</x:f>
      </x:c>
      <x:c r="B6157" t="str" s="2">
        <x:v>Legacy Housing Corp. DBA Americasa</x:v>
      </x:c>
      <x:c r="C6157" t="str" s="2">
        <x:v/>
      </x:c>
      <x:c r="D6157" t="str" s="2">
        <x:v>8325392113</x:v>
      </x:c>
      <x:c r="E6157" t="str" s="2">
        <x:v>8325392113</x:v>
      </x:c>
      <x:c r="F6157" t="str" s="2">
        <x:v>Facebook Messenger</x:v>
      </x:c>
      <x:c r="G6157" t="str" s="2">
        <x:v>Angelica Mendoza </x:v>
      </x:c>
      <x:c r="H6157" s="6">
        <x:v>46253.73247662037</x:v>
      </x:c>
      <x:c r="I6157" t="str" s="2">
        <x:v>Jose Parada</x:v>
      </x:c>
      <x:c r="J6157" s="0"/>
      <x:c r="K6157" s="6">
        <x:v>46253.73247662037</x:v>
      </x:c>
      <x:c r="L6157" t="str" s="2">
        <x:v>Show</x:v>
      </x:c>
    </x:row>
    <x:row r="6158">
      <x:c r="A6158" t="str" s="2">
        <x:f>=HYPERLINK("https://rsms.futurehomex.com/lead/39270", "Joseph Duval")</x:f>
      </x:c>
      <x:c r="B6158" t="str" s="2">
        <x:v>Heritage Housing Gainesville</x:v>
      </x:c>
      <x:c r="C6158" t="str" s="2">
        <x:v/>
      </x:c>
      <x:c r="D6158" t="str" s="2">
        <x:v>9037187170</x:v>
      </x:c>
      <x:c r="E6158" t="str" s="2">
        <x:v>joesauto6700@gmail.com</x:v>
      </x:c>
      <x:c r="F6158" t="str" s="2">
        <x:v>Landing_BPM</x:v>
      </x:c>
      <x:c r="G6158" t="str" s="2">
        <x:v>Jeniffer Arellano</x:v>
      </x:c>
      <x:c r="H6158" s="6">
        <x:v>46253.910638078705</x:v>
      </x:c>
      <x:c r="I6158" t="str" s="2">
        <x:v>John Schwichtenberg</x:v>
      </x:c>
      <x:c r="J6158" s="6">
        <x:v>46253.958333333336</x:v>
      </x:c>
      <x:c r="K6158" s="6">
        <x:v>46253.939922881946</x:v>
      </x:c>
      <x:c r="L6158" t="str" s="2">
        <x:v>Show</x:v>
      </x:c>
    </x:row>
    <x:row r="6159">
      <x:c r="A6159" t="str" s="2">
        <x:f>=HYPERLINK("https://rsms.futurehomex.com/lead/39274", "Heritage Test")</x:f>
      </x:c>
      <x:c r="B6159" t="str" s="2">
        <x:v>Heritage Housing of Athens</x:v>
      </x:c>
      <x:c r="C6159" t="str" s="2">
        <x:v/>
      </x:c>
      <x:c r="D6159" t="str" s="2">
        <x:v>6789004348</x:v>
      </x:c>
      <x:c r="E6159" t="str" s="2">
        <x:v>anastasiavincent@hotmail.com</x:v>
      </x:c>
      <x:c r="F6159" t="str" s="2">
        <x:v>Walk-in</x:v>
      </x:c>
      <x:c r="G6159" t="str" s="2">
        <x:v>Iris McKinley</x:v>
      </x:c>
      <x:c r="H6159" s="6">
        <x:v>46254.59903680556</x:v>
      </x:c>
      <x:c r="I6159" t="str" s="2">
        <x:v>Anastasia Vincent</x:v>
      </x:c>
      <x:c r="J6159" s="0"/>
      <x:c r="K6159" s="6">
        <x:v>46254.59903680556</x:v>
      </x:c>
      <x:c r="L6159" t="str" s="2">
        <x:v>Show</x:v>
      </x:c>
    </x:row>
    <x:row r="6160">
      <x:c r="A6160" t="str" s="2">
        <x:f>=HYPERLINK("https://rsms.futurehomex.com/lead/39276", "Georgia Test")</x:f>
      </x:c>
      <x:c r="B6160" t="str" s="2">
        <x:v>Heritage Housing of Athens</x:v>
      </x:c>
      <x:c r="C6160" t="str" s="2">
        <x:v/>
      </x:c>
      <x:c r="D6160" t="str" s="2">
        <x:v/>
      </x:c>
      <x:c r="E6160" t="str" s="2">
        <x:v>nathanbishop@heritagehousing.net</x:v>
      </x:c>
      <x:c r="F6160" t="str" s="2">
        <x:v>Walk-in</x:v>
      </x:c>
      <x:c r="G6160" t="str" s="2">
        <x:v>Iris McKinley</x:v>
      </x:c>
      <x:c r="H6160" s="6">
        <x:v>46254.62321388889</x:v>
      </x:c>
      <x:c r="I6160" t="str" s="2">
        <x:v>Nathan Bishop</x:v>
      </x:c>
      <x:c r="J6160" s="0"/>
      <x:c r="K6160" s="6">
        <x:v>46254.62321388889</x:v>
      </x:c>
      <x:c r="L6160" t="str" s="2">
        <x:v>Show</x:v>
      </x:c>
    </x:row>
    <x:row r="6161">
      <x:c r="A6161" t="str" s="2">
        <x:f>=HYPERLINK("https://rsms.futurehomex.com/lead/39277", "Blondene Dalton")</x:f>
      </x:c>
      <x:c r="B6161" t="str" s="2">
        <x:v>Heritage Housing of Asheboro</x:v>
      </x:c>
      <x:c r="C6161" t="str" s="2">
        <x:v/>
      </x:c>
      <x:c r="D6161" t="str" s="2">
        <x:v>3364570616</x:v>
      </x:c>
      <x:c r="E6161" t="str" s="2">
        <x:v>Apostle.dalton@yahoo.om</x:v>
      </x:c>
      <x:c r="F6161" t="str" s="2">
        <x:v>Walk-in</x:v>
      </x:c>
      <x:c r="G6161" s="0"/>
      <x:c r="H6161" s="6">
        <x:v>46254.630016979165</x:v>
      </x:c>
      <x:c r="I6161" t="str" s="2">
        <x:v>Maria Lopez</x:v>
      </x:c>
      <x:c r="J6161" s="0"/>
      <x:c r="K6161" s="0"/>
      <x:c r="L6161" t="str" s="2">
        <x:v>Show</x:v>
      </x:c>
    </x:row>
    <x:row r="6162">
      <x:c r="A6162" t="str" s="2">
        <x:f>=HYPERLINK("https://rsms.futurehomex.com/lead/39280", "Marianela Chiquinquira Vilchez Molero")</x:f>
      </x:c>
      <x:c r="B6162" t="str" s="2">
        <x:v>Heritage Housing Mt Pleasant</x:v>
      </x:c>
      <x:c r="C6162" t="str" s="2">
        <x:v/>
      </x:c>
      <x:c r="D6162" t="str" s="2">
        <x:v>2145164276</x:v>
      </x:c>
      <x:c r="E6162" t="str" s="2">
        <x:v>roblesrobles0993@gmail.com</x:v>
      </x:c>
      <x:c r="F6162" t="str" s="2">
        <x:v>TikTok</x:v>
      </x:c>
      <x:c r="G6162" t="str" s="2">
        <x:v>Schell Liles</x:v>
      </x:c>
      <x:c r="H6162" s="6">
        <x:v>46254.72451693287</x:v>
      </x:c>
      <x:c r="I6162" t="str" s="2">
        <x:v>Elias Gallardo</x:v>
      </x:c>
      <x:c r="J6162" s="0"/>
      <x:c r="K6162" s="6">
        <x:v>46254.72451693287</x:v>
      </x:c>
      <x:c r="L6162" t="str" s="2">
        <x:v>Show</x:v>
      </x:c>
    </x:row>
    <x:row r="6163">
      <x:c r="A6163" t="str" s="2">
        <x:f>=HYPERLINK("https://rsms.futurehomex.com/lead/39285", "Elmer Velasquez")</x:f>
      </x:c>
      <x:c r="B6163" t="str" s="2">
        <x:v>Heritage Housing of Oklahoma City</x:v>
      </x:c>
      <x:c r="C6163" t="str" s="2">
        <x:v/>
      </x:c>
      <x:c r="D6163" t="str" s="2">
        <x:v>3313199735</x:v>
      </x:c>
      <x:c r="E6163" t="str" s="2">
        <x:v>elmercuruchich5048@gmail.com</x:v>
      </x:c>
      <x:c r="F6163" t="str" s="2">
        <x:v>Walk-in</x:v>
      </x:c>
      <x:c r="G6163" t="str" s="2">
        <x:v>Trey Rixleben</x:v>
      </x:c>
      <x:c r="H6163" s="6">
        <x:v>46254.88717994213</x:v>
      </x:c>
      <x:c r="I6163" t="str" s="2">
        <x:v>Trey Rixleben</x:v>
      </x:c>
      <x:c r="J6163" s="6">
        <x:v>46260.625</x:v>
      </x:c>
      <x:c r="K6163" s="6">
        <x:v>46260.65874579861</x:v>
      </x:c>
      <x:c r="L6163" t="str" s="2">
        <x:v>Show</x:v>
      </x:c>
    </x:row>
    <x:row r="6164">
      <x:c r="A6164" t="str" s="2">
        <x:f>=HYPERLINK("https://rsms.futurehomex.com/lead/39286", "Kizzy Jones")</x:f>
      </x:c>
      <x:c r="B6164" t="str" s="2">
        <x:v>Heritage Housing of Jennings</x:v>
      </x:c>
      <x:c r="C6164" t="str" s="2">
        <x:v/>
      </x:c>
      <x:c r="D6164" t="str" s="2">
        <x:v>4096783344</x:v>
      </x:c>
      <x:c r="E6164" t="str" s="2">
        <x:v>kj@nomail.com</x:v>
      </x:c>
      <x:c r="F6164" t="str" s="2">
        <x:v>Walk-in</x:v>
      </x:c>
      <x:c r="G6164" s="0"/>
      <x:c r="H6164" s="6">
        <x:v>46254.89711855324</x:v>
      </x:c>
      <x:c r="I6164" t="str" s="2">
        <x:v>Clint O'Neal</x:v>
      </x:c>
      <x:c r="J6164" s="0"/>
      <x:c r="K6164" s="0"/>
      <x:c r="L6164" t="str" s="2">
        <x:v>Show</x:v>
      </x:c>
    </x:row>
    <x:row r="6165">
      <x:c r="A6165" t="str" s="2">
        <x:f>=HYPERLINK("https://rsms.futurehomex.com/lead/39287", "Joel Wiedel")</x:f>
      </x:c>
      <x:c r="B6165" t="str" s="2">
        <x:v>Heritage Housing Marble Falls</x:v>
      </x:c>
      <x:c r="C6165" t="str" s="2">
        <x:v/>
      </x:c>
      <x:c r="D6165" t="str" s="2">
        <x:v>4027205062</x:v>
      </x:c>
      <x:c r="E6165" t="str" s="2">
        <x:v>4027205062</x:v>
      </x:c>
      <x:c r="F6165" t="str" s="2">
        <x:v>Walk-in</x:v>
      </x:c>
      <x:c r="G6165" t="str" s="2">
        <x:v>Stephen Sanders</x:v>
      </x:c>
      <x:c r="H6165" s="6">
        <x:v>46254.913676585646</x:v>
      </x:c>
      <x:c r="I6165" t="str" s="2">
        <x:v>Stephen Sanders</x:v>
      </x:c>
      <x:c r="J6165" s="0"/>
      <x:c r="K6165" s="6">
        <x:v>46254.913676585646</x:v>
      </x:c>
      <x:c r="L6165" t="str" s="2">
        <x:v>Show</x:v>
      </x:c>
    </x:row>
    <x:row r="6166">
      <x:c r="A6166" t="str" s="2">
        <x:f>=HYPERLINK("https://rsms.futurehomex.com/lead/39288", "Heather Allen")</x:f>
      </x:c>
      <x:c r="B6166" t="str" s="2">
        <x:v>Heritage Housing of Oklahoma City</x:v>
      </x:c>
      <x:c r="C6166" t="str" s="2">
        <x:v/>
      </x:c>
      <x:c r="D6166" t="str" s="2">
        <x:v>4056140109</x:v>
      </x:c>
      <x:c r="E6166" t="str" s="2">
        <x:v>heatherinmotion@gmail.com</x:v>
      </x:c>
      <x:c r="F6166" t="str" s="2">
        <x:v>Facebook Messenger</x:v>
      </x:c>
      <x:c r="G6166" t="str" s="2">
        <x:v>Steve Castell</x:v>
      </x:c>
      <x:c r="H6166" s="6">
        <x:v>46254.9255150463</x:v>
      </x:c>
      <x:c r="I6166" t="str" s="2">
        <x:v>Steve Castell</x:v>
      </x:c>
      <x:c r="J6166" s="6">
        <x:v>46256.666666666664</x:v>
      </x:c>
      <x:c r="K6166" s="6">
        <x:v>46256.72770952546</x:v>
      </x:c>
      <x:c r="L6166" t="str" s="2">
        <x:v>Show</x:v>
      </x:c>
    </x:row>
    <x:row r="6167">
      <x:c r="A6167" t="str" s="2">
        <x:f>=HYPERLINK("https://rsms.futurehomex.com/lead/39296", "Diego Carillo")</x:f>
      </x:c>
      <x:c r="B6167" t="str" s="2">
        <x:v>Heritage Housing of Oklahoma City</x:v>
      </x:c>
      <x:c r="C6167" t="str" s="2">
        <x:v/>
      </x:c>
      <x:c r="D6167" t="str" s="2">
        <x:v>4053612806</x:v>
      </x:c>
      <x:c r="E6167" t="str" s="2">
        <x:v>dc396871@gmail.com</x:v>
      </x:c>
      <x:c r="F6167" t="str" s="2">
        <x:v>Walk-in</x:v>
      </x:c>
      <x:c r="G6167" t="str" s="2">
        <x:v>Alejandra Calderon</x:v>
      </x:c>
      <x:c r="H6167" s="6">
        <x:v>46255.67814614583</x:v>
      </x:c>
      <x:c r="I6167" t="str" s="2">
        <x:v>Alejandra Calderon</x:v>
      </x:c>
      <x:c r="J6167" s="0"/>
      <x:c r="K6167" s="6">
        <x:v>46255.67814614583</x:v>
      </x:c>
      <x:c r="L6167" t="str" s="2">
        <x:v>Show</x:v>
      </x:c>
    </x:row>
    <x:row r="6168">
      <x:c r="A6168" t="str" s="2">
        <x:f>=HYPERLINK("https://rsms.futurehomex.com/lead/39297", "Wanda Howard")</x:f>
      </x:c>
      <x:c r="B6168" t="str" s="2">
        <x:v>Heritage Housing of Oklahoma City</x:v>
      </x:c>
      <x:c r="C6168" t="str" s="2">
        <x:v/>
      </x:c>
      <x:c r="D6168" t="str" s="2">
        <x:v>4059928101</x:v>
      </x:c>
      <x:c r="E6168" t="str" s="2">
        <x:v>grandma_wanda8185@yahoo.com</x:v>
      </x:c>
      <x:c r="F6168" t="str" s="2">
        <x:v>Referrals</x:v>
      </x:c>
      <x:c r="G6168" t="str" s="2">
        <x:v>Steve Castell</x:v>
      </x:c>
      <x:c r="H6168" s="6">
        <x:v>46255.755878159725</x:v>
      </x:c>
      <x:c r="I6168" t="str" s="2">
        <x:v>Steve Castell</x:v>
      </x:c>
      <x:c r="J6168" s="6">
        <x:v>46256.211805555555</x:v>
      </x:c>
      <x:c r="K6168" s="6">
        <x:v>46256.79810825232</x:v>
      </x:c>
      <x:c r="L6168" t="str" s="2">
        <x:v>Show</x:v>
      </x:c>
    </x:row>
    <x:row r="6169">
      <x:c r="A6169" t="str" s="2">
        <x:f>=HYPERLINK("https://rsms.futurehomex.com/lead/39308", "Sheryl Hitchcock")</x:f>
      </x:c>
      <x:c r="B6169" t="str" s="2">
        <x:v>Heritage Housing of Augusta</x:v>
      </x:c>
      <x:c r="C6169" t="str" s="2">
        <x:v/>
      </x:c>
      <x:c r="D6169" t="str" s="2">
        <x:v>7066915035</x:v>
      </x:c>
      <x:c r="E6169" t="str" s="2">
        <x:v>sdjones09@yahoo.com</x:v>
      </x:c>
      <x:c r="F6169" t="str" s="2">
        <x:v>Walk-in</x:v>
      </x:c>
      <x:c r="G6169" s="0"/>
      <x:c r="H6169" s="6">
        <x:v>46256.58284768518</x:v>
      </x:c>
      <x:c r="I6169" t="str" s="2">
        <x:v>Faye Lively</x:v>
      </x:c>
      <x:c r="J6169" s="0"/>
      <x:c r="K6169" s="0"/>
      <x:c r="L6169" t="str" s="2">
        <x:v>Show</x:v>
      </x:c>
    </x:row>
    <x:row r="6170">
      <x:c r="A6170" t="str" s="2">
        <x:f>=HYPERLINK("https://rsms.futurehomex.com/lead/39317", "Terry Francis")</x:f>
      </x:c>
      <x:c r="B6170" t="str" s="2">
        <x:v>Heritage Housing Mt Pleasant</x:v>
      </x:c>
      <x:c r="C6170" t="str" s="2">
        <x:v/>
      </x:c>
      <x:c r="D6170" t="str" s="2">
        <x:v>9034243387</x:v>
      </x:c>
      <x:c r="E6170" t="str" s="2">
        <x:v>9034243387</x:v>
      </x:c>
      <x:c r="F6170" t="str" s="2">
        <x:v>Walk-in</x:v>
      </x:c>
      <x:c r="G6170" t="str" s="2">
        <x:v>Sandra Saldana</x:v>
      </x:c>
      <x:c r="H6170" s="6">
        <x:v>46256.654903125</x:v>
      </x:c>
      <x:c r="I6170" t="str" s="2">
        <x:v>Sandra Saldana</x:v>
      </x:c>
      <x:c r="J6170" s="6">
        <x:v>46256.666666666664</x:v>
      </x:c>
      <x:c r="K6170" s="6">
        <x:v>46256.69755428241</x:v>
      </x:c>
      <x:c r="L6170" t="str" s="2">
        <x:v>Show</x:v>
      </x:c>
    </x:row>
    <x:row r="6171">
      <x:c r="A6171" t="str" s="2">
        <x:f>=HYPERLINK("https://rsms.futurehomex.com/lead/39318", "James Coughenour")</x:f>
      </x:c>
      <x:c r="B6171" t="str" s="2">
        <x:v>Heritage Housing of Asheboro</x:v>
      </x:c>
      <x:c r="C6171" t="str" s="2">
        <x:v/>
      </x:c>
      <x:c r="D6171" t="str" s="2">
        <x:v>9106907121</x:v>
      </x:c>
      <x:c r="E6171" t="str" s="2">
        <x:v>coughenour1@gmail.com</x:v>
      </x:c>
      <x:c r="F6171" t="str" s="2">
        <x:v>Walk-in</x:v>
      </x:c>
      <x:c r="G6171" s="0"/>
      <x:c r="H6171" s="6">
        <x:v>46256.69238017361</x:v>
      </x:c>
      <x:c r="I6171" t="str" s="2">
        <x:v>Maria Lopez</x:v>
      </x:c>
      <x:c r="J6171" s="0"/>
      <x:c r="K6171" s="0"/>
      <x:c r="L6171" t="str" s="2">
        <x:v>Show</x:v>
      </x:c>
    </x:row>
    <x:row r="6172">
      <x:c r="A6172" t="str" s="2">
        <x:f>=HYPERLINK("https://rsms.futurehomex.com/lead/39321", "Sandra Hernandez")</x:f>
      </x:c>
      <x:c r="B6172" t="str" s="2">
        <x:v>Heritage Housing of Oklahoma City</x:v>
      </x:c>
      <x:c r="C6172" t="str" s="2">
        <x:v/>
      </x:c>
      <x:c r="D6172" t="str" s="2">
        <x:v>4055930294</x:v>
      </x:c>
      <x:c r="E6172" t="str" s="2">
        <x:v>sandrahernandezc@yahoo.com</x:v>
      </x:c>
      <x:c r="F6172" t="str" s="2">
        <x:v>Facebook Messenger</x:v>
      </x:c>
      <x:c r="G6172" t="str" s="2">
        <x:v>Eva Misheva</x:v>
      </x:c>
      <x:c r="H6172" s="6">
        <x:v>46256.729585497684</x:v>
      </x:c>
      <x:c r="I6172" t="str" s="2">
        <x:v>Eva Misheva</x:v>
      </x:c>
      <x:c r="J6172" s="6">
        <x:v>46256.791666666664</x:v>
      </x:c>
      <x:c r="K6172" s="6">
        <x:v>46256.73020385417</x:v>
      </x:c>
      <x:c r="L6172" t="str" s="2">
        <x:v>Show</x:v>
      </x:c>
    </x:row>
    <x:row r="6173">
      <x:c r="A6173" t="str" s="2">
        <x:f>=HYPERLINK("https://rsms.futurehomex.com/lead/39325", "Donald Murphey")</x:f>
      </x:c>
      <x:c r="B6173" t="str" s="2">
        <x:v>Heritage Housing of Oklahoma City</x:v>
      </x:c>
      <x:c r="C6173" t="str" s="2">
        <x:v/>
      </x:c>
      <x:c r="D6173" t="str" s="2">
        <x:v>4052038243</x:v>
      </x:c>
      <x:c r="E6173" t="str" s="2">
        <x:v>DONALDDD12@GMAIL.COM</x:v>
      </x:c>
      <x:c r="F6173" t="str" s="2">
        <x:v>Facebook Messenger</x:v>
      </x:c>
      <x:c r="G6173" t="str" s="2">
        <x:v>Eva Misheva</x:v>
      </x:c>
      <x:c r="H6173" s="6">
        <x:v>46256.78457222222</x:v>
      </x:c>
      <x:c r="I6173" t="str" s="2">
        <x:v>Eva Misheva</x:v>
      </x:c>
      <x:c r="J6173" s="0"/>
      <x:c r="K6173" s="6">
        <x:v>46256.78457222222</x:v>
      </x:c>
      <x:c r="L6173" t="str" s="2">
        <x:v>Show</x:v>
      </x:c>
    </x:row>
    <x:row r="6174">
      <x:c r="A6174" t="str" s="2">
        <x:f>=HYPERLINK("https://rsms.futurehomex.com/lead/39326", "Dillon Couvillion")</x:f>
      </x:c>
      <x:c r="B6174" t="str" s="2">
        <x:v>Heritage Housing of Jennings</x:v>
      </x:c>
      <x:c r="C6174" t="str" s="2">
        <x:v/>
      </x:c>
      <x:c r="D6174" t="str" s="2">
        <x:v>3374589771</x:v>
      </x:c>
      <x:c r="E6174" t="str" s="2">
        <x:v>dillon.couvillion26@icloud.com</x:v>
      </x:c>
      <x:c r="F6174" t="str" s="2">
        <x:v>Walk-in</x:v>
      </x:c>
      <x:c r="G6174" s="0"/>
      <x:c r="H6174" s="6">
        <x:v>46256.79522619213</x:v>
      </x:c>
      <x:c r="I6174" t="str" s="2">
        <x:v>Clint O'Neal</x:v>
      </x:c>
      <x:c r="J6174" s="0"/>
      <x:c r="K6174" s="0"/>
      <x:c r="L6174" t="str" s="2">
        <x:v>Show</x:v>
      </x:c>
    </x:row>
    <x:row r="6175">
      <x:c r="A6175" t="str" s="2">
        <x:f>=HYPERLINK("https://rsms.futurehomex.com/lead/39330", "Jomarie Toro")</x:f>
      </x:c>
      <x:c r="B6175" t="str" s="2">
        <x:v>Heritage Housing of Augusta</x:v>
      </x:c>
      <x:c r="C6175" t="str" s="2">
        <x:v/>
      </x:c>
      <x:c r="D6175" t="str" s="2">
        <x:v>9168705107</x:v>
      </x:c>
      <x:c r="E6175" t="str" s="2">
        <x:v>jomie79@yahoo.com</x:v>
      </x:c>
      <x:c r="F6175" t="str" s="2">
        <x:v>Walk-in</x:v>
      </x:c>
      <x:c r="G6175" s="0"/>
      <x:c r="H6175" s="6">
        <x:v>46256.836882905096</x:v>
      </x:c>
      <x:c r="I6175" t="str" s="2">
        <x:v>Jennifer Johnson</x:v>
      </x:c>
      <x:c r="J6175" s="0"/>
      <x:c r="K6175" s="0"/>
      <x:c r="L6175" t="str" s="2">
        <x:v>Show</x:v>
      </x:c>
    </x:row>
    <x:row r="6176">
      <x:c r="A6176" t="str" s="2">
        <x:f>=HYPERLINK("https://rsms.futurehomex.com/lead/39394", "Michaela McIntyre")</x:f>
      </x:c>
      <x:c r="B6176" t="str" s="2">
        <x:v>Heritage Housing of Asheboro</x:v>
      </x:c>
      <x:c r="C6176" t="str" s="2">
        <x:v/>
      </x:c>
      <x:c r="D6176" t="str" s="2">
        <x:v>3369635073</x:v>
      </x:c>
      <x:c r="E6176" t="str" s="2">
        <x:v>michaelacm27@gmail.com</x:v>
      </x:c>
      <x:c r="F6176" t="str" s="2">
        <x:v>Walk-in</x:v>
      </x:c>
      <x:c r="G6176" s="0"/>
      <x:c r="H6176" s="6">
        <x:v>46257.77780153935</x:v>
      </x:c>
      <x:c r="I6176" t="str" s="2">
        <x:v>Maria Lopez</x:v>
      </x:c>
      <x:c r="J6176" s="0"/>
      <x:c r="K6176" s="0"/>
      <x:c r="L6176" t="str" s="2">
        <x:v>Show</x:v>
      </x:c>
    </x:row>
    <x:row r="6177">
      <x:c r="A6177" t="str" s="2">
        <x:f>=HYPERLINK("https://rsms.futurehomex.com/lead/39393", "Jaxon Maness")</x:f>
      </x:c>
      <x:c r="B6177" t="str" s="2">
        <x:v>Heritage Housing of Asheboro</x:v>
      </x:c>
      <x:c r="C6177" t="str" s="2">
        <x:v/>
      </x:c>
      <x:c r="D6177" t="str" s="2">
        <x:v>3364605399</x:v>
      </x:c>
      <x:c r="E6177" t="str" s="2">
        <x:v>jaxonmaness219@yahoo.com</x:v>
      </x:c>
      <x:c r="F6177" t="str" s="2">
        <x:v>Walk-in</x:v>
      </x:c>
      <x:c r="G6177" s="0"/>
      <x:c r="H6177" s="6">
        <x:v>46257.807093055555</x:v>
      </x:c>
      <x:c r="I6177" t="str" s="2">
        <x:v>Maria Lopez</x:v>
      </x:c>
      <x:c r="J6177" s="0"/>
      <x:c r="K6177" s="0"/>
      <x:c r="L6177" t="str" s="2">
        <x:v>Show</x:v>
      </x:c>
    </x:row>
    <x:row r="6178">
      <x:c r="A6178" t="str" s="2">
        <x:f>=HYPERLINK("https://rsms.futurehomex.com/lead/39335", "DIONNE MANNING")</x:f>
      </x:c>
      <x:c r="B6178" t="str" s="2">
        <x:v>Heritage Housing of Oklahoma City</x:v>
      </x:c>
      <x:c r="C6178" t="str" s="2">
        <x:v/>
      </x:c>
      <x:c r="D6178" t="str" s="2">
        <x:v>4059264658</x:v>
      </x:c>
      <x:c r="E6178" t="str" s="2">
        <x:v>4059264658</x:v>
      </x:c>
      <x:c r="F6178" t="str" s="2">
        <x:v>Facebook Messenger</x:v>
      </x:c>
      <x:c r="G6178" t="str" s="2">
        <x:v>Eva Misheva</x:v>
      </x:c>
      <x:c r="H6178" s="6">
        <x:v>46257.82061739583</x:v>
      </x:c>
      <x:c r="I6178" t="str" s="2">
        <x:v>Steve Castell</x:v>
      </x:c>
      <x:c r="J6178" s="0"/>
      <x:c r="K6178" s="6">
        <x:v>46257.82061739583</x:v>
      </x:c>
      <x:c r="L6178" t="str" s="2">
        <x:v>Show</x:v>
      </x:c>
    </x:row>
    <x:row r="6179">
      <x:c r="A6179" t="str" s="2">
        <x:f>=HYPERLINK("https://rsms.futurehomex.com/lead/39336", "BAILEY FULTON")</x:f>
      </x:c>
      <x:c r="B6179" t="str" s="2">
        <x:v>Heritage Housing of Oklahoma City</x:v>
      </x:c>
      <x:c r="C6179" t="str" s="2">
        <x:v/>
      </x:c>
      <x:c r="D6179" t="str" s="2">
        <x:v>9182571365</x:v>
      </x:c>
      <x:c r="E6179" t="str" s="2">
        <x:v>BAILEYFULTON22@GMAIL.COM</x:v>
      </x:c>
      <x:c r="F6179" t="str" s="2">
        <x:v>Facebook Messenger</x:v>
      </x:c>
      <x:c r="G6179" t="str" s="2">
        <x:v>Eva Misheva</x:v>
      </x:c>
      <x:c r="H6179" s="6">
        <x:v>46257.86285193287</x:v>
      </x:c>
      <x:c r="I6179" t="str" s="2">
        <x:v>Eva Misheva</x:v>
      </x:c>
      <x:c r="J6179" s="0"/>
      <x:c r="K6179" s="6">
        <x:v>46257.86285193287</x:v>
      </x:c>
      <x:c r="L6179" t="str" s="2">
        <x:v>Show</x:v>
      </x:c>
    </x:row>
    <x:row r="6180">
      <x:c r="A6180" t="str" s="2">
        <x:f>=HYPERLINK("https://rsms.futurehomex.com/lead/40681", "Aj Eason")</x:f>
      </x:c>
      <x:c r="B6180" t="str" s="2">
        <x:v>Heritage Housing of Albany</x:v>
      </x:c>
      <x:c r="C6180" t="str" s="2">
        <x:v>0/1</x:v>
      </x:c>
      <x:c r="D6180" t="str" s="2">
        <x:v>2297338364</x:v>
      </x:c>
      <x:c r="E6180" t="str" s="2">
        <x:v>ajeason93@gmail.com</x:v>
      </x:c>
      <x:c r="F6180" t="str" s="2">
        <x:v>LandingPage</x:v>
      </x:c>
      <x:c r="G6180" t="str" s="2">
        <x:v>Yanet Alvarez</x:v>
      </x:c>
      <x:c r="H6180" s="6">
        <x:v>46258.265090891204</x:v>
      </x:c>
      <x:c r="I6180" t="str" s="2">
        <x:v>Yanet Alvarez</x:v>
      </x:c>
      <x:c r="J6180" s="6">
        <x:v>46303.395833333336</x:v>
      </x:c>
      <x:c r="K6180" s="6">
        <x:v>46303.916534027776</x:v>
      </x:c>
      <x:c r="L6180" t="str" s="2">
        <x:v>Show</x:v>
      </x:c>
    </x:row>
    <x:row r="6181">
      <x:c r="A6181" t="str" s="2">
        <x:f>=HYPERLINK("https://rsms.futurehomex.com/lead/39697", "Jeffrey White White")</x:f>
      </x:c>
      <x:c r="B6181" t="str" s="2">
        <x:v>Heritage Housing of Asheboro</x:v>
      </x:c>
      <x:c r="C6181" t="str" s="2">
        <x:v/>
      </x:c>
      <x:c r="D6181" t="str" s="2">
        <x:v>3364938478</x:v>
      </x:c>
      <x:c r="E6181" t="str" s="2">
        <x:v>jeffreycwhite1963@yahoo.com</x:v>
      </x:c>
      <x:c r="F6181" t="str" s="2">
        <x:v>Walk-in</x:v>
      </x:c>
      <x:c r="G6181" t="str" s="2">
        <x:v>Maria Lopez</x:v>
      </x:c>
      <x:c r="H6181" s="6">
        <x:v>46258.4897315162</x:v>
      </x:c>
      <x:c r="I6181" t="str" s="2">
        <x:v>Maria Lopez</x:v>
      </x:c>
      <x:c r="J6181" s="0"/>
      <x:c r="K6181" s="6">
        <x:v>46269</x:v>
      </x:c>
      <x:c r="L6181" t="str" s="2">
        <x:v>Show</x:v>
      </x:c>
    </x:row>
    <x:row r="6182">
      <x:c r="A6182" t="str" s="2">
        <x:f>=HYPERLINK("https://rsms.futurehomex.com/lead/39346", "Lorena Martinez")</x:f>
      </x:c>
      <x:c r="B6182" t="str" s="2">
        <x:v>Heritage Housing Mt Pleasant</x:v>
      </x:c>
      <x:c r="C6182" t="str" s="2">
        <x:v/>
      </x:c>
      <x:c r="D6182" t="str" s="2">
        <x:v>9032851249</x:v>
      </x:c>
      <x:c r="E6182" t="str" s="2">
        <x:v>9032851249</x:v>
      </x:c>
      <x:c r="F6182" t="str" s="2">
        <x:v>Meta Marketplace</x:v>
      </x:c>
      <x:c r="G6182" t="str" s="2">
        <x:v>Sandra Saldana</x:v>
      </x:c>
      <x:c r="H6182" s="6">
        <x:v>46258.561661458334</x:v>
      </x:c>
      <x:c r="I6182" t="str" s="2">
        <x:v>Sandra Saldana</x:v>
      </x:c>
      <x:c r="J6182" s="6">
        <x:v>46258.916666666664</x:v>
      </x:c>
      <x:c r="K6182" s="6">
        <x:v>46259.55009783565</x:v>
      </x:c>
      <x:c r="L6182" t="str" s="2">
        <x:v>Show</x:v>
      </x:c>
    </x:row>
    <x:row r="6183">
      <x:c r="A6183" t="str" s="2">
        <x:f>=HYPERLINK("https://rsms.futurehomex.com/lead/39382", "Cheyanne Farran")</x:f>
      </x:c>
      <x:c r="B6183" t="str" s="2">
        <x:v>Heritage Housing of Oklahoma City</x:v>
      </x:c>
      <x:c r="C6183" t="str" s="2">
        <x:v>0/4</x:v>
      </x:c>
      <x:c r="D6183" t="str" s="2">
        <x:v>4057617208</x:v>
      </x:c>
      <x:c r="E6183" t="str" s="2">
        <x:v>farran.cheyanne@gmail.com</x:v>
      </x:c>
      <x:c r="F6183" t="str" s="2">
        <x:v>Landing_BPM</x:v>
      </x:c>
      <x:c r="G6183" t="str" s="2">
        <x:v>Alejandra Calderon</x:v>
      </x:c>
      <x:c r="H6183" s="6">
        <x:v>46258.64896559028</x:v>
      </x:c>
      <x:c r="I6183" t="str" s="2">
        <x:v>Alejandra Calderon</x:v>
      </x:c>
      <x:c r="J6183" s="6">
        <x:v>46263.875</x:v>
      </x:c>
      <x:c r="K6183" s="6">
        <x:v>46274.84782199074</x:v>
      </x:c>
      <x:c r="L6183" t="str" s="2">
        <x:v>Show</x:v>
      </x:c>
    </x:row>
    <x:row r="6184">
      <x:c r="A6184" t="str" s="2">
        <x:f>=HYPERLINK("https://rsms.futurehomex.com/lead/39349", "RW &amp; Sonya Coop")</x:f>
      </x:c>
      <x:c r="B6184" t="str" s="2">
        <x:v>Heritage Housing of Oklahoma City</x:v>
      </x:c>
      <x:c r="C6184" t="str" s="2">
        <x:v/>
      </x:c>
      <x:c r="D6184" t="str" s="2">
        <x:v>4055677765</x:v>
      </x:c>
      <x:c r="E6184" t="str" s="2">
        <x:v>cooprw5@gmail.com</x:v>
      </x:c>
      <x:c r="F6184" t="str" s="2">
        <x:v>Facebook Messenger</x:v>
      </x:c>
      <x:c r="G6184" t="str" s="2">
        <x:v>Steve Castell</x:v>
      </x:c>
      <x:c r="H6184" s="6">
        <x:v>46258.68087855324</x:v>
      </x:c>
      <x:c r="I6184" t="str" s="2">
        <x:v>Steve Castell</x:v>
      </x:c>
      <x:c r="J6184" s="6">
        <x:v>46263.875</x:v>
      </x:c>
      <x:c r="K6184" s="6">
        <x:v>46263.8828790162</x:v>
      </x:c>
      <x:c r="L6184" t="str" s="2">
        <x:v>Show</x:v>
      </x:c>
    </x:row>
    <x:row r="6185">
      <x:c r="A6185" t="str" s="2">
        <x:f>=HYPERLINK("https://rsms.futurehomex.com/lead/39352", "Holly Huffaker")</x:f>
      </x:c>
      <x:c r="B6185" t="str" s="2">
        <x:v>Heritage Housing of Oklahoma City</x:v>
      </x:c>
      <x:c r="C6185" t="str" s="2">
        <x:v/>
      </x:c>
      <x:c r="D6185" t="str" s="2">
        <x:v>4058801787</x:v>
      </x:c>
      <x:c r="E6185" t="str" s="2">
        <x:v>totalequineservicesok@gmail.com</x:v>
      </x:c>
      <x:c r="F6185" t="str" s="2">
        <x:v>Walk-in</x:v>
      </x:c>
      <x:c r="G6185" t="str" s="2">
        <x:v>Trey Rixleben</x:v>
      </x:c>
      <x:c r="H6185" s="6">
        <x:v>46258.70109864583</x:v>
      </x:c>
      <x:c r="I6185" t="str" s="2">
        <x:v>Trey Rixleben</x:v>
      </x:c>
      <x:c r="J6185" s="6">
        <x:v>46258.770833333336</x:v>
      </x:c>
      <x:c r="K6185" s="6">
        <x:v>46258.786894791665</x:v>
      </x:c>
      <x:c r="L6185" t="str" s="2">
        <x:v>Show</x:v>
      </x:c>
    </x:row>
    <x:row r="6186">
      <x:c r="A6186" t="str" s="2">
        <x:f>=HYPERLINK("https://rsms.futurehomex.com/lead/39354", "Sydney Stulir")</x:f>
      </x:c>
      <x:c r="B6186" t="str" s="2">
        <x:v>Heritage Housing of Oklahoma City</x:v>
      </x:c>
      <x:c r="C6186" t="str" s="2">
        <x:v/>
      </x:c>
      <x:c r="D6186" t="str" s="2">
        <x:v>5803404752</x:v>
      </x:c>
      <x:c r="E6186" t="str" s="2">
        <x:v>sydney.hurd21@gmail.com</x:v>
      </x:c>
      <x:c r="F6186" t="str" s="2">
        <x:v>Office Hot Calls</x:v>
      </x:c>
      <x:c r="G6186" t="str" s="2">
        <x:v>Trey Rixleben</x:v>
      </x:c>
      <x:c r="H6186" s="6">
        <x:v>46258.708308368055</x:v>
      </x:c>
      <x:c r="I6186" t="str" s="2">
        <x:v>Trey Rixleben</x:v>
      </x:c>
      <x:c r="J6186" s="6">
        <x:v>46260.833333333336</x:v>
      </x:c>
      <x:c r="K6186" s="6">
        <x:v>46260.83835859954</x:v>
      </x:c>
      <x:c r="L6186" t="str" s="2">
        <x:v>Show</x:v>
      </x:c>
    </x:row>
    <x:row r="6187">
      <x:c r="A6187" t="str" s="2">
        <x:f>=HYPERLINK("https://rsms.futurehomex.com/lead/39359", "Athens Test")</x:f>
      </x:c>
      <x:c r="B6187" t="str" s="2">
        <x:v>Heritage Housing of Athens</x:v>
      </x:c>
      <x:c r="C6187" t="str" s="2">
        <x:v/>
      </x:c>
      <x:c r="D6187" t="str" s="2">
        <x:v>6785555555</x:v>
      </x:c>
      <x:c r="E6187" t="str" s="2">
        <x:v>n8sweeps@aol.com</x:v>
      </x:c>
      <x:c r="F6187" t="str" s="2">
        <x:v>Walk-in</x:v>
      </x:c>
      <x:c r="G6187" t="str" s="2">
        <x:v>Iris McKinley</x:v>
      </x:c>
      <x:c r="H6187" s="6">
        <x:v>46258.77152184028</x:v>
      </x:c>
      <x:c r="I6187" t="str" s="2">
        <x:v>Nathan Bishop</x:v>
      </x:c>
      <x:c r="J6187" s="0"/>
      <x:c r="K6187" s="6">
        <x:v>46258.77152184028</x:v>
      </x:c>
      <x:c r="L6187" t="str" s="2">
        <x:v>Show</x:v>
      </x:c>
    </x:row>
    <x:row r="6188">
      <x:c r="A6188" t="str" s="2">
        <x:f>=HYPERLINK("https://rsms.futurehomex.com/lead/39361", "Jackie Moore")</x:f>
      </x:c>
      <x:c r="B6188" t="str" s="2">
        <x:v>Heritage Housing of Asheboro</x:v>
      </x:c>
      <x:c r="C6188" t="str" s="2">
        <x:v/>
      </x:c>
      <x:c r="D6188" t="str" s="2">
        <x:v>9108942180</x:v>
      </x:c>
      <x:c r="E6188" t="str" s="2">
        <x:v>jackiemoore@gmail.com</x:v>
      </x:c>
      <x:c r="F6188" t="str" s="2">
        <x:v>Walk-in</x:v>
      </x:c>
      <x:c r="G6188" s="0"/>
      <x:c r="H6188" s="6">
        <x:v>46258.801967974534</x:v>
      </x:c>
      <x:c r="I6188" t="str" s="2">
        <x:v>Maria Lopez</x:v>
      </x:c>
      <x:c r="J6188" s="0"/>
      <x:c r="K6188" s="0"/>
      <x:c r="L6188" t="str" s="2">
        <x:v>Show</x:v>
      </x:c>
    </x:row>
    <x:row r="6189">
      <x:c r="A6189" t="str" s="2">
        <x:f>=HYPERLINK("https://rsms.futurehomex.com/lead/39362", "Maria elena Reza dominguez")</x:f>
      </x:c>
      <x:c r="B6189" t="str" s="2">
        <x:v>Heritage Housing of Asheboro</x:v>
      </x:c>
      <x:c r="C6189" t="str" s="2">
        <x:v/>
      </x:c>
      <x:c r="D6189" t="str" s="2">
        <x:v>3369636770</x:v>
      </x:c>
      <x:c r="E6189" t="str" s="2">
        <x:v>elenadomingez1986@gmail.com</x:v>
      </x:c>
      <x:c r="F6189" t="str" s="2">
        <x:v>Walk-in</x:v>
      </x:c>
      <x:c r="G6189" s="0"/>
      <x:c r="H6189" s="6">
        <x:v>46258.84782728009</x:v>
      </x:c>
      <x:c r="I6189" t="str" s="2">
        <x:v>Maria Lopez</x:v>
      </x:c>
      <x:c r="J6189" s="0"/>
      <x:c r="K6189" s="0"/>
      <x:c r="L6189" t="str" s="2">
        <x:v>Show</x:v>
      </x:c>
    </x:row>
    <x:row r="6190">
      <x:c r="A6190" t="str" s="2">
        <x:f>=HYPERLINK("https://rsms.futurehomex.com/lead/39364", "Luz Zapata")</x:f>
      </x:c>
      <x:c r="B6190" t="str" s="2">
        <x:v>Heritage Housing Marble Falls</x:v>
      </x:c>
      <x:c r="C6190" t="str" s="2">
        <x:v/>
      </x:c>
      <x:c r="D6190" t="str" s="2">
        <x:v>7373886975</x:v>
      </x:c>
      <x:c r="E6190" t="str" s="2">
        <x:v>Luz.zap05@gmail.com</x:v>
      </x:c>
      <x:c r="F6190" t="str" s="2">
        <x:v>Google Ads</x:v>
      </x:c>
      <x:c r="G6190" t="str" s="2">
        <x:v>Garrett Riedesel</x:v>
      </x:c>
      <x:c r="H6190" s="6">
        <x:v>46258.882116782406</x:v>
      </x:c>
      <x:c r="I6190" t="str" s="2">
        <x:v>Stephen Sanders</x:v>
      </x:c>
      <x:c r="J6190" s="6">
        <x:v>46263.625</x:v>
      </x:c>
      <x:c r="K6190" s="6">
        <x:v>46263.7753556713</x:v>
      </x:c>
      <x:c r="L6190" t="str" s="2">
        <x:v>Show</x:v>
      </x:c>
    </x:row>
    <x:row r="6191">
      <x:c r="A6191" t="str" s="2">
        <x:f>=HYPERLINK("https://rsms.futurehomex.com/lead/39371", "Esbeydy Victoriano")</x:f>
      </x:c>
      <x:c r="B6191" t="str" s="2">
        <x:v>Heritage Housing Mt Pleasant</x:v>
      </x:c>
      <x:c r="C6191" t="str" s="2">
        <x:v/>
      </x:c>
      <x:c r="D6191" t="str" s="2">
        <x:v>8037575846</x:v>
      </x:c>
      <x:c r="E6191" t="str" s="2">
        <x:v>8037575846</x:v>
      </x:c>
      <x:c r="F6191" t="str" s="2">
        <x:v>Facebook Messenger</x:v>
      </x:c>
      <x:c r="G6191" t="str" s="2">
        <x:v>Yarelis Torres</x:v>
      </x:c>
      <x:c r="H6191" s="6">
        <x:v>46258.970571956015</x:v>
      </x:c>
      <x:c r="I6191" t="str" s="2">
        <x:v>Yarelis Torres</x:v>
      </x:c>
      <x:c r="J6191" s="6">
        <x:v>46260.916666666664</x:v>
      </x:c>
      <x:c r="K6191" s="6">
        <x:v>46262.931123344904</x:v>
      </x:c>
      <x:c r="L6191" t="str" s="2">
        <x:v>Show</x:v>
      </x:c>
    </x:row>
    <x:row r="6192">
      <x:c r="A6192" t="str" s="2">
        <x:f>=HYPERLINK("https://rsms.futurehomex.com/lead/39373", "Courtney Smith")</x:f>
      </x:c>
      <x:c r="B6192" t="str" s="2">
        <x:v>Heritage Housing of Oklahoma City</x:v>
      </x:c>
      <x:c r="C6192" t="str" s="2">
        <x:v/>
      </x:c>
      <x:c r="D6192" t="str" s="2">
        <x:v>4053940607</x:v>
      </x:c>
      <x:c r="E6192" t="str" s="2">
        <x:v>courtneylynn405@gmail.com</x:v>
      </x:c>
      <x:c r="F6192" t="str" s="2">
        <x:v>Facebook Messenger</x:v>
      </x:c>
      <x:c r="G6192" t="str" s="2">
        <x:v>Steve Castell</x:v>
      </x:c>
      <x:c r="H6192" s="6">
        <x:v>46259.62114513889</x:v>
      </x:c>
      <x:c r="I6192" t="str" s="2">
        <x:v>Steve Castell</x:v>
      </x:c>
      <x:c r="J6192" s="6">
        <x:v>46259.770833333336</x:v>
      </x:c>
      <x:c r="K6192" s="6">
        <x:v>46259.817963078705</x:v>
      </x:c>
      <x:c r="L6192" t="str" s="2">
        <x:v>Show</x:v>
      </x:c>
    </x:row>
    <x:row r="6193">
      <x:c r="A6193" t="str" s="2">
        <x:f>=HYPERLINK("https://rsms.futurehomex.com/lead/39391", "Betsy Quiroz")</x:f>
      </x:c>
      <x:c r="B6193" t="str" s="2">
        <x:v>Heritage Housing of Asheboro</x:v>
      </x:c>
      <x:c r="C6193" t="str" s="2">
        <x:v/>
      </x:c>
      <x:c r="D6193" t="str" s="2">
        <x:v>3364054238</x:v>
      </x:c>
      <x:c r="E6193" t="str" s="2">
        <x:v>betsabe.quiroz127@gmail.com</x:v>
      </x:c>
      <x:c r="F6193" t="str" s="2">
        <x:v>Walk-in</x:v>
      </x:c>
      <x:c r="G6193" s="0"/>
      <x:c r="H6193" s="6">
        <x:v>46259.88222905093</x:v>
      </x:c>
      <x:c r="I6193" t="str" s="2">
        <x:v>Maria Lopez</x:v>
      </x:c>
      <x:c r="J6193" s="0"/>
      <x:c r="K6193" s="0"/>
      <x:c r="L6193" t="str" s="2">
        <x:v>Show</x:v>
      </x:c>
    </x:row>
    <x:row r="6194">
      <x:c r="A6194" t="str" s="2">
        <x:f>=HYPERLINK("https://rsms.futurehomex.com/lead/40021", "Sarah Allen")</x:f>
      </x:c>
      <x:c r="B6194" t="str" s="2">
        <x:v>Heritage Housing Mt Pleasant</x:v>
      </x:c>
      <x:c r="C6194" t="str" s="2">
        <x:v/>
      </x:c>
      <x:c r="D6194" t="str" s="2">
        <x:v>6362590051</x:v>
      </x:c>
      <x:c r="E6194" t="str" s="2">
        <x:v>sgva89@yahoo.com</x:v>
      </x:c>
      <x:c r="F6194" t="str" s="2">
        <x:v>Landing_BPM</x:v>
      </x:c>
      <x:c r="G6194" t="str" s="2">
        <x:v>Sandra Saldana</x:v>
      </x:c>
      <x:c r="H6194" s="6">
        <x:v>46259.99797809028</x:v>
      </x:c>
      <x:c r="I6194" t="str" s="2">
        <x:v>Sandra Saldana</x:v>
      </x:c>
      <x:c r="J6194" s="6">
        <x:v>46280.729166666664</x:v>
      </x:c>
      <x:c r="K6194" s="6">
        <x:v>46280.77230570602</x:v>
      </x:c>
      <x:c r="L6194" t="str" s="2">
        <x:v>Show</x:v>
      </x:c>
    </x:row>
    <x:row r="6195">
      <x:c r="A6195" t="str" s="2">
        <x:f>=HYPERLINK("https://rsms.futurehomex.com/lead/40464", "Pamela Slacks Slacks")</x:f>
      </x:c>
      <x:c r="B6195" t="str" s="2">
        <x:v>Heritage Housing of Albany</x:v>
      </x:c>
      <x:c r="C6195" t="str" s="2">
        <x:v>0/1</x:v>
      </x:c>
      <x:c r="D6195" t="str" s="2">
        <x:v>2294576651</x:v>
      </x:c>
      <x:c r="E6195" t="str" s="2">
        <x:v>ptslacks_1988@aol.com</x:v>
      </x:c>
      <x:c r="F6195" t="str" s="2">
        <x:v>Walk-in</x:v>
      </x:c>
      <x:c r="G6195" t="str" s="2">
        <x:v>Yanet Alvarez</x:v>
      </x:c>
      <x:c r="H6195" s="6">
        <x:v>46260.12213295139</x:v>
      </x:c>
      <x:c r="I6195" t="str" s="2">
        <x:v>Yanet Alvarez</x:v>
      </x:c>
      <x:c r="J6195" s="0"/>
      <x:c r="K6195" s="6">
        <x:v>46283.67397306713</x:v>
      </x:c>
      <x:c r="L6195" t="str" s="2">
        <x:v>Show</x:v>
      </x:c>
    </x:row>
    <x:row r="6196">
      <x:c r="A6196" t="str" s="2">
        <x:f>=HYPERLINK("https://rsms.futurehomex.com/lead/40715", "Amie Christian")</x:f>
      </x:c>
      <x:c r="B6196" t="str" s="2">
        <x:v>Heritage Housing of Jennings</x:v>
      </x:c>
      <x:c r="C6196" t="str" s="2">
        <x:v/>
      </x:c>
      <x:c r="D6196" t="str" s="2">
        <x:v>3184911242</x:v>
      </x:c>
      <x:c r="E6196" t="str" s="2">
        <x:v>amieb.christian@yahoo.com</x:v>
      </x:c>
      <x:c r="F6196" t="str" s="2">
        <x:v>Walk-in</x:v>
      </x:c>
      <x:c r="G6196" t="str" s="2">
        <x:v>Mervin Leslie Smith</x:v>
      </x:c>
      <x:c r="H6196" s="6">
        <x:v>46260.616287997684</x:v>
      </x:c>
      <x:c r="I6196" t="str" s="2">
        <x:v>Mervin Leslie Smith</x:v>
      </x:c>
      <x:c r="J6196" s="0"/>
      <x:c r="K6196" s="6">
        <x:v>46302.74471111111</x:v>
      </x:c>
      <x:c r="L6196" t="str" s="2">
        <x:v>Show</x:v>
      </x:c>
    </x:row>
    <x:row r="6197">
      <x:c r="A6197" t="str" s="2">
        <x:f>=HYPERLINK("https://rsms.futurehomex.com/lead/39400", "Denise Kerley")</x:f>
      </x:c>
      <x:c r="B6197" t="str" s="2">
        <x:v>Heritage Housing of Asheboro</x:v>
      </x:c>
      <x:c r="C6197" t="str" s="2">
        <x:v/>
      </x:c>
      <x:c r="D6197" t="str" s="2">
        <x:v>9049779503</x:v>
      </x:c>
      <x:c r="E6197" t="str" s="2">
        <x:v>denisekerley22@gmail.com</x:v>
      </x:c>
      <x:c r="F6197" t="str" s="2">
        <x:v>Walk-in</x:v>
      </x:c>
      <x:c r="G6197" s="0"/>
      <x:c r="H6197" s="6">
        <x:v>46260.69164684028</x:v>
      </x:c>
      <x:c r="I6197" t="str" s="2">
        <x:v>Jeremy Jacques</x:v>
      </x:c>
      <x:c r="J6197" s="0"/>
      <x:c r="K6197" s="0"/>
      <x:c r="L6197" t="str" s="2">
        <x:v>Show</x:v>
      </x:c>
    </x:row>
    <x:row r="6198">
      <x:c r="A6198" t="str" s="2">
        <x:f>=HYPERLINK("https://rsms.futurehomex.com/lead/39402", "Ronnie Jacobs")</x:f>
      </x:c>
      <x:c r="B6198" t="str" s="2">
        <x:v>Heritage Housing of Greenville</x:v>
      </x:c>
      <x:c r="C6198" t="str" s="2">
        <x:v/>
      </x:c>
      <x:c r="D6198" t="str" s="2">
        <x:v>4303687063</x:v>
      </x:c>
      <x:c r="E6198" t="str" s="2">
        <x:v>4303687063</x:v>
      </x:c>
      <x:c r="F6198" t="str" s="2">
        <x:v>TikTok</x:v>
      </x:c>
      <x:c r="G6198" t="str" s="2">
        <x:v>Brandie Sartor</x:v>
      </x:c>
      <x:c r="H6198" s="6">
        <x:v>46260.71490813657</x:v>
      </x:c>
      <x:c r="I6198" t="str" s="2">
        <x:v>Ana Garcia</x:v>
      </x:c>
      <x:c r="J6198" s="0"/>
      <x:c r="K6198" s="6">
        <x:v>46260.71490813657</x:v>
      </x:c>
      <x:c r="L6198" t="str" s="2">
        <x:v>Show</x:v>
      </x:c>
    </x:row>
    <x:row r="6199">
      <x:c r="A6199" t="str" s="2">
        <x:f>=HYPERLINK("https://rsms.futurehomex.com/lead/39406", "Donna Voeller")</x:f>
      </x:c>
      <x:c r="B6199" t="str" s="2">
        <x:v>Heritage Housing of Jennings</x:v>
      </x:c>
      <x:c r="C6199" t="str" s="2">
        <x:v/>
      </x:c>
      <x:c r="D6199" t="str" s="2">
        <x:v>5093108542</x:v>
      </x:c>
      <x:c r="E6199" t="str" s="2">
        <x:v>gemzstory1960@gmail.com</x:v>
      </x:c>
      <x:c r="F6199" t="str" s="2">
        <x:v>Walk-in</x:v>
      </x:c>
      <x:c r="G6199" s="0"/>
      <x:c r="H6199" s="6">
        <x:v>46260.798535381946</x:v>
      </x:c>
      <x:c r="I6199" t="str" s="2">
        <x:v>Mervin Leslie Smith</x:v>
      </x:c>
      <x:c r="J6199" s="0"/>
      <x:c r="K6199" s="0"/>
      <x:c r="L6199" t="str" s="2">
        <x:v>Show</x:v>
      </x:c>
    </x:row>
    <x:row r="6200">
      <x:c r="A6200" t="str" s="2">
        <x:f>=HYPERLINK("https://rsms.futurehomex.com/lead/39409", "Shiloh Parr")</x:f>
      </x:c>
      <x:c r="B6200" t="str" s="2">
        <x:v>Heritage Housing of Oklahoma City</x:v>
      </x:c>
      <x:c r="C6200" t="str" s="2">
        <x:v/>
      </x:c>
      <x:c r="D6200" t="str" s="2">
        <x:v>4053208544</x:v>
      </x:c>
      <x:c r="E6200" t="str" s="2">
        <x:v>shilohparr@icloud.com</x:v>
      </x:c>
      <x:c r="F6200" t="str" s="2">
        <x:v>Referrals</x:v>
      </x:c>
      <x:c r="G6200" t="str" s="2">
        <x:v>Alejandra Calderon</x:v>
      </x:c>
      <x:c r="H6200" s="6">
        <x:v>46260.82988622685</x:v>
      </x:c>
      <x:c r="I6200" t="str" s="2">
        <x:v>Alejandra Calderon</x:v>
      </x:c>
      <x:c r="J6200" s="6">
        <x:v>46263.666666666664</x:v>
      </x:c>
      <x:c r="K6200" s="6">
        <x:v>46263.730351736114</x:v>
      </x:c>
      <x:c r="L6200" t="str" s="2">
        <x:v>Show</x:v>
      </x:c>
    </x:row>
    <x:row r="6201">
      <x:c r="A6201" t="str" s="2">
        <x:f>=HYPERLINK("https://rsms.futurehomex.com/lead/39417", "Erika Avila Reyna")</x:f>
      </x:c>
      <x:c r="B6201" t="str" s="2">
        <x:v>Heritage Housing of Greenville</x:v>
      </x:c>
      <x:c r="C6201" t="str" s="2">
        <x:v/>
      </x:c>
      <x:c r="D6201" t="str" s="2">
        <x:v>2142819268</x:v>
      </x:c>
      <x:c r="E6201" t="str" s="2">
        <x:v>Olvera1784@gmail.com</x:v>
      </x:c>
      <x:c r="F6201" t="str" s="2">
        <x:v>TikTok</x:v>
      </x:c>
      <x:c r="G6201" t="str" s="2">
        <x:v>Brandie Sartor</x:v>
      </x:c>
      <x:c r="H6201" s="6">
        <x:v>46261.57694398148</x:v>
      </x:c>
      <x:c r="I6201" t="str" s="2">
        <x:v>Ana Garcia</x:v>
      </x:c>
      <x:c r="J6201" s="0"/>
      <x:c r="K6201" s="6">
        <x:v>46261.57694398148</x:v>
      </x:c>
      <x:c r="L6201" t="str" s="2">
        <x:v>Show</x:v>
      </x:c>
    </x:row>
    <x:row r="6202">
      <x:c r="A6202" t="str" s="2">
        <x:f>=HYPERLINK("https://rsms.futurehomex.com/lead/39439", "Sharon Reynolds")</x:f>
      </x:c>
      <x:c r="B6202" t="str" s="2">
        <x:v>Heritage Housing of Asheboro</x:v>
      </x:c>
      <x:c r="C6202" t="str" s="2">
        <x:v/>
      </x:c>
      <x:c r="D6202" t="str" s="2">
        <x:v>3369634791</x:v>
      </x:c>
      <x:c r="E6202" t="str" s="2">
        <x:v>spreynolds83@yahoo.com</x:v>
      </x:c>
      <x:c r="F6202" t="str" s="2">
        <x:v>Walk-in</x:v>
      </x:c>
      <x:c r="G6202" s="0"/>
      <x:c r="H6202" s="6">
        <x:v>46261.82416643519</x:v>
      </x:c>
      <x:c r="I6202" t="str" s="2">
        <x:v>Maria Lopez</x:v>
      </x:c>
      <x:c r="J6202" s="0"/>
      <x:c r="K6202" s="0"/>
      <x:c r="L6202" t="str" s="2">
        <x:v>Show</x:v>
      </x:c>
    </x:row>
    <x:row r="6203">
      <x:c r="A6203" t="str" s="2">
        <x:f>=HYPERLINK("https://rsms.futurehomex.com/lead/39435", "Lisa Husband")</x:f>
      </x:c>
      <x:c r="B6203" t="str" s="2">
        <x:v>Heritage Housing of Tulsa</x:v>
      </x:c>
      <x:c r="C6203" t="str" s="2">
        <x:v/>
      </x:c>
      <x:c r="D6203" t="str" s="2">
        <x:v>4057608343</x:v>
      </x:c>
      <x:c r="E6203" t="str" s="2">
        <x:v>husbandlisa380@gmail.com</x:v>
      </x:c>
      <x:c r="F6203" t="str" s="2">
        <x:v>Walk-in</x:v>
      </x:c>
      <x:c r="G6203" s="0"/>
      <x:c r="H6203" s="6">
        <x:v>46261.85663325231</x:v>
      </x:c>
      <x:c r="I6203" t="str" s="2">
        <x:v>Brittany Cobb</x:v>
      </x:c>
      <x:c r="J6203" s="0"/>
      <x:c r="K6203" s="0"/>
      <x:c r="L6203" t="str" s="2">
        <x:v>Show</x:v>
      </x:c>
    </x:row>
    <x:row r="6204">
      <x:c r="A6204" t="str" s="2">
        <x:f>=HYPERLINK("https://rsms.futurehomex.com/lead/39440", "Jose Martinez")</x:f>
      </x:c>
      <x:c r="B6204" t="str" s="2">
        <x:v>Heritage Housing of Asheboro</x:v>
      </x:c>
      <x:c r="C6204" t="str" s="2">
        <x:v/>
      </x:c>
      <x:c r="D6204" t="str" s="2">
        <x:v>4722037500</x:v>
      </x:c>
      <x:c r="E6204" t="str" s="2">
        <x:v>pantita605@gmail.com</x:v>
      </x:c>
      <x:c r="F6204" t="str" s="2">
        <x:v>Walk-in</x:v>
      </x:c>
      <x:c r="G6204" s="0"/>
      <x:c r="H6204" s="6">
        <x:v>46262.55143063657</x:v>
      </x:c>
      <x:c r="I6204" t="str" s="2">
        <x:v>Maria Lopez</x:v>
      </x:c>
      <x:c r="J6204" s="0"/>
      <x:c r="K6204" s="0"/>
      <x:c r="L6204" t="str" s="2">
        <x:v>Show</x:v>
      </x:c>
    </x:row>
    <x:row r="6205">
      <x:c r="A6205" t="str" s="2">
        <x:f>=HYPERLINK("https://rsms.futurehomex.com/lead/39443", "Allie Briley")</x:f>
      </x:c>
      <x:c r="B6205" t="str" s="2">
        <x:v>Heritage Housing of Asheboro</x:v>
      </x:c>
      <x:c r="C6205" t="str" s="2">
        <x:v/>
      </x:c>
      <x:c r="D6205" t="str" s="2">
        <x:v>3366879225</x:v>
      </x:c>
      <x:c r="E6205" t="str" s="2">
        <x:v>triplejay2804@gmail.com</x:v>
      </x:c>
      <x:c r="F6205" t="str" s="2">
        <x:v>Walk-in</x:v>
      </x:c>
      <x:c r="G6205" s="0"/>
      <x:c r="H6205" s="6">
        <x:v>46262.66918765046</x:v>
      </x:c>
      <x:c r="I6205" t="str" s="2">
        <x:v>Maria Lopez</x:v>
      </x:c>
      <x:c r="J6205" s="0"/>
      <x:c r="K6205" s="0"/>
      <x:c r="L6205" t="str" s="2">
        <x:v>Show</x:v>
      </x:c>
    </x:row>
    <x:row r="6206">
      <x:c r="A6206" t="str" s="2">
        <x:f>=HYPERLINK("https://rsms.futurehomex.com/lead/39449", "Dane Athens Test")</x:f>
      </x:c>
      <x:c r="B6206" t="str" s="2">
        <x:v>Heritage Housing of Athens</x:v>
      </x:c>
      <x:c r="C6206" t="str" s="2">
        <x:v/>
      </x:c>
      <x:c r="D6206" t="str" s="2">
        <x:v>9874321765</x:v>
      </x:c>
      <x:c r="E6206" t="str" s="2">
        <x:v>daneathenstest@nomail.com</x:v>
      </x:c>
      <x:c r="F6206" t="str" s="2">
        <x:v>Walk-in</x:v>
      </x:c>
      <x:c r="G6206" s="0"/>
      <x:c r="H6206" s="6">
        <x:v>46262.79816909722</x:v>
      </x:c>
      <x:c r="I6206" t="str" s="2">
        <x:v>Dane Lara</x:v>
      </x:c>
      <x:c r="J6206" s="0"/>
      <x:c r="K6206" s="0"/>
      <x:c r="L6206" t="str" s="2">
        <x:v>Show</x:v>
      </x:c>
    </x:row>
    <x:row r="6207">
      <x:c r="A6207" t="str" s="2">
        <x:f>=HYPERLINK("https://rsms.futurehomex.com/lead/39450", "Dane Asheboro Test")</x:f>
      </x:c>
      <x:c r="B6207" t="str" s="2">
        <x:v>Heritage Housing of Asheboro</x:v>
      </x:c>
      <x:c r="C6207" t="str" s="2">
        <x:v/>
      </x:c>
      <x:c r="D6207" t="str" s="2">
        <x:v>8756370026</x:v>
      </x:c>
      <x:c r="E6207" t="str" s="2">
        <x:v>daneasheborotest@nomail.com</x:v>
      </x:c>
      <x:c r="F6207" t="str" s="2">
        <x:v>Walk-in</x:v>
      </x:c>
      <x:c r="G6207" s="0"/>
      <x:c r="H6207" s="6">
        <x:v>46262.80026512731</x:v>
      </x:c>
      <x:c r="I6207" t="str" s="2">
        <x:v>Dane Lara</x:v>
      </x:c>
      <x:c r="J6207" s="0"/>
      <x:c r="K6207" s="0"/>
      <x:c r="L6207" t="str" s="2">
        <x:v>Show</x:v>
      </x:c>
    </x:row>
    <x:row r="6208">
      <x:c r="A6208" t="str" s="2">
        <x:f>=HYPERLINK("https://rsms.futurehomex.com/lead/39451", "Dane Maria Test")</x:f>
      </x:c>
      <x:c r="B6208" t="str" s="2">
        <x:v>Heritage Housing of Asheboro</x:v>
      </x:c>
      <x:c r="C6208" t="str" s="2">
        <x:v/>
      </x:c>
      <x:c r="D6208" t="str" s="2">
        <x:v>8528056735</x:v>
      </x:c>
      <x:c r="E6208" t="str" s="2">
        <x:v>danemaria@nomail.com</x:v>
      </x:c>
      <x:c r="F6208" t="str" s="2">
        <x:v>Walk-in</x:v>
      </x:c>
      <x:c r="G6208" s="0"/>
      <x:c r="H6208" s="6">
        <x:v>46262.80699942129</x:v>
      </x:c>
      <x:c r="I6208" t="str" s="2">
        <x:v>Maria Lopez</x:v>
      </x:c>
      <x:c r="J6208" s="0"/>
      <x:c r="K6208" s="0"/>
      <x:c r="L6208" t="str" s="2">
        <x:v>Show</x:v>
      </x:c>
    </x:row>
    <x:row r="6209">
      <x:c r="A6209" t="str" s="2">
        <x:f>=HYPERLINK("https://rsms.futurehomex.com/lead/39453", "Derico Hart")</x:f>
      </x:c>
      <x:c r="B6209" t="str" s="2">
        <x:v>Heritage Housing of Asheboro</x:v>
      </x:c>
      <x:c r="C6209" t="str" s="2">
        <x:v/>
      </x:c>
      <x:c r="D6209" t="str" s="2">
        <x:v>3366532142</x:v>
      </x:c>
      <x:c r="E6209" t="str" s="2">
        <x:v>drico@gmail.com</x:v>
      </x:c>
      <x:c r="F6209" t="str" s="2">
        <x:v>Walk-in</x:v>
      </x:c>
      <x:c r="G6209" s="0"/>
      <x:c r="H6209" s="6">
        <x:v>46262.80884583334</x:v>
      </x:c>
      <x:c r="I6209" t="str" s="2">
        <x:v>Maria Lopez</x:v>
      </x:c>
      <x:c r="J6209" s="0"/>
      <x:c r="K6209" s="0"/>
      <x:c r="L6209" t="str" s="2">
        <x:v>Show</x:v>
      </x:c>
    </x:row>
    <x:row r="6210">
      <x:c r="A6210" t="str" s="2">
        <x:f>=HYPERLINK("https://rsms.futurehomex.com/lead/39464", "Miguela Calixto")</x:f>
      </x:c>
      <x:c r="B6210" t="str" s="2">
        <x:v>Heritage Housing Mt Pleasant</x:v>
      </x:c>
      <x:c r="C6210" t="str" s="2">
        <x:v/>
      </x:c>
      <x:c r="D6210" t="str" s="2">
        <x:v>9034664847</x:v>
      </x:c>
      <x:c r="E6210" t="str" s="2">
        <x:v>9034664847</x:v>
      </x:c>
      <x:c r="F6210" t="str" s="2">
        <x:v>Other</x:v>
      </x:c>
      <x:c r="G6210" t="str" s="2">
        <x:v>Sandra Saldana</x:v>
      </x:c>
      <x:c r="H6210" s="6">
        <x:v>46262.9168727662</x:v>
      </x:c>
      <x:c r="I6210" t="str" s="2">
        <x:v>Sandra Saldana</x:v>
      </x:c>
      <x:c r="J6210" s="6">
        <x:v>46263.875</x:v>
      </x:c>
      <x:c r="K6210" s="6">
        <x:v>46263.72309907407</x:v>
      </x:c>
      <x:c r="L6210" t="str" s="2">
        <x:v>Show</x:v>
      </x:c>
    </x:row>
    <x:row r="6211">
      <x:c r="A6211" t="str" s="2">
        <x:f>=HYPERLINK("https://rsms.futurehomex.com/lead/39471", "Tamara Walker")</x:f>
      </x:c>
      <x:c r="B6211" t="str" s="2">
        <x:v>Heritage Housing of Oklahoma City</x:v>
      </x:c>
      <x:c r="C6211" t="str" s="2">
        <x:v/>
      </x:c>
      <x:c r="D6211" t="str" s="2">
        <x:v>4053204278</x:v>
      </x:c>
      <x:c r="E6211" t="str" s="2">
        <x:v>tntwalker0315@gmail.com</x:v>
      </x:c>
      <x:c r="F6211" t="str" s="2">
        <x:v>Facebook Messenger</x:v>
      </x:c>
      <x:c r="G6211" t="str" s="2">
        <x:v>Steve Castell</x:v>
      </x:c>
      <x:c r="H6211" s="6">
        <x:v>46263.584662650464</x:v>
      </x:c>
      <x:c r="I6211" t="str" s="2">
        <x:v>Steve Castell</x:v>
      </x:c>
      <x:c r="J6211" s="6">
        <x:v>46263.791666666664</x:v>
      </x:c>
      <x:c r="K6211" s="6">
        <x:v>46263.756061608794</x:v>
      </x:c>
      <x:c r="L6211" t="str" s="2">
        <x:v>Show</x:v>
      </x:c>
    </x:row>
    <x:row r="6212">
      <x:c r="A6212" t="str" s="2">
        <x:f>=HYPERLINK("https://rsms.futurehomex.com/lead/39475", "Jeremy Hedrick")</x:f>
      </x:c>
      <x:c r="B6212" t="str" s="2">
        <x:v>Heritage Housing of Asheboro</x:v>
      </x:c>
      <x:c r="C6212" t="str" s="2">
        <x:v/>
      </x:c>
      <x:c r="D6212" t="str" s="2">
        <x:v>3364705011</x:v>
      </x:c>
      <x:c r="E6212" t="str" s="2">
        <x:v>jeremyhedrick05@gmail.com</x:v>
      </x:c>
      <x:c r="F6212" t="str" s="2">
        <x:v>Walk-in</x:v>
      </x:c>
      <x:c r="G6212" s="0"/>
      <x:c r="H6212" s="6">
        <x:v>46263.60414355324</x:v>
      </x:c>
      <x:c r="I6212" t="str" s="2">
        <x:v>Maria Lopez</x:v>
      </x:c>
      <x:c r="J6212" s="0"/>
      <x:c r="K6212" s="0"/>
      <x:c r="L6212" t="str" s="2">
        <x:v>Show</x:v>
      </x:c>
    </x:row>
    <x:row r="6213">
      <x:c r="A6213" t="str" s="2">
        <x:f>=HYPERLINK("https://rsms.futurehomex.com/lead/39477", "Greg Dewey")</x:f>
      </x:c>
      <x:c r="B6213" t="str" s="2">
        <x:v>Heritage Housing of Oklahoma City</x:v>
      </x:c>
      <x:c r="C6213" t="str" s="2">
        <x:v/>
      </x:c>
      <x:c r="D6213" t="str" s="2">
        <x:v>4056231510</x:v>
      </x:c>
      <x:c r="E6213" t="str" s="2">
        <x:v>greg.dewey@gmail.com</x:v>
      </x:c>
      <x:c r="F6213" t="str" s="2">
        <x:v>Facebook Messenger</x:v>
      </x:c>
      <x:c r="G6213" t="str" s="2">
        <x:v>Steve Castell</x:v>
      </x:c>
      <x:c r="H6213" s="6">
        <x:v>46263.69325532408</x:v>
      </x:c>
      <x:c r="I6213" t="str" s="2">
        <x:v>Steve Castell</x:v>
      </x:c>
      <x:c r="J6213" s="6">
        <x:v>46263.833333333336</x:v>
      </x:c>
      <x:c r="K6213" s="6">
        <x:v>46263.8492440625</x:v>
      </x:c>
      <x:c r="L6213" t="str" s="2">
        <x:v>Show</x:v>
      </x:c>
    </x:row>
    <x:row r="6214">
      <x:c r="A6214" t="str" s="2">
        <x:f>=HYPERLINK("https://rsms.futurehomex.com/lead/39479", "Kenna Unruh")</x:f>
      </x:c>
      <x:c r="B6214" t="str" s="2">
        <x:v>Heritage Housing of Oklahoma City</x:v>
      </x:c>
      <x:c r="C6214" t="str" s="2">
        <x:v/>
      </x:c>
      <x:c r="D6214" t="str" s="2">
        <x:v>6205151630</x:v>
      </x:c>
      <x:c r="E6214" t="str" s="2">
        <x:v>6205151630</x:v>
      </x:c>
      <x:c r="F6214" t="str" s="2">
        <x:v>Facebook Messenger</x:v>
      </x:c>
      <x:c r="G6214" t="str" s="2">
        <x:v>Eva Misheva</x:v>
      </x:c>
      <x:c r="H6214" s="6">
        <x:v>46263.70667704861</x:v>
      </x:c>
      <x:c r="I6214" t="str" s="2">
        <x:v>Eva Misheva</x:v>
      </x:c>
      <x:c r="J6214" s="6">
        <x:v>46263.791666666664</x:v>
      </x:c>
      <x:c r="K6214" s="6">
        <x:v>46263.740394988425</x:v>
      </x:c>
      <x:c r="L6214" t="str" s="2">
        <x:v>Show</x:v>
      </x:c>
    </x:row>
    <x:row r="6215">
      <x:c r="A6215" t="str" s="2">
        <x:f>=HYPERLINK("https://rsms.futurehomex.com/lead/39481", "Lawrence Hollifield")</x:f>
      </x:c>
      <x:c r="B6215" t="str" s="2">
        <x:v>Heritage Housing of Asheboro</x:v>
      </x:c>
      <x:c r="C6215" t="str" s="2">
        <x:v/>
      </x:c>
      <x:c r="D6215" t="str" s="2">
        <x:v>3368441250</x:v>
      </x:c>
      <x:c r="E6215" t="str" s="2">
        <x:v>lawrencehollifield775@gmail.com</x:v>
      </x:c>
      <x:c r="F6215" t="str" s="2">
        <x:v>Walk-in</x:v>
      </x:c>
      <x:c r="G6215" s="0"/>
      <x:c r="H6215" s="6">
        <x:v>46263.74276512732</x:v>
      </x:c>
      <x:c r="I6215" t="str" s="2">
        <x:v>Maria Lopez</x:v>
      </x:c>
      <x:c r="J6215" s="0"/>
      <x:c r="K6215" s="0"/>
      <x:c r="L6215" t="str" s="2">
        <x:v>Show</x:v>
      </x:c>
    </x:row>
    <x:row r="6216">
      <x:c r="A6216" t="str" s="2">
        <x:f>=HYPERLINK("https://rsms.futurehomex.com/lead/39485", "Donald Horton")</x:f>
      </x:c>
      <x:c r="B6216" t="str" s="2">
        <x:v>Heritage Housing of Greenville</x:v>
      </x:c>
      <x:c r="C6216" t="str" s="2">
        <x:v/>
      </x:c>
      <x:c r="D6216" t="str" s="2">
        <x:v>4694461149</x:v>
      </x:c>
      <x:c r="E6216" t="str" s="2">
        <x:v>russhorton15@gmail.com</x:v>
      </x:c>
      <x:c r="F6216" t="str" s="2">
        <x:v>Walk-in</x:v>
      </x:c>
      <x:c r="G6216" t="str" s="2">
        <x:v>Brandie Sartor</x:v>
      </x:c>
      <x:c r="H6216" s="6">
        <x:v>46263.7862815162</x:v>
      </x:c>
      <x:c r="I6216" t="str" s="2">
        <x:v>Greg Christman</x:v>
      </x:c>
      <x:c r="J6216" s="0"/>
      <x:c r="K6216" s="6">
        <x:v>46263.7862815162</x:v>
      </x:c>
      <x:c r="L6216" t="str" s="2">
        <x:v>Show</x:v>
      </x:c>
    </x:row>
    <x:row r="6217">
      <x:c r="A6217" t="str" s="2">
        <x:f>=HYPERLINK("https://rsms.futurehomex.com/lead/39578", "Jaime Neave")</x:f>
      </x:c>
      <x:c r="B6217" t="str" s="2">
        <x:v>Heritage Housing of Greenville</x:v>
      </x:c>
      <x:c r="C6217" t="str" s="2">
        <x:v/>
      </x:c>
      <x:c r="D6217" t="str" s="2">
        <x:v>4692586195</x:v>
      </x:c>
      <x:c r="E6217" t="str" s="2">
        <x:v>Jaimeneave5e@gmail.com</x:v>
      </x:c>
      <x:c r="F6217" t="str" s="2">
        <x:v>TikTok</x:v>
      </x:c>
      <x:c r="G6217" t="str" s="2">
        <x:v>Brandie Sartor</x:v>
      </x:c>
      <x:c r="H6217" s="6">
        <x:v>46263.92585609954</x:v>
      </x:c>
      <x:c r="I6217" t="str" s="2">
        <x:v>Oscar Osorio</x:v>
      </x:c>
      <x:c r="J6217" s="0"/>
      <x:c r="K6217" s="6">
        <x:v>46263.92585609954</x:v>
      </x:c>
      <x:c r="L6217" t="str" s="2">
        <x:v>Show</x:v>
      </x:c>
    </x:row>
    <x:row r="6218">
      <x:c r="A6218" t="str" s="2">
        <x:f>=HYPERLINK("https://rsms.futurehomex.com/lead/39491", "Jaime Neave")</x:f>
      </x:c>
      <x:c r="B6218" t="str" s="2">
        <x:v>Heritage Housing of Greenville</x:v>
      </x:c>
      <x:c r="C6218" t="str" s="2">
        <x:v/>
      </x:c>
      <x:c r="D6218" t="str" s="2">
        <x:v>4692586195</x:v>
      </x:c>
      <x:c r="E6218" t="str" s="2">
        <x:v>Jaimeneave5e@gmail.com</x:v>
      </x:c>
      <x:c r="F6218" t="str" s="2">
        <x:v>TikTok</x:v>
      </x:c>
      <x:c r="G6218" t="str" s="2">
        <x:v>Brandie Sartor</x:v>
      </x:c>
      <x:c r="H6218" s="6">
        <x:v>46263.92585609954</x:v>
      </x:c>
      <x:c r="I6218" t="str" s="2">
        <x:v>Oscar Osorio</x:v>
      </x:c>
      <x:c r="J6218" s="0"/>
      <x:c r="K6218" s="6">
        <x:v>46263.92585609954</x:v>
      </x:c>
      <x:c r="L6218" t="str" s="2">
        <x:v>Show</x:v>
      </x:c>
    </x:row>
    <x:row r="6219">
      <x:c r="A6219" t="str" s="2">
        <x:f>=HYPERLINK("https://rsms.futurehomex.com/lead/39492", "Aurelio Jasso - Narvaez")</x:f>
      </x:c>
      <x:c r="B6219" t="str" s="2">
        <x:v>Heritage Housing of Greenville</x:v>
      </x:c>
      <x:c r="C6219" t="str" s="2">
        <x:v/>
      </x:c>
      <x:c r="D6219" t="str" s="2">
        <x:v>2149620940</x:v>
      </x:c>
      <x:c r="E6219" t="str" s="2">
        <x:v>JoselynJass066@gmail.com</x:v>
      </x:c>
      <x:c r="F6219" t="str" s="2">
        <x:v>TikTok</x:v>
      </x:c>
      <x:c r="G6219" t="str" s="2">
        <x:v>Brandie Sartor</x:v>
      </x:c>
      <x:c r="H6219" s="6">
        <x:v>46264.59644869213</x:v>
      </x:c>
      <x:c r="I6219" t="str" s="2">
        <x:v>Oscar Osorio</x:v>
      </x:c>
      <x:c r="J6219" s="0"/>
      <x:c r="K6219" s="6">
        <x:v>46264.59644869213</x:v>
      </x:c>
      <x:c r="L6219" t="str" s="2">
        <x:v>Show</x:v>
      </x:c>
    </x:row>
    <x:row r="6220">
      <x:c r="A6220" t="str" s="2">
        <x:f>=HYPERLINK("https://rsms.futurehomex.com/lead/39494", "Caleb Browning")</x:f>
      </x:c>
      <x:c r="B6220" t="str" s="2">
        <x:v>Heritage Housing of Oklahoma City</x:v>
      </x:c>
      <x:c r="C6220" t="str" s="2">
        <x:v/>
      </x:c>
      <x:c r="D6220" t="str" s="2">
        <x:v>7203826962</x:v>
      </x:c>
      <x:c r="E6220" t="str" s="2">
        <x:v>Metalcobra16@gmail.com</x:v>
      </x:c>
      <x:c r="F6220" t="str" s="2">
        <x:v>Facebook Messenger</x:v>
      </x:c>
      <x:c r="G6220" t="str" s="2">
        <x:v>Eva Misheva</x:v>
      </x:c>
      <x:c r="H6220" s="6">
        <x:v>46264.753686655094</x:v>
      </x:c>
      <x:c r="I6220" t="str" s="2">
        <x:v>Steve Castell</x:v>
      </x:c>
      <x:c r="J6220" s="6">
        <x:v>46264.791666666664</x:v>
      </x:c>
      <x:c r="K6220" s="6">
        <x:v>46264.890165046294</x:v>
      </x:c>
      <x:c r="L6220" t="str" s="2">
        <x:v>Show</x:v>
      </x:c>
    </x:row>
    <x:row r="6221">
      <x:c r="A6221" t="str" s="2">
        <x:f>=HYPERLINK("https://rsms.futurehomex.com/lead/39556", "Rylee Adams")</x:f>
      </x:c>
      <x:c r="B6221" t="str" s="2">
        <x:v>Heritage Housing of Oklahoma City</x:v>
      </x:c>
      <x:c r="C6221" t="str" s="2">
        <x:v/>
      </x:c>
      <x:c r="D6221" t="str" s="2">
        <x:v>4053974682</x:v>
      </x:c>
      <x:c r="E6221" t="str" s="2">
        <x:v>ryleekadams11@gmail.com</x:v>
      </x:c>
      <x:c r="F6221" t="str" s="2">
        <x:v>Landing_BPM</x:v>
      </x:c>
      <x:c r="G6221" t="str" s="2">
        <x:v>Trey Rixleben</x:v>
      </x:c>
      <x:c r="H6221" s="6">
        <x:v>46264.78510980324</x:v>
      </x:c>
      <x:c r="I6221" t="str" s="2">
        <x:v>Trey Rixleben</x:v>
      </x:c>
      <x:c r="J6221" s="6">
        <x:v>46270.666666666664</x:v>
      </x:c>
      <x:c r="K6221" s="6">
        <x:v>46270.66803958333</x:v>
      </x:c>
      <x:c r="L6221" t="str" s="2">
        <x:v>Show</x:v>
      </x:c>
    </x:row>
    <x:row r="6222">
      <x:c r="A6222" t="str" s="2">
        <x:f>=HYPERLINK("https://rsms.futurehomex.com/lead/39512", "Disnei &amp; Ruiz Yoan")</x:f>
      </x:c>
      <x:c r="B6222" t="str" s="2">
        <x:v>Heritage Housing of Oklahoma City</x:v>
      </x:c>
      <x:c r="C6222" t="str" s="2">
        <x:v/>
      </x:c>
      <x:c r="D6222" t="str" s="2">
        <x:v>7022922049</x:v>
      </x:c>
      <x:c r="E6222" t="str" s="2">
        <x:v>yoan1389@yahoo.com</x:v>
      </x:c>
      <x:c r="F6222" t="str" s="2">
        <x:v>Facebook Messenger</x:v>
      </x:c>
      <x:c r="G6222" t="str" s="2">
        <x:v>Eva Misheva</x:v>
      </x:c>
      <x:c r="H6222" s="6">
        <x:v>46264.808174108795</x:v>
      </x:c>
      <x:c r="I6222" t="str" s="2">
        <x:v>Eva Misheva</x:v>
      </x:c>
      <x:c r="J6222" s="6">
        <x:v>46264.916666666664</x:v>
      </x:c>
      <x:c r="K6222" s="6">
        <x:v>46264.89105868056</x:v>
      </x:c>
      <x:c r="L6222" t="str" s="2">
        <x:v>Show</x:v>
      </x:c>
    </x:row>
    <x:row r="6223">
      <x:c r="A6223" t="str" s="2">
        <x:f>=HYPERLINK("https://rsms.futurehomex.com/lead/39518", "Madison Bailey")</x:f>
      </x:c>
      <x:c r="B6223" t="str" s="2">
        <x:v>Heritage Housing of Oklahoma City</x:v>
      </x:c>
      <x:c r="C6223" t="str" s="2">
        <x:v/>
      </x:c>
      <x:c r="D6223" t="str" s="2">
        <x:v>5804757198</x:v>
      </x:c>
      <x:c r="E6223" t="str" s="2">
        <x:v>5804757198</x:v>
      </x:c>
      <x:c r="F6223" t="str" s="2">
        <x:v>Facebook Messenger</x:v>
      </x:c>
      <x:c r="G6223" t="str" s="2">
        <x:v>Eva Misheva</x:v>
      </x:c>
      <x:c r="H6223" s="6">
        <x:v>46264.81240721065</x:v>
      </x:c>
      <x:c r="I6223" t="str" s="2">
        <x:v>Eva Misheva</x:v>
      </x:c>
      <x:c r="J6223" s="6">
        <x:v>46264.916666666664</x:v>
      </x:c>
      <x:c r="K6223" s="6">
        <x:v>46264.89340439815</x:v>
      </x:c>
      <x:c r="L6223" t="str" s="2">
        <x:v>Show</x:v>
      </x:c>
    </x:row>
    <x:row r="6224">
      <x:c r="A6224" t="str" s="2">
        <x:f>=HYPERLINK("https://rsms.futurehomex.com/lead/39631", "Marquetta Smalls")</x:f>
      </x:c>
      <x:c r="B6224" t="str" s="2">
        <x:v>Heritage Housing of Athens</x:v>
      </x:c>
      <x:c r="C6224" t="str" s="2">
        <x:v>0/3</x:v>
      </x:c>
      <x:c r="D6224" t="str" s="2">
        <x:v>4707107089</x:v>
      </x:c>
      <x:c r="E6224" t="str" s="2">
        <x:v>smalls889811@gmail.com</x:v>
      </x:c>
      <x:c r="F6224" t="str" s="2">
        <x:v>Financing Form</x:v>
      </x:c>
      <x:c r="G6224" t="str" s="2">
        <x:v>Nathan Bishop</x:v>
      </x:c>
      <x:c r="H6224" s="6">
        <x:v>46264.8907091088</x:v>
      </x:c>
      <x:c r="I6224" t="str" s="2">
        <x:v>Nathan Bishop</x:v>
      </x:c>
      <x:c r="J6224" s="6">
        <x:v>46275.833333333336</x:v>
      </x:c>
      <x:c r="K6224" s="6">
        <x:v>46275.88346010417</x:v>
      </x:c>
      <x:c r="L6224" t="str" s="2">
        <x:v>Show</x:v>
      </x:c>
    </x:row>
    <x:row r="6225">
      <x:c r="A6225" t="str" s="2">
        <x:f>=HYPERLINK("https://rsms.futurehomex.com/lead/39737", "James Powell")</x:f>
      </x:c>
      <x:c r="B6225" t="str" s="2">
        <x:v>Heritage Housing of Tulsa</x:v>
      </x:c>
      <x:c r="C6225" t="str" s="2">
        <x:v/>
      </x:c>
      <x:c r="D6225" t="str" s="2">
        <x:v>5392182567</x:v>
      </x:c>
      <x:c r="E6225" t="str" s="2">
        <x:v>jamescpowell65@gmail.com</x:v>
      </x:c>
      <x:c r="F6225" t="str" s="2">
        <x:v>Youtube</x:v>
      </x:c>
      <x:c r="G6225" t="str" s="2">
        <x:v>Jenna Fransisco</x:v>
      </x:c>
      <x:c r="H6225" s="6">
        <x:v>46264.949980439815</x:v>
      </x:c>
      <x:c r="I6225" t="str" s="2">
        <x:v>Derek Searcy</x:v>
      </x:c>
      <x:c r="J6225" s="6">
        <x:v>46270.29861111111</x:v>
      </x:c>
      <x:c r="K6225" s="6">
        <x:v>46270.810025659724</x:v>
      </x:c>
      <x:c r="L6225" t="str" s="2">
        <x:v>Show</x:v>
      </x:c>
    </x:row>
    <x:row r="6226">
      <x:c r="A6226" t="str" s="2">
        <x:f>=HYPERLINK("https://rsms.futurehomex.com/lead/39524", "Emner Fuentes")</x:f>
      </x:c>
      <x:c r="B6226" t="str" s="2">
        <x:v>Heritage Housing of Asheboro</x:v>
      </x:c>
      <x:c r="C6226" t="str" s="2">
        <x:v/>
      </x:c>
      <x:c r="D6226" t="str" s="2">
        <x:v>9843854127</x:v>
      </x:c>
      <x:c r="E6226" t="str" s="2">
        <x:v>emner.fuentes358@gmail.com</x:v>
      </x:c>
      <x:c r="F6226" t="str" s="2">
        <x:v>Walk-in</x:v>
      </x:c>
      <x:c r="G6226" s="0"/>
      <x:c r="H6226" s="6">
        <x:v>46265.575631168984</x:v>
      </x:c>
      <x:c r="I6226" t="str" s="2">
        <x:v>Maria Lopez</x:v>
      </x:c>
      <x:c r="J6226" s="0"/>
      <x:c r="K6226" s="0"/>
      <x:c r="L6226" t="str" s="2">
        <x:v>Show</x:v>
      </x:c>
    </x:row>
    <x:row r="6227">
      <x:c r="A6227" t="str" s="2">
        <x:f>=HYPERLINK("https://rsms.futurehomex.com/lead/39535", "Krystal Butchee")</x:f>
      </x:c>
      <x:c r="B6227" t="str" s="2">
        <x:v>Heritage Housing of Asheboro</x:v>
      </x:c>
      <x:c r="C6227" t="str" s="2">
        <x:v/>
      </x:c>
      <x:c r="D6227" t="str" s="2">
        <x:v>8439028387</x:v>
      </x:c>
      <x:c r="E6227" t="str" s="2">
        <x:v>krystalbutchee2@gmail.com</x:v>
      </x:c>
      <x:c r="F6227" t="str" s="2">
        <x:v>Walk-in</x:v>
      </x:c>
      <x:c r="G6227" s="0"/>
      <x:c r="H6227" s="6">
        <x:v>46265.7231971875</x:v>
      </x:c>
      <x:c r="I6227" t="str" s="2">
        <x:v>Maria Lopez</x:v>
      </x:c>
      <x:c r="J6227" s="0"/>
      <x:c r="K6227" s="0"/>
      <x:c r="L6227" t="str" s="2">
        <x:v>Show</x:v>
      </x:c>
    </x:row>
    <x:row r="6228">
      <x:c r="A6228" t="str" s="2">
        <x:f>=HYPERLINK("https://rsms.futurehomex.com/lead/39539", "Yolanda Marks")</x:f>
      </x:c>
      <x:c r="B6228" t="str" s="2">
        <x:v>Heritage Housing of Jennings</x:v>
      </x:c>
      <x:c r="C6228" t="str" s="2">
        <x:v/>
      </x:c>
      <x:c r="D6228" t="str" s="2">
        <x:v>2253022346</x:v>
      </x:c>
      <x:c r="E6228" t="str" s="2">
        <x:v>msy770@gmail.com</x:v>
      </x:c>
      <x:c r="F6228" t="str" s="2">
        <x:v>Walk-in</x:v>
      </x:c>
      <x:c r="G6228" s="0"/>
      <x:c r="H6228" s="6">
        <x:v>46265.76798383102</x:v>
      </x:c>
      <x:c r="I6228" t="str" s="2">
        <x:v>Clint O'Neal</x:v>
      </x:c>
      <x:c r="J6228" s="0"/>
      <x:c r="K6228" s="0"/>
      <x:c r="L6228" t="str" s="2">
        <x:v>Show</x:v>
      </x:c>
    </x:row>
    <x:row r="6229">
      <x:c r="A6229" t="str" s="2">
        <x:f>=HYPERLINK("https://rsms.futurehomex.com/lead/39541", "Evelyn Trivette")</x:f>
      </x:c>
      <x:c r="B6229" t="str" s="2">
        <x:v>Heritage Housing of Asheboro</x:v>
      </x:c>
      <x:c r="C6229" t="str" s="2">
        <x:v/>
      </x:c>
      <x:c r="D6229" t="str" s="2">
        <x:v>7432381184</x:v>
      </x:c>
      <x:c r="E6229" t="str" s="2">
        <x:v>trivette2620@gmail.com</x:v>
      </x:c>
      <x:c r="F6229" t="str" s="2">
        <x:v>Walk-in</x:v>
      </x:c>
      <x:c r="G6229" s="0"/>
      <x:c r="H6229" s="6">
        <x:v>46265.7713724537</x:v>
      </x:c>
      <x:c r="I6229" t="str" s="2">
        <x:v>Maria Lopez</x:v>
      </x:c>
      <x:c r="J6229" s="0"/>
      <x:c r="K6229" s="0"/>
      <x:c r="L6229" t="str" s="2">
        <x:v>Show</x:v>
      </x:c>
    </x:row>
    <x:row r="6230">
      <x:c r="A6230" t="str" s="2">
        <x:f>=HYPERLINK("https://rsms.futurehomex.com/lead/39543", "Mitch Giannola")</x:f>
      </x:c>
      <x:c r="B6230" t="str" s="2">
        <x:v>Heritage Housing of Greenville</x:v>
      </x:c>
      <x:c r="C6230" t="str" s="2">
        <x:v/>
      </x:c>
      <x:c r="D6230" t="str" s="2">
        <x:v>8179259760</x:v>
      </x:c>
      <x:c r="E6230" t="str" s="2">
        <x:v>8179259760</x:v>
      </x:c>
      <x:c r="F6230" t="str" s="2">
        <x:v>Referrals</x:v>
      </x:c>
      <x:c r="G6230" t="str" s="2">
        <x:v>Jessica Osornio</x:v>
      </x:c>
      <x:c r="H6230" s="6">
        <x:v>46265.80811878472</x:v>
      </x:c>
      <x:c r="I6230" t="str" s="2">
        <x:v>Jessica Osornio</x:v>
      </x:c>
      <x:c r="J6230" s="0"/>
      <x:c r="K6230" s="6">
        <x:v>46265.80811878472</x:v>
      </x:c>
      <x:c r="L6230" t="str" s="2">
        <x:v>Show</x:v>
      </x:c>
    </x:row>
    <x:row r="6231">
      <x:c r="A6231" t="str" s="2">
        <x:f>=HYPERLINK("https://rsms.futurehomex.com/lead/39544", "Alexis Acevedo")</x:f>
      </x:c>
      <x:c r="B6231" t="str" s="2">
        <x:v>Heritage Housing Mt Pleasant</x:v>
      </x:c>
      <x:c r="C6231" t="str" s="2">
        <x:v/>
      </x:c>
      <x:c r="D6231" t="str" s="2">
        <x:v>9037150553</x:v>
      </x:c>
      <x:c r="E6231" t="str" s="2">
        <x:v>9037150553</x:v>
      </x:c>
      <x:c r="F6231" t="str" s="2">
        <x:v>Facebook Messenger</x:v>
      </x:c>
      <x:c r="G6231" t="str" s="2">
        <x:v>Yarelis Torres</x:v>
      </x:c>
      <x:c r="H6231" s="6">
        <x:v>46265.81733109953</x:v>
      </x:c>
      <x:c r="I6231" t="str" s="2">
        <x:v>Yarelis Torres</x:v>
      </x:c>
      <x:c r="J6231" s="6">
        <x:v>46277.75</x:v>
      </x:c>
      <x:c r="K6231" s="6">
        <x:v>46277.963859525466</x:v>
      </x:c>
      <x:c r="L6231" t="str" s="2">
        <x:v>Show</x:v>
      </x:c>
    </x:row>
    <x:row r="6232">
      <x:c r="A6232" t="str" s="2">
        <x:f>=HYPERLINK("https://rsms.futurehomex.com/lead/39546", "Carl Donevin")</x:f>
      </x:c>
      <x:c r="B6232" t="str" s="2">
        <x:v>Heritage Housing of Oklahoma City</x:v>
      </x:c>
      <x:c r="C6232" t="str" s="2">
        <x:v/>
      </x:c>
      <x:c r="D6232" t="str" s="2">
        <x:v>4058023367</x:v>
      </x:c>
      <x:c r="E6232" t="str" s="2">
        <x:v>roenewfarm0@gmail.com</x:v>
      </x:c>
      <x:c r="F6232" t="str" s="2">
        <x:v>Facebook Messenger</x:v>
      </x:c>
      <x:c r="G6232" t="str" s="2">
        <x:v>Steve Castell</x:v>
      </x:c>
      <x:c r="H6232" s="6">
        <x:v>46265.835026851855</x:v>
      </x:c>
      <x:c r="I6232" t="str" s="2">
        <x:v>Steve Castell</x:v>
      </x:c>
      <x:c r="J6232" s="6">
        <x:v>46266.822916666664</x:v>
      </x:c>
      <x:c r="K6232" s="6">
        <x:v>46266.891118831016</x:v>
      </x:c>
      <x:c r="L6232" t="str" s="2">
        <x:v>Show</x:v>
      </x:c>
    </x:row>
    <x:row r="6233">
      <x:c r="A6233" t="str" s="2">
        <x:f>=HYPERLINK("https://rsms.futurehomex.com/lead/39548", "Abbagail Blazzer")</x:f>
      </x:c>
      <x:c r="B6233" t="str" s="2">
        <x:v>Heritage Housing of Tulsa</x:v>
      </x:c>
      <x:c r="C6233" t="str" s="2">
        <x:v/>
      </x:c>
      <x:c r="D6233" t="str" s="2">
        <x:v>9189351629</x:v>
      </x:c>
      <x:c r="E6233" t="str" s="2">
        <x:v>chaparraabby1@gmail.com</x:v>
      </x:c>
      <x:c r="F6233" t="str" s="2">
        <x:v>Walk-in</x:v>
      </x:c>
      <x:c r="G6233" s="0"/>
      <x:c r="H6233" s="6">
        <x:v>46265.86842372685</x:v>
      </x:c>
      <x:c r="I6233" t="str" s="2">
        <x:v>Dane Lara</x:v>
      </x:c>
      <x:c r="J6233" s="0"/>
      <x:c r="K6233" s="0"/>
      <x:c r="L6233" t="str" s="2">
        <x:v>Show</x:v>
      </x:c>
    </x:row>
    <x:row r="6234">
      <x:c r="A6234" t="str" s="2">
        <x:f>=HYPERLINK("https://rsms.futurehomex.com/lead/39550", "Frank Jones")</x:f>
      </x:c>
      <x:c r="B6234" t="str" s="2">
        <x:v>Heritage Housing of Asheboro</x:v>
      </x:c>
      <x:c r="C6234" t="str" s="2">
        <x:v/>
      </x:c>
      <x:c r="D6234" t="str" s="2">
        <x:v>3362676905</x:v>
      </x:c>
      <x:c r="E6234" t="str" s="2">
        <x:v>fj3koole@gmail.com</x:v>
      </x:c>
      <x:c r="F6234" t="str" s="2">
        <x:v>Walk-in</x:v>
      </x:c>
      <x:c r="G6234" s="0"/>
      <x:c r="H6234" s="6">
        <x:v>46265.88025721065</x:v>
      </x:c>
      <x:c r="I6234" t="str" s="2">
        <x:v>Maria Lopez</x:v>
      </x:c>
      <x:c r="J6234" s="0"/>
      <x:c r="K6234" s="0"/>
      <x:c r="L6234" t="str" s="2">
        <x:v>Show</x:v>
      </x:c>
    </x:row>
    <x:row r="6235">
      <x:c r="A6235" t="str" s="2">
        <x:f>=HYPERLINK("https://rsms.futurehomex.com/lead/39549", "Francisco Gomez")</x:f>
      </x:c>
      <x:c r="B6235" s="0"/>
      <x:c r="C6235" t="str" s="2">
        <x:v/>
      </x:c>
      <x:c r="D6235" t="str" s="2">
        <x:v>9188910418</x:v>
      </x:c>
      <x:c r="E6235" t="str" s="2">
        <x:v>brennensuddeth@gmail.com</x:v>
      </x:c>
      <x:c r="F6235" t="str" s="2">
        <x:v>Walk-in</x:v>
      </x:c>
      <x:c r="G6235" s="0"/>
      <x:c r="H6235" s="6">
        <x:v>46265.91977777778</x:v>
      </x:c>
      <x:c r="I6235" t="str" s="2">
        <x:v>Derek Searcy</x:v>
      </x:c>
      <x:c r="J6235" s="0"/>
      <x:c r="K6235" s="0"/>
      <x:c r="L6235" t="str" s="2">
        <x:v>Show</x:v>
      </x:c>
    </x:row>
    <x:row r="6236">
      <x:c r="A6236" t="str" s="2">
        <x:f>=HYPERLINK("https://rsms.futurehomex.com/lead/39573", "Helen Booth")</x:f>
      </x:c>
      <x:c r="B6236" t="str" s="2">
        <x:v>Heritage Housing of Athens</x:v>
      </x:c>
      <x:c r="C6236" t="str" s="2">
        <x:v/>
      </x:c>
      <x:c r="D6236" t="str" s="2">
        <x:v>7069705969</x:v>
      </x:c>
      <x:c r="E6236" t="str" s="2">
        <x:v>chipmunk7565@gmail.com</x:v>
      </x:c>
      <x:c r="F6236" t="str" s="2">
        <x:v>Walk-in</x:v>
      </x:c>
      <x:c r="G6236" t="str" s="2">
        <x:v>Nathan Bishop</x:v>
      </x:c>
      <x:c r="H6236" s="6">
        <x:v>46266.5988037037</x:v>
      </x:c>
      <x:c r="I6236" t="str" s="2">
        <x:v>Ethan Fossett</x:v>
      </x:c>
      <x:c r="J6236" s="6">
        <x:v>46276.583333333336</x:v>
      </x:c>
      <x:c r="K6236" s="6">
        <x:v>46276.86028642361</x:v>
      </x:c>
      <x:c r="L6236" t="str" s="2">
        <x:v>Show</x:v>
      </x:c>
    </x:row>
    <x:row r="6237">
      <x:c r="A6237" t="str" s="2">
        <x:f>=HYPERLINK("https://rsms.futurehomex.com/lead/39574", "Jessica Sexton")</x:f>
      </x:c>
      <x:c r="B6237" t="str" s="2">
        <x:v>Heritage Housing of Oklahoma City</x:v>
      </x:c>
      <x:c r="C6237" t="str" s="2">
        <x:v/>
      </x:c>
      <x:c r="D6237" t="str" s="2">
        <x:v>9184245636</x:v>
      </x:c>
      <x:c r="E6237" t="str" s="2">
        <x:v>Sexton.jessica320@gmail.com</x:v>
      </x:c>
      <x:c r="F6237" t="str" s="2">
        <x:v>Facebook Messenger</x:v>
      </x:c>
      <x:c r="G6237" t="str" s="2">
        <x:v>Steve Castell</x:v>
      </x:c>
      <x:c r="H6237" s="6">
        <x:v>46266.626274421295</x:v>
      </x:c>
      <x:c r="I6237" t="str" s="2">
        <x:v>Steve Castell</x:v>
      </x:c>
      <x:c r="J6237" s="6">
        <x:v>46269.677083333336</x:v>
      </x:c>
      <x:c r="K6237" s="6">
        <x:v>46269.720111539355</x:v>
      </x:c>
      <x:c r="L6237" t="str" s="2">
        <x:v>Show</x:v>
      </x:c>
    </x:row>
    <x:row r="6238">
      <x:c r="A6238" t="str" s="2">
        <x:f>=HYPERLINK("https://rsms.futurehomex.com/lead/39577", "Joycelynn Brigham")</x:f>
      </x:c>
      <x:c r="B6238" t="str" s="2">
        <x:v>Heritage Housing of Augusta</x:v>
      </x:c>
      <x:c r="C6238" t="str" s="2">
        <x:v/>
      </x:c>
      <x:c r="D6238" t="str" s="2">
        <x:v>7063735559</x:v>
      </x:c>
      <x:c r="E6238" t="str" s="2">
        <x:v>joycelynnmichelle@yahoo.com</x:v>
      </x:c>
      <x:c r="F6238" t="str" s="2">
        <x:v>Bing - Search</x:v>
      </x:c>
      <x:c r="G6238" t="str" s="2">
        <x:v>Faye Lively</x:v>
      </x:c>
      <x:c r="H6238" s="6">
        <x:v>46266.699422453705</x:v>
      </x:c>
      <x:c r="I6238" t="str" s="2">
        <x:v>Faye Lively</x:v>
      </x:c>
      <x:c r="J6238" s="6">
        <x:v>46272.541666666664</x:v>
      </x:c>
      <x:c r="K6238" s="6">
        <x:v>46266.70836373843</x:v>
      </x:c>
      <x:c r="L6238" t="str" s="2">
        <x:v>Show</x:v>
      </x:c>
    </x:row>
    <x:row r="6239">
      <x:c r="A6239" t="str" s="2">
        <x:f>=HYPERLINK("https://rsms.futurehomex.com/lead/39584", "Yesly Ortega")</x:f>
      </x:c>
      <x:c r="B6239" t="str" s="2">
        <x:v>Heritage Housing of Oklahoma City</x:v>
      </x:c>
      <x:c r="C6239" t="str" s="2">
        <x:v/>
      </x:c>
      <x:c r="D6239" t="str" s="2">
        <x:v>4054389307</x:v>
      </x:c>
      <x:c r="E6239" t="str" s="2">
        <x:v>yesly.ortega44@gmail.com</x:v>
      </x:c>
      <x:c r="F6239" t="str" s="2">
        <x:v>Landing_BPM</x:v>
      </x:c>
      <x:c r="G6239" t="str" s="2">
        <x:v>Steve Castell</x:v>
      </x:c>
      <x:c r="H6239" s="6">
        <x:v>46266.70764505787</x:v>
      </x:c>
      <x:c r="I6239" t="str" s="2">
        <x:v>Alejandra Calderon</x:v>
      </x:c>
      <x:c r="J6239" s="6">
        <x:v>46291.791666666664</x:v>
      </x:c>
      <x:c r="K6239" s="6">
        <x:v>46291.905639351855</x:v>
      </x:c>
      <x:c r="L6239" t="str" s="2">
        <x:v>Show</x:v>
      </x:c>
    </x:row>
    <x:row r="6240">
      <x:c r="A6240" t="str" s="2">
        <x:f>=HYPERLINK("https://rsms.futurehomex.com/lead/39581", "Oscar Sanchez")</x:f>
      </x:c>
      <x:c r="B6240" t="str" s="2">
        <x:v>Heritage Housing of Greenville</x:v>
      </x:c>
      <x:c r="C6240" t="str" s="2">
        <x:v/>
      </x:c>
      <x:c r="D6240" t="str" s="2">
        <x:v>4699718256</x:v>
      </x:c>
      <x:c r="E6240" t="str" s="2">
        <x:v>OS394599@gmail.com</x:v>
      </x:c>
      <x:c r="F6240" t="str" s="2">
        <x:v>TikTok</x:v>
      </x:c>
      <x:c r="G6240" t="str" s="2">
        <x:v>Brandie Sartor</x:v>
      </x:c>
      <x:c r="H6240" s="6">
        <x:v>46266.73070517361</x:v>
      </x:c>
      <x:c r="I6240" t="str" s="2">
        <x:v>Oscar Osorio</x:v>
      </x:c>
      <x:c r="J6240" s="0"/>
      <x:c r="K6240" s="6">
        <x:v>46266.73070517361</x:v>
      </x:c>
      <x:c r="L6240" t="str" s="2">
        <x:v>Show</x:v>
      </x:c>
    </x:row>
    <x:row r="6241">
      <x:c r="A6241" t="str" s="2">
        <x:f>=HYPERLINK("https://rsms.futurehomex.com/lead/39588", "Justin Cearley")</x:f>
      </x:c>
      <x:c r="B6241" t="str" s="2">
        <x:v>Heritage Housing of Oklahoma City</x:v>
      </x:c>
      <x:c r="C6241" t="str" s="2">
        <x:v/>
      </x:c>
      <x:c r="D6241" t="str" s="2">
        <x:v>9182403392</x:v>
      </x:c>
      <x:c r="E6241" t="str" s="2">
        <x:v>earthworksbyjustin@gmail.com</x:v>
      </x:c>
      <x:c r="F6241" t="str" s="2">
        <x:v>Facebook Messenger</x:v>
      </x:c>
      <x:c r="G6241" t="str" s="2">
        <x:v>Steve Castell</x:v>
      </x:c>
      <x:c r="H6241" s="6">
        <x:v>46266.79729892361</x:v>
      </x:c>
      <x:c r="I6241" t="str" s="2">
        <x:v>Steve Castell</x:v>
      </x:c>
      <x:c r="J6241" s="6">
        <x:v>46269.635416666664</x:v>
      </x:c>
      <x:c r="K6241" s="6">
        <x:v>46269.71717646991</x:v>
      </x:c>
      <x:c r="L6241" t="str" s="2">
        <x:v>Show</x:v>
      </x:c>
    </x:row>
    <x:row r="6242">
      <x:c r="A6242" t="str" s="2">
        <x:f>=HYPERLINK("https://rsms.futurehomex.com/lead/39589", "Matthew Brittain")</x:f>
      </x:c>
      <x:c r="B6242" t="str" s="2">
        <x:v>Heritage Housing of Oklahoma City</x:v>
      </x:c>
      <x:c r="C6242" t="str" s="2">
        <x:v/>
      </x:c>
      <x:c r="D6242" t="str" s="2">
        <x:v>5807013479</x:v>
      </x:c>
      <x:c r="E6242" t="str" s="2">
        <x:v>3brittain2019@gmail.com</x:v>
      </x:c>
      <x:c r="F6242" t="str" s="2">
        <x:v>Facebook Messenger</x:v>
      </x:c>
      <x:c r="G6242" t="str" s="2">
        <x:v>Steve Castell</x:v>
      </x:c>
      <x:c r="H6242" s="6">
        <x:v>46266.80359606481</x:v>
      </x:c>
      <x:c r="I6242" t="str" s="2">
        <x:v>Steve Castell</x:v>
      </x:c>
      <x:c r="J6242" s="6">
        <x:v>46288.854166666664</x:v>
      </x:c>
      <x:c r="K6242" s="6">
        <x:v>46288.85859166666</x:v>
      </x:c>
      <x:c r="L6242" t="str" s="2">
        <x:v>Show</x:v>
      </x:c>
    </x:row>
    <x:row r="6243">
      <x:c r="A6243" t="str" s="2">
        <x:f>=HYPERLINK("https://rsms.futurehomex.com/lead/39590", "Justine Toland")</x:f>
      </x:c>
      <x:c r="B6243" t="str" s="2">
        <x:v>Heritage Housing of Canton</x:v>
      </x:c>
      <x:c r="C6243" t="str" s="2">
        <x:v/>
      </x:c>
      <x:c r="D6243" t="str" s="2">
        <x:v>4694016799</x:v>
      </x:c>
      <x:c r="E6243" t="str" s="2">
        <x:v>ctoland05@gmail.com</x:v>
      </x:c>
      <x:c r="F6243" t="str" s="2">
        <x:v>Facebook Messenger</x:v>
      </x:c>
      <x:c r="G6243" t="str" s="2">
        <x:v>Melanie Auclair</x:v>
      </x:c>
      <x:c r="H6243" s="6">
        <x:v>46266.80433267361</x:v>
      </x:c>
      <x:c r="I6243" t="str" s="2">
        <x:v>Adriana Jaimes-Martinez</x:v>
      </x:c>
      <x:c r="J6243" s="0"/>
      <x:c r="K6243" s="6">
        <x:v>46266.80433267361</x:v>
      </x:c>
      <x:c r="L6243" t="str" s="2">
        <x:v>Show</x:v>
      </x:c>
    </x:row>
    <x:row r="6244">
      <x:c r="A6244" t="str" s="2">
        <x:f>=HYPERLINK("https://rsms.futurehomex.com/lead/39622", "Lorann Dent")</x:f>
      </x:c>
      <x:c r="B6244" t="str" s="2">
        <x:v>Heritage Housing of Albany</x:v>
      </x:c>
      <x:c r="C6244" t="str" s="2">
        <x:v/>
      </x:c>
      <x:c r="D6244" t="str" s="2">
        <x:v>2297980310</x:v>
      </x:c>
      <x:c r="E6244" t="str" s="2">
        <x:v>loranndent@gmail.com</x:v>
      </x:c>
      <x:c r="F6244" t="str" s="2">
        <x:v>Youtube</x:v>
      </x:c>
      <x:c r="G6244" t="str" s="2">
        <x:v>Justin Johnson</x:v>
      </x:c>
      <x:c r="H6244" s="6">
        <x:v>46267.168673148146</x:v>
      </x:c>
      <x:c r="I6244" t="str" s="2">
        <x:v>Alexander Bryant</x:v>
      </x:c>
      <x:c r="J6244" s="6">
        <x:v>46273.583333333336</x:v>
      </x:c>
      <x:c r="K6244" s="6">
        <x:v>46273.77502094908</x:v>
      </x:c>
      <x:c r="L6244" t="str" s="2">
        <x:v>Show</x:v>
      </x:c>
    </x:row>
    <x:row r="6245">
      <x:c r="A6245" t="str" s="2">
        <x:f>=HYPERLINK("https://rsms.futurehomex.com/lead/39690", "Crystal Edmonds")</x:f>
      </x:c>
      <x:c r="B6245" t="str" s="2">
        <x:v>Heritage Housing of Asheboro</x:v>
      </x:c>
      <x:c r="C6245" t="str" s="2">
        <x:v>1/1</x:v>
      </x:c>
      <x:c r="D6245" t="str" s="2">
        <x:v>4722037853</x:v>
      </x:c>
      <x:c r="E6245" t="str" s="2">
        <x:v>crystaldawn3.1983@icloud.com</x:v>
      </x:c>
      <x:c r="F6245" t="str" s="2">
        <x:v>Walk-in</x:v>
      </x:c>
      <x:c r="G6245" t="str" s="2">
        <x:v>Kate Gutierrez</x:v>
      </x:c>
      <x:c r="H6245" s="6">
        <x:v>46267.62616674769</x:v>
      </x:c>
      <x:c r="I6245" t="str" s="2">
        <x:v>Kate Gutierrez</x:v>
      </x:c>
      <x:c r="J6245" s="0"/>
      <x:c r="K6245" s="6">
        <x:v>46269</x:v>
      </x:c>
      <x:c r="L6245" t="str" s="2">
        <x:v>Show</x:v>
      </x:c>
    </x:row>
    <x:row r="6246">
      <x:c r="A6246" t="str" s="2">
        <x:f>=HYPERLINK("https://rsms.futurehomex.com/lead/39610", "Gloria R. Merritt")</x:f>
      </x:c>
      <x:c r="B6246" t="str" s="2">
        <x:v>Heritage Housing of Jennings</x:v>
      </x:c>
      <x:c r="C6246" t="str" s="2">
        <x:v/>
      </x:c>
      <x:c r="D6246" t="str" s="2">
        <x:v>3373992642</x:v>
      </x:c>
      <x:c r="E6246" t="str" s="2">
        <x:v>bodrowt4@charter.net</x:v>
      </x:c>
      <x:c r="F6246" t="str" s="2">
        <x:v>Walk-in</x:v>
      </x:c>
      <x:c r="G6246" s="0"/>
      <x:c r="H6246" s="6">
        <x:v>46267.634570104165</x:v>
      </x:c>
      <x:c r="I6246" t="str" s="2">
        <x:v>Mervin Leslie Smith</x:v>
      </x:c>
      <x:c r="J6246" s="0"/>
      <x:c r="K6246" s="0"/>
      <x:c r="L6246" t="str" s="2">
        <x:v>Show</x:v>
      </x:c>
    </x:row>
    <x:row r="6247">
      <x:c r="A6247" t="str" s="2">
        <x:f>=HYPERLINK("https://rsms.futurehomex.com/lead/39625", "Constance Sambo")</x:f>
      </x:c>
      <x:c r="B6247" t="str" s="2">
        <x:v>Heritage Housing of Jennings</x:v>
      </x:c>
      <x:c r="C6247" t="str" s="2">
        <x:v/>
      </x:c>
      <x:c r="D6247" t="str" s="2">
        <x:v>2253678246</x:v>
      </x:c>
      <x:c r="E6247" t="str" s="2">
        <x:v>msconnie1@icloud.com</x:v>
      </x:c>
      <x:c r="F6247" t="str" s="2">
        <x:v>Walk-in</x:v>
      </x:c>
      <x:c r="G6247" s="0"/>
      <x:c r="H6247" s="6">
        <x:v>46267.797054710645</x:v>
      </x:c>
      <x:c r="I6247" t="str" s="2">
        <x:v>Clint O'Neal</x:v>
      </x:c>
      <x:c r="J6247" s="0"/>
      <x:c r="K6247" s="0"/>
      <x:c r="L6247" t="str" s="2">
        <x:v>Show</x:v>
      </x:c>
    </x:row>
    <x:row r="6248">
      <x:c r="A6248" t="str" s="2">
        <x:f>=HYPERLINK("https://rsms.futurehomex.com/lead/39628", "Christopher Dudley")</x:f>
      </x:c>
      <x:c r="B6248" t="str" s="2">
        <x:v>Heritage Housing Mt Pleasant</x:v>
      </x:c>
      <x:c r="C6248" t="str" s="2">
        <x:v/>
      </x:c>
      <x:c r="D6248" t="str" s="2">
        <x:v>9034031974</x:v>
      </x:c>
      <x:c r="E6248" t="str" s="2">
        <x:v>9034031974</x:v>
      </x:c>
      <x:c r="F6248" t="str" s="2">
        <x:v>Office Hot Calls</x:v>
      </x:c>
      <x:c r="G6248" t="str" s="2">
        <x:v>Yarelis Torres</x:v>
      </x:c>
      <x:c r="H6248" s="6">
        <x:v>46267.85185046296</x:v>
      </x:c>
      <x:c r="I6248" t="str" s="2">
        <x:v>Yarelis Torres</x:v>
      </x:c>
      <x:c r="J6248" s="6">
        <x:v>46267.916666666664</x:v>
      </x:c>
      <x:c r="K6248" s="6">
        <x:v>46273.91098032407</x:v>
      </x:c>
      <x:c r="L6248" t="str" s="2">
        <x:v>Show</x:v>
      </x:c>
    </x:row>
    <x:row r="6249">
      <x:c r="A6249" t="str" s="2">
        <x:f>=HYPERLINK("https://rsms.futurehomex.com/lead/39643", "Jerri Melton")</x:f>
      </x:c>
      <x:c r="B6249" t="str" s="2">
        <x:v>Heritage Housing of Athens</x:v>
      </x:c>
      <x:c r="C6249" t="str" s="2">
        <x:v/>
      </x:c>
      <x:c r="D6249" t="str" s="2">
        <x:v>7063727760</x:v>
      </x:c>
      <x:c r="E6249" t="str" s="2">
        <x:v>jerhawk613@gmail.com</x:v>
      </x:c>
      <x:c r="F6249" t="str" s="2">
        <x:v>Landing_BPM</x:v>
      </x:c>
      <x:c r="G6249" t="str" s="2">
        <x:v>Nathan Bishop</x:v>
      </x:c>
      <x:c r="H6249" s="6">
        <x:v>46268.47482225695</x:v>
      </x:c>
      <x:c r="I6249" t="str" s="2">
        <x:v>Nathan Bishop</x:v>
      </x:c>
      <x:c r="J6249" s="6">
        <x:v>46278.583333333336</x:v>
      </x:c>
      <x:c r="K6249" s="6">
        <x:v>46288.84902951389</x:v>
      </x:c>
      <x:c r="L6249" t="str" s="2">
        <x:v>Show</x:v>
      </x:c>
    </x:row>
    <x:row r="6250">
      <x:c r="A6250" t="str" s="2">
        <x:f>=HYPERLINK("https://rsms.futurehomex.com/lead/39695", "Dora Andrea Garcia Mena")</x:f>
      </x:c>
      <x:c r="B6250" t="str" s="2">
        <x:v>Heritage Housing of Asheboro</x:v>
      </x:c>
      <x:c r="C6250" t="str" s="2">
        <x:v/>
      </x:c>
      <x:c r="D6250" t="str" s="2">
        <x:v>3362679350</x:v>
      </x:c>
      <x:c r="E6250" t="str" s="2">
        <x:v>drealez55@gmail.com</x:v>
      </x:c>
      <x:c r="F6250" t="str" s="2">
        <x:v>Walk-in</x:v>
      </x:c>
      <x:c r="G6250" t="str" s="2">
        <x:v>Kate Gutierrez</x:v>
      </x:c>
      <x:c r="H6250" s="6">
        <x:v>46268.543283645835</x:v>
      </x:c>
      <x:c r="I6250" t="str" s="2">
        <x:v>Kate Gutierrez</x:v>
      </x:c>
      <x:c r="J6250" s="0"/>
      <x:c r="K6250" s="6">
        <x:v>46273.84580737269</x:v>
      </x:c>
      <x:c r="L6250" t="str" s="2">
        <x:v>Show</x:v>
      </x:c>
    </x:row>
    <x:row r="6251">
      <x:c r="A6251" t="str" s="2">
        <x:f>=HYPERLINK("https://rsms.futurehomex.com/lead/39653", "Tonia Manders Manders")</x:f>
      </x:c>
      <x:c r="B6251" t="str" s="2">
        <x:v>Heritage Housing of Athens</x:v>
      </x:c>
      <x:c r="C6251" t="str" s="2">
        <x:v/>
      </x:c>
      <x:c r="D6251" t="str" s="2">
        <x:v>4709710109</x:v>
      </x:c>
      <x:c r="E6251" t="str" s="2">
        <x:v>tsmanders@yahoo.com</x:v>
      </x:c>
      <x:c r="F6251" t="str" s="2">
        <x:v>Landing_BPM</x:v>
      </x:c>
      <x:c r="G6251" t="str" s="2">
        <x:v>Nathan Bishop</x:v>
      </x:c>
      <x:c r="H6251" s="6">
        <x:v>46268.60090644676</x:v>
      </x:c>
      <x:c r="I6251" t="str" s="2">
        <x:v>Nathan Bishop</x:v>
      </x:c>
      <x:c r="J6251" s="6">
        <x:v>46277.75</x:v>
      </x:c>
      <x:c r="K6251" s="6">
        <x:v>46278.55361461805</x:v>
      </x:c>
      <x:c r="L6251" t="str" s="2">
        <x:v>Show</x:v>
      </x:c>
    </x:row>
    <x:row r="6252">
      <x:c r="A6252" t="str" s="2">
        <x:f>=HYPERLINK("https://rsms.futurehomex.com/lead/39644", "Cinthia Medina")</x:f>
      </x:c>
      <x:c r="B6252" t="str" s="2">
        <x:v>Heritage Housing Mt Pleasant</x:v>
      </x:c>
      <x:c r="C6252" t="str" s="2">
        <x:v/>
      </x:c>
      <x:c r="D6252" t="str" s="2">
        <x:v>9037475031</x:v>
      </x:c>
      <x:c r="E6252" t="str" s="2">
        <x:v>9037475031</x:v>
      </x:c>
      <x:c r="F6252" t="str" s="2">
        <x:v>Other</x:v>
      </x:c>
      <x:c r="G6252" t="str" s="2">
        <x:v>Sandra Saldana</x:v>
      </x:c>
      <x:c r="H6252" s="6">
        <x:v>46268.66391045139</x:v>
      </x:c>
      <x:c r="I6252" t="str" s="2">
        <x:v>Sandra Saldana</x:v>
      </x:c>
      <x:c r="J6252" s="6">
        <x:v>46284.791666666664</x:v>
      </x:c>
      <x:c r="K6252" s="6">
        <x:v>46285.7981033912</x:v>
      </x:c>
      <x:c r="L6252" t="str" s="2">
        <x:v>Show</x:v>
      </x:c>
    </x:row>
    <x:row r="6253">
      <x:c r="A6253" t="str" s="2">
        <x:f>=HYPERLINK("https://rsms.futurehomex.com/lead/39646", "Iris Test")</x:f>
      </x:c>
      <x:c r="B6253" t="str" s="2">
        <x:v>Heritage Housing of Athens</x:v>
      </x:c>
      <x:c r="C6253" t="str" s="2">
        <x:v/>
      </x:c>
      <x:c r="D6253" t="str" s="2">
        <x:v>7622445330</x:v>
      </x:c>
      <x:c r="E6253" t="str" s="2">
        <x:v>duckandgoose9@gmail.com</x:v>
      </x:c>
      <x:c r="F6253" t="str" s="2">
        <x:v>Walk-in</x:v>
      </x:c>
      <x:c r="G6253" s="0"/>
      <x:c r="H6253" s="6">
        <x:v>46268.67248568287</x:v>
      </x:c>
      <x:c r="I6253" t="str" s="2">
        <x:v>Iris McKinley</x:v>
      </x:c>
      <x:c r="J6253" s="0"/>
      <x:c r="K6253" s="0"/>
      <x:c r="L6253" t="str" s="2">
        <x:v>Show</x:v>
      </x:c>
    </x:row>
    <x:row r="6254">
      <x:c r="A6254" t="str" s="2">
        <x:f>=HYPERLINK("https://rsms.futurehomex.com/lead/39667", "Jase Labauve")</x:f>
      </x:c>
      <x:c r="B6254" t="str" s="2">
        <x:v>Heritage Housing of Jennings</x:v>
      </x:c>
      <x:c r="C6254" t="str" s="2">
        <x:v/>
      </x:c>
      <x:c r="D6254" t="str" s="2">
        <x:v>3373689731</x:v>
      </x:c>
      <x:c r="E6254" t="str" s="2">
        <x:v>jblabauve@gmail.com</x:v>
      </x:c>
      <x:c r="F6254" t="str" s="2">
        <x:v>Walk-in</x:v>
      </x:c>
      <x:c r="G6254" s="0"/>
      <x:c r="H6254" s="6">
        <x:v>46269.59309325231</x:v>
      </x:c>
      <x:c r="I6254" t="str" s="2">
        <x:v>Clint O'Neal</x:v>
      </x:c>
      <x:c r="J6254" s="0"/>
      <x:c r="K6254" s="0"/>
      <x:c r="L6254" t="str" s="2">
        <x:v>Show</x:v>
      </x:c>
    </x:row>
    <x:row r="6255">
      <x:c r="A6255" t="str" s="2">
        <x:f>=HYPERLINK("https://rsms.futurehomex.com/lead/39675", "Kevin Duncan")</x:f>
      </x:c>
      <x:c r="B6255" t="str" s="2">
        <x:v>Heritage Housing of Oklahoma City</x:v>
      </x:c>
      <x:c r="C6255" t="str" s="2">
        <x:v/>
      </x:c>
      <x:c r="D6255" t="str" s="2">
        <x:v>4056120696</x:v>
      </x:c>
      <x:c r="E6255" t="str" s="2">
        <x:v>4056120696</x:v>
      </x:c>
      <x:c r="F6255" t="str" s="2">
        <x:v>Meta Marketplace</x:v>
      </x:c>
      <x:c r="G6255" t="str" s="2">
        <x:v>Trey Rixleben</x:v>
      </x:c>
      <x:c r="H6255" s="6">
        <x:v>46269.622995335645</x:v>
      </x:c>
      <x:c r="I6255" t="str" s="2">
        <x:v>Trey Rixleben</x:v>
      </x:c>
      <x:c r="J6255" s="6">
        <x:v>46269.791666666664</x:v>
      </x:c>
      <x:c r="K6255" s="6">
        <x:v>46269.66653695602</x:v>
      </x:c>
      <x:c r="L6255" t="str" s="2">
        <x:v>Show</x:v>
      </x:c>
    </x:row>
    <x:row r="6256">
      <x:c r="A6256" t="str" s="2">
        <x:f>=HYPERLINK("https://rsms.futurehomex.com/lead/39682", "Eva Rosa")</x:f>
      </x:c>
      <x:c r="B6256" t="str" s="2">
        <x:v>Heritage Housing of Asheboro</x:v>
      </x:c>
      <x:c r="C6256" t="str" s="2">
        <x:v/>
      </x:c>
      <x:c r="D6256" t="str" s="2">
        <x:v>6099806581</x:v>
      </x:c>
      <x:c r="E6256" t="str" s="2">
        <x:v>eoliveras723@gmail.com</x:v>
      </x:c>
      <x:c r="F6256" t="str" s="2">
        <x:v>Walk-in</x:v>
      </x:c>
      <x:c r="G6256" s="0"/>
      <x:c r="H6256" s="6">
        <x:v>46269.765468171296</x:v>
      </x:c>
      <x:c r="I6256" t="str" s="2">
        <x:v>Maria Lopez</x:v>
      </x:c>
      <x:c r="J6256" s="0"/>
      <x:c r="K6256" s="0"/>
      <x:c r="L6256" t="str" s="2">
        <x:v>Show</x:v>
      </x:c>
    </x:row>
    <x:row r="6257">
      <x:c r="A6257" t="str" s="2">
        <x:f>=HYPERLINK("https://rsms.futurehomex.com/lead/39684", "Juan Rivera")</x:f>
      </x:c>
      <x:c r="B6257" t="str" s="2">
        <x:v>Heritage Housing of Asheboro</x:v>
      </x:c>
      <x:c r="C6257" t="str" s="2">
        <x:v/>
      </x:c>
      <x:c r="D6257" t="str" s="2">
        <x:v>3366538390</x:v>
      </x:c>
      <x:c r="E6257" t="str" s="2">
        <x:v>manolo_76@yahoo.com</x:v>
      </x:c>
      <x:c r="F6257" t="str" s="2">
        <x:v>Walk-in</x:v>
      </x:c>
      <x:c r="G6257" s="0"/>
      <x:c r="H6257" s="6">
        <x:v>46269.7985534375</x:v>
      </x:c>
      <x:c r="I6257" t="str" s="2">
        <x:v>Maria Lopez</x:v>
      </x:c>
      <x:c r="J6257" s="0"/>
      <x:c r="K6257" s="0"/>
      <x:c r="L6257" t="str" s="2">
        <x:v>Show</x:v>
      </x:c>
    </x:row>
    <x:row r="6258">
      <x:c r="A6258" t="str" s="2">
        <x:f>=HYPERLINK("https://rsms.futurehomex.com/lead/39689", "Leroy Hudson")</x:f>
      </x:c>
      <x:c r="B6258" t="str" s="2">
        <x:v>Heritage Housing of Greenville</x:v>
      </x:c>
      <x:c r="C6258" t="str" s="2">
        <x:v/>
      </x:c>
      <x:c r="D6258" t="str" s="2">
        <x:v>9032173813</x:v>
      </x:c>
      <x:c r="E6258" t="str" s="2">
        <x:v>9032173813</x:v>
      </x:c>
      <x:c r="F6258" t="str" s="2">
        <x:v>Walk-in</x:v>
      </x:c>
      <x:c r="G6258" t="str" s="2">
        <x:v>Brandie Sartor</x:v>
      </x:c>
      <x:c r="H6258" s="6">
        <x:v>46269.85046168981</x:v>
      </x:c>
      <x:c r="I6258" t="str" s="2">
        <x:v>Greg Christman</x:v>
      </x:c>
      <x:c r="J6258" s="0"/>
      <x:c r="K6258" s="6">
        <x:v>46269.85046168981</x:v>
      </x:c>
      <x:c r="L6258" t="str" s="2">
        <x:v>Show</x:v>
      </x:c>
    </x:row>
    <x:row r="6259">
      <x:c r="A6259" t="str" s="2">
        <x:f>=HYPERLINK("https://rsms.futurehomex.com/lead/39691", "Flor Juarez")</x:f>
      </x:c>
      <x:c r="B6259" t="str" s="2">
        <x:v>Heritage Housing of Asheboro</x:v>
      </x:c>
      <x:c r="C6259" t="str" s="2">
        <x:v/>
      </x:c>
      <x:c r="D6259" t="str" s="2">
        <x:v>3364605597</x:v>
      </x:c>
      <x:c r="E6259" t="str" s="2">
        <x:v>flowjuarez@icloud.com</x:v>
      </x:c>
      <x:c r="F6259" t="str" s="2">
        <x:v>Walk-in</x:v>
      </x:c>
      <x:c r="G6259" s="0"/>
      <x:c r="H6259" s="6">
        <x:v>46269.881216284724</x:v>
      </x:c>
      <x:c r="I6259" t="str" s="2">
        <x:v>Maria Lopez</x:v>
      </x:c>
      <x:c r="J6259" s="0"/>
      <x:c r="K6259" s="0"/>
      <x:c r="L6259" t="str" s="2">
        <x:v>Show</x:v>
      </x:c>
    </x:row>
    <x:row r="6260">
      <x:c r="A6260" t="str" s="2">
        <x:f>=HYPERLINK("https://rsms.futurehomex.com/lead/39693", "Cynthia Hardesty")</x:f>
      </x:c>
      <x:c r="B6260" t="str" s="2">
        <x:v>Heritage Housing of Oklahoma City</x:v>
      </x:c>
      <x:c r="C6260" t="str" s="2">
        <x:v/>
      </x:c>
      <x:c r="D6260" t="str" s="2">
        <x:v>4058021324</x:v>
      </x:c>
      <x:c r="E6260" t="str" s="2">
        <x:v>whitebuffalotp@sbcglobal.net</x:v>
      </x:c>
      <x:c r="F6260" t="str" s="2">
        <x:v>Facebook Messenger</x:v>
      </x:c>
      <x:c r="G6260" t="str" s="2">
        <x:v>Steve Castell</x:v>
      </x:c>
      <x:c r="H6260" s="6">
        <x:v>46269.89459633102</x:v>
      </x:c>
      <x:c r="I6260" t="str" s="2">
        <x:v>Steve Castell</x:v>
      </x:c>
      <x:c r="J6260" s="6">
        <x:v>46269.958333333336</x:v>
      </x:c>
      <x:c r="K6260" s="6">
        <x:v>46270.02118969907</x:v>
      </x:c>
      <x:c r="L6260" t="str" s="2">
        <x:v>Show</x:v>
      </x:c>
    </x:row>
    <x:row r="6261">
      <x:c r="A6261" t="str" s="2">
        <x:f>=HYPERLINK("https://rsms.futurehomex.com/lead/39704", "Chris Michael")</x:f>
      </x:c>
      <x:c r="B6261" t="str" s="2">
        <x:v>Heritage Housing of Oklahoma City</x:v>
      </x:c>
      <x:c r="C6261" t="str" s="2">
        <x:v/>
      </x:c>
      <x:c r="D6261" t="str" s="2">
        <x:v>4054054056</x:v>
      </x:c>
      <x:c r="E6261" t="str" s="2">
        <x:v>4054054056</x:v>
      </x:c>
      <x:c r="F6261" t="str" s="2">
        <x:v>Facebook Messenger</x:v>
      </x:c>
      <x:c r="G6261" t="str" s="2">
        <x:v>Eva Misheva</x:v>
      </x:c>
      <x:c r="H6261" s="6">
        <x:v>46270.627767858794</x:v>
      </x:c>
      <x:c r="I6261" t="str" s="2">
        <x:v>Eva Misheva</x:v>
      </x:c>
      <x:c r="J6261" s="0"/>
      <x:c r="K6261" s="6">
        <x:v>46270.627767858794</x:v>
      </x:c>
      <x:c r="L6261" t="str" s="2">
        <x:v>Show</x:v>
      </x:c>
    </x:row>
    <x:row r="6262">
      <x:c r="A6262" t="str" s="2">
        <x:f>=HYPERLINK("https://rsms.futurehomex.com/lead/39710", "Shawn Hauser")</x:f>
      </x:c>
      <x:c r="B6262" t="str" s="2">
        <x:v>Heritage Housing of Asheboro</x:v>
      </x:c>
      <x:c r="C6262" t="str" s="2">
        <x:v/>
      </x:c>
      <x:c r="D6262" t="str" s="2">
        <x:v>3363921109</x:v>
      </x:c>
      <x:c r="E6262" t="str" s="2">
        <x:v>darthsephy@gmail.com</x:v>
      </x:c>
      <x:c r="F6262" t="str" s="2">
        <x:v>Walk-in</x:v>
      </x:c>
      <x:c r="G6262" s="0"/>
      <x:c r="H6262" s="6">
        <x:v>46270.64850231481</x:v>
      </x:c>
      <x:c r="I6262" t="str" s="2">
        <x:v>Maria Lopez</x:v>
      </x:c>
      <x:c r="J6262" s="0"/>
      <x:c r="K6262" s="0"/>
      <x:c r="L6262" t="str" s="2">
        <x:v>Show</x:v>
      </x:c>
    </x:row>
    <x:row r="6263">
      <x:c r="A6263" t="str" s="2">
        <x:f>=HYPERLINK("https://rsms.futurehomex.com/lead/39714", "Marilyn Peoples")</x:f>
      </x:c>
      <x:c r="B6263" t="str" s="2">
        <x:v>Heritage Housing of Augusta</x:v>
      </x:c>
      <x:c r="C6263" t="str" s="2">
        <x:v/>
      </x:c>
      <x:c r="D6263" t="str" s="2">
        <x:v>7622803190</x:v>
      </x:c>
      <x:c r="E6263" t="str" s="2">
        <x:v>mpeoples78@gmail..com</x:v>
      </x:c>
      <x:c r="F6263" t="str" s="2">
        <x:v>Walk-in</x:v>
      </x:c>
      <x:c r="G6263" s="0"/>
      <x:c r="H6263" s="6">
        <x:v>46270.665652696756</x:v>
      </x:c>
      <x:c r="I6263" t="str" s="2">
        <x:v>Faye Lively</x:v>
      </x:c>
      <x:c r="J6263" s="0"/>
      <x:c r="K6263" s="0"/>
      <x:c r="L6263" t="str" s="2">
        <x:v>Show</x:v>
      </x:c>
    </x:row>
    <x:row r="6264">
      <x:c r="A6264" t="str" s="2">
        <x:f>=HYPERLINK("https://rsms.futurehomex.com/lead/39717", "Kevin Guzman")</x:f>
      </x:c>
      <x:c r="B6264" t="str" s="2">
        <x:v>Heritage Housing of Oklahoma City</x:v>
      </x:c>
      <x:c r="C6264" t="str" s="2">
        <x:v/>
      </x:c>
      <x:c r="D6264" t="str" s="2">
        <x:v>7793028904</x:v>
      </x:c>
      <x:c r="E6264" t="str" s="2">
        <x:v>k.guzman03154@gmail.com</x:v>
      </x:c>
      <x:c r="F6264" t="str" s="2">
        <x:v>Google Ads</x:v>
      </x:c>
      <x:c r="G6264" t="str" s="2">
        <x:v>Eva Misheva</x:v>
      </x:c>
      <x:c r="H6264" s="6">
        <x:v>46270.67894359954</x:v>
      </x:c>
      <x:c r="I6264" t="str" s="2">
        <x:v>Eva Misheva</x:v>
      </x:c>
      <x:c r="J6264" s="0"/>
      <x:c r="K6264" s="6">
        <x:v>46270.67894359954</x:v>
      </x:c>
      <x:c r="L6264" t="str" s="2">
        <x:v>Show</x:v>
      </x:c>
    </x:row>
    <x:row r="6265">
      <x:c r="A6265" t="str" s="2">
        <x:f>=HYPERLINK("https://rsms.futurehomex.com/lead/39718", "Jeff Dunn")</x:f>
      </x:c>
      <x:c r="B6265" t="str" s="2">
        <x:v>Heritage Housing of Augusta</x:v>
      </x:c>
      <x:c r="C6265" t="str" s="2">
        <x:v/>
      </x:c>
      <x:c r="D6265" t="str" s="2">
        <x:v>7068302147</x:v>
      </x:c>
      <x:c r="E6265" t="str" s="2">
        <x:v>jsdunn33@yahoo.com</x:v>
      </x:c>
      <x:c r="F6265" t="str" s="2">
        <x:v>Walk-in</x:v>
      </x:c>
      <x:c r="G6265" s="0"/>
      <x:c r="H6265" s="6">
        <x:v>46270.67903684028</x:v>
      </x:c>
      <x:c r="I6265" t="str" s="2">
        <x:v>Jennifer Johnson</x:v>
      </x:c>
      <x:c r="J6265" s="0"/>
      <x:c r="K6265" s="0"/>
      <x:c r="L6265" t="str" s="2">
        <x:v>Show</x:v>
      </x:c>
    </x:row>
    <x:row r="6266">
      <x:c r="A6266" t="str" s="2">
        <x:f>=HYPERLINK("https://rsms.futurehomex.com/lead/39722", "Israel Garcia")</x:f>
      </x:c>
      <x:c r="B6266" t="str" s="2">
        <x:v>Heritage Housing of Asheboro</x:v>
      </x:c>
      <x:c r="C6266" t="str" s="2">
        <x:v/>
      </x:c>
      <x:c r="D6266" t="str" s="2">
        <x:v>9195798574</x:v>
      </x:c>
      <x:c r="E6266" t="str" s="2">
        <x:v>isragar200@gmail.com</x:v>
      </x:c>
      <x:c r="F6266" t="str" s="2">
        <x:v>Walk-in</x:v>
      </x:c>
      <x:c r="G6266" s="0"/>
      <x:c r="H6266" s="6">
        <x:v>46270.74081967593</x:v>
      </x:c>
      <x:c r="I6266" t="str" s="2">
        <x:v>Kate Gutierrez</x:v>
      </x:c>
      <x:c r="J6266" s="0"/>
      <x:c r="K6266" s="0"/>
      <x:c r="L6266" t="str" s="2">
        <x:v>Show</x:v>
      </x:c>
    </x:row>
    <x:row r="6267">
      <x:c r="A6267" t="str" s="2">
        <x:f>=HYPERLINK("https://rsms.futurehomex.com/lead/39781", "James Spivey")</x:f>
      </x:c>
      <x:c r="B6267" t="str" s="2">
        <x:v>Heritage Housing of Oklahoma City</x:v>
      </x:c>
      <x:c r="C6267" t="str" s="2">
        <x:v/>
      </x:c>
      <x:c r="D6267" t="str" s="2">
        <x:v>5806655302</x:v>
      </x:c>
      <x:c r="E6267" t="str" s="2">
        <x:v>Jamesspivey15.5@gmail.com</x:v>
      </x:c>
      <x:c r="F6267" t="str" s="2">
        <x:v>Financing Form</x:v>
      </x:c>
      <x:c r="G6267" t="str" s="2">
        <x:v>Steve Castell</x:v>
      </x:c>
      <x:c r="H6267" s="6">
        <x:v>46270.76693318287</x:v>
      </x:c>
      <x:c r="I6267" t="str" s="2">
        <x:v>Steve Castell</x:v>
      </x:c>
      <x:c r="J6267" s="6">
        <x:v>46274.645833333336</x:v>
      </x:c>
      <x:c r="K6267" s="6">
        <x:v>46274.704214895835</x:v>
      </x:c>
      <x:c r="L6267" t="str" s="2">
        <x:v>Show</x:v>
      </x:c>
    </x:row>
    <x:row r="6268">
      <x:c r="A6268" t="str" s="2">
        <x:f>=HYPERLINK("https://rsms.futurehomex.com/lead/39733", "Herminia Gil")</x:f>
      </x:c>
      <x:c r="B6268" t="str" s="2">
        <x:v>Heritage Housing of Asheboro</x:v>
      </x:c>
      <x:c r="C6268" t="str" s="2">
        <x:v/>
      </x:c>
      <x:c r="D6268" t="str" s="2">
        <x:v>9199097118</x:v>
      </x:c>
      <x:c r="E6268" t="str" s="2">
        <x:v>minagil44@gmail.com</x:v>
      </x:c>
      <x:c r="F6268" t="str" s="2">
        <x:v>Walk-in</x:v>
      </x:c>
      <x:c r="G6268" s="0"/>
      <x:c r="H6268" s="6">
        <x:v>46270.78826890046</x:v>
      </x:c>
      <x:c r="I6268" t="str" s="2">
        <x:v>Kate Gutierrez</x:v>
      </x:c>
      <x:c r="J6268" s="0"/>
      <x:c r="K6268" s="0"/>
      <x:c r="L6268" t="str" s="2">
        <x:v>Show</x:v>
      </x:c>
    </x:row>
    <x:row r="6269">
      <x:c r="A6269" t="str" s="2">
        <x:f>=HYPERLINK("https://rsms.futurehomex.com/lead/39882", "Jennifer Brown Winstead")</x:f>
      </x:c>
      <x:c r="B6269" t="str" s="2">
        <x:v>Heritage Housing of Minden</x:v>
      </x:c>
      <x:c r="C6269" t="str" s="2">
        <x:v/>
      </x:c>
      <x:c r="D6269" t="str" s="2">
        <x:v>3185356557</x:v>
      </x:c>
      <x:c r="E6269" t="str" s="2">
        <x:v>pipersmomma280@gmail.com</x:v>
      </x:c>
      <x:c r="F6269" t="str" s="2">
        <x:v>Walk-in</x:v>
      </x:c>
      <x:c r="G6269" t="str" s="2">
        <x:v>Clint O'Neal</x:v>
      </x:c>
      <x:c r="H6269" s="6">
        <x:v>46270.966812465274</x:v>
      </x:c>
      <x:c r="I6269" t="str" s="2">
        <x:v>Patrick Schuchart</x:v>
      </x:c>
      <x:c r="J6269" s="0"/>
      <x:c r="K6269" s="6">
        <x:v>46273</x:v>
      </x:c>
      <x:c r="L6269" t="str" s="2">
        <x:v>Show</x:v>
      </x:c>
    </x:row>
    <x:row r="6270">
      <x:c r="A6270" t="str" s="2">
        <x:f>=HYPERLINK("https://rsms.futurehomex.com/lead/39747", "Angelyce Arian")</x:f>
      </x:c>
      <x:c r="B6270" t="str" s="2">
        <x:v>Heritage Housing of Oklahoma City</x:v>
      </x:c>
      <x:c r="C6270" t="str" s="2">
        <x:v/>
      </x:c>
      <x:c r="D6270" t="str" s="2">
        <x:v>4054046504</x:v>
      </x:c>
      <x:c r="E6270" t="str" s="2">
        <x:v>angelycemiller@gmail.com</x:v>
      </x:c>
      <x:c r="F6270" t="str" s="2">
        <x:v>Facebook Messenger</x:v>
      </x:c>
      <x:c r="G6270" t="str" s="2">
        <x:v>Eva Misheva</x:v>
      </x:c>
      <x:c r="H6270" s="6">
        <x:v>46271.80650694444</x:v>
      </x:c>
      <x:c r="I6270" t="str" s="2">
        <x:v>Eva Misheva</x:v>
      </x:c>
      <x:c r="J6270" s="6">
        <x:v>46271.875</x:v>
      </x:c>
      <x:c r="K6270" s="6">
        <x:v>46271.82254417824</x:v>
      </x:c>
      <x:c r="L6270" t="str" s="2">
        <x:v>Show</x:v>
      </x:c>
    </x:row>
    <x:row r="6271">
      <x:c r="A6271" t="str" s="2">
        <x:f>=HYPERLINK("https://rsms.futurehomex.com/lead/39748", "Ramona Tall Bear")</x:f>
      </x:c>
      <x:c r="B6271" t="str" s="2">
        <x:v>Heritage Housing of Oklahoma City</x:v>
      </x:c>
      <x:c r="C6271" t="str" s="2">
        <x:v/>
      </x:c>
      <x:c r="D6271" t="str" s="2">
        <x:v>4057952802</x:v>
      </x:c>
      <x:c r="E6271" t="str" s="2">
        <x:v>rtallbear@cheyenneandarapaho-nsn.gov</x:v>
      </x:c>
      <x:c r="F6271" t="str" s="2">
        <x:v>Facebook Messenger</x:v>
      </x:c>
      <x:c r="G6271" t="str" s="2">
        <x:v>Eva Misheva</x:v>
      </x:c>
      <x:c r="H6271" s="6">
        <x:v>46271.886839039355</x:v>
      </x:c>
      <x:c r="I6271" t="str" s="2">
        <x:v>Eva Misheva</x:v>
      </x:c>
      <x:c r="J6271" s="6">
        <x:v>46271.916666666664</x:v>
      </x:c>
      <x:c r="K6271" s="6">
        <x:v>46271.9060909375</x:v>
      </x:c>
      <x:c r="L6271" t="str" s="2">
        <x:v>Show</x:v>
      </x:c>
    </x:row>
    <x:row r="6272">
      <x:c r="A6272" t="str" s="2">
        <x:f>=HYPERLINK("https://rsms.futurehomex.com/lead/39845", "Lenora Dorsey")</x:f>
      </x:c>
      <x:c r="B6272" t="str" s="2">
        <x:v>Heritage Housing of Augusta</x:v>
      </x:c>
      <x:c r="C6272" t="str" s="2">
        <x:v/>
      </x:c>
      <x:c r="D6272" t="str" s="2">
        <x:v>2403382377</x:v>
      </x:c>
      <x:c r="E6272" t="str" s="2">
        <x:v>lenoradorsey1966@gmail.com</x:v>
      </x:c>
      <x:c r="F6272" t="str" s="2">
        <x:v>Walk-in</x:v>
      </x:c>
      <x:c r="G6272" s="0"/>
      <x:c r="H6272" s="6">
        <x:v>46272.745228506945</x:v>
      </x:c>
      <x:c r="I6272" t="str" s="2">
        <x:v>Faye Lively</x:v>
      </x:c>
      <x:c r="J6272" s="0"/>
      <x:c r="K6272" s="0"/>
      <x:c r="L6272" t="str" s="2">
        <x:v>Show</x:v>
      </x:c>
    </x:row>
    <x:row r="6273">
      <x:c r="A6273" t="str" s="2">
        <x:f>=HYPERLINK("https://rsms.futurehomex.com/lead/39841", "Lino Carrera")</x:f>
      </x:c>
      <x:c r="B6273" t="str" s="2">
        <x:v>Legacy Housing Corp. DBA Americasa</x:v>
      </x:c>
      <x:c r="C6273" t="str" s="2">
        <x:v/>
      </x:c>
      <x:c r="D6273" t="str" s="2">
        <x:v>2814133609</x:v>
      </x:c>
      <x:c r="E6273" t="str" s="2">
        <x:v>mrcarrera1@aol.com</x:v>
      </x:c>
      <x:c r="F6273" t="str" s="2">
        <x:v>Website</x:v>
      </x:c>
      <x:c r="G6273" t="str" s="2">
        <x:v>Jose Parada</x:v>
      </x:c>
      <x:c r="H6273" s="6">
        <x:v>46272.790653819444</x:v>
      </x:c>
      <x:c r="I6273" t="str" s="2">
        <x:v>Jose Parada</x:v>
      </x:c>
      <x:c r="J6273" s="6">
        <x:v>46277.708333333336</x:v>
      </x:c>
      <x:c r="K6273" s="6">
        <x:v>46277.828778125</x:v>
      </x:c>
      <x:c r="L6273" t="str" s="2">
        <x:v>Show</x:v>
      </x:c>
    </x:row>
    <x:row r="6274">
      <x:c r="A6274" t="str" s="2">
        <x:f>=HYPERLINK("https://rsms.futurehomex.com/lead/40147", "Jackie McCray")</x:f>
      </x:c>
      <x:c r="B6274" t="str" s="2">
        <x:v>Heritage Housing of Asheboro</x:v>
      </x:c>
      <x:c r="C6274" t="str" s="2">
        <x:v>1/2</x:v>
      </x:c>
      <x:c r="D6274" t="str" s="2">
        <x:v>9104032028</x:v>
      </x:c>
      <x:c r="E6274" t="str" s="2">
        <x:v>pjmac7465@gmail.com</x:v>
      </x:c>
      <x:c r="F6274" t="str" s="2">
        <x:v>Youtube</x:v>
      </x:c>
      <x:c r="G6274" t="str" s="2">
        <x:v>Kate Gutierrez</x:v>
      </x:c>
      <x:c r="H6274" s="6">
        <x:v>46272.90612288194</x:v>
      </x:c>
      <x:c r="I6274" t="str" s="2">
        <x:v>Kate Gutierrez</x:v>
      </x:c>
      <x:c r="J6274" s="6">
        <x:v>46284.75</x:v>
      </x:c>
      <x:c r="K6274" s="6">
        <x:v>46294.716346608795</x:v>
      </x:c>
      <x:c r="L6274" t="str" s="2">
        <x:v>Show</x:v>
      </x:c>
    </x:row>
    <x:row r="6275">
      <x:c r="A6275" t="str" s="2">
        <x:f>=HYPERLINK("https://rsms.futurehomex.com/lead/40504", "Louden Grover")</x:f>
      </x:c>
      <x:c r="B6275" t="str" s="2">
        <x:v>Heritage Housing of Augusta</x:v>
      </x:c>
      <x:c r="C6275" t="str" s="2">
        <x:v/>
      </x:c>
      <x:c r="D6275" t="str" s="2">
        <x:v>9125966750</x:v>
      </x:c>
      <x:c r="E6275" t="str" s="2">
        <x:v>groverlouden@yahoo.com</x:v>
      </x:c>
      <x:c r="F6275" t="str" s="2">
        <x:v>Walk-in</x:v>
      </x:c>
      <x:c r="G6275" t="str" s="2">
        <x:v>Faye Lively</x:v>
      </x:c>
      <x:c r="H6275" s="6">
        <x:v>46273.376292939814</x:v>
      </x:c>
      <x:c r="I6275" t="str" s="2">
        <x:v>Jose Chavez</x:v>
      </x:c>
      <x:c r="J6275" s="6">
        <x:v>46296.791666666664</x:v>
      </x:c>
      <x:c r="K6275" s="6">
        <x:v>46296.874067557874</x:v>
      </x:c>
      <x:c r="L6275" t="str" s="2">
        <x:v>Show</x:v>
      </x:c>
    </x:row>
    <x:row r="6276">
      <x:c r="A6276" t="str" s="2">
        <x:f>=HYPERLINK("https://rsms.futurehomex.com/lead/39766", "Maria Moreno")</x:f>
      </x:c>
      <x:c r="B6276" t="str" s="2">
        <x:v>Heritage Housing of Asheboro</x:v>
      </x:c>
      <x:c r="C6276" t="str" s="2">
        <x:v/>
      </x:c>
      <x:c r="D6276" t="str" s="2">
        <x:v>3363409375</x:v>
      </x:c>
      <x:c r="E6276" t="str" s="2">
        <x:v>morenoconchita106@gmail.com</x:v>
      </x:c>
      <x:c r="F6276" t="str" s="2">
        <x:v>Walk-in</x:v>
      </x:c>
      <x:c r="G6276" s="0"/>
      <x:c r="H6276" s="6">
        <x:v>46273.57636623843</x:v>
      </x:c>
      <x:c r="I6276" t="str" s="2">
        <x:v>Maria Lopez</x:v>
      </x:c>
      <x:c r="J6276" s="0"/>
      <x:c r="K6276" s="0"/>
      <x:c r="L6276" t="str" s="2">
        <x:v>Show</x:v>
      </x:c>
    </x:row>
    <x:row r="6277">
      <x:c r="A6277" t="str" s="2">
        <x:f>=HYPERLINK("https://rsms.futurehomex.com/lead/39783", "Miguel Tiu")</x:f>
      </x:c>
      <x:c r="B6277" t="str" s="2">
        <x:v>Heritage Housing of Asheboro</x:v>
      </x:c>
      <x:c r="C6277" t="str" s="2">
        <x:v/>
      </x:c>
      <x:c r="D6277" t="str" s="2">
        <x:v>5718391543</x:v>
      </x:c>
      <x:c r="E6277" t="str" s="2">
        <x:v>Karollem94@gmail.com</x:v>
      </x:c>
      <x:c r="F6277" t="str" s="2">
        <x:v>Walk-in</x:v>
      </x:c>
      <x:c r="G6277" s="0"/>
      <x:c r="H6277" s="6">
        <x:v>46273.60441454861</x:v>
      </x:c>
      <x:c r="I6277" t="str" s="2">
        <x:v>Maria Lopez</x:v>
      </x:c>
      <x:c r="J6277" s="0"/>
      <x:c r="K6277" s="0"/>
      <x:c r="L6277" t="str" s="2">
        <x:v>Show</x:v>
      </x:c>
    </x:row>
    <x:row r="6278">
      <x:c r="A6278" t="str" s="2">
        <x:f>=HYPERLINK("https://rsms.futurehomex.com/lead/39789", "Tim Heimbach")</x:f>
      </x:c>
      <x:c r="B6278" t="str" s="2">
        <x:v>Heritage Housing of Tulsa</x:v>
      </x:c>
      <x:c r="C6278" t="str" s="2">
        <x:v/>
      </x:c>
      <x:c r="D6278" t="str" s="2">
        <x:v>9182703824</x:v>
      </x:c>
      <x:c r="E6278" t="str" s="2">
        <x:v>timothyheimbach@gmail.com</x:v>
      </x:c>
      <x:c r="F6278" t="str" s="2">
        <x:v>Walk-in</x:v>
      </x:c>
      <x:c r="G6278" t="str" s="2">
        <x:v>Jenna Fransisco</x:v>
      </x:c>
      <x:c r="H6278" s="6">
        <x:v>46273.65320829861</x:v>
      </x:c>
      <x:c r="I6278" t="str" s="2">
        <x:v>Jenna Fransisco</x:v>
      </x:c>
      <x:c r="J6278" s="0"/>
      <x:c r="K6278" s="6">
        <x:v>46273.65320829861</x:v>
      </x:c>
      <x:c r="L6278" t="str" s="2">
        <x:v>Show</x:v>
      </x:c>
    </x:row>
    <x:row r="6279">
      <x:c r="A6279" t="str" s="2">
        <x:f>=HYPERLINK("https://rsms.futurehomex.com/lead/39790", "Jordan Hill")</x:f>
      </x:c>
      <x:c r="B6279" t="str" s="2">
        <x:v>Heritage Housing of Oklahoma City</x:v>
      </x:c>
      <x:c r="C6279" t="str" s="2">
        <x:v/>
      </x:c>
      <x:c r="D6279" t="str" s="2">
        <x:v>5616050273</x:v>
      </x:c>
      <x:c r="E6279" t="str" s="2">
        <x:v>JordanHill2010@yahoo.com</x:v>
      </x:c>
      <x:c r="F6279" t="str" s="2">
        <x:v>Facebook Messenger</x:v>
      </x:c>
      <x:c r="G6279" t="str" s="2">
        <x:v>Gianna Cervantes</x:v>
      </x:c>
      <x:c r="H6279" s="6">
        <x:v>46273.69563333334</x:v>
      </x:c>
      <x:c r="I6279" t="str" s="2">
        <x:v>Trey Rixleben</x:v>
      </x:c>
      <x:c r="J6279" s="6">
        <x:v>46273.770833333336</x:v>
      </x:c>
      <x:c r="K6279" s="6">
        <x:v>46273.78587086806</x:v>
      </x:c>
      <x:c r="L6279" t="str" s="2">
        <x:v>Show</x:v>
      </x:c>
    </x:row>
    <x:row r="6280">
      <x:c r="A6280" t="str" s="2">
        <x:f>=HYPERLINK("https://rsms.futurehomex.com/lead/39792", "AlexB Test")</x:f>
      </x:c>
      <x:c r="B6280" t="str" s="2">
        <x:v>Heritage Housing of Albany</x:v>
      </x:c>
      <x:c r="C6280" t="str" s="2">
        <x:v/>
      </x:c>
      <x:c r="D6280" t="str" s="2">
        <x:v>3578906321</x:v>
      </x:c>
      <x:c r="E6280" t="str" s="2">
        <x:v>alextest@nomail.com</x:v>
      </x:c>
      <x:c r="F6280" t="str" s="2">
        <x:v>Walk-in</x:v>
      </x:c>
      <x:c r="G6280" s="0"/>
      <x:c r="H6280" s="6">
        <x:v>46273.719504166664</x:v>
      </x:c>
      <x:c r="I6280" t="str" s="2">
        <x:v>Alexander Bryant</x:v>
      </x:c>
      <x:c r="J6280" s="0"/>
      <x:c r="K6280" s="0"/>
      <x:c r="L6280" t="str" s="2">
        <x:v>Show</x:v>
      </x:c>
    </x:row>
    <x:row r="6281">
      <x:c r="A6281" t="str" s="2">
        <x:f>=HYPERLINK("https://rsms.futurehomex.com/lead/39795", "William Surratt")</x:f>
      </x:c>
      <x:c r="B6281" t="str" s="2">
        <x:v>Heritage Housing of Asheboro</x:v>
      </x:c>
      <x:c r="C6281" t="str" s="2">
        <x:v/>
      </x:c>
      <x:c r="D6281" t="str" s="2">
        <x:v>3364603694</x:v>
      </x:c>
      <x:c r="E6281" t="str" s="2">
        <x:v>mggreene2018@gmail.com</x:v>
      </x:c>
      <x:c r="F6281" t="str" s="2">
        <x:v>Walk-in</x:v>
      </x:c>
      <x:c r="G6281" s="0"/>
      <x:c r="H6281" s="6">
        <x:v>46273.76388576389</x:v>
      </x:c>
      <x:c r="I6281" t="str" s="2">
        <x:v>Maria Lopez</x:v>
      </x:c>
      <x:c r="J6281" s="0"/>
      <x:c r="K6281" s="0"/>
      <x:c r="L6281" t="str" s="2">
        <x:v>Show</x:v>
      </x:c>
    </x:row>
    <x:row r="6282">
      <x:c r="A6282" t="str" s="2">
        <x:f>=HYPERLINK("https://rsms.futurehomex.com/lead/39799", "Suzy Wilkerson")</x:f>
      </x:c>
      <x:c r="B6282" t="str" s="2">
        <x:v>Heritage Housing of Asheboro</x:v>
      </x:c>
      <x:c r="C6282" t="str" s="2">
        <x:v/>
      </x:c>
      <x:c r="D6282" t="str" s="2">
        <x:v>9197997617</x:v>
      </x:c>
      <x:c r="E6282" t="str" s="2">
        <x:v>swilkerson67@ymail.com</x:v>
      </x:c>
      <x:c r="F6282" t="str" s="2">
        <x:v>Google Ads</x:v>
      </x:c>
      <x:c r="G6282" t="str" s="2">
        <x:v>Kate Gutierrez</x:v>
      </x:c>
      <x:c r="H6282" s="6">
        <x:v>46273.777194525464</x:v>
      </x:c>
      <x:c r="I6282" t="str" s="2">
        <x:v>Kate Gutierrez</x:v>
      </x:c>
      <x:c r="J6282" s="6">
        <x:v>46275.791666666664</x:v>
      </x:c>
      <x:c r="K6282" s="6">
        <x:v>46276.60122670139</x:v>
      </x:c>
      <x:c r="L6282" t="str" s="2">
        <x:v>Show</x:v>
      </x:c>
    </x:row>
    <x:row r="6283">
      <x:c r="A6283" t="str" s="2">
        <x:f>=HYPERLINK("https://rsms.futurehomex.com/lead/39800", "Rosa Pintor")</x:f>
      </x:c>
      <x:c r="B6283" t="str" s="2">
        <x:v>Heritage Housing of Greenville</x:v>
      </x:c>
      <x:c r="C6283" t="str" s="2">
        <x:v/>
      </x:c>
      <x:c r="D6283" t="str" s="2">
        <x:v>9032597049</x:v>
      </x:c>
      <x:c r="E6283" t="str" s="2">
        <x:v>pintorflor19@gmail.com</x:v>
      </x:c>
      <x:c r="F6283" t="str" s="2">
        <x:v>Walk-in</x:v>
      </x:c>
      <x:c r="G6283" t="str" s="2">
        <x:v>Brandie Sartor</x:v>
      </x:c>
      <x:c r="H6283" s="6">
        <x:v>46273.778320798614</x:v>
      </x:c>
      <x:c r="I6283" t="str" s="2">
        <x:v>Brandie Sartor</x:v>
      </x:c>
      <x:c r="J6283" s="0"/>
      <x:c r="K6283" s="6">
        <x:v>46273.778320798614</x:v>
      </x:c>
      <x:c r="L6283" t="str" s="2">
        <x:v>Show</x:v>
      </x:c>
    </x:row>
    <x:row r="6284">
      <x:c r="A6284" t="str" s="2">
        <x:f>=HYPERLINK("https://rsms.futurehomex.com/lead/39803", "Linda Linda")</x:f>
      </x:c>
      <x:c r="B6284" t="str" s="2">
        <x:v>Heritage Housing of Oklahoma City</x:v>
      </x:c>
      <x:c r="C6284" t="str" s="2">
        <x:v/>
      </x:c>
      <x:c r="D6284" t="str" s="2">
        <x:v>4052090614</x:v>
      </x:c>
      <x:c r="E6284" t="str" s="2">
        <x:v>4052090614</x:v>
      </x:c>
      <x:c r="F6284" t="str" s="2">
        <x:v>Meta Ads - Messenger</x:v>
      </x:c>
      <x:c r="G6284" t="str" s="2">
        <x:v>Alejandra Calderon</x:v>
      </x:c>
      <x:c r="H6284" s="6">
        <x:v>46273.79776354167</x:v>
      </x:c>
      <x:c r="I6284" t="str" s="2">
        <x:v>Alejandra Calderon</x:v>
      </x:c>
      <x:c r="J6284" s="6">
        <x:v>46273.875</x:v>
      </x:c>
      <x:c r="K6284" s="6">
        <x:v>46273.80217604167</x:v>
      </x:c>
      <x:c r="L6284" t="str" s="2">
        <x:v>Show</x:v>
      </x:c>
    </x:row>
    <x:row r="6285">
      <x:c r="A6285" t="str" s="2">
        <x:f>=HYPERLINK("https://rsms.futurehomex.com/lead/39804", "Cheryl Peterson")</x:f>
      </x:c>
      <x:c r="B6285" t="str" s="2">
        <x:v>Heritage Housing of Asheboro</x:v>
      </x:c>
      <x:c r="C6285" t="str" s="2">
        <x:v/>
      </x:c>
      <x:c r="D6285" t="str" s="2">
        <x:v>3363123813</x:v>
      </x:c>
      <x:c r="E6285" t="str" s="2">
        <x:v>cowboysncash@yahoo.com</x:v>
      </x:c>
      <x:c r="F6285" t="str" s="2">
        <x:v>Walk-in</x:v>
      </x:c>
      <x:c r="G6285" s="0"/>
      <x:c r="H6285" s="6">
        <x:v>46273.847604282404</x:v>
      </x:c>
      <x:c r="I6285" t="str" s="2">
        <x:v>Kate Gutierrez</x:v>
      </x:c>
      <x:c r="J6285" s="0"/>
      <x:c r="K6285" s="0"/>
      <x:c r="L6285" t="str" s="2">
        <x:v>Show</x:v>
      </x:c>
    </x:row>
    <x:row r="6286">
      <x:c r="A6286" t="str" s="2">
        <x:f>=HYPERLINK("https://rsms.futurehomex.com/lead/39810", "Hugo Sanchez")</x:f>
      </x:c>
      <x:c r="B6286" t="str" s="2">
        <x:v>Heritage Housing Mt Pleasant</x:v>
      </x:c>
      <x:c r="C6286" t="str" s="2">
        <x:v/>
      </x:c>
      <x:c r="D6286" t="str" s="2">
        <x:v>9037048029</x:v>
      </x:c>
      <x:c r="E6286" t="str" s="2">
        <x:v>Eap2497@yahoo.com</x:v>
      </x:c>
      <x:c r="F6286" t="str" s="2">
        <x:v>Facebook Messenger</x:v>
      </x:c>
      <x:c r="G6286" t="str" s="2">
        <x:v>Sandra Saldana</x:v>
      </x:c>
      <x:c r="H6286" s="6">
        <x:v>46273.92014502315</x:v>
      </x:c>
      <x:c r="I6286" t="str" s="2">
        <x:v>Sandra Saldana</x:v>
      </x:c>
      <x:c r="J6286" s="6">
        <x:v>46273.958333333336</x:v>
      </x:c>
      <x:c r="K6286" s="6">
        <x:v>46274.03588321759</x:v>
      </x:c>
      <x:c r="L6286" t="str" s="2">
        <x:v>Show</x:v>
      </x:c>
    </x:row>
    <x:row r="6287">
      <x:c r="A6287" t="str" s="2">
        <x:f>=HYPERLINK("https://rsms.futurehomex.com/lead/39814", "Christina Sharp")</x:f>
      </x:c>
      <x:c r="B6287" t="str" s="2">
        <x:v>Heritage Housing of Augusta</x:v>
      </x:c>
      <x:c r="C6287" t="str" s="2">
        <x:v/>
      </x:c>
      <x:c r="D6287" t="str" s="2">
        <x:v>8039894399</x:v>
      </x:c>
      <x:c r="E6287" t="str" s="2">
        <x:v>christina.theidocionlaw@gmail.com</x:v>
      </x:c>
      <x:c r="F6287" t="str" s="2">
        <x:v>Walk-in</x:v>
      </x:c>
      <x:c r="G6287" s="0"/>
      <x:c r="H6287" s="6">
        <x:v>46273.94015158565</x:v>
      </x:c>
      <x:c r="I6287" t="str" s="2">
        <x:v>Jennifer Johnson</x:v>
      </x:c>
      <x:c r="J6287" s="0"/>
      <x:c r="K6287" s="0"/>
      <x:c r="L6287" t="str" s="2">
        <x:v>Show</x:v>
      </x:c>
    </x:row>
    <x:row r="6288">
      <x:c r="A6288" t="str" s="2">
        <x:f>=HYPERLINK("https://rsms.futurehomex.com/lead/39821", "David Brazeal")</x:f>
      </x:c>
      <x:c r="B6288" t="str" s="2">
        <x:v>Heritage Housing of Oklahoma City</x:v>
      </x:c>
      <x:c r="C6288" t="str" s="2">
        <x:v/>
      </x:c>
      <x:c r="D6288" t="str" s="2">
        <x:v>9182049007</x:v>
      </x:c>
      <x:c r="E6288" t="str" s="2">
        <x:v>brazealdavid77@gmail.com</x:v>
      </x:c>
      <x:c r="F6288" t="str" s="2">
        <x:v>Facebook Messenger</x:v>
      </x:c>
      <x:c r="G6288" t="str" s="2">
        <x:v>Steve Castell</x:v>
      </x:c>
      <x:c r="H6288" s="6">
        <x:v>46274.58560825232</x:v>
      </x:c>
      <x:c r="I6288" t="str" s="2">
        <x:v>Steve Castell</x:v>
      </x:c>
      <x:c r="J6288" s="6">
        <x:v>46274.666666666664</x:v>
      </x:c>
      <x:c r="K6288" s="6">
        <x:v>46274.7017383912</x:v>
      </x:c>
      <x:c r="L6288" t="str" s="2">
        <x:v>Show</x:v>
      </x:c>
    </x:row>
    <x:row r="6289">
      <x:c r="A6289" t="str" s="2">
        <x:f>=HYPERLINK("https://rsms.futurehomex.com/lead/39831", "Carland Whitaker")</x:f>
      </x:c>
      <x:c r="B6289" t="str" s="2">
        <x:v>Heritage Housing of Greenville</x:v>
      </x:c>
      <x:c r="C6289" t="str" s="2">
        <x:v/>
      </x:c>
      <x:c r="D6289" t="str" s="2">
        <x:v>9033948297</x:v>
      </x:c>
      <x:c r="E6289" t="str" s="2">
        <x:v>9033948297</x:v>
      </x:c>
      <x:c r="F6289" t="str" s="2">
        <x:v>Facebook Messenger</x:v>
      </x:c>
      <x:c r="G6289" t="str" s="2">
        <x:v>Brandie Sartor</x:v>
      </x:c>
      <x:c r="H6289" s="6">
        <x:v>46274.68110763889</x:v>
      </x:c>
      <x:c r="I6289" t="str" s="2">
        <x:v>Brandie Sartor</x:v>
      </x:c>
      <x:c r="J6289" s="0"/>
      <x:c r="K6289" s="6">
        <x:v>46274.68110763889</x:v>
      </x:c>
      <x:c r="L6289" t="str" s="2">
        <x:v>Show</x:v>
      </x:c>
    </x:row>
    <x:row r="6290">
      <x:c r="A6290" t="str" s="2">
        <x:f>=HYPERLINK("https://rsms.futurehomex.com/lead/40130", "Andrea LaTroy Harris")</x:f>
      </x:c>
      <x:c r="B6290" t="str" s="2">
        <x:v>Heritage Housing of Jennings</x:v>
      </x:c>
      <x:c r="C6290" t="str" s="2">
        <x:v/>
      </x:c>
      <x:c r="D6290" t="str" s="2">
        <x:v>3183056176</x:v>
      </x:c>
      <x:c r="E6290" t="str" s="2">
        <x:v>harrisandreaL2426@gmail.com</x:v>
      </x:c>
      <x:c r="F6290" t="str" s="2">
        <x:v>Office Hot Calls</x:v>
      </x:c>
      <x:c r="G6290" t="str" s="2">
        <x:v>Clint O'Neal</x:v>
      </x:c>
      <x:c r="H6290" s="6">
        <x:v>46274.72249922454</x:v>
      </x:c>
      <x:c r="I6290" t="str" s="2">
        <x:v>Clint O'Neal</x:v>
      </x:c>
      <x:c r="J6290" s="6">
        <x:v>46291.625</x:v>
      </x:c>
      <x:c r="K6290" s="6">
        <x:v>46291.64403275463</x:v>
      </x:c>
      <x:c r="L6290" t="str" s="2">
        <x:v>Show</x:v>
      </x:c>
    </x:row>
    <x:row r="6291">
      <x:c r="A6291" t="str" s="2">
        <x:f>=HYPERLINK("https://rsms.futurehomex.com/lead/39946", "otissa clark")</x:f>
      </x:c>
      <x:c r="B6291" t="str" s="2">
        <x:v>Heritage Housing of Athens</x:v>
      </x:c>
      <x:c r="C6291" t="str" s="2">
        <x:v/>
      </x:c>
      <x:c r="D6291" t="str" s="2">
        <x:v>7062546450</x:v>
      </x:c>
      <x:c r="E6291" t="str" s="2">
        <x:v>otissaclark@yahoo.com</x:v>
      </x:c>
      <x:c r="F6291" t="str" s="2">
        <x:v>Landing_BPM</x:v>
      </x:c>
      <x:c r="G6291" t="str" s="2">
        <x:v>Ethan Fossett</x:v>
      </x:c>
      <x:c r="H6291" s="6">
        <x:v>46274.727882060186</x:v>
      </x:c>
      <x:c r="I6291" t="str" s="2">
        <x:v>Ethan Fossett</x:v>
      </x:c>
      <x:c r="J6291" s="6">
        <x:v>46277.75</x:v>
      </x:c>
      <x:c r="K6291" s="6">
        <x:v>46289.63687809028</x:v>
      </x:c>
      <x:c r="L6291" t="str" s="2">
        <x:v>Show</x:v>
      </x:c>
    </x:row>
    <x:row r="6292">
      <x:c r="A6292" t="str" s="2">
        <x:f>=HYPERLINK("https://rsms.futurehomex.com/lead/39847", "Yanwei Sam Sun")</x:f>
      </x:c>
      <x:c r="B6292" t="str" s="2">
        <x:v>Heritage Housing of Oklahoma City</x:v>
      </x:c>
      <x:c r="C6292" t="str" s="2">
        <x:v/>
      </x:c>
      <x:c r="D6292" t="str" s="2">
        <x:v>5097814295</x:v>
      </x:c>
      <x:c r="E6292" t="str" s="2">
        <x:v>sunyw.zI@gmail.com</x:v>
      </x:c>
      <x:c r="F6292" t="str" s="2">
        <x:v>Meta Ads - Messenger</x:v>
      </x:c>
      <x:c r="G6292" t="str" s="2">
        <x:v>Trey Rixleben</x:v>
      </x:c>
      <x:c r="H6292" s="6">
        <x:v>46274.86867118056</x:v>
      </x:c>
      <x:c r="I6292" t="str" s="2">
        <x:v>Trey Rixleben</x:v>
      </x:c>
      <x:c r="J6292" s="6">
        <x:v>46291.709027777775</x:v>
      </x:c>
      <x:c r="K6292" s="6">
        <x:v>46291.79525196759</x:v>
      </x:c>
      <x:c r="L6292" t="str" s="2">
        <x:v>Show</x:v>
      </x:c>
    </x:row>
    <x:row r="6293">
      <x:c r="A6293" t="str" s="2">
        <x:f>=HYPERLINK("https://rsms.futurehomex.com/lead/39848", "Laura Huff")</x:f>
      </x:c>
      <x:c r="B6293" t="str" s="2">
        <x:v>Heritage Housing Mt Pleasant</x:v>
      </x:c>
      <x:c r="C6293" t="str" s="2">
        <x:v/>
      </x:c>
      <x:c r="D6293" t="str" s="2">
        <x:v>7135011992</x:v>
      </x:c>
      <x:c r="E6293" t="str" s="2">
        <x:v>7135011992</x:v>
      </x:c>
      <x:c r="F6293" t="str" s="2">
        <x:v>Referrals</x:v>
      </x:c>
      <x:c r="G6293" t="str" s="2">
        <x:v>Yarelis Torres</x:v>
      </x:c>
      <x:c r="H6293" s="6">
        <x:v>46274.86999892361</x:v>
      </x:c>
      <x:c r="I6293" t="str" s="2">
        <x:v>Yarelis Torres</x:v>
      </x:c>
      <x:c r="J6293" s="6">
        <x:v>46275.708333333336</x:v>
      </x:c>
      <x:c r="K6293" s="6">
        <x:v>46275.84578333333</x:v>
      </x:c>
      <x:c r="L6293" t="str" s="2">
        <x:v>Show</x:v>
      </x:c>
    </x:row>
    <x:row r="6294">
      <x:c r="A6294" t="str" s="2">
        <x:f>=HYPERLINK("https://rsms.futurehomex.com/lead/39850", "Jose Mateo Rolon")</x:f>
      </x:c>
      <x:c r="B6294" t="str" s="2">
        <x:v>Heritage Housing of Asheboro</x:v>
      </x:c>
      <x:c r="C6294" t="str" s="2">
        <x:v/>
      </x:c>
      <x:c r="D6294" t="str" s="2">
        <x:v>3369532739</x:v>
      </x:c>
      <x:c r="E6294" t="str" s="2">
        <x:v>mateoantonio1977@gmail.com</x:v>
      </x:c>
      <x:c r="F6294" t="str" s="2">
        <x:v>Walk-in</x:v>
      </x:c>
      <x:c r="G6294" s="0"/>
      <x:c r="H6294" s="6">
        <x:v>46274.87052280093</x:v>
      </x:c>
      <x:c r="I6294" t="str" s="2">
        <x:v>Maria Lopez</x:v>
      </x:c>
      <x:c r="J6294" s="0"/>
      <x:c r="K6294" s="0"/>
      <x:c r="L6294" t="str" s="2">
        <x:v>Show</x:v>
      </x:c>
    </x:row>
    <x:row r="6295">
      <x:c r="A6295" t="str" s="2">
        <x:f>=HYPERLINK("https://rsms.futurehomex.com/lead/39849", "Dianna Parsley")</x:f>
      </x:c>
      <x:c r="B6295" t="str" s="2">
        <x:v>Heritage Housing of Jennings</x:v>
      </x:c>
      <x:c r="C6295" t="str" s="2">
        <x:v/>
      </x:c>
      <x:c r="D6295" t="str" s="2">
        <x:v>3373689226</x:v>
      </x:c>
      <x:c r="E6295" t="str" s="2">
        <x:v>parsleydianna@gmail.com</x:v>
      </x:c>
      <x:c r="F6295" t="str" s="2">
        <x:v>Walk-in</x:v>
      </x:c>
      <x:c r="G6295" s="0"/>
      <x:c r="H6295" s="6">
        <x:v>46274.87687118055</x:v>
      </x:c>
      <x:c r="I6295" t="str" s="2">
        <x:v>Clint O'Neal</x:v>
      </x:c>
      <x:c r="J6295" s="0"/>
      <x:c r="K6295" s="0"/>
      <x:c r="L6295" t="str" s="2">
        <x:v>Show</x:v>
      </x:c>
    </x:row>
    <x:row r="6296">
      <x:c r="A6296" t="str" s="2">
        <x:f>=HYPERLINK("https://rsms.futurehomex.com/lead/39851", "Sarima Gracia")</x:f>
      </x:c>
      <x:c r="B6296" t="str" s="2">
        <x:v>Heritage Housing of Asheboro</x:v>
      </x:c>
      <x:c r="C6296" t="str" s="2">
        <x:v/>
      </x:c>
      <x:c r="D6296" t="str" s="2">
        <x:v>3052365231</x:v>
      </x:c>
      <x:c r="E6296" t="str" s="2">
        <x:v>sarimadesign@gmail.com</x:v>
      </x:c>
      <x:c r="F6296" t="str" s="2">
        <x:v>Walk-in</x:v>
      </x:c>
      <x:c r="G6296" s="0"/>
      <x:c r="H6296" s="6">
        <x:v>46274.884681365744</x:v>
      </x:c>
      <x:c r="I6296" t="str" s="2">
        <x:v>Kate Gutierrez</x:v>
      </x:c>
      <x:c r="J6296" s="0"/>
      <x:c r="K6296" s="0"/>
      <x:c r="L6296" t="str" s="2">
        <x:v>Show</x:v>
      </x:c>
    </x:row>
    <x:row r="6297">
      <x:c r="A6297" t="str" s="2">
        <x:f>=HYPERLINK("https://rsms.futurehomex.com/lead/39853", "Jackelin Gonzalez")</x:f>
      </x:c>
      <x:c r="B6297" t="str" s="2">
        <x:v>Heritage Housing Mt Pleasant</x:v>
      </x:c>
      <x:c r="C6297" t="str" s="2">
        <x:v/>
      </x:c>
      <x:c r="D6297" t="str" s="2">
        <x:v>4704297032</x:v>
      </x:c>
      <x:c r="E6297" t="str" s="2">
        <x:v>4704297032</x:v>
      </x:c>
      <x:c r="F6297" t="str" s="2">
        <x:v>Referrals</x:v>
      </x:c>
      <x:c r="G6297" t="str" s="2">
        <x:v>Sandra Saldana</x:v>
      </x:c>
      <x:c r="H6297" s="6">
        <x:v>46274.91344841435</x:v>
      </x:c>
      <x:c r="I6297" t="str" s="2">
        <x:v>Sandra Saldana</x:v>
      </x:c>
      <x:c r="J6297" s="6">
        <x:v>46274.927083333336</x:v>
      </x:c>
      <x:c r="K6297" s="6">
        <x:v>46274.938711724535</x:v>
      </x:c>
      <x:c r="L6297" t="str" s="2">
        <x:v>Show</x:v>
      </x:c>
    </x:row>
    <x:row r="6298">
      <x:c r="A6298" t="str" s="2">
        <x:f>=HYPERLINK("https://rsms.futurehomex.com/lead/39904", "Joey Reed")</x:f>
      </x:c>
      <x:c r="B6298" t="str" s="2">
        <x:v>Heritage Housing of Oklahoma City</x:v>
      </x:c>
      <x:c r="C6298" t="str" s="2">
        <x:v/>
      </x:c>
      <x:c r="D6298" t="str" s="2">
        <x:v>9189825904</x:v>
      </x:c>
      <x:c r="E6298" t="str" s="2">
        <x:v>ryzenconstructionllc@gmail.com</x:v>
      </x:c>
      <x:c r="F6298" t="str" s="2">
        <x:v>Facebook Messenger</x:v>
      </x:c>
      <x:c r="G6298" t="str" s="2">
        <x:v>Steve Castell</x:v>
      </x:c>
      <x:c r="H6298" s="6">
        <x:v>46274.94697700231</x:v>
      </x:c>
      <x:c r="I6298" t="str" s="2">
        <x:v>Steve Castell</x:v>
      </x:c>
      <x:c r="J6298" s="6">
        <x:v>46277.854166666664</x:v>
      </x:c>
      <x:c r="K6298" s="6">
        <x:v>46279.962053703704</x:v>
      </x:c>
      <x:c r="L6298" t="str" s="2">
        <x:v>Show</x:v>
      </x:c>
    </x:row>
    <x:row r="6299">
      <x:c r="A6299" t="str" s="2">
        <x:f>=HYPERLINK("https://rsms.futurehomex.com/lead/39861", "Lynn Wagner")</x:f>
      </x:c>
      <x:c r="B6299" t="str" s="2">
        <x:v>Heritage Housing of Asheboro</x:v>
      </x:c>
      <x:c r="C6299" t="str" s="2">
        <x:v/>
      </x:c>
      <x:c r="D6299" t="str" s="2">
        <x:v>3366886816</x:v>
      </x:c>
      <x:c r="E6299" t="str" s="2">
        <x:v>lynnwagner.wlls@gmail.com</x:v>
      </x:c>
      <x:c r="F6299" t="str" s="2">
        <x:v>Walk-in</x:v>
      </x:c>
      <x:c r="G6299" s="0"/>
      <x:c r="H6299" s="6">
        <x:v>46275.562131597224</x:v>
      </x:c>
      <x:c r="I6299" t="str" s="2">
        <x:v>Kate Gutierrez</x:v>
      </x:c>
      <x:c r="J6299" s="0"/>
      <x:c r="K6299" s="0"/>
      <x:c r="L6299" t="str" s="2">
        <x:v>Show</x:v>
      </x:c>
    </x:row>
    <x:row r="6300">
      <x:c r="A6300" t="str" s="2">
        <x:f>=HYPERLINK("https://rsms.futurehomex.com/lead/39869", "Danetest Aug")</x:f>
      </x:c>
      <x:c r="B6300" t="str" s="2">
        <x:v>Heritage Housing of Augusta</x:v>
      </x:c>
      <x:c r="C6300" t="str" s="2">
        <x:v/>
      </x:c>
      <x:c r="D6300" t="str" s="2">
        <x:v>3762186734</x:v>
      </x:c>
      <x:c r="E6300" t="str" s="2">
        <x:v>dtestaug@nomail.com</x:v>
      </x:c>
      <x:c r="F6300" t="str" s="2">
        <x:v>Walk-in</x:v>
      </x:c>
      <x:c r="G6300" s="0"/>
      <x:c r="H6300" s="6">
        <x:v>46275.63230428241</x:v>
      </x:c>
      <x:c r="I6300" t="str" s="2">
        <x:v>Faye Lively</x:v>
      </x:c>
      <x:c r="J6300" s="0"/>
      <x:c r="K6300" s="0"/>
      <x:c r="L6300" t="str" s="2">
        <x:v>Show</x:v>
      </x:c>
    </x:row>
    <x:row r="6301">
      <x:c r="A6301" t="str" s="2">
        <x:f>=HYPERLINK("https://rsms.futurehomex.com/lead/39870", "Dtest Aug")</x:f>
      </x:c>
      <x:c r="B6301" t="str" s="2">
        <x:v>Heritage Housing of Augusta</x:v>
      </x:c>
      <x:c r="C6301" t="str" s="2">
        <x:v/>
      </x:c>
      <x:c r="D6301" t="str" s="2">
        <x:v>9035762158</x:v>
      </x:c>
      <x:c r="E6301" t="str" s="2">
        <x:v>augtest@nomail.com</x:v>
      </x:c>
      <x:c r="F6301" t="str" s="2">
        <x:v>Walk-in</x:v>
      </x:c>
      <x:c r="G6301" s="0"/>
      <x:c r="H6301" s="6">
        <x:v>46275.63297766204</x:v>
      </x:c>
      <x:c r="I6301" t="str" s="2">
        <x:v>Faye Lively</x:v>
      </x:c>
      <x:c r="J6301" s="0"/>
      <x:c r="K6301" s="0"/>
      <x:c r="L6301" t="str" s="2">
        <x:v>Show</x:v>
      </x:c>
    </x:row>
    <x:row r="6302">
      <x:c r="A6302" t="str" s="2">
        <x:f>=HYPERLINK("https://rsms.futurehomex.com/lead/39871", "Daniel Barron")</x:f>
      </x:c>
      <x:c r="B6302" t="str" s="2">
        <x:v>Heritage Housing of Greenville</x:v>
      </x:c>
      <x:c r="C6302" t="str" s="2">
        <x:v/>
      </x:c>
      <x:c r="D6302" t="str" s="2">
        <x:v>9453319921</x:v>
      </x:c>
      <x:c r="E6302" t="str" s="2">
        <x:v>dlbarron1989@gmail.com</x:v>
      </x:c>
      <x:c r="F6302" t="str" s="2">
        <x:v>Facebook Messenger</x:v>
      </x:c>
      <x:c r="G6302" t="str" s="2">
        <x:v>Brandie Sartor</x:v>
      </x:c>
      <x:c r="H6302" s="6">
        <x:v>46275.641725497684</x:v>
      </x:c>
      <x:c r="I6302" t="str" s="2">
        <x:v>Brooklynn Allen</x:v>
      </x:c>
      <x:c r="J6302" s="0"/>
      <x:c r="K6302" s="6">
        <x:v>46275.641725497684</x:v>
      </x:c>
      <x:c r="L6302" t="str" s="2">
        <x:v>Show</x:v>
      </x:c>
    </x:row>
    <x:row r="6303">
      <x:c r="A6303" t="str" s="2">
        <x:f>=HYPERLINK("https://rsms.futurehomex.com/lead/39872", "Emory Bennett")</x:f>
      </x:c>
      <x:c r="B6303" t="str" s="2">
        <x:v>Heritage Housing of Augusta</x:v>
      </x:c>
      <x:c r="C6303" t="str" s="2">
        <x:v/>
      </x:c>
      <x:c r="D6303" t="str" s="2">
        <x:v>7064219984</x:v>
      </x:c>
      <x:c r="E6303" t="str" s="2">
        <x:v>ebennett1152@gmail.com</x:v>
      </x:c>
      <x:c r="F6303" t="str" s="2">
        <x:v>Walk-in</x:v>
      </x:c>
      <x:c r="G6303" t="str" s="2">
        <x:v>Jose Chavez</x:v>
      </x:c>
      <x:c r="H6303" s="6">
        <x:v>46275.65212604167</x:v>
      </x:c>
      <x:c r="I6303" t="str" s="2">
        <x:v>Jennifer Johnson</x:v>
      </x:c>
      <x:c r="J6303" s="6">
        <x:v>46296.583333333336</x:v>
      </x:c>
      <x:c r="K6303" s="6">
        <x:v>46296.65559603009</x:v>
      </x:c>
      <x:c r="L6303" t="str" s="2">
        <x:v>Show</x:v>
      </x:c>
    </x:row>
    <x:row r="6304">
      <x:c r="A6304" t="str" s="2">
        <x:f>=HYPERLINK("https://rsms.futurehomex.com/lead/39873", "Antonio Gerardo Campos Margalli")</x:f>
      </x:c>
      <x:c r="B6304" t="str" s="2">
        <x:v>Heritage Housing of Jennings</x:v>
      </x:c>
      <x:c r="C6304" t="str" s="2">
        <x:v/>
      </x:c>
      <x:c r="D6304" t="str" s="2">
        <x:v>3373846224</x:v>
      </x:c>
      <x:c r="E6304" t="str" s="2">
        <x:v>grinvex_ac@prodigy.net.mx</x:v>
      </x:c>
      <x:c r="F6304" t="str" s="2">
        <x:v>Referrals</x:v>
      </x:c>
      <x:c r="G6304" t="str" s="2">
        <x:v>Drew Dogay</x:v>
      </x:c>
      <x:c r="H6304" s="6">
        <x:v>46275.65799609954</x:v>
      </x:c>
      <x:c r="I6304" t="str" s="2">
        <x:v>Clint O'Neal</x:v>
      </x:c>
      <x:c r="J6304" s="0"/>
      <x:c r="K6304" s="6">
        <x:v>46275.65799609954</x:v>
      </x:c>
      <x:c r="L6304" t="str" s="2">
        <x:v>Show</x:v>
      </x:c>
    </x:row>
    <x:row r="6305">
      <x:c r="A6305" t="str" s="2">
        <x:f>=HYPERLINK("https://rsms.futurehomex.com/lead/39875", "Manuel Alejandro Garcia Navarro")</x:f>
      </x:c>
      <x:c r="B6305" t="str" s="2">
        <x:v>Heritage Housing of Greenville</x:v>
      </x:c>
      <x:c r="C6305" t="str" s="2">
        <x:v/>
      </x:c>
      <x:c r="D6305" t="str" s="2">
        <x:v>6207040169</x:v>
      </x:c>
      <x:c r="E6305" t="str" s="2">
        <x:v>malegarcia@live.com.mx</x:v>
      </x:c>
      <x:c r="F6305" t="str" s="2">
        <x:v>TikTok</x:v>
      </x:c>
      <x:c r="G6305" t="str" s="2">
        <x:v>Brandie Sartor</x:v>
      </x:c>
      <x:c r="H6305" s="6">
        <x:v>46275.66828842593</x:v>
      </x:c>
      <x:c r="I6305" t="str" s="2">
        <x:v>Oscar Osorio</x:v>
      </x:c>
      <x:c r="J6305" s="0"/>
      <x:c r="K6305" s="6">
        <x:v>46275.66828842593</x:v>
      </x:c>
      <x:c r="L6305" t="str" s="2">
        <x:v>Show</x:v>
      </x:c>
    </x:row>
    <x:row r="6306">
      <x:c r="A6306" t="str" s="2">
        <x:f>=HYPERLINK("https://rsms.futurehomex.com/lead/39885", "Colton Johnston")</x:f>
      </x:c>
      <x:c r="B6306" t="str" s="2">
        <x:v>Heritage Housing of Oklahoma City</x:v>
      </x:c>
      <x:c r="C6306" t="str" s="2">
        <x:v/>
      </x:c>
      <x:c r="D6306" t="str" s="2">
        <x:v>4055847670</x:v>
      </x:c>
      <x:c r="E6306" t="str" s="2">
        <x:v>4055847670</x:v>
      </x:c>
      <x:c r="F6306" t="str" s="2">
        <x:v>Meta Ads - Messenger</x:v>
      </x:c>
      <x:c r="G6306" t="str" s="2">
        <x:v>Alejandra Calderon</x:v>
      </x:c>
      <x:c r="H6306" s="6">
        <x:v>46275.859086840275</x:v>
      </x:c>
      <x:c r="I6306" t="str" s="2">
        <x:v>Alejandra Calderon</x:v>
      </x:c>
      <x:c r="J6306" s="0"/>
      <x:c r="K6306" s="6">
        <x:v>46275.859086840275</x:v>
      </x:c>
      <x:c r="L6306" t="str" s="2">
        <x:v>Show</x:v>
      </x:c>
    </x:row>
    <x:row r="6307">
      <x:c r="A6307" t="str" s="2">
        <x:f>=HYPERLINK("https://rsms.futurehomex.com/lead/39886", "Nathan Daniel")</x:f>
      </x:c>
      <x:c r="B6307" t="str" s="2">
        <x:v>Heritage Housing of Oklahoma City</x:v>
      </x:c>
      <x:c r="C6307" t="str" s="2">
        <x:v/>
      </x:c>
      <x:c r="D6307" t="str" s="2">
        <x:v>4054392662</x:v>
      </x:c>
      <x:c r="E6307" t="str" s="2">
        <x:v>4054392662</x:v>
      </x:c>
      <x:c r="F6307" t="str" s="2">
        <x:v>Office Hot Calls</x:v>
      </x:c>
      <x:c r="G6307" t="str" s="2">
        <x:v>Alejandra Calderon</x:v>
      </x:c>
      <x:c r="H6307" s="6">
        <x:v>46275.86368148148</x:v>
      </x:c>
      <x:c r="I6307" t="str" s="2">
        <x:v>Alejandra Calderon</x:v>
      </x:c>
      <x:c r="J6307" s="0"/>
      <x:c r="K6307" s="6">
        <x:v>46275.86368148148</x:v>
      </x:c>
      <x:c r="L6307" t="str" s="2">
        <x:v>Show</x:v>
      </x:c>
    </x:row>
    <x:row r="6308">
      <x:c r="A6308" t="str" s="2">
        <x:f>=HYPERLINK("https://rsms.futurehomex.com/lead/39890", "Jeff Ward")</x:f>
      </x:c>
      <x:c r="B6308" t="str" s="2">
        <x:v>Heritage Housing of Oklahoma City</x:v>
      </x:c>
      <x:c r="C6308" t="str" s="2">
        <x:v/>
      </x:c>
      <x:c r="D6308" t="str" s="2">
        <x:v>4056133127</x:v>
      </x:c>
      <x:c r="E6308" t="str" s="2">
        <x:v>wardjeff1984@gmail.com</x:v>
      </x:c>
      <x:c r="F6308" t="str" s="2">
        <x:v>Office Hot Calls</x:v>
      </x:c>
      <x:c r="G6308" t="str" s="2">
        <x:v>Trey Rixleben</x:v>
      </x:c>
      <x:c r="H6308" s="6">
        <x:v>46276.59345925926</x:v>
      </x:c>
      <x:c r="I6308" t="str" s="2">
        <x:v>Trey Rixleben</x:v>
      </x:c>
      <x:c r="J6308" s="6">
        <x:v>46276.625</x:v>
      </x:c>
      <x:c r="K6308" s="6">
        <x:v>46276.63857607639</x:v>
      </x:c>
      <x:c r="L6308" t="str" s="2">
        <x:v>Show</x:v>
      </x:c>
    </x:row>
    <x:row r="6309">
      <x:c r="A6309" t="str" s="2">
        <x:f>=HYPERLINK("https://rsms.futurehomex.com/lead/39894", "Chelsea Freeman")</x:f>
      </x:c>
      <x:c r="B6309" t="str" s="2">
        <x:v>Heritage Housing of Athens</x:v>
      </x:c>
      <x:c r="C6309" t="str" s="2">
        <x:v/>
      </x:c>
      <x:c r="D6309" t="str" s="2">
        <x:v>7068185406</x:v>
      </x:c>
      <x:c r="E6309" t="str" s="2">
        <x:v>chet0388@gmail.com</x:v>
      </x:c>
      <x:c r="F6309" t="str" s="2">
        <x:v>Walk-in</x:v>
      </x:c>
      <x:c r="G6309" s="0"/>
      <x:c r="H6309" s="6">
        <x:v>46276.606478622685</x:v>
      </x:c>
      <x:c r="I6309" t="str" s="2">
        <x:v>Nathan Bishop</x:v>
      </x:c>
      <x:c r="J6309" s="0"/>
      <x:c r="K6309" s="0"/>
      <x:c r="L6309" t="str" s="2">
        <x:v>Show</x:v>
      </x:c>
    </x:row>
    <x:row r="6310">
      <x:c r="A6310" t="str" s="2">
        <x:f>=HYPERLINK("https://rsms.futurehomex.com/lead/39900", "Junna Glenn")</x:f>
      </x:c>
      <x:c r="B6310" t="str" s="2">
        <x:v>Heritage Housing of Athens</x:v>
      </x:c>
      <x:c r="C6310" t="str" s="2">
        <x:v/>
      </x:c>
      <x:c r="D6310" t="str" s="2">
        <x:v>7062246969</x:v>
      </x:c>
      <x:c r="E6310" t="str" s="2">
        <x:v>glennjuanna2@gmail.com</x:v>
      </x:c>
      <x:c r="F6310" t="str" s="2">
        <x:v>Walk-in</x:v>
      </x:c>
      <x:c r="G6310" s="0"/>
      <x:c r="H6310" s="6">
        <x:v>46276.64145501157</x:v>
      </x:c>
      <x:c r="I6310" t="str" s="2">
        <x:v>Ethan Fossett</x:v>
      </x:c>
      <x:c r="J6310" s="0"/>
      <x:c r="K6310" s="0"/>
      <x:c r="L6310" t="str" s="2">
        <x:v>Show</x:v>
      </x:c>
    </x:row>
    <x:row r="6311">
      <x:c r="A6311" t="str" s="2">
        <x:f>=HYPERLINK("https://rsms.futurehomex.com/lead/39899", "Jennifer Clark")</x:f>
      </x:c>
      <x:c r="B6311" t="str" s="2">
        <x:v>Heritage Housing of Augusta</x:v>
      </x:c>
      <x:c r="C6311" t="str" s="2">
        <x:v/>
      </x:c>
      <x:c r="D6311" t="str" s="2">
        <x:v>7063733416</x:v>
      </x:c>
      <x:c r="E6311" t="str" s="2">
        <x:v>jennygirl1972@yahoo.com</x:v>
      </x:c>
      <x:c r="F6311" t="str" s="2">
        <x:v>Walk-in</x:v>
      </x:c>
      <x:c r="G6311" s="0"/>
      <x:c r="H6311" s="6">
        <x:v>46276.64308248842</x:v>
      </x:c>
      <x:c r="I6311" t="str" s="2">
        <x:v>Jennifer Johnson</x:v>
      </x:c>
      <x:c r="J6311" s="0"/>
      <x:c r="K6311" s="0"/>
      <x:c r="L6311" t="str" s="2">
        <x:v>Show</x:v>
      </x:c>
    </x:row>
    <x:row r="6312">
      <x:c r="A6312" t="str" s="2">
        <x:f>=HYPERLINK("https://rsms.futurehomex.com/lead/39907", "Ethan Test")</x:f>
      </x:c>
      <x:c r="B6312" t="str" s="2">
        <x:v>Heritage Housing of Athens</x:v>
      </x:c>
      <x:c r="C6312" t="str" s="2">
        <x:v/>
      </x:c>
      <x:c r="D6312" t="str" s="2">
        <x:v>5550005555</x:v>
      </x:c>
      <x:c r="E6312" t="str" s="2">
        <x:v>efossett@heritagehousing.net</x:v>
      </x:c>
      <x:c r="F6312" t="str" s="2">
        <x:v>Walk-in</x:v>
      </x:c>
      <x:c r="G6312" s="0"/>
      <x:c r="H6312" s="6">
        <x:v>46276.74856087963</x:v>
      </x:c>
      <x:c r="I6312" t="str" s="2">
        <x:v>Ethan Fossett</x:v>
      </x:c>
      <x:c r="J6312" s="0"/>
      <x:c r="K6312" s="0"/>
      <x:c r="L6312" t="str" s="2">
        <x:v>Show</x:v>
      </x:c>
    </x:row>
    <x:row r="6313">
      <x:c r="A6313" t="str" s="2">
        <x:f>=HYPERLINK("https://rsms.futurehomex.com/lead/39913", "Brook York")</x:f>
      </x:c>
      <x:c r="B6313" t="str" s="2">
        <x:v>Heritage Housing of Athens</x:v>
      </x:c>
      <x:c r="C6313" t="str" s="2">
        <x:v/>
      </x:c>
      <x:c r="D6313" t="str" s="2">
        <x:v>4049441574</x:v>
      </x:c>
      <x:c r="E6313" t="str" s="2">
        <x:v>bedurde@yahoo.com</x:v>
      </x:c>
      <x:c r="F6313" t="str" s="2">
        <x:v>Walk-in</x:v>
      </x:c>
      <x:c r="G6313" s="0"/>
      <x:c r="H6313" s="6">
        <x:v>46276.813302511575</x:v>
      </x:c>
      <x:c r="I6313" t="str" s="2">
        <x:v>Nathan Bishop</x:v>
      </x:c>
      <x:c r="J6313" s="0"/>
      <x:c r="K6313" s="0"/>
      <x:c r="L6313" t="str" s="2">
        <x:v>Show</x:v>
      </x:c>
    </x:row>
    <x:row r="6314">
      <x:c r="A6314" t="str" s="2">
        <x:f>=HYPERLINK("https://rsms.futurehomex.com/lead/39914", "Darren Poole")</x:f>
      </x:c>
      <x:c r="B6314" t="str" s="2">
        <x:v>Heritage Housing of Athens</x:v>
      </x:c>
      <x:c r="C6314" t="str" s="2">
        <x:v/>
      </x:c>
      <x:c r="D6314" t="str" s="2">
        <x:v>7622349659</x:v>
      </x:c>
      <x:c r="E6314" t="str" s="2">
        <x:v>asazapoole@gmail.com</x:v>
      </x:c>
      <x:c r="F6314" t="str" s="2">
        <x:v>Walk-in</x:v>
      </x:c>
      <x:c r="G6314" s="0"/>
      <x:c r="H6314" s="6">
        <x:v>46276.81511894676</x:v>
      </x:c>
      <x:c r="I6314" t="str" s="2">
        <x:v>Alexander Bryant</x:v>
      </x:c>
      <x:c r="J6314" s="0"/>
      <x:c r="K6314" s="0"/>
      <x:c r="L6314" t="str" s="2">
        <x:v>Show</x:v>
      </x:c>
    </x:row>
    <x:row r="6315">
      <x:c r="A6315" t="str" s="2">
        <x:f>=HYPERLINK("https://rsms.futurehomex.com/lead/39916", "Dana Garner")</x:f>
      </x:c>
      <x:c r="B6315" t="str" s="2">
        <x:v>Heritage Housing of Augusta</x:v>
      </x:c>
      <x:c r="C6315" t="str" s="2">
        <x:v/>
      </x:c>
      <x:c r="D6315" t="str" s="2">
        <x:v>4782329881</x:v>
      </x:c>
      <x:c r="E6315" t="str" s="2">
        <x:v>garnerd60@yahoo.com</x:v>
      </x:c>
      <x:c r="F6315" t="str" s="2">
        <x:v>Walk-in</x:v>
      </x:c>
      <x:c r="G6315" s="0"/>
      <x:c r="H6315" s="6">
        <x:v>46276.890698842595</x:v>
      </x:c>
      <x:c r="I6315" t="str" s="2">
        <x:v>Jennifer Johnson</x:v>
      </x:c>
      <x:c r="J6315" s="0"/>
      <x:c r="K6315" s="0"/>
      <x:c r="L6315" t="str" s="2">
        <x:v>Show</x:v>
      </x:c>
    </x:row>
    <x:row r="6316">
      <x:c r="A6316" t="str" s="2">
        <x:f>=HYPERLINK("https://rsms.futurehomex.com/lead/39953", "Xaiver Walden")</x:f>
      </x:c>
      <x:c r="B6316" t="str" s="2">
        <x:v>Heritage Housing of Augusta</x:v>
      </x:c>
      <x:c r="C6316" t="str" s="2">
        <x:v/>
      </x:c>
      <x:c r="D6316" t="str" s="2">
        <x:v>7069627431</x:v>
      </x:c>
      <x:c r="E6316" t="str" s="2">
        <x:v>hteking@gmail.com</x:v>
      </x:c>
      <x:c r="F6316" t="str" s="2">
        <x:v>Walk-in</x:v>
      </x:c>
      <x:c r="G6316" s="0"/>
      <x:c r="H6316" s="6">
        <x:v>46276.90514861111</x:v>
      </x:c>
      <x:c r="I6316" t="str" s="2">
        <x:v>Faye Lively</x:v>
      </x:c>
      <x:c r="J6316" s="0"/>
      <x:c r="K6316" s="6">
        <x:v>46277.60978961806</x:v>
      </x:c>
      <x:c r="L6316" t="str" s="2">
        <x:v>Show</x:v>
      </x:c>
    </x:row>
    <x:row r="6317">
      <x:c r="A6317" t="str" s="2">
        <x:f>=HYPERLINK("https://rsms.futurehomex.com/lead/39918", "Melissa Clemons")</x:f>
      </x:c>
      <x:c r="B6317" t="str" s="2">
        <x:v>Heritage Housing of Athens</x:v>
      </x:c>
      <x:c r="C6317" t="str" s="2">
        <x:v/>
      </x:c>
      <x:c r="D6317" t="str" s="2">
        <x:v>7708733796</x:v>
      </x:c>
      <x:c r="E6317" t="str" s="2">
        <x:v>mclemons23@yahoo.com</x:v>
      </x:c>
      <x:c r="F6317" t="str" s="2">
        <x:v>Walk-in</x:v>
      </x:c>
      <x:c r="G6317" s="0"/>
      <x:c r="H6317" s="6">
        <x:v>46276.92083549769</x:v>
      </x:c>
      <x:c r="I6317" t="str" s="2">
        <x:v>Nathan Bishop</x:v>
      </x:c>
      <x:c r="J6317" s="0"/>
      <x:c r="K6317" s="0"/>
      <x:c r="L6317" t="str" s="2">
        <x:v>Show</x:v>
      </x:c>
    </x:row>
    <x:row r="6318">
      <x:c r="A6318" t="str" s="2">
        <x:f>=HYPERLINK("https://rsms.futurehomex.com/lead/39923", "Nohemi Monroy")</x:f>
      </x:c>
      <x:c r="B6318" t="str" s="2">
        <x:v>Heritage Housing Mt Pleasant</x:v>
      </x:c>
      <x:c r="C6318" t="str" s="2">
        <x:v/>
      </x:c>
      <x:c r="D6318" t="str" s="2">
        <x:v>9037171581</x:v>
      </x:c>
      <x:c r="E6318" t="str" s="2">
        <x:v>9037171581</x:v>
      </x:c>
      <x:c r="F6318" t="str" s="2">
        <x:v>TikTok</x:v>
      </x:c>
      <x:c r="G6318" t="str" s="2">
        <x:v>Yarelis Torres</x:v>
      </x:c>
      <x:c r="H6318" s="6">
        <x:v>46276.98062951389</x:v>
      </x:c>
      <x:c r="I6318" t="str" s="2">
        <x:v>Yarelis Torres</x:v>
      </x:c>
      <x:c r="J6318" s="6">
        <x:v>46277.666666666664</x:v>
      </x:c>
      <x:c r="K6318" s="6">
        <x:v>46277.96106018518</x:v>
      </x:c>
      <x:c r="L6318" t="str" s="2">
        <x:v>Show</x:v>
      </x:c>
    </x:row>
    <x:row r="6319">
      <x:c r="A6319" t="str" s="2">
        <x:f>=HYPERLINK("https://rsms.futurehomex.com/lead/40363", "Rosa granados granados")</x:f>
      </x:c>
      <x:c r="B6319" t="str" s="2">
        <x:v>Heritage Housing of Asheboro</x:v>
      </x:c>
      <x:c r="C6319" t="str" s="2">
        <x:v>1/1</x:v>
      </x:c>
      <x:c r="D6319" t="str" s="2">
        <x:v>9106279614</x:v>
      </x:c>
      <x:c r="E6319" t="str" s="2">
        <x:v>rszbl94@gmail.com</x:v>
      </x:c>
      <x:c r="F6319" t="str" s="2">
        <x:v>Landing_BPM</x:v>
      </x:c>
      <x:c r="G6319" t="str" s="2">
        <x:v>Kate Gutierrez</x:v>
      </x:c>
      <x:c r="H6319" s="6">
        <x:v>46277.03237728009</x:v>
      </x:c>
      <x:c r="I6319" t="str" s="2">
        <x:v>Kate Gutierrez</x:v>
      </x:c>
      <x:c r="J6319" s="6">
        <x:v>46292.791666666664</x:v>
      </x:c>
      <x:c r="K6319" s="6">
        <x:v>46293.64144702546</x:v>
      </x:c>
      <x:c r="L6319" t="str" s="2">
        <x:v>Show</x:v>
      </x:c>
    </x:row>
    <x:row r="6320">
      <x:c r="A6320" t="str" s="2">
        <x:f>=HYPERLINK("https://rsms.futurehomex.com/lead/39929", "Cristian Vasquez")</x:f>
      </x:c>
      <x:c r="B6320" t="str" s="2">
        <x:v>Heritage Housing of Asheboro</x:v>
      </x:c>
      <x:c r="C6320" t="str" s="2">
        <x:v/>
      </x:c>
      <x:c r="D6320" t="str" s="2">
        <x:v>9197014918</x:v>
      </x:c>
      <x:c r="E6320" t="str" s="2">
        <x:v>Cv204374@gmail.com</x:v>
      </x:c>
      <x:c r="F6320" t="str" s="2">
        <x:v>Walk-in</x:v>
      </x:c>
      <x:c r="G6320" s="0"/>
      <x:c r="H6320" s="6">
        <x:v>46277.581831944444</x:v>
      </x:c>
      <x:c r="I6320" t="str" s="2">
        <x:v>Maria Lopez</x:v>
      </x:c>
      <x:c r="J6320" s="0"/>
      <x:c r="K6320" s="0"/>
      <x:c r="L6320" t="str" s="2">
        <x:v>Show</x:v>
      </x:c>
    </x:row>
    <x:row r="6321">
      <x:c r="A6321" t="str" s="2">
        <x:f>=HYPERLINK("https://rsms.futurehomex.com/lead/39933", "Luis Vasquez")</x:f>
      </x:c>
      <x:c r="B6321" t="str" s="2">
        <x:v>Heritage Housing of Asheboro</x:v>
      </x:c>
      <x:c r="C6321" t="str" s="2">
        <x:v/>
      </x:c>
      <x:c r="D6321" t="str" s="2">
        <x:v>9196382751</x:v>
      </x:c>
      <x:c r="E6321" t="str" s="2">
        <x:v>estuardofuentes2000@gmail.com</x:v>
      </x:c>
      <x:c r="F6321" t="str" s="2">
        <x:v>Walk-in</x:v>
      </x:c>
      <x:c r="G6321" s="0"/>
      <x:c r="H6321" s="6">
        <x:v>46277.60903082176</x:v>
      </x:c>
      <x:c r="I6321" t="str" s="2">
        <x:v>Maria Lopez</x:v>
      </x:c>
      <x:c r="J6321" s="0"/>
      <x:c r="K6321" s="0"/>
      <x:c r="L6321" t="str" s="2">
        <x:v>Show</x:v>
      </x:c>
    </x:row>
    <x:row r="6322">
      <x:c r="A6322" t="str" s="2">
        <x:f>=HYPERLINK("https://rsms.futurehomex.com/lead/39935", "Cy Baker")</x:f>
      </x:c>
      <x:c r="B6322" t="str" s="2">
        <x:v>Heritage Housing of Athens</x:v>
      </x:c>
      <x:c r="C6322" t="str" s="2">
        <x:v/>
      </x:c>
      <x:c r="D6322" t="str" s="2">
        <x:v>6782498304</x:v>
      </x:c>
      <x:c r="E6322" t="str" s="2">
        <x:v>cymercer@msn.com</x:v>
      </x:c>
      <x:c r="F6322" t="str" s="2">
        <x:v>Google Ads</x:v>
      </x:c>
      <x:c r="G6322" t="str" s="2">
        <x:v>Dane Lara</x:v>
      </x:c>
      <x:c r="H6322" s="6">
        <x:v>46277.64070578704</x:v>
      </x:c>
      <x:c r="I6322" t="str" s="2">
        <x:v>Ethan Fossett</x:v>
      </x:c>
      <x:c r="J6322" s="0"/>
      <x:c r="K6322" s="6">
        <x:v>46277.64070578704</x:v>
      </x:c>
      <x:c r="L6322" t="str" s="2">
        <x:v>Show</x:v>
      </x:c>
    </x:row>
    <x:row r="6323">
      <x:c r="A6323" t="str" s="2">
        <x:f>=HYPERLINK("https://rsms.futurehomex.com/lead/39936", "Angie Kellogg")</x:f>
      </x:c>
      <x:c r="B6323" t="str" s="2">
        <x:v>Heritage Housing of Oklahoma City</x:v>
      </x:c>
      <x:c r="C6323" t="str" s="2">
        <x:v/>
      </x:c>
      <x:c r="D6323" t="str" s="2">
        <x:v>4054054058</x:v>
      </x:c>
      <x:c r="E6323" t="str" s="2">
        <x:v>SANDILEWALLEN22@GMAIL.COM</x:v>
      </x:c>
      <x:c r="F6323" t="str" s="2">
        <x:v>Facebook Messenger</x:v>
      </x:c>
      <x:c r="G6323" t="str" s="2">
        <x:v>Eva Misheva</x:v>
      </x:c>
      <x:c r="H6323" s="6">
        <x:v>46277.641568287036</x:v>
      </x:c>
      <x:c r="I6323" t="str" s="2">
        <x:v>Eva Misheva</x:v>
      </x:c>
      <x:c r="J6323" s="6">
        <x:v>46277.916666666664</x:v>
      </x:c>
      <x:c r="K6323" s="6">
        <x:v>46277.86013900463</x:v>
      </x:c>
      <x:c r="L6323" t="str" s="2">
        <x:v>Show</x:v>
      </x:c>
    </x:row>
    <x:row r="6324">
      <x:c r="A6324" t="str" s="2">
        <x:f>=HYPERLINK("https://rsms.futurehomex.com/lead/39937", "Laderron Cooper")</x:f>
      </x:c>
      <x:c r="B6324" t="str" s="2">
        <x:v>Heritage Housing of Minden</x:v>
      </x:c>
      <x:c r="C6324" t="str" s="2">
        <x:v/>
      </x:c>
      <x:c r="D6324" t="str" s="2">
        <x:v>3187160788</x:v>
      </x:c>
      <x:c r="E6324" t="str" s="2">
        <x:v>laderranc@yahoo.com</x:v>
      </x:c>
      <x:c r="F6324" t="str" s="2">
        <x:v>Walk-in</x:v>
      </x:c>
      <x:c r="G6324" s="0"/>
      <x:c r="H6324" s="6">
        <x:v>46277.66055489583</x:v>
      </x:c>
      <x:c r="I6324" t="str" s="2">
        <x:v>Patrick Schuchart</x:v>
      </x:c>
      <x:c r="J6324" s="0"/>
      <x:c r="K6324" s="6">
        <x:v>46277.75082288194</x:v>
      </x:c>
      <x:c r="L6324" t="str" s="2">
        <x:v>Show</x:v>
      </x:c>
    </x:row>
    <x:row r="6325">
      <x:c r="A6325" t="str" s="2">
        <x:f>=HYPERLINK("https://rsms.futurehomex.com/lead/39938", "Laderron Cooper")</x:f>
      </x:c>
      <x:c r="B6325" t="str" s="2">
        <x:v>Heritage Housing of Minden</x:v>
      </x:c>
      <x:c r="C6325" t="str" s="2">
        <x:v/>
      </x:c>
      <x:c r="D6325" t="str" s="2">
        <x:v>3187160788</x:v>
      </x:c>
      <x:c r="E6325" t="str" s="2">
        <x:v>laderranc@yahoo.com</x:v>
      </x:c>
      <x:c r="F6325" t="str" s="2">
        <x:v>Walk-in</x:v>
      </x:c>
      <x:c r="G6325" s="0"/>
      <x:c r="H6325" s="6">
        <x:v>46277.66055489583</x:v>
      </x:c>
      <x:c r="I6325" t="str" s="2">
        <x:v>Patrick Schuchart</x:v>
      </x:c>
      <x:c r="J6325" s="0"/>
      <x:c r="K6325" s="6">
        <x:v>46277.75082288194</x:v>
      </x:c>
      <x:c r="L6325" t="str" s="2">
        <x:v>Show</x:v>
      </x:c>
    </x:row>
    <x:row r="6326">
      <x:c r="A6326" t="str" s="2">
        <x:f>=HYPERLINK("https://rsms.futurehomex.com/lead/39941", "Ashly Kelley")</x:f>
      </x:c>
      <x:c r="B6326" t="str" s="2">
        <x:v>Heritage Housing of Athens</x:v>
      </x:c>
      <x:c r="C6326" t="str" s="2">
        <x:v/>
      </x:c>
      <x:c r="D6326" t="str" s="2">
        <x:v>7062241250</x:v>
      </x:c>
      <x:c r="E6326" t="str" s="2">
        <x:v>ronniesgirl51@gmail.com</x:v>
      </x:c>
      <x:c r="F6326" t="str" s="2">
        <x:v>Walk-in</x:v>
      </x:c>
      <x:c r="G6326" s="0"/>
      <x:c r="H6326" s="6">
        <x:v>46277.693406516206</x:v>
      </x:c>
      <x:c r="I6326" t="str" s="2">
        <x:v>Iris McKinley</x:v>
      </x:c>
      <x:c r="J6326" s="0"/>
      <x:c r="K6326" s="0"/>
      <x:c r="L6326" t="str" s="2">
        <x:v>Show</x:v>
      </x:c>
    </x:row>
    <x:row r="6327">
      <x:c r="A6327" t="str" s="2">
        <x:f>=HYPERLINK("https://rsms.futurehomex.com/lead/39943", "Sherry Shelton")</x:f>
      </x:c>
      <x:c r="B6327" t="str" s="2">
        <x:v>Heritage Housing of Asheboro</x:v>
      </x:c>
      <x:c r="C6327" t="str" s="2">
        <x:v/>
      </x:c>
      <x:c r="D6327" t="str" s="2">
        <x:v>3369632444</x:v>
      </x:c>
      <x:c r="E6327" t="str" s="2">
        <x:v>sherrispuppies2010@yahoo.com</x:v>
      </x:c>
      <x:c r="F6327" t="str" s="2">
        <x:v>Walk-in</x:v>
      </x:c>
      <x:c r="G6327" s="0"/>
      <x:c r="H6327" s="6">
        <x:v>46277.723932175926</x:v>
      </x:c>
      <x:c r="I6327" t="str" s="2">
        <x:v>Kate Gutierrez</x:v>
      </x:c>
      <x:c r="J6327" s="0"/>
      <x:c r="K6327" s="0"/>
      <x:c r="L6327" t="str" s="2">
        <x:v>Show</x:v>
      </x:c>
    </x:row>
    <x:row r="6328">
      <x:c r="A6328" t="str" s="2">
        <x:f>=HYPERLINK("https://rsms.futurehomex.com/lead/40350", "Shameika Turner")</x:f>
      </x:c>
      <x:c r="B6328" t="str" s="2">
        <x:v>Heritage Housing of Minden</x:v>
      </x:c>
      <x:c r="C6328" t="str" s="2">
        <x:v>0/1</x:v>
      </x:c>
      <x:c r="D6328" t="str" s="2">
        <x:v>3186072570</x:v>
      </x:c>
      <x:c r="E6328" t="str" s="2">
        <x:v>jadeddesign1971llc@gmail.com</x:v>
      </x:c>
      <x:c r="F6328" t="str" s="2">
        <x:v>Website</x:v>
      </x:c>
      <x:c r="G6328" t="str" s="2">
        <x:v>Kyla Brown</x:v>
      </x:c>
      <x:c r="H6328" s="6">
        <x:v>46277.76843545139</x:v>
      </x:c>
      <x:c r="I6328" t="str" s="2">
        <x:v>Patrick Schuchart</x:v>
      </x:c>
      <x:c r="J6328" s="6">
        <x:v>46291.75</x:v>
      </x:c>
      <x:c r="K6328" s="6">
        <x:v>46296.772596724535</x:v>
      </x:c>
      <x:c r="L6328" t="str" s="2">
        <x:v>Show</x:v>
      </x:c>
    </x:row>
    <x:row r="6329">
      <x:c r="A6329" t="str" s="2">
        <x:f>=HYPERLINK("https://rsms.futurehomex.com/lead/39952", "Sherri Johnson")</x:f>
      </x:c>
      <x:c r="B6329" t="str" s="2">
        <x:v>Heritage Housing of Augusta</x:v>
      </x:c>
      <x:c r="C6329" t="str" s="2">
        <x:v/>
      </x:c>
      <x:c r="D6329" t="str" s="2">
        <x:v>8437674904</x:v>
      </x:c>
      <x:c r="E6329" t="str" s="2">
        <x:v>sherri@dansheinc.com</x:v>
      </x:c>
      <x:c r="F6329" t="str" s="2">
        <x:v>Walk-in</x:v>
      </x:c>
      <x:c r="G6329" s="0"/>
      <x:c r="H6329" s="6">
        <x:v>46277.77535790509</x:v>
      </x:c>
      <x:c r="I6329" t="str" s="2">
        <x:v>Faye Lively</x:v>
      </x:c>
      <x:c r="J6329" s="0"/>
      <x:c r="K6329" s="0"/>
      <x:c r="L6329" t="str" s="2">
        <x:v>Show</x:v>
      </x:c>
    </x:row>
    <x:row r="6330">
      <x:c r="A6330" t="str" s="2">
        <x:f>=HYPERLINK("https://rsms.futurehomex.com/lead/39949", "Kyle Gates")</x:f>
      </x:c>
      <x:c r="B6330" t="str" s="2">
        <x:v>Heritage Housing of Oklahoma City</x:v>
      </x:c>
      <x:c r="C6330" t="str" s="2">
        <x:v/>
      </x:c>
      <x:c r="D6330" t="str" s="2">
        <x:v>4054966764</x:v>
      </x:c>
      <x:c r="E6330" t="str" s="2">
        <x:v>gateskyle65@gmail.com</x:v>
      </x:c>
      <x:c r="F6330" t="str" s="2">
        <x:v>Facebook Messenger</x:v>
      </x:c>
      <x:c r="G6330" t="str" s="2">
        <x:v>Eva Misheva</x:v>
      </x:c>
      <x:c r="H6330" s="6">
        <x:v>46277.79159105324</x:v>
      </x:c>
      <x:c r="I6330" t="str" s="2">
        <x:v>Eva Misheva</x:v>
      </x:c>
      <x:c r="J6330" s="6">
        <x:v>46277.791666666664</x:v>
      </x:c>
      <x:c r="K6330" s="6">
        <x:v>46277.82853515046</x:v>
      </x:c>
      <x:c r="L6330" t="str" s="2">
        <x:v>Show</x:v>
      </x:c>
    </x:row>
    <x:row r="6331">
      <x:c r="A6331" t="str" s="2">
        <x:f>=HYPERLINK("https://rsms.futurehomex.com/lead/39950", "Leslie Estrada")</x:f>
      </x:c>
      <x:c r="B6331" t="str" s="2">
        <x:v>Heritage Housing of Asheboro</x:v>
      </x:c>
      <x:c r="C6331" t="str" s="2">
        <x:v/>
      </x:c>
      <x:c r="D6331" t="str" s="2">
        <x:v>3365211320</x:v>
      </x:c>
      <x:c r="E6331" t="str" s="2">
        <x:v>lesliee_2015@outlook.com</x:v>
      </x:c>
      <x:c r="F6331" t="str" s="2">
        <x:v>Walk-in</x:v>
      </x:c>
      <x:c r="G6331" s="0"/>
      <x:c r="H6331" s="6">
        <x:v>46277.80338788195</x:v>
      </x:c>
      <x:c r="I6331" t="str" s="2">
        <x:v>Maria Lopez</x:v>
      </x:c>
      <x:c r="J6331" s="0"/>
      <x:c r="K6331" s="0"/>
      <x:c r="L6331" t="str" s="2">
        <x:v>Show</x:v>
      </x:c>
    </x:row>
    <x:row r="6332">
      <x:c r="A6332" t="str" s="2">
        <x:f>=HYPERLINK("https://rsms.futurehomex.com/lead/39959", "Dan Mullenix")</x:f>
      </x:c>
      <x:c r="B6332" t="str" s="2">
        <x:v>Heritage Housing of Oklahoma City</x:v>
      </x:c>
      <x:c r="C6332" t="str" s="2">
        <x:v/>
      </x:c>
      <x:c r="D6332" t="str" s="2">
        <x:v>4056594089</x:v>
      </x:c>
      <x:c r="E6332" t="str" s="2">
        <x:v>dirtwerxok@gmail.com</x:v>
      </x:c>
      <x:c r="F6332" t="str" s="2">
        <x:v>Facebook Messenger</x:v>
      </x:c>
      <x:c r="G6332" t="str" s="2">
        <x:v>Eva Misheva</x:v>
      </x:c>
      <x:c r="H6332" s="6">
        <x:v>46277.85779594907</x:v>
      </x:c>
      <x:c r="I6332" t="str" s="2">
        <x:v>Eva Misheva</x:v>
      </x:c>
      <x:c r="J6332" s="6">
        <x:v>46278.791666666664</x:v>
      </x:c>
      <x:c r="K6332" s="6">
        <x:v>46285.903582719904</x:v>
      </x:c>
      <x:c r="L6332" t="str" s="2">
        <x:v>Show</x:v>
      </x:c>
    </x:row>
    <x:row r="6333">
      <x:c r="A6333" t="str" s="2">
        <x:f>=HYPERLINK("https://rsms.futurehomex.com/lead/39961", "Shanderrian Shanderrian")</x:f>
      </x:c>
      <x:c r="B6333" t="str" s="2">
        <x:v>Heritage Housing of Oklahoma City</x:v>
      </x:c>
      <x:c r="C6333" t="str" s="2">
        <x:v/>
      </x:c>
      <x:c r="D6333" t="str" s="2">
        <x:v>4055374760</x:v>
      </x:c>
      <x:c r="E6333" t="str" s="2">
        <x:v>4055374760</x:v>
      </x:c>
      <x:c r="F6333" t="str" s="2">
        <x:v>Walk-in</x:v>
      </x:c>
      <x:c r="G6333" t="str" s="2">
        <x:v>Alejandra Calderon</x:v>
      </x:c>
      <x:c r="H6333" s="6">
        <x:v>46277.89740732639</x:v>
      </x:c>
      <x:c r="I6333" t="str" s="2">
        <x:v>Alejandra Calderon</x:v>
      </x:c>
      <x:c r="J6333" s="0"/>
      <x:c r="K6333" s="6">
        <x:v>46277.89740732639</x:v>
      </x:c>
      <x:c r="L6333" t="str" s="2">
        <x:v>Show</x:v>
      </x:c>
    </x:row>
    <x:row r="6334">
      <x:c r="A6334" t="str" s="2">
        <x:f>=HYPERLINK("https://rsms.futurehomex.com/lead/39962", "Bonzieta Yanits")</x:f>
      </x:c>
      <x:c r="B6334" t="str" s="2">
        <x:v>Heritage Housing of Oklahoma City</x:v>
      </x:c>
      <x:c r="C6334" t="str" s="2">
        <x:v/>
      </x:c>
      <x:c r="D6334" t="str" s="2">
        <x:v>4055006482</x:v>
      </x:c>
      <x:c r="E6334" t="str" s="2">
        <x:v>4055006482</x:v>
      </x:c>
      <x:c r="F6334" t="str" s="2">
        <x:v>Facebook Messenger</x:v>
      </x:c>
      <x:c r="G6334" t="str" s="2">
        <x:v>Eva Misheva</x:v>
      </x:c>
      <x:c r="H6334" s="6">
        <x:v>46277.89905605324</x:v>
      </x:c>
      <x:c r="I6334" t="str" s="2">
        <x:v>Eva Misheva</x:v>
      </x:c>
      <x:c r="J6334" s="0"/>
      <x:c r="K6334" s="6">
        <x:v>46277.89905605324</x:v>
      </x:c>
      <x:c r="L6334" t="str" s="2">
        <x:v>Show</x:v>
      </x:c>
    </x:row>
    <x:row r="6335">
      <x:c r="A6335" t="str" s="2">
        <x:f>=HYPERLINK("https://rsms.futurehomex.com/lead/39964", "Gabriel Kelly")</x:f>
      </x:c>
      <x:c r="B6335" t="str" s="2">
        <x:v>Heritage Housing Mt Pleasant</x:v>
      </x:c>
      <x:c r="C6335" t="str" s="2">
        <x:v/>
      </x:c>
      <x:c r="D6335" t="str" s="2">
        <x:v>9038530753</x:v>
      </x:c>
      <x:c r="E6335" t="str" s="2">
        <x:v>9038530753</x:v>
      </x:c>
      <x:c r="F6335" t="str" s="2">
        <x:v>Office Hot Calls</x:v>
      </x:c>
      <x:c r="G6335" t="str" s="2">
        <x:v>Yarelis Torres</x:v>
      </x:c>
      <x:c r="H6335" s="6">
        <x:v>46277.93460833334</x:v>
      </x:c>
      <x:c r="I6335" t="str" s="2">
        <x:v>Yarelis Torres</x:v>
      </x:c>
      <x:c r="J6335" s="6">
        <x:v>46280.75</x:v>
      </x:c>
      <x:c r="K6335" s="6">
        <x:v>46283.997541516204</x:v>
      </x:c>
      <x:c r="L6335" t="str" s="2">
        <x:v>Show</x:v>
      </x:c>
    </x:row>
    <x:row r="6336">
      <x:c r="A6336" t="str" s="2">
        <x:f>=HYPERLINK("https://rsms.futurehomex.com/lead/39969", "Jorgey St John")</x:f>
      </x:c>
      <x:c r="B6336" t="str" s="2">
        <x:v>Heritage Housing of Oklahoma City</x:v>
      </x:c>
      <x:c r="C6336" t="str" s="2">
        <x:v/>
      </x:c>
      <x:c r="D6336" t="str" s="2">
        <x:v>9893312881</x:v>
      </x:c>
      <x:c r="E6336" t="str" s="2">
        <x:v>9893312881</x:v>
      </x:c>
      <x:c r="F6336" t="str" s="2">
        <x:v>Facebook Messenger</x:v>
      </x:c>
      <x:c r="G6336" t="str" s="2">
        <x:v>Eva Misheva</x:v>
      </x:c>
      <x:c r="H6336" s="6">
        <x:v>46278.919906793984</x:v>
      </x:c>
      <x:c r="I6336" t="str" s="2">
        <x:v>Trey Rixleben</x:v>
      </x:c>
      <x:c r="J6336" s="6">
        <x:v>46278.958333333336</x:v>
      </x:c>
      <x:c r="K6336" s="6">
        <x:v>46278.92074216435</x:v>
      </x:c>
      <x:c r="L6336" t="str" s="2">
        <x:v>Show</x:v>
      </x:c>
    </x:row>
    <x:row r="6337">
      <x:c r="A6337" t="str" s="2">
        <x:f>=HYPERLINK("https://rsms.futurehomex.com/lead/39970", "Russell Haley")</x:f>
      </x:c>
      <x:c r="B6337" t="str" s="2">
        <x:v>Heritage Housing of Greenville</x:v>
      </x:c>
      <x:c r="C6337" t="str" s="2">
        <x:v/>
      </x:c>
      <x:c r="D6337" t="str" s="2">
        <x:v>8179033066</x:v>
      </x:c>
      <x:c r="E6337" t="str" s="2">
        <x:v>8179033066</x:v>
      </x:c>
      <x:c r="F6337" t="str" s="2">
        <x:v>Other</x:v>
      </x:c>
      <x:c r="G6337" t="str" s="2">
        <x:v>Brandie Sartor</x:v>
      </x:c>
      <x:c r="H6337" s="6">
        <x:v>46279.53694247685</x:v>
      </x:c>
      <x:c r="I6337" t="str" s="2">
        <x:v>Jessica Osornio</x:v>
      </x:c>
      <x:c r="J6337" s="0"/>
      <x:c r="K6337" s="6">
        <x:v>46279.53694247685</x:v>
      </x:c>
      <x:c r="L6337" t="str" s="2">
        <x:v>Show</x:v>
      </x:c>
    </x:row>
    <x:row r="6338">
      <x:c r="A6338" t="str" s="2">
        <x:f>=HYPERLINK("https://rsms.futurehomex.com/lead/39978", "Kayla Rosati")</x:f>
      </x:c>
      <x:c r="B6338" t="str" s="2">
        <x:v>Heritage Housing of Oklahoma City</x:v>
      </x:c>
      <x:c r="C6338" t="str" s="2">
        <x:v/>
      </x:c>
      <x:c r="D6338" t="str" s="2">
        <x:v>4056375921</x:v>
      </x:c>
      <x:c r="E6338" t="str" s="2">
        <x:v>kaylashugg@gmail.com</x:v>
      </x:c>
      <x:c r="F6338" t="str" s="2">
        <x:v>Facebook Messenger</x:v>
      </x:c>
      <x:c r="G6338" t="str" s="2">
        <x:v>Steve Castell</x:v>
      </x:c>
      <x:c r="H6338" s="6">
        <x:v>46279.60364340278</x:v>
      </x:c>
      <x:c r="I6338" t="str" s="2">
        <x:v>Steve Castell</x:v>
      </x:c>
      <x:c r="J6338" s="6">
        <x:v>46279.6875</x:v>
      </x:c>
      <x:c r="K6338" s="6">
        <x:v>46279.694847997685</x:v>
      </x:c>
      <x:c r="L6338" t="str" s="2">
        <x:v>Show</x:v>
      </x:c>
    </x:row>
    <x:row r="6339">
      <x:c r="A6339" t="str" s="2">
        <x:f>=HYPERLINK("https://rsms.futurehomex.com/lead/39981", "Ronald Gibson")</x:f>
      </x:c>
      <x:c r="B6339" t="str" s="2">
        <x:v>Heritage Housing of Oklahoma City</x:v>
      </x:c>
      <x:c r="C6339" t="str" s="2">
        <x:v/>
      </x:c>
      <x:c r="D6339" t="str" s="2">
        <x:v>4057728108</x:v>
      </x:c>
      <x:c r="E6339" t="str" s="2">
        <x:v>4057728108</x:v>
      </x:c>
      <x:c r="F6339" t="str" s="2">
        <x:v>Facebook Messenger</x:v>
      </x:c>
      <x:c r="G6339" t="str" s="2">
        <x:v>Trey Rixleben</x:v>
      </x:c>
      <x:c r="H6339" s="6">
        <x:v>46279.635581828705</x:v>
      </x:c>
      <x:c r="I6339" t="str" s="2">
        <x:v>Trey Rixleben</x:v>
      </x:c>
      <x:c r="J6339" s="6">
        <x:v>46279.666666666664</x:v>
      </x:c>
      <x:c r="K6339" s="6">
        <x:v>46279.72610949074</x:v>
      </x:c>
      <x:c r="L6339" t="str" s="2">
        <x:v>Show</x:v>
      </x:c>
    </x:row>
    <x:row r="6340">
      <x:c r="A6340" t="str" s="2">
        <x:f>=HYPERLINK("https://rsms.futurehomex.com/lead/39983", "Dawn Baker")</x:f>
      </x:c>
      <x:c r="B6340" t="str" s="2">
        <x:v>Heritage Housing of Asheboro</x:v>
      </x:c>
      <x:c r="C6340" t="str" s="2">
        <x:v/>
      </x:c>
      <x:c r="D6340" t="str" s="2">
        <x:v>3363022889</x:v>
      </x:c>
      <x:c r="E6340" t="str" s="2">
        <x:v>dswilkes@gmail.com</x:v>
      </x:c>
      <x:c r="F6340" t="str" s="2">
        <x:v>Walk-in</x:v>
      </x:c>
      <x:c r="G6340" s="0"/>
      <x:c r="H6340" s="6">
        <x:v>46279.64508394676</x:v>
      </x:c>
      <x:c r="I6340" t="str" s="2">
        <x:v>Maria Lopez</x:v>
      </x:c>
      <x:c r="J6340" s="0"/>
      <x:c r="K6340" s="0"/>
      <x:c r="L6340" t="str" s="2">
        <x:v>Show</x:v>
      </x:c>
    </x:row>
    <x:row r="6341">
      <x:c r="A6341" t="str" s="2">
        <x:f>=HYPERLINK("https://rsms.futurehomex.com/lead/40195", "Eric Passaro")</x:f>
      </x:c>
      <x:c r="B6341" t="str" s="2">
        <x:v>Heritage Housing of Asheboro</x:v>
      </x:c>
      <x:c r="C6341" t="str" s="2">
        <x:v/>
      </x:c>
      <x:c r="D6341" t="str" s="2">
        <x:v>3368704339</x:v>
      </x:c>
      <x:c r="E6341" t="str" s="2">
        <x:v>ericthomaspassaro@outlook.com</x:v>
      </x:c>
      <x:c r="F6341" t="str" s="2">
        <x:v>Walk-in</x:v>
      </x:c>
      <x:c r="G6341" t="str" s="2">
        <x:v>Maria Lopez</x:v>
      </x:c>
      <x:c r="H6341" s="6">
        <x:v>46279.66931130787</x:v>
      </x:c>
      <x:c r="I6341" t="str" s="2">
        <x:v>Maria Lopez</x:v>
      </x:c>
      <x:c r="J6341" s="0"/>
      <x:c r="K6341" s="6">
        <x:v>46279.682818981484</x:v>
      </x:c>
      <x:c r="L6341" t="str" s="2">
        <x:v>Show</x:v>
      </x:c>
    </x:row>
    <x:row r="6342">
      <x:c r="A6342" t="str" s="2">
        <x:f>=HYPERLINK("https://rsms.futurehomex.com/lead/39990", "Caleb Bectol")</x:f>
      </x:c>
      <x:c r="B6342" t="str" s="2">
        <x:v>Heritage Housing of Oklahoma City</x:v>
      </x:c>
      <x:c r="C6342" t="str" s="2">
        <x:v/>
      </x:c>
      <x:c r="D6342" t="str" s="2">
        <x:v>5722732555</x:v>
      </x:c>
      <x:c r="E6342" t="str" s="2">
        <x:v>calebbectol@gmail.com</x:v>
      </x:c>
      <x:c r="F6342" t="str" s="2">
        <x:v>Meta Ads - Messenger</x:v>
      </x:c>
      <x:c r="G6342" t="str" s="2">
        <x:v>Alejandra Calderon</x:v>
      </x:c>
      <x:c r="H6342" s="6">
        <x:v>46279.72027503472</x:v>
      </x:c>
      <x:c r="I6342" t="str" s="2">
        <x:v>Alejandra Calderon</x:v>
      </x:c>
      <x:c r="J6342" s="0"/>
      <x:c r="K6342" s="6">
        <x:v>46279.72027503472</x:v>
      </x:c>
      <x:c r="L6342" t="str" s="2">
        <x:v>Show</x:v>
      </x:c>
    </x:row>
    <x:row r="6343">
      <x:c r="A6343" t="str" s="2">
        <x:f>=HYPERLINK("https://rsms.futurehomex.com/lead/39992", "Alan Aultman")</x:f>
      </x:c>
      <x:c r="B6343" t="str" s="2">
        <x:v>Heritage Housing of Athens</x:v>
      </x:c>
      <x:c r="C6343" t="str" s="2">
        <x:v/>
      </x:c>
      <x:c r="D6343" t="str" s="2">
        <x:v>7063004341</x:v>
      </x:c>
      <x:c r="E6343" t="str" s="2">
        <x:v>alan.aultman@ymail.com</x:v>
      </x:c>
      <x:c r="F6343" t="str" s="2">
        <x:v>Walk-in</x:v>
      </x:c>
      <x:c r="G6343" s="0"/>
      <x:c r="H6343" s="6">
        <x:v>46279.74401589121</x:v>
      </x:c>
      <x:c r="I6343" t="str" s="2">
        <x:v>Nathan Bishop</x:v>
      </x:c>
      <x:c r="J6343" s="0"/>
      <x:c r="K6343" s="0"/>
      <x:c r="L6343" t="str" s="2">
        <x:v>Show</x:v>
      </x:c>
    </x:row>
    <x:row r="6344">
      <x:c r="A6344" t="str" s="2">
        <x:f>=HYPERLINK("https://rsms.futurehomex.com/lead/39994", "Rebecca Gibbs")</x:f>
      </x:c>
      <x:c r="B6344" t="str" s="2">
        <x:v>Heritage Housing of Oklahoma City</x:v>
      </x:c>
      <x:c r="C6344" t="str" s="2">
        <x:v/>
      </x:c>
      <x:c r="D6344" t="str" s="2">
        <x:v>4057729893</x:v>
      </x:c>
      <x:c r="E6344" t="str" s="2">
        <x:v>beckygibbs2@gmail.com</x:v>
      </x:c>
      <x:c r="F6344" t="str" s="2">
        <x:v>Financing Form</x:v>
      </x:c>
      <x:c r="G6344" t="str" s="2">
        <x:v>Trey Rixleben</x:v>
      </x:c>
      <x:c r="H6344" s="6">
        <x:v>46279.79493344908</x:v>
      </x:c>
      <x:c r="I6344" t="str" s="2">
        <x:v>Trey Rixleben</x:v>
      </x:c>
      <x:c r="J6344" s="6">
        <x:v>46288.625</x:v>
      </x:c>
      <x:c r="K6344" s="6">
        <x:v>46288.93336732639</x:v>
      </x:c>
      <x:c r="L6344" t="str" s="2">
        <x:v>Show</x:v>
      </x:c>
    </x:row>
    <x:row r="6345">
      <x:c r="A6345" t="str" s="2">
        <x:f>=HYPERLINK("https://rsms.futurehomex.com/lead/40017", "Chloe Butler")</x:f>
      </x:c>
      <x:c r="B6345" t="str" s="2">
        <x:v>Heritage Housing of Tulsa</x:v>
      </x:c>
      <x:c r="C6345" t="str" s="2">
        <x:v/>
      </x:c>
      <x:c r="D6345" t="str" s="2">
        <x:v>9188073739</x:v>
      </x:c>
      <x:c r="E6345" t="str" s="2">
        <x:v>chloee.n215@gmail.com</x:v>
      </x:c>
      <x:c r="F6345" t="str" s="2">
        <x:v>Walk-in</x:v>
      </x:c>
      <x:c r="G6345" t="str" s="2">
        <x:v>Jenna Fransisco</x:v>
      </x:c>
      <x:c r="H6345" s="6">
        <x:v>46279.80151697917</x:v>
      </x:c>
      <x:c r="I6345" t="str" s="2">
        <x:v>Jenna Fransisco</x:v>
      </x:c>
      <x:c r="J6345" s="0"/>
      <x:c r="K6345" s="0"/>
      <x:c r="L6345" t="str" s="2">
        <x:v>Show</x:v>
      </x:c>
    </x:row>
    <x:row r="6346">
      <x:c r="A6346" t="str" s="2">
        <x:f>=HYPERLINK("https://rsms.futurehomex.com/lead/39995", "Luz Marina Genera")</x:f>
      </x:c>
      <x:c r="B6346" t="str" s="2">
        <x:v>Heritage Housing of Greenville</x:v>
      </x:c>
      <x:c r="C6346" t="str" s="2">
        <x:v/>
      </x:c>
      <x:c r="D6346" t="str" s="2">
        <x:v>3252687672</x:v>
      </x:c>
      <x:c r="E6346" t="str" s="2">
        <x:v>Luzmarina2001@icloud.com</x:v>
      </x:c>
      <x:c r="F6346" t="str" s="2">
        <x:v>TikTok</x:v>
      </x:c>
      <x:c r="G6346" t="str" s="2">
        <x:v>Brandie Sartor</x:v>
      </x:c>
      <x:c r="H6346" s="6">
        <x:v>46279.82266215278</x:v>
      </x:c>
      <x:c r="I6346" t="str" s="2">
        <x:v>Oscar Osorio</x:v>
      </x:c>
      <x:c r="J6346" s="0"/>
      <x:c r="K6346" s="6">
        <x:v>46279.82266215278</x:v>
      </x:c>
      <x:c r="L6346" t="str" s="2">
        <x:v>Show</x:v>
      </x:c>
    </x:row>
    <x:row r="6347">
      <x:c r="A6347" t="str" s="2">
        <x:f>=HYPERLINK("https://rsms.futurehomex.com/lead/39996", "Gerald Perossier")</x:f>
      </x:c>
      <x:c r="B6347" t="str" s="2">
        <x:v>Heritage Housing of Jennings</x:v>
      </x:c>
      <x:c r="C6347" t="str" s="2">
        <x:v/>
      </x:c>
      <x:c r="D6347" t="str" s="2">
        <x:v>9563675661</x:v>
      </x:c>
      <x:c r="E6347" t="str" s="2">
        <x:v>perossier1320@gmail.com</x:v>
      </x:c>
      <x:c r="F6347" t="str" s="2">
        <x:v>Walk-in</x:v>
      </x:c>
      <x:c r="G6347" s="0"/>
      <x:c r="H6347" s="6">
        <x:v>46279.823272835645</x:v>
      </x:c>
      <x:c r="I6347" t="str" s="2">
        <x:v>Clint O'Neal</x:v>
      </x:c>
      <x:c r="J6347" s="6">
        <x:v>46314.75</x:v>
      </x:c>
      <x:c r="K6347" s="0"/>
      <x:c r="L6347" t="str" s="2">
        <x:v>Show</x:v>
      </x:c>
    </x:row>
    <x:row r="6348">
      <x:c r="A6348" t="str" s="2">
        <x:f>=HYPERLINK("https://rsms.futurehomex.com/lead/39997", "Maritza Rosales")</x:f>
      </x:c>
      <x:c r="B6348" t="str" s="2">
        <x:v>Heritage Housing of Asheboro</x:v>
      </x:c>
      <x:c r="C6348" t="str" s="2">
        <x:v/>
      </x:c>
      <x:c r="D6348" t="str" s="2">
        <x:v>3362106855</x:v>
      </x:c>
      <x:c r="E6348" t="str" s="2">
        <x:v>machavarria23@yahoo.com</x:v>
      </x:c>
      <x:c r="F6348" t="str" s="2">
        <x:v>Walk-in</x:v>
      </x:c>
      <x:c r="G6348" s="0"/>
      <x:c r="H6348" s="6">
        <x:v>46279.825805243054</x:v>
      </x:c>
      <x:c r="I6348" t="str" s="2">
        <x:v>Maria Lopez</x:v>
      </x:c>
      <x:c r="J6348" s="0"/>
      <x:c r="K6348" s="0"/>
      <x:c r="L6348" t="str" s="2">
        <x:v>Show</x:v>
      </x:c>
    </x:row>
    <x:row r="6349">
      <x:c r="A6349" t="str" s="2">
        <x:f>=HYPERLINK("https://rsms.futurehomex.com/lead/39998", "Gwen Bryant")</x:f>
      </x:c>
      <x:c r="B6349" t="str" s="2">
        <x:v>Heritage Housing of Oklahoma City</x:v>
      </x:c>
      <x:c r="C6349" t="str" s="2">
        <x:v/>
      </x:c>
      <x:c r="D6349" t="str" s="2">
        <x:v>4056273931</x:v>
      </x:c>
      <x:c r="E6349" t="str" s="2">
        <x:v>gnjbryant@gmail.com</x:v>
      </x:c>
      <x:c r="F6349" t="str" s="2">
        <x:v>Facebook Messenger</x:v>
      </x:c>
      <x:c r="G6349" t="str" s="2">
        <x:v>Trey Rixleben</x:v>
      </x:c>
      <x:c r="H6349" s="6">
        <x:v>46279.828208101855</x:v>
      </x:c>
      <x:c r="I6349" t="str" s="2">
        <x:v>Trey Rixleben</x:v>
      </x:c>
      <x:c r="J6349" s="6">
        <x:v>46279.895833333336</x:v>
      </x:c>
      <x:c r="K6349" s="6">
        <x:v>46281.627459641204</x:v>
      </x:c>
      <x:c r="L6349" t="str" s="2">
        <x:v>Show</x:v>
      </x:c>
    </x:row>
    <x:row r="6350">
      <x:c r="A6350" t="str" s="2">
        <x:f>=HYPERLINK("https://rsms.futurehomex.com/lead/40000", "Dale Morrell")</x:f>
      </x:c>
      <x:c r="B6350" t="str" s="2">
        <x:v>Heritage Housing of Jennings</x:v>
      </x:c>
      <x:c r="C6350" t="str" s="2">
        <x:v/>
      </x:c>
      <x:c r="D6350" t="str" s="2">
        <x:v>4797199343</x:v>
      </x:c>
      <x:c r="E6350" t="str" s="2">
        <x:v>dale@morrelltargets.com</x:v>
      </x:c>
      <x:c r="F6350" t="str" s="2">
        <x:v>Referrals</x:v>
      </x:c>
      <x:c r="G6350" t="str" s="2">
        <x:v>Drew Dogay</x:v>
      </x:c>
      <x:c r="H6350" s="6">
        <x:v>46279.85496577546</x:v>
      </x:c>
      <x:c r="I6350" t="str" s="2">
        <x:v>Drew Dogay</x:v>
      </x:c>
      <x:c r="J6350" s="0"/>
      <x:c r="K6350" s="6">
        <x:v>46279.85496577546</x:v>
      </x:c>
      <x:c r="L6350" t="str" s="2">
        <x:v>Show</x:v>
      </x:c>
    </x:row>
    <x:row r="6351">
      <x:c r="A6351" t="str" s="2">
        <x:f>=HYPERLINK("https://rsms.futurehomex.com/lead/40012", "Maria Zamora")</x:f>
      </x:c>
      <x:c r="B6351" t="str" s="2">
        <x:v>Heritage Housing Mt Pleasant</x:v>
      </x:c>
      <x:c r="C6351" t="str" s="2">
        <x:v/>
      </x:c>
      <x:c r="D6351" t="str" s="2">
        <x:v>5126965411</x:v>
      </x:c>
      <x:c r="E6351" t="str" s="2">
        <x:v>5126696541</x:v>
      </x:c>
      <x:c r="F6351" t="str" s="2">
        <x:v>Facebook Messenger</x:v>
      </x:c>
      <x:c r="G6351" t="str" s="2">
        <x:v>Yarelis Torres</x:v>
      </x:c>
      <x:c r="H6351" s="6">
        <x:v>46280.00471226852</x:v>
      </x:c>
      <x:c r="I6351" t="str" s="2">
        <x:v>Yarelis Torres</x:v>
      </x:c>
      <x:c r="J6351" s="6">
        <x:v>46279.979166666664</x:v>
      </x:c>
      <x:c r="K6351" s="6">
        <x:v>46283.71303417824</x:v>
      </x:c>
      <x:c r="L6351" t="str" s="2">
        <x:v>Show</x:v>
      </x:c>
    </x:row>
    <x:row r="6352">
      <x:c r="A6352" t="str" s="2">
        <x:f>=HYPERLINK("https://rsms.futurehomex.com/lead/40148", "Troy LeBlanc")</x:f>
      </x:c>
      <x:c r="B6352" t="str" s="2">
        <x:v>Heritage Housing of Asheboro</x:v>
      </x:c>
      <x:c r="C6352" t="str" s="2">
        <x:v/>
      </x:c>
      <x:c r="D6352" t="str" s="2">
        <x:v>4092253797</x:v>
      </x:c>
      <x:c r="E6352" t="str" s="2">
        <x:v>leblanc_troy@yahoo.com</x:v>
      </x:c>
      <x:c r="F6352" t="str" s="2">
        <x:v>Financing Form</x:v>
      </x:c>
      <x:c r="G6352" t="str" s="2">
        <x:v>Kate Gutierrez</x:v>
      </x:c>
      <x:c r="H6352" s="6">
        <x:v>46280.51331501157</x:v>
      </x:c>
      <x:c r="I6352" t="str" s="2">
        <x:v>Kate Gutierrez</x:v>
      </x:c>
      <x:c r="J6352" s="6">
        <x:v>46284.583333333336</x:v>
      </x:c>
      <x:c r="K6352" s="6">
        <x:v>46288.88722418981</x:v>
      </x:c>
      <x:c r="L6352" t="str" s="2">
        <x:v>Show</x:v>
      </x:c>
    </x:row>
    <x:row r="6353">
      <x:c r="A6353" t="str" s="2">
        <x:f>=HYPERLINK("https://rsms.futurehomex.com/lead/40013", "Victor Hernandez")</x:f>
      </x:c>
      <x:c r="B6353" t="str" s="2">
        <x:v>Heritage Housing of Asheboro</x:v>
      </x:c>
      <x:c r="C6353" t="str" s="2">
        <x:v/>
      </x:c>
      <x:c r="D6353" t="str" s="2">
        <x:v>3363016735</x:v>
      </x:c>
      <x:c r="E6353" t="str" s="2">
        <x:v>victorhernndez@yahoo.com</x:v>
      </x:c>
      <x:c r="F6353" t="str" s="2">
        <x:v>Walk-in</x:v>
      </x:c>
      <x:c r="G6353" s="0"/>
      <x:c r="H6353" s="6">
        <x:v>46280.58355054398</x:v>
      </x:c>
      <x:c r="I6353" t="str" s="2">
        <x:v>Maria Lopez</x:v>
      </x:c>
      <x:c r="J6353" s="0"/>
      <x:c r="K6353" s="0"/>
      <x:c r="L6353" t="str" s="2">
        <x:v>Show</x:v>
      </x:c>
    </x:row>
    <x:row r="6354">
      <x:c r="A6354" t="str" s="2">
        <x:f>=HYPERLINK("https://rsms.futurehomex.com/lead/40014", "Roman Hernandez")</x:f>
      </x:c>
      <x:c r="B6354" t="str" s="2">
        <x:v>Heritage Housing of Greenville</x:v>
      </x:c>
      <x:c r="C6354" t="str" s="2">
        <x:v/>
      </x:c>
      <x:c r="D6354" t="str" s="2">
        <x:v>9403997943</x:v>
      </x:c>
      <x:c r="E6354" t="str" s="2">
        <x:v>aaron06.sp@gmail.com</x:v>
      </x:c>
      <x:c r="F6354" t="str" s="2">
        <x:v>TikTok</x:v>
      </x:c>
      <x:c r="G6354" t="str" s="2">
        <x:v>Brandie Sartor</x:v>
      </x:c>
      <x:c r="H6354" s="6">
        <x:v>46280.59678221065</x:v>
      </x:c>
      <x:c r="I6354" t="str" s="2">
        <x:v>Oscar Osorio</x:v>
      </x:c>
      <x:c r="J6354" s="0"/>
      <x:c r="K6354" s="6">
        <x:v>46280.59678221065</x:v>
      </x:c>
      <x:c r="L6354" t="str" s="2">
        <x:v>Show</x:v>
      </x:c>
    </x:row>
    <x:row r="6355">
      <x:c r="A6355" t="str" s="2">
        <x:f>=HYPERLINK("https://rsms.futurehomex.com/lead/40016", "Gwendolyn Ivey")</x:f>
      </x:c>
      <x:c r="B6355" t="str" s="2">
        <x:v>Heritage Housing of Augusta</x:v>
      </x:c>
      <x:c r="C6355" t="str" s="2">
        <x:v/>
      </x:c>
      <x:c r="D6355" t="str" s="2">
        <x:v>7963613835</x:v>
      </x:c>
      <x:c r="E6355" t="str" s="2">
        <x:v>gwenivey2017@gmail.com</x:v>
      </x:c>
      <x:c r="F6355" t="str" s="2">
        <x:v>Walk-in</x:v>
      </x:c>
      <x:c r="G6355" s="0"/>
      <x:c r="H6355" s="6">
        <x:v>46280.62802341435</x:v>
      </x:c>
      <x:c r="I6355" t="str" s="2">
        <x:v>Faye Lively</x:v>
      </x:c>
      <x:c r="J6355" s="0"/>
      <x:c r="K6355" s="0"/>
      <x:c r="L6355" t="str" s="2">
        <x:v>Show</x:v>
      </x:c>
    </x:row>
    <x:row r="6356">
      <x:c r="A6356" t="str" s="2">
        <x:f>=HYPERLINK("https://rsms.futurehomex.com/lead/40025", "Wesley Griffith")</x:f>
      </x:c>
      <x:c r="B6356" t="str" s="2">
        <x:v>Heritage Housing of Minden</x:v>
      </x:c>
      <x:c r="C6356" t="str" s="2">
        <x:v/>
      </x:c>
      <x:c r="D6356" t="str" s="2">
        <x:v>3373314672</x:v>
      </x:c>
      <x:c r="E6356" t="str" s="2">
        <x:v>tonihartz18@gmail.com</x:v>
      </x:c>
      <x:c r="F6356" t="str" s="2">
        <x:v>Financing Form</x:v>
      </x:c>
      <x:c r="G6356" t="str" s="2">
        <x:v>Kyla Brown</x:v>
      </x:c>
      <x:c r="H6356" s="6">
        <x:v>46280.64607253472</x:v>
      </x:c>
      <x:c r="I6356" t="str" s="2">
        <x:v>Patrick Schuchart</x:v>
      </x:c>
      <x:c r="J6356" s="6">
        <x:v>46282.4375</x:v>
      </x:c>
      <x:c r="K6356" s="6">
        <x:v>46282.64499375</x:v>
      </x:c>
      <x:c r="L6356" t="str" s="2">
        <x:v>Show</x:v>
      </x:c>
    </x:row>
    <x:row r="6357">
      <x:c r="A6357" t="str" s="2">
        <x:f>=HYPERLINK("https://rsms.futurehomex.com/lead/40019", "Terry Martin")</x:f>
      </x:c>
      <x:c r="B6357" t="str" s="2">
        <x:v>Heritage Housing of Minden</x:v>
      </x:c>
      <x:c r="C6357" t="str" s="2">
        <x:v/>
      </x:c>
      <x:c r="D6357" t="str" s="2">
        <x:v>3183219210</x:v>
      </x:c>
      <x:c r="E6357" t="str" s="2">
        <x:v>venessa.scherrier@icloud.com</x:v>
      </x:c>
      <x:c r="F6357" t="str" s="2">
        <x:v>Walk-in</x:v>
      </x:c>
      <x:c r="G6357" s="0"/>
      <x:c r="H6357" s="6">
        <x:v>46280.65498954861</x:v>
      </x:c>
      <x:c r="I6357" t="str" s="2">
        <x:v>Patrick Schuchart</x:v>
      </x:c>
      <x:c r="J6357" s="0"/>
      <x:c r="K6357" s="0"/>
      <x:c r="L6357" t="str" s="2">
        <x:v>Show</x:v>
      </x:c>
    </x:row>
    <x:row r="6358">
      <x:c r="A6358" t="str" s="2">
        <x:f>=HYPERLINK("https://rsms.futurehomex.com/lead/40022", "Debbie Rowell")</x:f>
      </x:c>
      <x:c r="B6358" t="str" s="2">
        <x:v>Heritage Housing of Greenville</x:v>
      </x:c>
      <x:c r="C6358" t="str" s="2">
        <x:v/>
      </x:c>
      <x:c r="D6358" t="str" s="2">
        <x:v>8177070912</x:v>
      </x:c>
      <x:c r="E6358" t="str" s="2">
        <x:v>D45babytaz@yahoo.com</x:v>
      </x:c>
      <x:c r="F6358" t="str" s="2">
        <x:v>TikTok Ads -  Froms</x:v>
      </x:c>
      <x:c r="G6358" t="str" s="2">
        <x:v>Brandie Sartor</x:v>
      </x:c>
      <x:c r="H6358" s="6">
        <x:v>46280.71250806713</x:v>
      </x:c>
      <x:c r="I6358" t="str" s="2">
        <x:v>Oscar Osorio</x:v>
      </x:c>
      <x:c r="J6358" s="0"/>
      <x:c r="K6358" s="6">
        <x:v>46280.71250806713</x:v>
      </x:c>
      <x:c r="L6358" t="str" s="2">
        <x:v>Show</x:v>
      </x:c>
    </x:row>
    <x:row r="6359">
      <x:c r="A6359" t="str" s="2">
        <x:f>=HYPERLINK("https://rsms.futurehomex.com/lead/40026", "Justin Bagley")</x:f>
      </x:c>
      <x:c r="B6359" t="str" s="2">
        <x:v>Heritage Housing of Augusta</x:v>
      </x:c>
      <x:c r="C6359" t="str" s="2">
        <x:v/>
      </x:c>
      <x:c r="D6359" t="str" s="2">
        <x:v>6789513399</x:v>
      </x:c>
      <x:c r="E6359" t="str" s="2">
        <x:v>bagleyjustin76@gmail.com</x:v>
      </x:c>
      <x:c r="F6359" t="str" s="2">
        <x:v>Walk-in</x:v>
      </x:c>
      <x:c r="G6359" s="0"/>
      <x:c r="H6359" s="6">
        <x:v>46280.75145497685</x:v>
      </x:c>
      <x:c r="I6359" t="str" s="2">
        <x:v>Faye Lively</x:v>
      </x:c>
      <x:c r="J6359" s="0"/>
      <x:c r="K6359" s="0"/>
      <x:c r="L6359" t="str" s="2">
        <x:v>Show</x:v>
      </x:c>
    </x:row>
    <x:row r="6360">
      <x:c r="A6360" t="str" s="2">
        <x:f>=HYPERLINK("https://rsms.futurehomex.com/lead/40027", "Lynnette Hunter")</x:f>
      </x:c>
      <x:c r="B6360" t="str" s="2">
        <x:v>Heritage Housing of Tulsa</x:v>
      </x:c>
      <x:c r="C6360" t="str" s="2">
        <x:v/>
      </x:c>
      <x:c r="D6360" t="str" s="2">
        <x:v>9183061258</x:v>
      </x:c>
      <x:c r="E6360" t="str" s="2">
        <x:v>lynnettehunter@hotmail.com</x:v>
      </x:c>
      <x:c r="F6360" t="str" s="2">
        <x:v>Walk-in</x:v>
      </x:c>
      <x:c r="G6360" t="str" s="2">
        <x:v>Jenna Fransisco</x:v>
      </x:c>
      <x:c r="H6360" s="6">
        <x:v>46280.75899363426</x:v>
      </x:c>
      <x:c r="I6360" t="str" s="2">
        <x:v>Jenna Fransisco</x:v>
      </x:c>
      <x:c r="J6360" s="0"/>
      <x:c r="K6360" s="0"/>
      <x:c r="L6360" t="str" s="2">
        <x:v>Show</x:v>
      </x:c>
    </x:row>
    <x:row r="6361">
      <x:c r="A6361" t="str" s="2">
        <x:f>=HYPERLINK("https://rsms.futurehomex.com/lead/40028", "Rebecca Hasbell")</x:f>
      </x:c>
      <x:c r="B6361" t="str" s="2">
        <x:v>Heritage Housing of Oklahoma City</x:v>
      </x:c>
      <x:c r="C6361" t="str" s="2">
        <x:v/>
      </x:c>
      <x:c r="D6361" t="str" s="2">
        <x:v>4053430022</x:v>
      </x:c>
      <x:c r="E6361" t="str" s="2">
        <x:v>beckyhasbell@gmail.com</x:v>
      </x:c>
      <x:c r="F6361" t="str" s="2">
        <x:v>Facebook Messenger</x:v>
      </x:c>
      <x:c r="G6361" t="str" s="2">
        <x:v>Steve Castell</x:v>
      </x:c>
      <x:c r="H6361" s="6">
        <x:v>46280.762712731484</x:v>
      </x:c>
      <x:c r="I6361" t="str" s="2">
        <x:v>Steve Castell</x:v>
      </x:c>
      <x:c r="J6361" s="6">
        <x:v>46280.770833333336</x:v>
      </x:c>
      <x:c r="K6361" s="6">
        <x:v>46280.79146755787</x:v>
      </x:c>
      <x:c r="L6361" t="str" s="2">
        <x:v>Show</x:v>
      </x:c>
    </x:row>
    <x:row r="6362">
      <x:c r="A6362" t="str" s="2">
        <x:f>=HYPERLINK("https://rsms.futurehomex.com/lead/40041", "Amy Bussard")</x:f>
      </x:c>
      <x:c r="B6362" t="str" s="2">
        <x:v>Heritage Housing of Tulsa</x:v>
      </x:c>
      <x:c r="C6362" t="str" s="2">
        <x:v/>
      </x:c>
      <x:c r="D6362" t="str" s="2">
        <x:v>9185096708</x:v>
      </x:c>
      <x:c r="E6362" t="str" s="2">
        <x:v>amybussard9@gmail.com</x:v>
      </x:c>
      <x:c r="F6362" t="str" s="2">
        <x:v>Walk-in</x:v>
      </x:c>
      <x:c r="G6362" t="str" s="2">
        <x:v>Jenna Fransisco</x:v>
      </x:c>
      <x:c r="H6362" s="6">
        <x:v>46280.800130474534</x:v>
      </x:c>
      <x:c r="I6362" t="str" s="2">
        <x:v>Jenna Fransisco</x:v>
      </x:c>
      <x:c r="J6362" s="0"/>
      <x:c r="K6362" s="0"/>
      <x:c r="L6362" t="str" s="2">
        <x:v>Show</x:v>
      </x:c>
    </x:row>
    <x:row r="6363">
      <x:c r="A6363" t="str" s="2">
        <x:f>=HYPERLINK("https://rsms.futurehomex.com/lead/40036", "Gwen Bryant")</x:f>
      </x:c>
      <x:c r="B6363" t="str" s="2">
        <x:v>Heritage Housing of Oklahoma City</x:v>
      </x:c>
      <x:c r="C6363" t="str" s="2">
        <x:v/>
      </x:c>
      <x:c r="D6363" t="str" s="2">
        <x:v>4056273939</x:v>
      </x:c>
      <x:c r="E6363" t="str" s="2">
        <x:v>gnjbryant@gmail.com</x:v>
      </x:c>
      <x:c r="F6363" t="str" s="2">
        <x:v>Walk-in</x:v>
      </x:c>
      <x:c r="G6363" t="str" s="2">
        <x:v>Alejandra Calderon</x:v>
      </x:c>
      <x:c r="H6363" s="6">
        <x:v>46280.85607005787</x:v>
      </x:c>
      <x:c r="I6363" t="str" s="2">
        <x:v>Alejandra Calderon</x:v>
      </x:c>
      <x:c r="J6363" s="0"/>
      <x:c r="K6363" s="6">
        <x:v>46280.85607005787</x:v>
      </x:c>
      <x:c r="L6363" t="str" s="2">
        <x:v>Show</x:v>
      </x:c>
    </x:row>
    <x:row r="6364">
      <x:c r="A6364" t="str" s="2">
        <x:f>=HYPERLINK("https://rsms.futurehomex.com/lead/40040", "Stephanne Olsen")</x:f>
      </x:c>
      <x:c r="B6364" t="str" s="2">
        <x:v>Heritage Housing of Greenville</x:v>
      </x:c>
      <x:c r="C6364" t="str" s="2">
        <x:v/>
      </x:c>
      <x:c r="D6364" t="str" s="2">
        <x:v>8178743479</x:v>
      </x:c>
      <x:c r="E6364" t="str" s="2">
        <x:v>D45babytaz@yahoo.com</x:v>
      </x:c>
      <x:c r="F6364" t="str" s="2">
        <x:v>Facebook Messenger</x:v>
      </x:c>
      <x:c r="G6364" t="str" s="2">
        <x:v>Brandie Sartor</x:v>
      </x:c>
      <x:c r="H6364" s="6">
        <x:v>46280.88915798611</x:v>
      </x:c>
      <x:c r="I6364" t="str" s="2">
        <x:v>Oscar Osorio</x:v>
      </x:c>
      <x:c r="J6364" s="0"/>
      <x:c r="K6364" s="6">
        <x:v>46280.88915798611</x:v>
      </x:c>
      <x:c r="L6364" t="str" s="2">
        <x:v>Show</x:v>
      </x:c>
    </x:row>
    <x:row r="6365">
      <x:c r="A6365" t="str" s="2">
        <x:f>=HYPERLINK("https://rsms.futurehomex.com/lead/40049", "Gerardo Reyes Barrera")</x:f>
      </x:c>
      <x:c r="B6365" t="str" s="2">
        <x:v>Heritage Housing of Oklahoma City</x:v>
      </x:c>
      <x:c r="C6365" t="str" s="2">
        <x:v/>
      </x:c>
      <x:c r="D6365" t="str" s="2">
        <x:v>4053659223</x:v>
      </x:c>
      <x:c r="E6365" t="str" s="2">
        <x:v>ivanreyes737@gmail.com</x:v>
      </x:c>
      <x:c r="F6365" t="str" s="2">
        <x:v>Financing Form</x:v>
      </x:c>
      <x:c r="G6365" t="str" s="2">
        <x:v>Steve Castell</x:v>
      </x:c>
      <x:c r="H6365" s="6">
        <x:v>46280.996107210645</x:v>
      </x:c>
      <x:c r="I6365" t="str" s="2">
        <x:v>Steve Castell</x:v>
      </x:c>
      <x:c r="J6365" s="6">
        <x:v>46284.604166666664</x:v>
      </x:c>
      <x:c r="K6365" s="6">
        <x:v>46284.61657503472</x:v>
      </x:c>
      <x:c r="L6365" t="str" s="2">
        <x:v>Show</x:v>
      </x:c>
    </x:row>
    <x:row r="6366">
      <x:c r="A6366" t="str" s="2">
        <x:f>=HYPERLINK("https://rsms.futurehomex.com/lead/40064", "Beverlyn Winfield")</x:f>
      </x:c>
      <x:c r="B6366" t="str" s="2">
        <x:v>Heritage Housing of Athens</x:v>
      </x:c>
      <x:c r="C6366" t="str" s="2">
        <x:v/>
      </x:c>
      <x:c r="D6366" t="str" s="2">
        <x:v>4044544521</x:v>
      </x:c>
      <x:c r="E6366" t="str" s="2">
        <x:v>beverlynwinfield7@gmail.com</x:v>
      </x:c>
      <x:c r="F6366" t="str" s="2">
        <x:v>Landing_BPM</x:v>
      </x:c>
      <x:c r="G6366" t="str" s="2">
        <x:v>Nathan Bishop</x:v>
      </x:c>
      <x:c r="H6366" s="6">
        <x:v>46281.461943483795</x:v>
      </x:c>
      <x:c r="I6366" t="str" s="2">
        <x:v>Nathan Bishop</x:v>
      </x:c>
      <x:c r="J6366" s="6">
        <x:v>46284.625</x:v>
      </x:c>
      <x:c r="K6366" s="6">
        <x:v>46284.87230559028</x:v>
      </x:c>
      <x:c r="L6366" t="str" s="2">
        <x:v>Show</x:v>
      </x:c>
    </x:row>
    <x:row r="6367">
      <x:c r="A6367" t="str" s="2">
        <x:f>=HYPERLINK("https://rsms.futurehomex.com/lead/40051", "Raul Montoya Laguna")</x:f>
      </x:c>
      <x:c r="B6367" t="str" s="2">
        <x:v>Heritage Housing of Greenville</x:v>
      </x:c>
      <x:c r="C6367" t="str" s="2">
        <x:v/>
      </x:c>
      <x:c r="D6367" t="str" s="2">
        <x:v>2145791366</x:v>
      </x:c>
      <x:c r="E6367" t="str" s="2">
        <x:v>rmontoyalaguna2@gmail.com</x:v>
      </x:c>
      <x:c r="F6367" t="str" s="2">
        <x:v>TikTok</x:v>
      </x:c>
      <x:c r="G6367" t="str" s="2">
        <x:v>Brandie Sartor</x:v>
      </x:c>
      <x:c r="H6367" s="6">
        <x:v>46281.58482091435</x:v>
      </x:c>
      <x:c r="I6367" t="str" s="2">
        <x:v>Ana Garcia</x:v>
      </x:c>
      <x:c r="J6367" s="0"/>
      <x:c r="K6367" s="6">
        <x:v>46281.58482091435</x:v>
      </x:c>
      <x:c r="L6367" t="str" s="2">
        <x:v>Show</x:v>
      </x:c>
    </x:row>
    <x:row r="6368">
      <x:c r="A6368" t="str" s="2">
        <x:f>=HYPERLINK("https://rsms.futurehomex.com/lead/40057", "Robert Pierce")</x:f>
      </x:c>
      <x:c r="B6368" t="str" s="2">
        <x:v>Heritage Housing of Minden</x:v>
      </x:c>
      <x:c r="C6368" t="str" s="2">
        <x:v/>
      </x:c>
      <x:c r="D6368" t="str" s="2">
        <x:v>3182057416</x:v>
      </x:c>
      <x:c r="E6368" t="str" s="2">
        <x:v>Rpierce654@yahoo.com</x:v>
      </x:c>
      <x:c r="F6368" t="str" s="2">
        <x:v>Walk-in</x:v>
      </x:c>
      <x:c r="G6368" s="0"/>
      <x:c r="H6368" s="6">
        <x:v>46281.63501554398</x:v>
      </x:c>
      <x:c r="I6368" t="str" s="2">
        <x:v>Patrick Schuchart</x:v>
      </x:c>
      <x:c r="J6368" s="0"/>
      <x:c r="K6368" s="6">
        <x:v>46281.84676840278</x:v>
      </x:c>
      <x:c r="L6368" t="str" s="2">
        <x:v>Show</x:v>
      </x:c>
    </x:row>
    <x:row r="6369">
      <x:c r="A6369" t="str" s="2">
        <x:f>=HYPERLINK("https://rsms.futurehomex.com/lead/40058", "Catherine Welch")</x:f>
      </x:c>
      <x:c r="B6369" t="str" s="2">
        <x:v>Heritage Housing of Minden</x:v>
      </x:c>
      <x:c r="C6369" t="str" s="2">
        <x:v/>
      </x:c>
      <x:c r="D6369" t="str" s="2">
        <x:v>3182652467</x:v>
      </x:c>
      <x:c r="E6369" t="str" s="2">
        <x:v>kathrynddoss@gmail.com</x:v>
      </x:c>
      <x:c r="F6369" t="str" s="2">
        <x:v>Walk-in</x:v>
      </x:c>
      <x:c r="G6369" s="0"/>
      <x:c r="H6369" s="6">
        <x:v>46281.639522997684</x:v>
      </x:c>
      <x:c r="I6369" t="str" s="2">
        <x:v>Patrick Schuchart</x:v>
      </x:c>
      <x:c r="J6369" s="0"/>
      <x:c r="K6369" s="0"/>
      <x:c r="L6369" t="str" s="2">
        <x:v>Show</x:v>
      </x:c>
    </x:row>
    <x:row r="6370">
      <x:c r="A6370" t="str" s="2">
        <x:f>=HYPERLINK("https://rsms.futurehomex.com/lead/40061", "Angel Christopher")</x:f>
      </x:c>
      <x:c r="B6370" t="str" s="2">
        <x:v>Heritage Housing of Athens</x:v>
      </x:c>
      <x:c r="C6370" t="str" s="2">
        <x:v/>
      </x:c>
      <x:c r="D6370" t="str" s="2">
        <x:v>7068185233</x:v>
      </x:c>
      <x:c r="E6370" t="str" s="2">
        <x:v>angelchristopher76@gmail.com</x:v>
      </x:c>
      <x:c r="F6370" t="str" s="2">
        <x:v>Walk-in</x:v>
      </x:c>
      <x:c r="G6370" s="0"/>
      <x:c r="H6370" s="6">
        <x:v>46281.67417438657</x:v>
      </x:c>
      <x:c r="I6370" t="str" s="2">
        <x:v>Ethan Fossett</x:v>
      </x:c>
      <x:c r="J6370" s="0"/>
      <x:c r="K6370" s="0"/>
      <x:c r="L6370" t="str" s="2">
        <x:v>Show</x:v>
      </x:c>
    </x:row>
    <x:row r="6371">
      <x:c r="A6371" t="str" s="2">
        <x:f>=HYPERLINK("https://rsms.futurehomex.com/lead/40062", "Elijah Slaughter")</x:f>
      </x:c>
      <x:c r="B6371" t="str" s="2">
        <x:v>Heritage Housing of Asheboro</x:v>
      </x:c>
      <x:c r="C6371" t="str" s="2">
        <x:v/>
      </x:c>
      <x:c r="D6371" t="str" s="2">
        <x:v>3366152473</x:v>
      </x:c>
      <x:c r="E6371" t="str" s="2">
        <x:v>ejslaughter05@gmail.com</x:v>
      </x:c>
      <x:c r="F6371" t="str" s="2">
        <x:v>Walk-in</x:v>
      </x:c>
      <x:c r="G6371" s="0"/>
      <x:c r="H6371" s="6">
        <x:v>46281.67545821759</x:v>
      </x:c>
      <x:c r="I6371" t="str" s="2">
        <x:v>Maria Lopez</x:v>
      </x:c>
      <x:c r="J6371" s="0"/>
      <x:c r="K6371" s="0"/>
      <x:c r="L6371" t="str" s="2">
        <x:v>Show</x:v>
      </x:c>
    </x:row>
    <x:row r="6372">
      <x:c r="A6372" t="str" s="2">
        <x:f>=HYPERLINK("https://rsms.futurehomex.com/lead/40077", "Richard Tate")</x:f>
      </x:c>
      <x:c r="B6372" t="str" s="2">
        <x:v>Heritage Housing of Asheboro</x:v>
      </x:c>
      <x:c r="C6372" t="str" s="2">
        <x:v/>
      </x:c>
      <x:c r="D6372" t="str" s="2">
        <x:v>3364719498</x:v>
      </x:c>
      <x:c r="E6372" t="str" s="2">
        <x:v>richard.tate1001@yahoo.com</x:v>
      </x:c>
      <x:c r="F6372" t="str" s="2">
        <x:v>Walk-in</x:v>
      </x:c>
      <x:c r="G6372" s="0"/>
      <x:c r="H6372" s="6">
        <x:v>46281.79762557871</x:v>
      </x:c>
      <x:c r="I6372" t="str" s="2">
        <x:v>Kate Gutierrez</x:v>
      </x:c>
      <x:c r="J6372" s="0"/>
      <x:c r="K6372" s="0"/>
      <x:c r="L6372" t="str" s="2">
        <x:v>Show</x:v>
      </x:c>
    </x:row>
    <x:row r="6373">
      <x:c r="A6373" t="str" s="2">
        <x:f>=HYPERLINK("https://rsms.futurehomex.com/lead/40078", "Jose Leal Quiterio")</x:f>
      </x:c>
      <x:c r="B6373" t="str" s="2">
        <x:v>Heritage Housing of Asheboro</x:v>
      </x:c>
      <x:c r="C6373" t="str" s="2">
        <x:v/>
      </x:c>
      <x:c r="D6373" t="str" s="2">
        <x:v>3362795573</x:v>
      </x:c>
      <x:c r="E6373" t="str" s="2">
        <x:v>tunco18@yahoo.com</x:v>
      </x:c>
      <x:c r="F6373" t="str" s="2">
        <x:v>Walk-in</x:v>
      </x:c>
      <x:c r="G6373" s="0"/>
      <x:c r="H6373" s="6">
        <x:v>46281.831058993055</x:v>
      </x:c>
      <x:c r="I6373" t="str" s="2">
        <x:v>Maria Lopez</x:v>
      </x:c>
      <x:c r="J6373" s="0"/>
      <x:c r="K6373" s="0"/>
      <x:c r="L6373" t="str" s="2">
        <x:v>Show</x:v>
      </x:c>
    </x:row>
    <x:row r="6374">
      <x:c r="A6374" t="str" s="2">
        <x:f>=HYPERLINK("https://rsms.futurehomex.com/lead/40168", "Judy Maranto")</x:f>
      </x:c>
      <x:c r="B6374" t="str" s="2">
        <x:v>Heritage Housing Mt Pleasant</x:v>
      </x:c>
      <x:c r="C6374" t="str" s="2">
        <x:v/>
      </x:c>
      <x:c r="D6374" t="str" s="2">
        <x:v>3185054888</x:v>
      </x:c>
      <x:c r="E6374" t="str" s="2">
        <x:v>judyruth545@gmail.com</x:v>
      </x:c>
      <x:c r="F6374" t="str" s="2">
        <x:v>Website</x:v>
      </x:c>
      <x:c r="G6374" t="str" s="2">
        <x:v>Sandra Saldana</x:v>
      </x:c>
      <x:c r="H6374" s="6">
        <x:v>46281.87240378472</x:v>
      </x:c>
      <x:c r="I6374" t="str" s="2">
        <x:v>Yarelis Torres</x:v>
      </x:c>
      <x:c r="J6374" s="6">
        <x:v>46283.6875</x:v>
      </x:c>
      <x:c r="K6374" s="6">
        <x:v>46285.57850362269</x:v>
      </x:c>
      <x:c r="L6374" t="str" s="2">
        <x:v>Show</x:v>
      </x:c>
    </x:row>
    <x:row r="6375">
      <x:c r="A6375" t="str" s="2">
        <x:f>=HYPERLINK("https://rsms.futurehomex.com/lead/40085", "Carly Spriggs")</x:f>
      </x:c>
      <x:c r="B6375" t="str" s="2">
        <x:v>Heritage Housing of Asheboro</x:v>
      </x:c>
      <x:c r="C6375" t="str" s="2">
        <x:v/>
      </x:c>
      <x:c r="D6375" t="str" s="2">
        <x:v>3364601181</x:v>
      </x:c>
      <x:c r="E6375" t="str" s="2">
        <x:v>carlyhavis2019@gmail.com</x:v>
      </x:c>
      <x:c r="F6375" t="str" s="2">
        <x:v>Walk-in</x:v>
      </x:c>
      <x:c r="G6375" s="0"/>
      <x:c r="H6375" s="6">
        <x:v>46282.57004834491</x:v>
      </x:c>
      <x:c r="I6375" t="str" s="2">
        <x:v>Kate Gutierrez</x:v>
      </x:c>
      <x:c r="J6375" s="0"/>
      <x:c r="K6375" s="0"/>
      <x:c r="L6375" t="str" s="2">
        <x:v>Show</x:v>
      </x:c>
    </x:row>
    <x:row r="6376">
      <x:c r="A6376" t="str" s="2">
        <x:f>=HYPERLINK("https://rsms.futurehomex.com/lead/40091", "Sherlyn Gonzalez")</x:f>
      </x:c>
      <x:c r="B6376" t="str" s="2">
        <x:v>Heritage Housing of Greenville</x:v>
      </x:c>
      <x:c r="C6376" t="str" s="2">
        <x:v/>
      </x:c>
      <x:c r="D6376" t="str" s="2">
        <x:v>8178628984</x:v>
      </x:c>
      <x:c r="E6376" t="str" s="2">
        <x:v>gonzalezsherlyn1@icloud.com</x:v>
      </x:c>
      <x:c r="F6376" t="str" s="2">
        <x:v>TikTok</x:v>
      </x:c>
      <x:c r="G6376" t="str" s="2">
        <x:v>Brandie Sartor</x:v>
      </x:c>
      <x:c r="H6376" s="6">
        <x:v>46282.6152033912</x:v>
      </x:c>
      <x:c r="I6376" t="str" s="2">
        <x:v>Oscar Osorio</x:v>
      </x:c>
      <x:c r="J6376" s="0"/>
      <x:c r="K6376" s="6">
        <x:v>46282.6152033912</x:v>
      </x:c>
      <x:c r="L6376" t="str" s="2">
        <x:v>Show</x:v>
      </x:c>
    </x:row>
    <x:row r="6377">
      <x:c r="A6377" t="str" s="2">
        <x:f>=HYPERLINK("https://rsms.futurehomex.com/lead/40092", "Jalal Hill")</x:f>
      </x:c>
      <x:c r="B6377" t="str" s="2">
        <x:v>Heritage Housing of Athens</x:v>
      </x:c>
      <x:c r="C6377" t="str" s="2">
        <x:v/>
      </x:c>
      <x:c r="D6377" t="str" s="2">
        <x:v>7069490081</x:v>
      </x:c>
      <x:c r="E6377" t="str" s="2">
        <x:v>jalalhill@yahoo.com</x:v>
      </x:c>
      <x:c r="F6377" t="str" s="2">
        <x:v>Walk-in</x:v>
      </x:c>
      <x:c r="G6377" s="0"/>
      <x:c r="H6377" s="6">
        <x:v>46282.655130555555</x:v>
      </x:c>
      <x:c r="I6377" t="str" s="2">
        <x:v>Ethan Fossett</x:v>
      </x:c>
      <x:c r="J6377" s="0"/>
      <x:c r="K6377" s="0"/>
      <x:c r="L6377" t="str" s="2">
        <x:v>Show</x:v>
      </x:c>
    </x:row>
    <x:row r="6378">
      <x:c r="A6378" t="str" s="2">
        <x:f>=HYPERLINK("https://rsms.futurehomex.com/lead/40098", "Todd Privitt")</x:f>
      </x:c>
      <x:c r="B6378" t="str" s="2">
        <x:v>Heritage Housing of Tulsa</x:v>
      </x:c>
      <x:c r="C6378" t="str" s="2">
        <x:v/>
      </x:c>
      <x:c r="D6378" t="str" s="2">
        <x:v>6205151700</x:v>
      </x:c>
      <x:c r="E6378" t="str" s="2">
        <x:v>lanae1966@hotmail.com</x:v>
      </x:c>
      <x:c r="F6378" t="str" s="2">
        <x:v>Walk-in</x:v>
      </x:c>
      <x:c r="G6378" s="0"/>
      <x:c r="H6378" s="6">
        <x:v>46282.68508391204</x:v>
      </x:c>
      <x:c r="I6378" t="str" s="2">
        <x:v>Jenna Fransisco</x:v>
      </x:c>
      <x:c r="J6378" s="0"/>
      <x:c r="K6378" s="0"/>
      <x:c r="L6378" t="str" s="2">
        <x:v>Show</x:v>
      </x:c>
    </x:row>
    <x:row r="6379">
      <x:c r="A6379" t="str" s="2">
        <x:f>=HYPERLINK("https://rsms.futurehomex.com/lead/40097", "Todd Privitt")</x:f>
      </x:c>
      <x:c r="B6379" t="str" s="2">
        <x:v>Heritage Housing of Tulsa</x:v>
      </x:c>
      <x:c r="C6379" t="str" s="2">
        <x:v/>
      </x:c>
      <x:c r="D6379" t="str" s="2">
        <x:v>6205151861</x:v>
      </x:c>
      <x:c r="E6379" t="str" s="2">
        <x:v>6205151861</x:v>
      </x:c>
      <x:c r="F6379" t="str" s="2">
        <x:v>Walk-in</x:v>
      </x:c>
      <x:c r="G6379" t="str" s="2">
        <x:v>Derek Searcy</x:v>
      </x:c>
      <x:c r="H6379" s="6">
        <x:v>46282.70606952546</x:v>
      </x:c>
      <x:c r="I6379" t="str" s="2">
        <x:v>Jenna Fransisco</x:v>
      </x:c>
      <x:c r="J6379" s="0"/>
      <x:c r="K6379" s="6">
        <x:v>46282.70606952546</x:v>
      </x:c>
      <x:c r="L6379" t="str" s="2">
        <x:v>Show</x:v>
      </x:c>
    </x:row>
    <x:row r="6380">
      <x:c r="A6380" t="str" s="2">
        <x:f>=HYPERLINK("https://rsms.futurehomex.com/lead/40103", "Christian Pouktrr")</x:f>
      </x:c>
      <x:c r="B6380" t="str" s="2">
        <x:v>Heritage Housing of Tulsa</x:v>
      </x:c>
      <x:c r="C6380" t="str" s="2">
        <x:v/>
      </x:c>
      <x:c r="D6380" t="str" s="2">
        <x:v>9189546777</x:v>
      </x:c>
      <x:c r="E6380" t="str" s="2">
        <x:v>christianpoulter0@gmail.com</x:v>
      </x:c>
      <x:c r="F6380" t="str" s="2">
        <x:v>Walk-in</x:v>
      </x:c>
      <x:c r="G6380" s="0"/>
      <x:c r="H6380" s="6">
        <x:v>46282.72675142361</x:v>
      </x:c>
      <x:c r="I6380" t="str" s="2">
        <x:v>Jenna Fransisco</x:v>
      </x:c>
      <x:c r="J6380" s="0"/>
      <x:c r="K6380" s="0"/>
      <x:c r="L6380" t="str" s="2">
        <x:v>Show</x:v>
      </x:c>
    </x:row>
    <x:row r="6381">
      <x:c r="A6381" t="str" s="2">
        <x:f>=HYPERLINK("https://rsms.futurehomex.com/lead/40105", "Mitchell Verdicchio")</x:f>
      </x:c>
      <x:c r="B6381" t="str" s="2">
        <x:v>Heritage Housing of Oklahoma City</x:v>
      </x:c>
      <x:c r="C6381" t="str" s="2">
        <x:v/>
      </x:c>
      <x:c r="D6381" t="str" s="2">
        <x:v>5722437721</x:v>
      </x:c>
      <x:c r="E6381" t="str" s="2">
        <x:v>occhio@usa.com</x:v>
      </x:c>
      <x:c r="F6381" t="str" s="2">
        <x:v>Other</x:v>
      </x:c>
      <x:c r="G6381" t="str" s="2">
        <x:v>Alejandra Calderon</x:v>
      </x:c>
      <x:c r="H6381" s="6">
        <x:v>46282.76294487269</x:v>
      </x:c>
      <x:c r="I6381" t="str" s="2">
        <x:v>Noemi Rojo</x:v>
      </x:c>
      <x:c r="J6381" s="0"/>
      <x:c r="K6381" s="6">
        <x:v>46282.76294487269</x:v>
      </x:c>
      <x:c r="L6381" t="str" s="2">
        <x:v>Show</x:v>
      </x:c>
    </x:row>
    <x:row r="6382">
      <x:c r="A6382" t="str" s="2">
        <x:f>=HYPERLINK("https://rsms.futurehomex.com/lead/40106", "Ann Morson")</x:f>
      </x:c>
      <x:c r="B6382" t="str" s="2">
        <x:v>Heritage Housing of Tulsa</x:v>
      </x:c>
      <x:c r="C6382" t="str" s="2">
        <x:v/>
      </x:c>
      <x:c r="D6382" t="str" s="2">
        <x:v>9182408928</x:v>
      </x:c>
      <x:c r="E6382" t="str" s="2">
        <x:v>deeterz77@aol.com</x:v>
      </x:c>
      <x:c r="F6382" t="str" s="2">
        <x:v>Walk-in</x:v>
      </x:c>
      <x:c r="G6382" s="0"/>
      <x:c r="H6382" s="6">
        <x:v>46282.78572461806</x:v>
      </x:c>
      <x:c r="I6382" t="str" s="2">
        <x:v>Jenna Fransisco</x:v>
      </x:c>
      <x:c r="J6382" s="0"/>
      <x:c r="K6382" s="0"/>
      <x:c r="L6382" t="str" s="2">
        <x:v>Show</x:v>
      </x:c>
    </x:row>
    <x:row r="6383">
      <x:c r="A6383" t="str" s="2">
        <x:f>=HYPERLINK("https://rsms.futurehomex.com/lead/40110", "Wade McCaskey")</x:f>
      </x:c>
      <x:c r="B6383" t="str" s="2">
        <x:v>Heritage Housing of Tulsa</x:v>
      </x:c>
      <x:c r="C6383" t="str" s="2">
        <x:v/>
      </x:c>
      <x:c r="D6383" t="str" s="2">
        <x:v>9182698702</x:v>
      </x:c>
      <x:c r="E6383" t="str" s="2">
        <x:v>9182698702</x:v>
      </x:c>
      <x:c r="F6383" t="str" s="2">
        <x:v>Walk-in</x:v>
      </x:c>
      <x:c r="G6383" t="str" s="2">
        <x:v>Derek Searcy</x:v>
      </x:c>
      <x:c r="H6383" s="6">
        <x:v>46282.825480127314</x:v>
      </x:c>
      <x:c r="I6383" t="str" s="2">
        <x:v>Jenna Fransisco</x:v>
      </x:c>
      <x:c r="J6383" s="0"/>
      <x:c r="K6383" s="6">
        <x:v>46282.825480127314</x:v>
      </x:c>
      <x:c r="L6383" t="str" s="2">
        <x:v>Show</x:v>
      </x:c>
    </x:row>
    <x:row r="6384">
      <x:c r="A6384" t="str" s="2">
        <x:f>=HYPERLINK("https://rsms.futurehomex.com/lead/40115", "Jenifer Briones Monter")</x:f>
      </x:c>
      <x:c r="B6384" t="str" s="2">
        <x:v>Heritage Housing of Asheboro</x:v>
      </x:c>
      <x:c r="C6384" t="str" s="2">
        <x:v/>
      </x:c>
      <x:c r="D6384" t="str" s="2">
        <x:v>9848889336</x:v>
      </x:c>
      <x:c r="E6384" t="str" s="2">
        <x:v>saucedag167@gmaio.com</x:v>
      </x:c>
      <x:c r="F6384" t="str" s="2">
        <x:v>Walk-in</x:v>
      </x:c>
      <x:c r="G6384" s="0"/>
      <x:c r="H6384" s="6">
        <x:v>46282.88864440972</x:v>
      </x:c>
      <x:c r="I6384" t="str" s="2">
        <x:v>Kate Gutierrez</x:v>
      </x:c>
      <x:c r="J6384" s="0"/>
      <x:c r="K6384" s="0"/>
      <x:c r="L6384" t="str" s="2">
        <x:v>Show</x:v>
      </x:c>
    </x:row>
    <x:row r="6385">
      <x:c r="A6385" t="str" s="2">
        <x:f>=HYPERLINK("https://rsms.futurehomex.com/lead/40116", "Dusty Steele")</x:f>
      </x:c>
      <x:c r="B6385" t="str" s="2">
        <x:v>Heritage Housing of Minden</x:v>
      </x:c>
      <x:c r="C6385" t="str" s="2">
        <x:v/>
      </x:c>
      <x:c r="D6385" t="str" s="2">
        <x:v>3183311692</x:v>
      </x:c>
      <x:c r="E6385" t="str" s="2">
        <x:v>dustin1989@gmail.com</x:v>
      </x:c>
      <x:c r="F6385" t="str" s="2">
        <x:v>Walk-in</x:v>
      </x:c>
      <x:c r="G6385" s="0"/>
      <x:c r="H6385" s="6">
        <x:v>46282.90991288194</x:v>
      </x:c>
      <x:c r="I6385" t="str" s="2">
        <x:v>Patrick Schuchart</x:v>
      </x:c>
      <x:c r="J6385" s="0"/>
      <x:c r="K6385" s="0"/>
      <x:c r="L6385" t="str" s="2">
        <x:v>Show</x:v>
      </x:c>
    </x:row>
    <x:row r="6386">
      <x:c r="A6386" t="str" s="2">
        <x:f>=HYPERLINK("https://rsms.futurehomex.com/lead/40119", "JUAN VAZQUEZ")</x:f>
      </x:c>
      <x:c r="B6386" t="str" s="2">
        <x:v>Heritage Housing of Oklahoma City</x:v>
      </x:c>
      <x:c r="C6386" t="str" s="2">
        <x:v/>
      </x:c>
      <x:c r="D6386" t="str" s="2">
        <x:v>4056932587</x:v>
      </x:c>
      <x:c r="E6386" t="str" s="2">
        <x:v>4056932587</x:v>
      </x:c>
      <x:c r="F6386" t="str" s="2">
        <x:v>Meta Ads - Messenger</x:v>
      </x:c>
      <x:c r="G6386" t="str" s="2">
        <x:v>Alejandra Calderon</x:v>
      </x:c>
      <x:c r="H6386" s="6">
        <x:v>46282.955016631946</x:v>
      </x:c>
      <x:c r="I6386" t="str" s="2">
        <x:v>Noemi Rojo</x:v>
      </x:c>
      <x:c r="J6386" s="6">
        <x:v>46283.958333333336</x:v>
      </x:c>
      <x:c r="K6386" s="6">
        <x:v>46294.97765246528</x:v>
      </x:c>
      <x:c r="L6386" t="str" s="2">
        <x:v>Show</x:v>
      </x:c>
    </x:row>
    <x:row r="6387">
      <x:c r="A6387" t="str" s="2">
        <x:f>=HYPERLINK("https://rsms.futurehomex.com/lead/40358", "Tyiesha Palmer")</x:f>
      </x:c>
      <x:c r="B6387" t="str" s="2">
        <x:v>Heritage Housing of Augusta</x:v>
      </x:c>
      <x:c r="C6387" t="str" s="2">
        <x:v>0/2</x:v>
      </x:c>
      <x:c r="D6387" t="str" s="2">
        <x:v>7065648431</x:v>
      </x:c>
      <x:c r="E6387" t="str" s="2">
        <x:v>Ty.palmer16@gmail.com</x:v>
      </x:c>
      <x:c r="F6387" t="str" s="2">
        <x:v>Youtube</x:v>
      </x:c>
      <x:c r="G6387" t="str" s="2">
        <x:v>Jennifer Johnson</x:v>
      </x:c>
      <x:c r="H6387" s="6">
        <x:v>46283.044846412035</x:v>
      </x:c>
      <x:c r="I6387" t="str" s="2">
        <x:v>Jennifer Johnson</x:v>
      </x:c>
      <x:c r="J6387" s="6">
        <x:v>46290.625</x:v>
      </x:c>
      <x:c r="K6387" s="6">
        <x:v>46290.59864834491</x:v>
      </x:c>
      <x:c r="L6387" t="str" s="2">
        <x:v>Show</x:v>
      </x:c>
    </x:row>
    <x:row r="6388">
      <x:c r="A6388" t="str" s="2">
        <x:f>=HYPERLINK("https://rsms.futurehomex.com/lead/40200", "Emmy Perez")</x:f>
      </x:c>
      <x:c r="B6388" t="str" s="2">
        <x:v>Heritage Housing of Asheboro</x:v>
      </x:c>
      <x:c r="C6388" t="str" s="2">
        <x:v/>
      </x:c>
      <x:c r="D6388" t="str" s="2">
        <x:v>3362573420</x:v>
      </x:c>
      <x:c r="E6388" t="str" s="2">
        <x:v>emmyperez6@gmail.com</x:v>
      </x:c>
      <x:c r="F6388" t="str" s="2">
        <x:v>Walk-in</x:v>
      </x:c>
      <x:c r="G6388" t="str" s="2">
        <x:v>Maria Lopez</x:v>
      </x:c>
      <x:c r="H6388" s="6">
        <x:v>46283.55714961806</x:v>
      </x:c>
      <x:c r="I6388" t="str" s="2">
        <x:v>Maria Lopez</x:v>
      </x:c>
      <x:c r="J6388" s="0"/>
      <x:c r="K6388" s="6">
        <x:v>46283</x:v>
      </x:c>
      <x:c r="L6388" t="str" s="2">
        <x:v>Show</x:v>
      </x:c>
    </x:row>
    <x:row r="6389">
      <x:c r="A6389" t="str" s="2">
        <x:f>=HYPERLINK("https://rsms.futurehomex.com/lead/40125", "Kody Kyle")</x:f>
      </x:c>
      <x:c r="B6389" t="str" s="2">
        <x:v>Heritage Housing Gainesville</x:v>
      </x:c>
      <x:c r="C6389" t="str" s="2">
        <x:v/>
      </x:c>
      <x:c r="D6389" t="str" s="2">
        <x:v>9403913160</x:v>
      </x:c>
      <x:c r="E6389" t="str" s="2">
        <x:v>arrowheartranchllc@gmail.com</x:v>
      </x:c>
      <x:c r="F6389" t="str" s="2">
        <x:v>Walk-in</x:v>
      </x:c>
      <x:c r="G6389" t="str" s="2">
        <x:v>Kelly Ford</x:v>
      </x:c>
      <x:c r="H6389" s="6">
        <x:v>46283.56307415509</x:v>
      </x:c>
      <x:c r="I6389" t="str" s="2">
        <x:v>Jeniffer Arellano</x:v>
      </x:c>
      <x:c r="J6389" s="0"/>
      <x:c r="K6389" s="6">
        <x:v>46283.56307415509</x:v>
      </x:c>
      <x:c r="L6389" t="str" s="2">
        <x:v>Show</x:v>
      </x:c>
    </x:row>
    <x:row r="6390">
      <x:c r="A6390" t="str" s="2">
        <x:f>=HYPERLINK("https://rsms.futurehomex.com/lead/40126", "Ricky Otes")</x:f>
      </x:c>
      <x:c r="B6390" t="str" s="2">
        <x:v>Heritage Housing of Asheboro</x:v>
      </x:c>
      <x:c r="C6390" t="str" s="2">
        <x:v/>
      </x:c>
      <x:c r="D6390" t="str" s="2">
        <x:v>9195484336</x:v>
      </x:c>
      <x:c r="E6390" t="str" s="2">
        <x:v>otesr625@gmail.com</x:v>
      </x:c>
      <x:c r="F6390" t="str" s="2">
        <x:v>Walk-in</x:v>
      </x:c>
      <x:c r="G6390" s="0"/>
      <x:c r="H6390" s="6">
        <x:v>46283.586078622684</x:v>
      </x:c>
      <x:c r="I6390" t="str" s="2">
        <x:v>Kate Gutierrez</x:v>
      </x:c>
      <x:c r="J6390" s="0"/>
      <x:c r="K6390" s="0"/>
      <x:c r="L6390" t="str" s="2">
        <x:v>Show</x:v>
      </x:c>
    </x:row>
    <x:row r="6391">
      <x:c r="A6391" t="str" s="2">
        <x:f>=HYPERLINK("https://rsms.futurehomex.com/lead/40127", "Mauricio Uribe")</x:f>
      </x:c>
      <x:c r="B6391" t="str" s="2">
        <x:v>Heritage Housing of Asheboro</x:v>
      </x:c>
      <x:c r="C6391" t="str" s="2">
        <x:v/>
      </x:c>
      <x:c r="D6391" t="str" s="2">
        <x:v>3367362560</x:v>
      </x:c>
      <x:c r="E6391" t="str" s="2">
        <x:v>maury721@hotmail.com</x:v>
      </x:c>
      <x:c r="F6391" t="str" s="2">
        <x:v>Walk-in</x:v>
      </x:c>
      <x:c r="G6391" s="0"/>
      <x:c r="H6391" s="6">
        <x:v>46283.58701913194</x:v>
      </x:c>
      <x:c r="I6391" t="str" s="2">
        <x:v>Maria Lopez</x:v>
      </x:c>
      <x:c r="J6391" s="0"/>
      <x:c r="K6391" s="0"/>
      <x:c r="L6391" t="str" s="2">
        <x:v>Show</x:v>
      </x:c>
    </x:row>
    <x:row r="6392">
      <x:c r="A6392" t="str" s="2">
        <x:f>=HYPERLINK("https://rsms.futurehomex.com/lead/40136", "Anjera Blackwell")</x:f>
      </x:c>
      <x:c r="B6392" t="str" s="2">
        <x:v>Heritage Housing of Athens</x:v>
      </x:c>
      <x:c r="C6392" t="str" s="2">
        <x:v/>
      </x:c>
      <x:c r="D6392" t="str" s="2">
        <x:v>7064369858</x:v>
      </x:c>
      <x:c r="E6392" t="str" s="2">
        <x:v>anjerablackwell03@yahoo.com</x:v>
      </x:c>
      <x:c r="F6392" t="str" s="2">
        <x:v>Walk-in</x:v>
      </x:c>
      <x:c r="G6392" t="str" s="2">
        <x:v>Ethan Fossett</x:v>
      </x:c>
      <x:c r="H6392" s="6">
        <x:v>46283.65195871528</x:v>
      </x:c>
      <x:c r="I6392" t="str" s="2">
        <x:v>Ethan Fossett</x:v>
      </x:c>
      <x:c r="J6392" s="0"/>
      <x:c r="K6392" s="0"/>
      <x:c r="L6392" t="str" s="2">
        <x:v>Show</x:v>
      </x:c>
    </x:row>
    <x:row r="6393">
      <x:c r="A6393" t="str" s="2">
        <x:f>=HYPERLINK("https://rsms.futurehomex.com/lead/40140", "Cathy Metty")</x:f>
      </x:c>
      <x:c r="B6393" t="str" s="2">
        <x:v>Heritage Housing of Asheboro</x:v>
      </x:c>
      <x:c r="C6393" t="str" s="2">
        <x:v/>
      </x:c>
      <x:c r="D6393" t="str" s="2">
        <x:v>9419624174</x:v>
      </x:c>
      <x:c r="E6393" t="str" s="2">
        <x:v>sissym0508@yahoo.com</x:v>
      </x:c>
      <x:c r="F6393" t="str" s="2">
        <x:v>Facebook Messenger</x:v>
      </x:c>
      <x:c r="G6393" t="str" s="2">
        <x:v>Debbie Farmerie</x:v>
      </x:c>
      <x:c r="H6393" s="6">
        <x:v>46283.6823653125</x:v>
      </x:c>
      <x:c r="I6393" t="str" s="2">
        <x:v>Maria Lopez</x:v>
      </x:c>
      <x:c r="J6393" s="0"/>
      <x:c r="K6393" s="6">
        <x:v>46283.6823653125</x:v>
      </x:c>
      <x:c r="L6393" t="str" s="2">
        <x:v>Show</x:v>
      </x:c>
    </x:row>
    <x:row r="6394">
      <x:c r="A6394" t="str" s="2">
        <x:f>=HYPERLINK("https://rsms.futurehomex.com/lead/40141", "Janice Kelley")</x:f>
      </x:c>
      <x:c r="B6394" t="str" s="2">
        <x:v>Heritage Housing of Oklahoma City</x:v>
      </x:c>
      <x:c r="C6394" t="str" s="2">
        <x:v/>
      </x:c>
      <x:c r="D6394" t="str" s="2">
        <x:v>4056962839</x:v>
      </x:c>
      <x:c r="E6394" t="str" s="2">
        <x:v>jkelley0424@gmail.com</x:v>
      </x:c>
      <x:c r="F6394" t="str" s="2">
        <x:v>Walk-in</x:v>
      </x:c>
      <x:c r="G6394" t="str" s="2">
        <x:v>Alejandra Calderon</x:v>
      </x:c>
      <x:c r="H6394" s="6">
        <x:v>46283.69427025463</x:v>
      </x:c>
      <x:c r="I6394" t="str" s="2">
        <x:v>Alejandra Calderon</x:v>
      </x:c>
      <x:c r="J6394" s="0"/>
      <x:c r="K6394" s="6">
        <x:v>46283.69427025463</x:v>
      </x:c>
      <x:c r="L6394" t="str" s="2">
        <x:v>Show</x:v>
      </x:c>
    </x:row>
    <x:row r="6395">
      <x:c r="A6395" t="str" s="2">
        <x:f>=HYPERLINK("https://rsms.futurehomex.com/lead/40143", "Sylvia Norton")</x:f>
      </x:c>
      <x:c r="B6395" t="str" s="2">
        <x:v>Heritage Housing of Athens</x:v>
      </x:c>
      <x:c r="C6395" t="str" s="2">
        <x:v/>
      </x:c>
      <x:c r="D6395" t="str" s="2">
        <x:v>7064241220</x:v>
      </x:c>
      <x:c r="E6395" t="str" s="2">
        <x:v>nortonsylvia235@gmail.com</x:v>
      </x:c>
      <x:c r="F6395" t="str" s="2">
        <x:v>Walk-in</x:v>
      </x:c>
      <x:c r="G6395" s="0"/>
      <x:c r="H6395" s="6">
        <x:v>46283.7499502662</x:v>
      </x:c>
      <x:c r="I6395" t="str" s="2">
        <x:v>Ethan Fossett</x:v>
      </x:c>
      <x:c r="J6395" s="0"/>
      <x:c r="K6395" s="0"/>
      <x:c r="L6395" t="str" s="2">
        <x:v>Show</x:v>
      </x:c>
    </x:row>
    <x:row r="6396">
      <x:c r="A6396" t="str" s="2">
        <x:f>=HYPERLINK("https://rsms.futurehomex.com/lead/40144", "LaTonya Whiting")</x:f>
      </x:c>
      <x:c r="B6396" t="str" s="2">
        <x:v>Heritage Housing of Augusta</x:v>
      </x:c>
      <x:c r="C6396" t="str" s="2">
        <x:v/>
      </x:c>
      <x:c r="D6396" t="str" s="2">
        <x:v>7068881599</x:v>
      </x:c>
      <x:c r="E6396" t="str" s="2">
        <x:v>whitinglatonya@gnail.com</x:v>
      </x:c>
      <x:c r="F6396" t="str" s="2">
        <x:v>Walk-in</x:v>
      </x:c>
      <x:c r="G6396" t="str" s="2">
        <x:v>Faye Lively</x:v>
      </x:c>
      <x:c r="H6396" s="6">
        <x:v>46283.763128819446</x:v>
      </x:c>
      <x:c r="I6396" t="str" s="2">
        <x:v>Faye Lively</x:v>
      </x:c>
      <x:c r="J6396" s="0"/>
      <x:c r="K6396" s="0"/>
      <x:c r="L6396" t="str" s="2">
        <x:v>Show</x:v>
      </x:c>
    </x:row>
    <x:row r="6397">
      <x:c r="A6397" t="str" s="2">
        <x:f>=HYPERLINK("https://rsms.futurehomex.com/lead/40149", "Keniyell Frank")</x:f>
      </x:c>
      <x:c r="B6397" t="str" s="2">
        <x:v>Heritage Housing of Jennings</x:v>
      </x:c>
      <x:c r="C6397" t="str" s="2">
        <x:v/>
      </x:c>
      <x:c r="D6397" t="str" s="2">
        <x:v>9858523548</x:v>
      </x:c>
      <x:c r="E6397" t="str" s="2">
        <x:v>nikki70301@yahoo.com</x:v>
      </x:c>
      <x:c r="F6397" t="str" s="2">
        <x:v>Walk-in</x:v>
      </x:c>
      <x:c r="G6397" s="0"/>
      <x:c r="H6397" s="6">
        <x:v>46283.79445061342</x:v>
      </x:c>
      <x:c r="I6397" t="str" s="2">
        <x:v>Clint O'Neal</x:v>
      </x:c>
      <x:c r="J6397" s="0"/>
      <x:c r="K6397" s="0"/>
      <x:c r="L6397" t="str" s="2">
        <x:v>Show</x:v>
      </x:c>
    </x:row>
    <x:row r="6398">
      <x:c r="A6398" t="str" s="2">
        <x:f>=HYPERLINK("https://rsms.futurehomex.com/lead/40158", "Waylan Smith")</x:f>
      </x:c>
      <x:c r="B6398" t="str" s="2">
        <x:v>Heritage Housing of Oklahoma City</x:v>
      </x:c>
      <x:c r="C6398" t="str" s="2">
        <x:v/>
      </x:c>
      <x:c r="D6398" t="str" s="2">
        <x:v>4052497806</x:v>
      </x:c>
      <x:c r="E6398" t="str" s="2">
        <x:v>bob-smith@sbcglobal.net</x:v>
      </x:c>
      <x:c r="F6398" t="str" s="2">
        <x:v>Website</x:v>
      </x:c>
      <x:c r="G6398" t="str" s="2">
        <x:v>Maira Garcia</x:v>
      </x:c>
      <x:c r="H6398" s="6">
        <x:v>46283.80608599537</x:v>
      </x:c>
      <x:c r="I6398" t="str" s="2">
        <x:v>Steve Castell</x:v>
      </x:c>
      <x:c r="J6398" s="6">
        <x:v>46284.854166666664</x:v>
      </x:c>
      <x:c r="K6398" s="6">
        <x:v>46284.800511608795</x:v>
      </x:c>
      <x:c r="L6398" t="str" s="2">
        <x:v>Show</x:v>
      </x:c>
    </x:row>
    <x:row r="6399">
      <x:c r="A6399" t="str" s="2">
        <x:f>=HYPERLINK("https://rsms.futurehomex.com/lead/40152", "Janice Coffer")</x:f>
      </x:c>
      <x:c r="B6399" t="str" s="2">
        <x:v>Heritage Housing of Asheboro</x:v>
      </x:c>
      <x:c r="C6399" t="str" s="2">
        <x:v/>
      </x:c>
      <x:c r="D6399" t="str" s="2">
        <x:v>3363921132</x:v>
      </x:c>
      <x:c r="E6399" t="str" s="2">
        <x:v>jscffer1@gmail.com</x:v>
      </x:c>
      <x:c r="F6399" t="str" s="2">
        <x:v>Walk-in</x:v>
      </x:c>
      <x:c r="G6399" s="0"/>
      <x:c r="H6399" s="6">
        <x:v>46283.80860813658</x:v>
      </x:c>
      <x:c r="I6399" t="str" s="2">
        <x:v>Maria Lopez</x:v>
      </x:c>
      <x:c r="J6399" s="0"/>
      <x:c r="K6399" s="0"/>
      <x:c r="L6399" t="str" s="2">
        <x:v>Show</x:v>
      </x:c>
    </x:row>
    <x:row r="6400">
      <x:c r="A6400" t="str" s="2">
        <x:f>=HYPERLINK("https://rsms.futurehomex.com/lead/40159", "Kimberly Izquierdo")</x:f>
      </x:c>
      <x:c r="B6400" t="str" s="2">
        <x:v>Heritage Housing of Asheboro</x:v>
      </x:c>
      <x:c r="C6400" t="str" s="2">
        <x:v/>
      </x:c>
      <x:c r="D6400" t="str" s="2">
        <x:v>3366535020</x:v>
      </x:c>
      <x:c r="E6400" t="str" s="2">
        <x:v>kimberlyizquierdo151@yahoo.com</x:v>
      </x:c>
      <x:c r="F6400" t="str" s="2">
        <x:v>Walk-in</x:v>
      </x:c>
      <x:c r="G6400" s="0"/>
      <x:c r="H6400" s="6">
        <x:v>46283.876215358796</x:v>
      </x:c>
      <x:c r="I6400" t="str" s="2">
        <x:v>Maria Lopez</x:v>
      </x:c>
      <x:c r="J6400" s="0"/>
      <x:c r="K6400" s="0"/>
      <x:c r="L6400" t="str" s="2">
        <x:v>Show</x:v>
      </x:c>
    </x:row>
    <x:row r="6401">
      <x:c r="A6401" t="str" s="2">
        <x:f>=HYPERLINK("https://rsms.futurehomex.com/lead/40197", "June Powell")</x:f>
      </x:c>
      <x:c r="B6401" t="str" s="2">
        <x:v>Heritage Housing of Augusta</x:v>
      </x:c>
      <x:c r="C6401" t="str" s="2">
        <x:v>0/2</x:v>
      </x:c>
      <x:c r="D6401" t="str" s="2">
        <x:v>7622158703</x:v>
      </x:c>
      <x:c r="E6401" t="str" s="2">
        <x:v>virtues12002@gmail.com</x:v>
      </x:c>
      <x:c r="F6401" t="str" s="2">
        <x:v>Walk-in</x:v>
      </x:c>
      <x:c r="G6401" t="str" s="2">
        <x:v>Jennifer Johnson</x:v>
      </x:c>
      <x:c r="H6401" s="6">
        <x:v>46283.894570752316</x:v>
      </x:c>
      <x:c r="I6401" t="str" s="2">
        <x:v>Jennifer Johnson</x:v>
      </x:c>
      <x:c r="J6401" s="0"/>
      <x:c r="K6401" s="6">
        <x:v>46286</x:v>
      </x:c>
      <x:c r="L6401" t="str" s="2">
        <x:v>Show</x:v>
      </x:c>
    </x:row>
    <x:row r="6402">
      <x:c r="A6402" t="str" s="2">
        <x:f>=HYPERLINK("https://rsms.futurehomex.com/lead/40239", "June Powell")</x:f>
      </x:c>
      <x:c r="B6402" t="str" s="2">
        <x:v>Heritage Housing of Augusta</x:v>
      </x:c>
      <x:c r="C6402" t="str" s="2">
        <x:v>0/2</x:v>
      </x:c>
      <x:c r="D6402" t="str" s="2">
        <x:v>7622158703</x:v>
      </x:c>
      <x:c r="E6402" t="str" s="2">
        <x:v>virtues12002@gmail.com</x:v>
      </x:c>
      <x:c r="F6402" t="str" s="2">
        <x:v>Walk-in</x:v>
      </x:c>
      <x:c r="G6402" t="str" s="2">
        <x:v>Jennifer Johnson</x:v>
      </x:c>
      <x:c r="H6402" s="6">
        <x:v>46283.894570752316</x:v>
      </x:c>
      <x:c r="I6402" t="str" s="2">
        <x:v>Faye Lively</x:v>
      </x:c>
      <x:c r="J6402" s="0"/>
      <x:c r="K6402" s="6">
        <x:v>46286</x:v>
      </x:c>
      <x:c r="L6402" t="str" s="2">
        <x:v>Show</x:v>
      </x:c>
    </x:row>
    <x:row r="6403">
      <x:c r="A6403" t="str" s="2">
        <x:f>=HYPERLINK("https://rsms.futurehomex.com/lead/40162", "Olivia Fluren")</x:f>
      </x:c>
      <x:c r="B6403" t="str" s="2">
        <x:v>Heritage Housing Mt Pleasant</x:v>
      </x:c>
      <x:c r="C6403" t="str" s="2">
        <x:v/>
      </x:c>
      <x:c r="D6403" t="str" s="2">
        <x:v>9038019079</x:v>
      </x:c>
      <x:c r="E6403" t="str" s="2">
        <x:v>9038010197</x:v>
      </x:c>
      <x:c r="F6403" t="str" s="2">
        <x:v>Office Hot Calls</x:v>
      </x:c>
      <x:c r="G6403" t="str" s="2">
        <x:v>Yarelis Torres</x:v>
      </x:c>
      <x:c r="H6403" s="6">
        <x:v>46283.90045547454</x:v>
      </x:c>
      <x:c r="I6403" t="str" s="2">
        <x:v>Yarelis Torres</x:v>
      </x:c>
      <x:c r="J6403" s="6">
        <x:v>46283.9375</x:v>
      </x:c>
      <x:c r="K6403" s="6">
        <x:v>46287.63618353009</x:v>
      </x:c>
      <x:c r="L6403" t="str" s="2">
        <x:v>Show</x:v>
      </x:c>
    </x:row>
    <x:row r="6404">
      <x:c r="A6404" t="str" s="2">
        <x:f>=HYPERLINK("https://rsms.futurehomex.com/lead/40163", "Kely Anaya")</x:f>
      </x:c>
      <x:c r="B6404" t="str" s="2">
        <x:v>Heritage Housing of Asheboro</x:v>
      </x:c>
      <x:c r="C6404" t="str" s="2">
        <x:v/>
      </x:c>
      <x:c r="D6404" t="str" s="2">
        <x:v>3365823531</x:v>
      </x:c>
      <x:c r="E6404" t="str" s="2">
        <x:v>kelydavila606@gmail.com</x:v>
      </x:c>
      <x:c r="F6404" t="str" s="2">
        <x:v>Landing_BPM</x:v>
      </x:c>
      <x:c r="G6404" t="str" s="2">
        <x:v>Kate Gutierrez</x:v>
      </x:c>
      <x:c r="H6404" s="6">
        <x:v>46283.91796542824</x:v>
      </x:c>
      <x:c r="I6404" t="str" s="2">
        <x:v>Kate Gutierrez</x:v>
      </x:c>
      <x:c r="J6404" s="6">
        <x:v>46286.833333333336</x:v>
      </x:c>
      <x:c r="K6404" s="6">
        <x:v>46286.858076006945</x:v>
      </x:c>
      <x:c r="L6404" t="str" s="2">
        <x:v>Show</x:v>
      </x:c>
    </x:row>
    <x:row r="6405">
      <x:c r="A6405" t="str" s="2">
        <x:f>=HYPERLINK("https://rsms.futurehomex.com/lead/40169", "Tammy Keating")</x:f>
      </x:c>
      <x:c r="B6405" t="str" s="2">
        <x:v>Heritage Housing Mt Pleasant</x:v>
      </x:c>
      <x:c r="C6405" t="str" s="2">
        <x:v/>
      </x:c>
      <x:c r="D6405" t="str" s="2">
        <x:v>2812362727</x:v>
      </x:c>
      <x:c r="E6405" t="str" s="2">
        <x:v>2812362727</x:v>
      </x:c>
      <x:c r="F6405" t="str" s="2">
        <x:v>Office Hot Calls</x:v>
      </x:c>
      <x:c r="G6405" t="str" s="2">
        <x:v>Yarelis Torres</x:v>
      </x:c>
      <x:c r="H6405" s="6">
        <x:v>46284.01181238426</x:v>
      </x:c>
      <x:c r="I6405" t="str" s="2">
        <x:v>Yarelis Torres</x:v>
      </x:c>
      <x:c r="J6405" s="6">
        <x:v>46283.8125</x:v>
      </x:c>
      <x:c r="K6405" s="6">
        <x:v>46284.94786956019</x:v>
      </x:c>
      <x:c r="L6405" t="str" s="2">
        <x:v>Show</x:v>
      </x:c>
    </x:row>
    <x:row r="6406">
      <x:c r="A6406" t="str" s="2">
        <x:f>=HYPERLINK("https://rsms.futurehomex.com/lead/40181", "Andrew Skinner")</x:f>
      </x:c>
      <x:c r="B6406" t="str" s="2">
        <x:v>Heritage Housing of Athens</x:v>
      </x:c>
      <x:c r="C6406" t="str" s="2">
        <x:v/>
      </x:c>
      <x:c r="D6406" t="str" s="2">
        <x:v>7707697484</x:v>
      </x:c>
      <x:c r="E6406" t="str" s="2">
        <x:v>drewskinner7@gmail.com</x:v>
      </x:c>
      <x:c r="F6406" t="str" s="2">
        <x:v>Walk-in</x:v>
      </x:c>
      <x:c r="G6406" s="0"/>
      <x:c r="H6406" s="6">
        <x:v>46284.61158726852</x:v>
      </x:c>
      <x:c r="I6406" t="str" s="2">
        <x:v>Ethan Fossett</x:v>
      </x:c>
      <x:c r="J6406" s="0"/>
      <x:c r="K6406" s="0"/>
      <x:c r="L6406" t="str" s="2">
        <x:v>Show</x:v>
      </x:c>
    </x:row>
    <x:row r="6407">
      <x:c r="A6407" t="str" s="2">
        <x:f>=HYPERLINK("https://rsms.futurehomex.com/lead/40186", "Danielle Nethercutt")</x:f>
      </x:c>
      <x:c r="B6407" t="str" s="2">
        <x:v>Heritage Housing of Oklahoma City</x:v>
      </x:c>
      <x:c r="C6407" t="str" s="2">
        <x:v/>
      </x:c>
      <x:c r="D6407" t="str" s="2">
        <x:v>2147630253</x:v>
      </x:c>
      <x:c r="E6407" t="str" s="2">
        <x:v>2147630253</x:v>
      </x:c>
      <x:c r="F6407" t="str" s="2">
        <x:v>Facebook Messenger</x:v>
      </x:c>
      <x:c r="G6407" t="str" s="2">
        <x:v>Steve Castell</x:v>
      </x:c>
      <x:c r="H6407" s="6">
        <x:v>46284.65024938658</x:v>
      </x:c>
      <x:c r="I6407" t="str" s="2">
        <x:v>Steve Castell</x:v>
      </x:c>
      <x:c r="J6407" s="6">
        <x:v>46284.6875</x:v>
      </x:c>
      <x:c r="K6407" s="6">
        <x:v>46284.70759864584</x:v>
      </x:c>
      <x:c r="L6407" t="str" s="2">
        <x:v>Show</x:v>
      </x:c>
    </x:row>
    <x:row r="6408">
      <x:c r="A6408" t="str" s="2">
        <x:f>=HYPERLINK("https://rsms.futurehomex.com/lead/40187", "Wesley Allen")</x:f>
      </x:c>
      <x:c r="B6408" t="str" s="2">
        <x:v>Heritage Housing of Asheboro</x:v>
      </x:c>
      <x:c r="C6408" t="str" s="2">
        <x:v/>
      </x:c>
      <x:c r="D6408" t="str" s="2">
        <x:v>9104343924</x:v>
      </x:c>
      <x:c r="E6408" t="str" s="2">
        <x:v>wesleyallen3@icloud.com</x:v>
      </x:c>
      <x:c r="F6408" t="str" s="2">
        <x:v>Walk-in</x:v>
      </x:c>
      <x:c r="G6408" s="0"/>
      <x:c r="H6408" s="6">
        <x:v>46284.66430324074</x:v>
      </x:c>
      <x:c r="I6408" t="str" s="2">
        <x:v>Maria Lopez</x:v>
      </x:c>
      <x:c r="J6408" s="0"/>
      <x:c r="K6408" s="0"/>
      <x:c r="L6408" t="str" s="2">
        <x:v>Show</x:v>
      </x:c>
    </x:row>
    <x:row r="6409">
      <x:c r="A6409" t="str" s="2">
        <x:f>=HYPERLINK("https://rsms.futurehomex.com/lead/40189", "Stacey Mccann")</x:f>
      </x:c>
      <x:c r="B6409" t="str" s="2">
        <x:v>Heritage Housing of Jennings</x:v>
      </x:c>
      <x:c r="C6409" t="str" s="2">
        <x:v/>
      </x:c>
      <x:c r="D6409" t="str" s="2">
        <x:v>9852016478</x:v>
      </x:c>
      <x:c r="E6409" t="str" s="2">
        <x:v>hrnco20@gmail.com</x:v>
      </x:c>
      <x:c r="F6409" t="str" s="2">
        <x:v>Walk-in</x:v>
      </x:c>
      <x:c r="G6409" s="0"/>
      <x:c r="H6409" s="6">
        <x:v>46284.70020763889</x:v>
      </x:c>
      <x:c r="I6409" t="str" s="2">
        <x:v>Clint O'Neal</x:v>
      </x:c>
      <x:c r="J6409" s="0"/>
      <x:c r="K6409" s="0"/>
      <x:c r="L6409" t="str" s="2">
        <x:v>Show</x:v>
      </x:c>
    </x:row>
    <x:row r="6410">
      <x:c r="A6410" t="str" s="2">
        <x:f>=HYPERLINK("https://rsms.futurehomex.com/lead/40192", "Brianna Parrish")</x:f>
      </x:c>
      <x:c r="B6410" t="str" s="2">
        <x:v>Heritage Housing of Athens</x:v>
      </x:c>
      <x:c r="C6410" t="str" s="2">
        <x:v/>
      </x:c>
      <x:c r="D6410" t="str" s="2">
        <x:v>7065344617</x:v>
      </x:c>
      <x:c r="E6410" t="str" s="2">
        <x:v>briannabm011@gmail.com</x:v>
      </x:c>
      <x:c r="F6410" t="str" s="2">
        <x:v>Walk-in</x:v>
      </x:c>
      <x:c r="G6410" s="0"/>
      <x:c r="H6410" s="6">
        <x:v>46284.73716400463</x:v>
      </x:c>
      <x:c r="I6410" t="str" s="2">
        <x:v>Ethan Fossett</x:v>
      </x:c>
      <x:c r="J6410" s="0"/>
      <x:c r="K6410" s="0"/>
      <x:c r="L6410" t="str" s="2">
        <x:v>Show</x:v>
      </x:c>
    </x:row>
    <x:row r="6411">
      <x:c r="A6411" t="str" s="2">
        <x:f>=HYPERLINK("https://rsms.futurehomex.com/lead/40198", "Levi McDaniel")</x:f>
      </x:c>
      <x:c r="B6411" t="str" s="2">
        <x:v>Heritage Housing of Oklahoma City</x:v>
      </x:c>
      <x:c r="C6411" t="str" s="2">
        <x:v/>
      </x:c>
      <x:c r="D6411" t="str" s="2">
        <x:v>5803104686</x:v>
      </x:c>
      <x:c r="E6411" t="str" s="2">
        <x:v>levimcdaniel565@gmail.com</x:v>
      </x:c>
      <x:c r="F6411" t="str" s="2">
        <x:v>Walk-in</x:v>
      </x:c>
      <x:c r="G6411" t="str" s="2">
        <x:v>Eva Misheva</x:v>
      </x:c>
      <x:c r="H6411" s="6">
        <x:v>46284.775061886576</x:v>
      </x:c>
      <x:c r="I6411" t="str" s="2">
        <x:v>Eva Misheva</x:v>
      </x:c>
      <x:c r="J6411" s="0"/>
      <x:c r="K6411" s="6">
        <x:v>46284.775061886576</x:v>
      </x:c>
      <x:c r="L6411" t="str" s="2">
        <x:v>Show</x:v>
      </x:c>
    </x:row>
    <x:row r="6412">
      <x:c r="A6412" t="str" s="2">
        <x:f>=HYPERLINK("https://rsms.futurehomex.com/lead/40201", "Monique Benton")</x:f>
      </x:c>
      <x:c r="B6412" t="str" s="2">
        <x:v>Heritage Housing of Athens</x:v>
      </x:c>
      <x:c r="C6412" t="str" s="2">
        <x:v/>
      </x:c>
      <x:c r="D6412" t="str" s="2">
        <x:v>7622519573</x:v>
      </x:c>
      <x:c r="E6412" t="str" s="2">
        <x:v>destinardister0723@gmail.com</x:v>
      </x:c>
      <x:c r="F6412" t="str" s="2">
        <x:v>Walk-in</x:v>
      </x:c>
      <x:c r="G6412" s="0"/>
      <x:c r="H6412" s="6">
        <x:v>46284.80650644676</x:v>
      </x:c>
      <x:c r="I6412" t="str" s="2">
        <x:v>Nathan Bishop</x:v>
      </x:c>
      <x:c r="J6412" s="0"/>
      <x:c r="K6412" s="0"/>
      <x:c r="L6412" t="str" s="2">
        <x:v>Show</x:v>
      </x:c>
    </x:row>
    <x:row r="6413">
      <x:c r="A6413" t="str" s="2">
        <x:f>=HYPERLINK("https://rsms.futurehomex.com/lead/40202", "David Diaz")</x:f>
      </x:c>
      <x:c r="B6413" t="str" s="2">
        <x:v>Heritage Housing of Asheboro</x:v>
      </x:c>
      <x:c r="C6413" t="str" s="2">
        <x:v/>
      </x:c>
      <x:c r="D6413" t="str" s="2">
        <x:v>9109758204</x:v>
      </x:c>
      <x:c r="E6413" t="str" s="2">
        <x:v>diazdavid05@yahoo.com</x:v>
      </x:c>
      <x:c r="F6413" t="str" s="2">
        <x:v>Walk-in</x:v>
      </x:c>
      <x:c r="G6413" s="0"/>
      <x:c r="H6413" s="6">
        <x:v>46284.83307190972</x:v>
      </x:c>
      <x:c r="I6413" t="str" s="2">
        <x:v>Maria Lopez</x:v>
      </x:c>
      <x:c r="J6413" s="0"/>
      <x:c r="K6413" s="0"/>
      <x:c r="L6413" t="str" s="2">
        <x:v>Show</x:v>
      </x:c>
    </x:row>
    <x:row r="6414">
      <x:c r="A6414" t="str" s="2">
        <x:f>=HYPERLINK("https://rsms.futurehomex.com/lead/40203", "Jonell Dunn")</x:f>
      </x:c>
      <x:c r="B6414" t="str" s="2">
        <x:v>Heritage Housing of Athens</x:v>
      </x:c>
      <x:c r="C6414" t="str" s="2">
        <x:v/>
      </x:c>
      <x:c r="D6414" t="str" s="2">
        <x:v>7062249485</x:v>
      </x:c>
      <x:c r="E6414" t="str" s="2">
        <x:v>jonelldunn2@gmail.com</x:v>
      </x:c>
      <x:c r="F6414" t="str" s="2">
        <x:v>Walk-in</x:v>
      </x:c>
      <x:c r="G6414" s="0"/>
      <x:c r="H6414" s="6">
        <x:v>46284.84370563657</x:v>
      </x:c>
      <x:c r="I6414" t="str" s="2">
        <x:v>Ethan Fossett</x:v>
      </x:c>
      <x:c r="J6414" s="0"/>
      <x:c r="K6414" s="0"/>
      <x:c r="L6414" t="str" s="2">
        <x:v>Show</x:v>
      </x:c>
    </x:row>
    <x:row r="6415">
      <x:c r="A6415" t="str" s="2">
        <x:f>=HYPERLINK("https://rsms.futurehomex.com/lead/40204", "Ashley Helton")</x:f>
      </x:c>
      <x:c r="B6415" t="str" s="2">
        <x:v>Heritage Housing of Asheboro</x:v>
      </x:c>
      <x:c r="C6415" t="str" s="2">
        <x:v/>
      </x:c>
      <x:c r="D6415" t="str" s="2">
        <x:v>3365611190</x:v>
      </x:c>
      <x:c r="E6415" t="str" s="2">
        <x:v>ashley68jacob@yahoo.com</x:v>
      </x:c>
      <x:c r="F6415" t="str" s="2">
        <x:v>Walk-in</x:v>
      </x:c>
      <x:c r="G6415" s="0"/>
      <x:c r="H6415" s="6">
        <x:v>46284.84621207176</x:v>
      </x:c>
      <x:c r="I6415" t="str" s="2">
        <x:v>Kate Gutierrez</x:v>
      </x:c>
      <x:c r="J6415" s="0"/>
      <x:c r="K6415" s="0"/>
      <x:c r="L6415" t="str" s="2">
        <x:v>Show</x:v>
      </x:c>
    </x:row>
    <x:row r="6416">
      <x:c r="A6416" t="str" s="2">
        <x:f>=HYPERLINK("https://rsms.futurehomex.com/lead/40210", "Jacob Pendergreft")</x:f>
      </x:c>
      <x:c r="B6416" t="str" s="2">
        <x:v>Heritage Housing of Oklahoma City</x:v>
      </x:c>
      <x:c r="C6416" t="str" s="2">
        <x:v/>
      </x:c>
      <x:c r="D6416" t="str" s="2">
        <x:v>4055581409</x:v>
      </x:c>
      <x:c r="E6416" t="str" s="2">
        <x:v>jake4194@gmail.com</x:v>
      </x:c>
      <x:c r="F6416" t="str" s="2">
        <x:v>Walk-in</x:v>
      </x:c>
      <x:c r="G6416" t="str" s="2">
        <x:v>Eva Misheva</x:v>
      </x:c>
      <x:c r="H6416" s="6">
        <x:v>46285.735507094905</x:v>
      </x:c>
      <x:c r="I6416" t="str" s="2">
        <x:v>Eva Misheva</x:v>
      </x:c>
      <x:c r="J6416" s="0"/>
      <x:c r="K6416" s="6">
        <x:v>46285.735507094905</x:v>
      </x:c>
      <x:c r="L6416" t="str" s="2">
        <x:v>Show</x:v>
      </x:c>
    </x:row>
    <x:row r="6417">
      <x:c r="A6417" t="str" s="2">
        <x:f>=HYPERLINK("https://rsms.futurehomex.com/lead/40211", "Alonzo Greenwood")</x:f>
      </x:c>
      <x:c r="B6417" t="str" s="2">
        <x:v>Heritage Housing of Oklahoma City</x:v>
      </x:c>
      <x:c r="C6417" t="str" s="2">
        <x:v/>
      </x:c>
      <x:c r="D6417" t="str" s="2">
        <x:v>4056545087</x:v>
      </x:c>
      <x:c r="E6417" t="str" s="2">
        <x:v>Alonzo .B.Greenwood@gmail.com</x:v>
      </x:c>
      <x:c r="F6417" t="str" s="2">
        <x:v>Walk-in</x:v>
      </x:c>
      <x:c r="G6417" t="str" s="2">
        <x:v>Eva Misheva</x:v>
      </x:c>
      <x:c r="H6417" s="6">
        <x:v>46285.743945104165</x:v>
      </x:c>
      <x:c r="I6417" t="str" s="2">
        <x:v>Eva Misheva</x:v>
      </x:c>
      <x:c r="J6417" s="0"/>
      <x:c r="K6417" s="6">
        <x:v>46285.743945104165</x:v>
      </x:c>
      <x:c r="L6417" t="str" s="2">
        <x:v>Show</x:v>
      </x:c>
    </x:row>
    <x:row r="6418">
      <x:c r="A6418" t="str" s="2">
        <x:f>=HYPERLINK("https://rsms.futurehomex.com/lead/40212", "CAROLETA HARDMAN")</x:f>
      </x:c>
      <x:c r="B6418" t="str" s="2">
        <x:v>Heritage Housing of Oklahoma City</x:v>
      </x:c>
      <x:c r="C6418" t="str" s="2">
        <x:v/>
      </x:c>
      <x:c r="D6418" t="str" s="2">
        <x:v>8325732563</x:v>
      </x:c>
      <x:c r="E6418" t="str" s="2">
        <x:v>Caroletajohnson@sbcglobal.net</x:v>
      </x:c>
      <x:c r="F6418" t="str" s="2">
        <x:v>Walk-in</x:v>
      </x:c>
      <x:c r="G6418" t="str" s="2">
        <x:v>Eva Misheva</x:v>
      </x:c>
      <x:c r="H6418" s="6">
        <x:v>46285.76781813658</x:v>
      </x:c>
      <x:c r="I6418" t="str" s="2">
        <x:v>Eva Misheva</x:v>
      </x:c>
      <x:c r="J6418" s="0"/>
      <x:c r="K6418" s="6">
        <x:v>46285.76781813658</x:v>
      </x:c>
      <x:c r="L6418" t="str" s="2">
        <x:v>Show</x:v>
      </x:c>
    </x:row>
    <x:row r="6419">
      <x:c r="A6419" t="str" s="2">
        <x:f>=HYPERLINK("https://rsms.futurehomex.com/lead/40214", "Cristina Pecina")</x:f>
      </x:c>
      <x:c r="B6419" t="str" s="2">
        <x:v>Heritage Housing Mt Pleasant</x:v>
      </x:c>
      <x:c r="C6419" t="str" s="2">
        <x:v/>
      </x:c>
      <x:c r="D6419" t="str" s="2">
        <x:v>9039311893</x:v>
      </x:c>
      <x:c r="E6419" t="str" s="2">
        <x:v>9039311893</x:v>
      </x:c>
      <x:c r="F6419" t="str" s="2">
        <x:v>Facebook Messenger</x:v>
      </x:c>
      <x:c r="G6419" t="str" s="2">
        <x:v>Sandra Saldana</x:v>
      </x:c>
      <x:c r="H6419" s="6">
        <x:v>46285.795374155095</x:v>
      </x:c>
      <x:c r="I6419" t="str" s="2">
        <x:v>Sandra Saldana</x:v>
      </x:c>
      <x:c r="J6419" s="6">
        <x:v>46285.84722222222</x:v>
      </x:c>
      <x:c r="K6419" s="6">
        <x:v>46285.918559375</x:v>
      </x:c>
      <x:c r="L6419" t="str" s="2">
        <x:v>Show</x:v>
      </x:c>
    </x:row>
    <x:row r="6420">
      <x:c r="A6420" t="str" s="2">
        <x:f>=HYPERLINK("https://rsms.futurehomex.com/lead/40215", "CHLOE ALLEN &amp; SEAN MORRIS")</x:f>
      </x:c>
      <x:c r="B6420" t="str" s="2">
        <x:v>Heritage Housing of Oklahoma City</x:v>
      </x:c>
      <x:c r="C6420" t="str" s="2">
        <x:v/>
      </x:c>
      <x:c r="D6420" t="str" s="2">
        <x:v>4054965881</x:v>
      </x:c>
      <x:c r="E6420" t="str" s="2">
        <x:v>ALLENCHLOE70@GMAIL.COM</x:v>
      </x:c>
      <x:c r="F6420" t="str" s="2">
        <x:v>Walk-in</x:v>
      </x:c>
      <x:c r="G6420" t="str" s="2">
        <x:v>Eva Misheva</x:v>
      </x:c>
      <x:c r="H6420" s="6">
        <x:v>46285.85925732639</x:v>
      </x:c>
      <x:c r="I6420" t="str" s="2">
        <x:v>Eva Misheva</x:v>
      </x:c>
      <x:c r="J6420" s="0"/>
      <x:c r="K6420" s="6">
        <x:v>46285.85925732639</x:v>
      </x:c>
      <x:c r="L6420" t="str" s="2">
        <x:v>Show</x:v>
      </x:c>
    </x:row>
    <x:row r="6421">
      <x:c r="A6421" t="str" s="2">
        <x:f>=HYPERLINK("https://rsms.futurehomex.com/lead/40280", "Anthony Paz")</x:f>
      </x:c>
      <x:c r="B6421" t="str" s="2">
        <x:v>Heritage Housing Mt Pleasant</x:v>
      </x:c>
      <x:c r="C6421" t="str" s="2">
        <x:v/>
      </x:c>
      <x:c r="D6421" t="str" s="2">
        <x:v>9033055258</x:v>
      </x:c>
      <x:c r="E6421" t="str" s="2">
        <x:v>pazanthony02@gmail.com</x:v>
      </x:c>
      <x:c r="F6421" t="str" s="2">
        <x:v>Financing Form</x:v>
      </x:c>
      <x:c r="G6421" t="str" s="2">
        <x:v>Sandra Saldana</x:v>
      </x:c>
      <x:c r="H6421" s="6">
        <x:v>46285.923415543984</x:v>
      </x:c>
      <x:c r="I6421" t="str" s="2">
        <x:v>Sandra Saldana</x:v>
      </x:c>
      <x:c r="J6421" s="6">
        <x:v>46287.885416666664</x:v>
      </x:c>
      <x:c r="K6421" s="6">
        <x:v>46287.891726469905</x:v>
      </x:c>
      <x:c r="L6421" t="str" s="2">
        <x:v>Show</x:v>
      </x:c>
    </x:row>
    <x:row r="6422">
      <x:c r="A6422" t="str" s="2">
        <x:f>=HYPERLINK("https://rsms.futurehomex.com/lead/40226", "Frances Brown")</x:f>
      </x:c>
      <x:c r="B6422" t="str" s="2">
        <x:v>Heritage Housing of Athens</x:v>
      </x:c>
      <x:c r="C6422" t="str" s="2">
        <x:v/>
      </x:c>
      <x:c r="D6422" t="str" s="2">
        <x:v>7062072888</x:v>
      </x:c>
      <x:c r="E6422" t="str" s="2">
        <x:v>frances@yahoo.com</x:v>
      </x:c>
      <x:c r="F6422" t="str" s="2">
        <x:v>Walk-in</x:v>
      </x:c>
      <x:c r="G6422" s="0"/>
      <x:c r="H6422" s="6">
        <x:v>46286.61491096065</x:v>
      </x:c>
      <x:c r="I6422" t="str" s="2">
        <x:v>Nathan Bishop</x:v>
      </x:c>
      <x:c r="J6422" s="0"/>
      <x:c r="K6422" s="0"/>
      <x:c r="L6422" t="str" s="2">
        <x:v>Show</x:v>
      </x:c>
    </x:row>
    <x:row r="6423">
      <x:c r="A6423" t="str" s="2">
        <x:f>=HYPERLINK("https://rsms.futurehomex.com/lead/40231", "Teresa Lawrence")</x:f>
      </x:c>
      <x:c r="B6423" t="str" s="2">
        <x:v>Heritage Housing of Athens</x:v>
      </x:c>
      <x:c r="C6423" t="str" s="2">
        <x:v/>
      </x:c>
      <x:c r="D6423" t="str" s="2">
        <x:v>7062485916</x:v>
      </x:c>
      <x:c r="E6423" t="str" s="2">
        <x:v>tlawrence4311@yahoo.com</x:v>
      </x:c>
      <x:c r="F6423" t="str" s="2">
        <x:v>Walk-in</x:v>
      </x:c>
      <x:c r="G6423" s="0"/>
      <x:c r="H6423" s="6">
        <x:v>46286.66599054398</x:v>
      </x:c>
      <x:c r="I6423" t="str" s="2">
        <x:v>Ethan Fossett</x:v>
      </x:c>
      <x:c r="J6423" s="0"/>
      <x:c r="K6423" s="0"/>
      <x:c r="L6423" t="str" s="2">
        <x:v>Show</x:v>
      </x:c>
    </x:row>
    <x:row r="6424">
      <x:c r="A6424" t="str" s="2">
        <x:f>=HYPERLINK("https://rsms.futurehomex.com/lead/40238", "Ginger Day")</x:f>
      </x:c>
      <x:c r="B6424" t="str" s="2">
        <x:v>Heritage Housing of Albany</x:v>
      </x:c>
      <x:c r="C6424" t="str" s="2">
        <x:v/>
      </x:c>
      <x:c r="D6424" t="str" s="2">
        <x:v>3343191860</x:v>
      </x:c>
      <x:c r="E6424" t="str" s="2">
        <x:v>gingerirvinday@gmail.com</x:v>
      </x:c>
      <x:c r="F6424" t="str" s="2">
        <x:v>Walk-in</x:v>
      </x:c>
      <x:c r="G6424" s="0"/>
      <x:c r="H6424" s="6">
        <x:v>46286.76978283565</x:v>
      </x:c>
      <x:c r="I6424" t="str" s="2">
        <x:v>Alexander Bryant</x:v>
      </x:c>
      <x:c r="J6424" s="0"/>
      <x:c r="K6424" s="6">
        <x:v>46302.56812118056</x:v>
      </x:c>
      <x:c r="L6424" t="str" s="2">
        <x:v>Show</x:v>
      </x:c>
    </x:row>
    <x:row r="6425">
      <x:c r="A6425" t="str" s="2">
        <x:f>=HYPERLINK("https://rsms.futurehomex.com/lead/40240", "Lindbergh Simmons")</x:f>
      </x:c>
      <x:c r="B6425" t="str" s="2">
        <x:v>Heritage Housing of Athens</x:v>
      </x:c>
      <x:c r="C6425" t="str" s="2">
        <x:v/>
      </x:c>
      <x:c r="D6425" t="str" s="2">
        <x:v>7062248344</x:v>
      </x:c>
      <x:c r="E6425" t="str" s="2">
        <x:v>lsimmons1300@gmail.com</x:v>
      </x:c>
      <x:c r="F6425" t="str" s="2">
        <x:v>Walk-in</x:v>
      </x:c>
      <x:c r="G6425" s="0"/>
      <x:c r="H6425" s="6">
        <x:v>46286.83005138889</x:v>
      </x:c>
      <x:c r="I6425" t="str" s="2">
        <x:v>Nathan Bishop</x:v>
      </x:c>
      <x:c r="J6425" s="0"/>
      <x:c r="K6425" s="0"/>
      <x:c r="L6425" t="str" s="2">
        <x:v>Show</x:v>
      </x:c>
    </x:row>
    <x:row r="6426">
      <x:c r="A6426" t="str" s="2">
        <x:f>=HYPERLINK("https://rsms.futurehomex.com/lead/40247", "Garrett Jones")</x:f>
      </x:c>
      <x:c r="B6426" t="str" s="2">
        <x:v>Heritage Housing of Athens</x:v>
      </x:c>
      <x:c r="C6426" t="str" s="2">
        <x:v/>
      </x:c>
      <x:c r="D6426" t="str" s="2">
        <x:v>6783259693</x:v>
      </x:c>
      <x:c r="E6426" t="str" s="2">
        <x:v>garrettrayjones04@gmail.com</x:v>
      </x:c>
      <x:c r="F6426" t="str" s="2">
        <x:v>Walk-in</x:v>
      </x:c>
      <x:c r="G6426" s="0"/>
      <x:c r="H6426" s="6">
        <x:v>46286.86320836806</x:v>
      </x:c>
      <x:c r="I6426" t="str" s="2">
        <x:v>Ethan Fossett</x:v>
      </x:c>
      <x:c r="J6426" s="0"/>
      <x:c r="K6426" s="0"/>
      <x:c r="L6426" t="str" s="2">
        <x:v>Show</x:v>
      </x:c>
    </x:row>
    <x:row r="6427">
      <x:c r="A6427" t="str" s="2">
        <x:f>=HYPERLINK("https://rsms.futurehomex.com/lead/40249", "Cristy Williams")</x:f>
      </x:c>
      <x:c r="B6427" t="str" s="2">
        <x:v>Heritage Housing of Asheboro</x:v>
      </x:c>
      <x:c r="C6427" t="str" s="2">
        <x:v/>
      </x:c>
      <x:c r="D6427" t="str" s="2">
        <x:v>9109869839</x:v>
      </x:c>
      <x:c r="E6427" t="str" s="2">
        <x:v>cwilliams2001@icloud.com</x:v>
      </x:c>
      <x:c r="F6427" t="str" s="2">
        <x:v>Walk-in</x:v>
      </x:c>
      <x:c r="G6427" s="0"/>
      <x:c r="H6427" s="6">
        <x:v>46286.894982094906</x:v>
      </x:c>
      <x:c r="I6427" t="str" s="2">
        <x:v>Kate Gutierrez</x:v>
      </x:c>
      <x:c r="J6427" s="0"/>
      <x:c r="K6427" s="0"/>
      <x:c r="L6427" t="str" s="2">
        <x:v>Show</x:v>
      </x:c>
    </x:row>
    <x:row r="6428">
      <x:c r="A6428" t="str" s="2">
        <x:f>=HYPERLINK("https://rsms.futurehomex.com/lead/40250", "JR Griffin")</x:f>
      </x:c>
      <x:c r="B6428" t="str" s="2">
        <x:v>Heritage Housing of Oklahoma City</x:v>
      </x:c>
      <x:c r="C6428" t="str" s="2">
        <x:v/>
      </x:c>
      <x:c r="D6428" t="str" s="2">
        <x:v>6202131926</x:v>
      </x:c>
      <x:c r="E6428" t="str" s="2">
        <x:v>6202131926</x:v>
      </x:c>
      <x:c r="F6428" t="str" s="2">
        <x:v>Facebook Messenger</x:v>
      </x:c>
      <x:c r="G6428" t="str" s="2">
        <x:v>Steve Castell</x:v>
      </x:c>
      <x:c r="H6428" s="6">
        <x:v>46286.93935065972</x:v>
      </x:c>
      <x:c r="I6428" t="str" s="2">
        <x:v>Steve Castell</x:v>
      </x:c>
      <x:c r="J6428" s="6">
        <x:v>46287.75</x:v>
      </x:c>
      <x:c r="K6428" s="6">
        <x:v>46287.74644675926</x:v>
      </x:c>
      <x:c r="L6428" t="str" s="2">
        <x:v>Show</x:v>
      </x:c>
    </x:row>
    <x:row r="6429">
      <x:c r="A6429" t="str" s="2">
        <x:f>=HYPERLINK("https://rsms.futurehomex.com/lead/40253", "Taz Gerard")</x:f>
      </x:c>
      <x:c r="B6429" t="str" s="2">
        <x:v>Heritage Housing of Tulsa</x:v>
      </x:c>
      <x:c r="C6429" t="str" s="2">
        <x:v/>
      </x:c>
      <x:c r="D6429" t="str" s="2">
        <x:v>9189023363</x:v>
      </x:c>
      <x:c r="E6429" t="str" s="2">
        <x:v>tazproperties@outlook.com</x:v>
      </x:c>
      <x:c r="F6429" t="str" s="2">
        <x:v>Walk-in</x:v>
      </x:c>
      <x:c r="G6429" s="0"/>
      <x:c r="H6429" s="6">
        <x:v>46286.948474386576</x:v>
      </x:c>
      <x:c r="I6429" t="str" s="2">
        <x:v>Jenna Fransisco</x:v>
      </x:c>
      <x:c r="J6429" s="0"/>
      <x:c r="K6429" s="0"/>
      <x:c r="L6429" t="str" s="2">
        <x:v>Show</x:v>
      </x:c>
    </x:row>
    <x:row r="6430">
      <x:c r="A6430" t="str" s="2">
        <x:f>=HYPERLINK("https://rsms.futurehomex.com/lead/40257", "James Patrick")</x:f>
      </x:c>
      <x:c r="B6430" t="str" s="2">
        <x:v>Heritage Housing of Oklahoma City</x:v>
      </x:c>
      <x:c r="C6430" t="str" s="2">
        <x:v/>
      </x:c>
      <x:c r="D6430" t="str" s="2">
        <x:v>7074506260</x:v>
      </x:c>
      <x:c r="E6430" t="str" s="2">
        <x:v>jaunitahpatrick75@gmail.com</x:v>
      </x:c>
      <x:c r="F6430" t="str" s="2">
        <x:v>Facebook Messenger</x:v>
      </x:c>
      <x:c r="G6430" t="str" s="2">
        <x:v>Devon McCoy</x:v>
      </x:c>
      <x:c r="H6430" s="6">
        <x:v>46287.642376006945</x:v>
      </x:c>
      <x:c r="I6430" t="str" s="2">
        <x:v>Devon McCoy</x:v>
      </x:c>
      <x:c r="J6430" s="0"/>
      <x:c r="K6430" s="6">
        <x:v>46287.642376006945</x:v>
      </x:c>
      <x:c r="L6430" t="str" s="2">
        <x:v>Show</x:v>
      </x:c>
    </x:row>
    <x:row r="6431">
      <x:c r="A6431" t="str" s="2">
        <x:f>=HYPERLINK("https://rsms.futurehomex.com/lead/40263", "Diana Garcia")</x:f>
      </x:c>
      <x:c r="B6431" t="str" s="2">
        <x:v>Heritage Housing of Athens</x:v>
      </x:c>
      <x:c r="C6431" t="str" s="2">
        <x:v/>
      </x:c>
      <x:c r="D6431" t="str" s="2">
        <x:v>7063517539</x:v>
      </x:c>
      <x:c r="E6431" t="str" s="2">
        <x:v>diana.hector2016@gmail.com</x:v>
      </x:c>
      <x:c r="F6431" t="str" s="2">
        <x:v>Walk-in</x:v>
      </x:c>
      <x:c r="G6431" s="0"/>
      <x:c r="H6431" s="6">
        <x:v>46287.69148298611</x:v>
      </x:c>
      <x:c r="I6431" t="str" s="2">
        <x:v>Ethan Fossett</x:v>
      </x:c>
      <x:c r="J6431" s="0"/>
      <x:c r="K6431" s="0"/>
      <x:c r="L6431" t="str" s="2">
        <x:v>Show</x:v>
      </x:c>
    </x:row>
    <x:row r="6432">
      <x:c r="A6432" t="str" s="2">
        <x:f>=HYPERLINK("https://rsms.futurehomex.com/lead/40264", "Mauricio Hernandez z")</x:f>
      </x:c>
      <x:c r="B6432" t="str" s="2">
        <x:v>Heritage Housing of Asheboro</x:v>
      </x:c>
      <x:c r="C6432" t="str" s="2">
        <x:v/>
      </x:c>
      <x:c r="D6432" t="str" s="2">
        <x:v>3366534473</x:v>
      </x:c>
      <x:c r="E6432" t="str" s="2">
        <x:v>hernandezmauricio214@gmail.com</x:v>
      </x:c>
      <x:c r="F6432" t="str" s="2">
        <x:v>Walk-in</x:v>
      </x:c>
      <x:c r="G6432" s="0"/>
      <x:c r="H6432" s="6">
        <x:v>46287.69181519676</x:v>
      </x:c>
      <x:c r="I6432" t="str" s="2">
        <x:v>Kate Gutierrez</x:v>
      </x:c>
      <x:c r="J6432" s="0"/>
      <x:c r="K6432" s="0"/>
      <x:c r="L6432" t="str" s="2">
        <x:v>Show</x:v>
      </x:c>
    </x:row>
    <x:row r="6433">
      <x:c r="A6433" t="str" s="2">
        <x:f>=HYPERLINK("https://rsms.futurehomex.com/lead/40265", "Carolyn Jones")</x:f>
      </x:c>
      <x:c r="B6433" t="str" s="2">
        <x:v>Heritage Housing of Athens</x:v>
      </x:c>
      <x:c r="C6433" t="str" s="2">
        <x:v/>
      </x:c>
      <x:c r="D6433" t="str" s="2">
        <x:v>4044529922</x:v>
      </x:c>
      <x:c r="E6433" t="str" s="2">
        <x:v>mamaflyswatt@aol.com</x:v>
      </x:c>
      <x:c r="F6433" t="str" s="2">
        <x:v>Walk-in</x:v>
      </x:c>
      <x:c r="G6433" s="0"/>
      <x:c r="H6433" s="6">
        <x:v>46287.698836724536</x:v>
      </x:c>
      <x:c r="I6433" t="str" s="2">
        <x:v>Nathan Bishop</x:v>
      </x:c>
      <x:c r="J6433" s="0"/>
      <x:c r="K6433" s="0"/>
      <x:c r="L6433" t="str" s="2">
        <x:v>Show</x:v>
      </x:c>
    </x:row>
    <x:row r="6434">
      <x:c r="A6434" t="str" s="2">
        <x:f>=HYPERLINK("https://rsms.futurehomex.com/lead/40266", "Mary Willams")</x:f>
      </x:c>
      <x:c r="B6434" t="str" s="2">
        <x:v>Heritage Housing of Albany</x:v>
      </x:c>
      <x:c r="C6434" t="str" s="2">
        <x:v>0/1</x:v>
      </x:c>
      <x:c r="D6434" t="str" s="2">
        <x:v>7863400630</x:v>
      </x:c>
      <x:c r="E6434" t="str" s="2">
        <x:v>7863400630</x:v>
      </x:c>
      <x:c r="F6434" t="str" s="2">
        <x:v>Office Hot Calls</x:v>
      </x:c>
      <x:c r="G6434" t="str" s="2">
        <x:v>Yanet Alvarez</x:v>
      </x:c>
      <x:c r="H6434" s="6">
        <x:v>46287.69977673611</x:v>
      </x:c>
      <x:c r="I6434" t="str" s="2">
        <x:v>Yanet Alvarez</x:v>
      </x:c>
      <x:c r="J6434" s="6">
        <x:v>46290.666666666664</x:v>
      </x:c>
      <x:c r="K6434" s="6">
        <x:v>46302.72736539352</x:v>
      </x:c>
      <x:c r="L6434" t="str" s="2">
        <x:v>Show</x:v>
      </x:c>
    </x:row>
    <x:row r="6435">
      <x:c r="A6435" t="str" s="2">
        <x:f>=HYPERLINK("https://rsms.futurehomex.com/lead/40267", "Julio Enrique Torres")</x:f>
      </x:c>
      <x:c r="B6435" t="str" s="2">
        <x:v>Heritage Housing of Oklahoma City</x:v>
      </x:c>
      <x:c r="C6435" t="str" s="2">
        <x:v/>
      </x:c>
      <x:c r="D6435" t="str" s="2">
        <x:v>4056696181</x:v>
      </x:c>
      <x:c r="E6435" t="str" s="2">
        <x:v>juliotorres71717@gmail.com</x:v>
      </x:c>
      <x:c r="F6435" t="str" s="2">
        <x:v>Other</x:v>
      </x:c>
      <x:c r="G6435" t="str" s="2">
        <x:v>Alejandra Calderon</x:v>
      </x:c>
      <x:c r="H6435" s="6">
        <x:v>46287.726675659724</x:v>
      </x:c>
      <x:c r="I6435" t="str" s="2">
        <x:v>Alejandra Calderon</x:v>
      </x:c>
      <x:c r="J6435" s="0"/>
      <x:c r="K6435" s="6">
        <x:v>46287.726675659724</x:v>
      </x:c>
      <x:c r="L6435" t="str" s="2">
        <x:v>Show</x:v>
      </x:c>
    </x:row>
    <x:row r="6436">
      <x:c r="A6436" t="str" s="2">
        <x:f>=HYPERLINK("https://rsms.futurehomex.com/lead/40268", "Heather Foster")</x:f>
      </x:c>
      <x:c r="B6436" t="str" s="2">
        <x:v>Heritage Housing of Oklahoma City</x:v>
      </x:c>
      <x:c r="C6436" t="str" s="2">
        <x:v/>
      </x:c>
      <x:c r="D6436" t="str" s="2">
        <x:v>4058242582</x:v>
      </x:c>
      <x:c r="E6436" t="str" s="2">
        <x:v>heathertattoos@gmail.com</x:v>
      </x:c>
      <x:c r="F6436" t="str" s="2">
        <x:v>Walk-in</x:v>
      </x:c>
      <x:c r="G6436" t="str" s="2">
        <x:v>Devon McCoy</x:v>
      </x:c>
      <x:c r="H6436" s="6">
        <x:v>46287.77040582176</x:v>
      </x:c>
      <x:c r="I6436" t="str" s="2">
        <x:v>Devon McCoy</x:v>
      </x:c>
      <x:c r="J6436" s="0"/>
      <x:c r="K6436" s="6">
        <x:v>46287.77040582176</x:v>
      </x:c>
      <x:c r="L6436" t="str" s="2">
        <x:v>Show</x:v>
      </x:c>
    </x:row>
    <x:row r="6437">
      <x:c r="A6437" t="str" s="2">
        <x:f>=HYPERLINK("https://rsms.futurehomex.com/lead/40271", "Natalia Castro")</x:f>
      </x:c>
      <x:c r="B6437" t="str" s="2">
        <x:v>Heritage Housing Mt Pleasant</x:v>
      </x:c>
      <x:c r="C6437" t="str" s="2">
        <x:v/>
      </x:c>
      <x:c r="D6437" t="str" s="2">
        <x:v>9034664652</x:v>
      </x:c>
      <x:c r="E6437" t="str" s="2">
        <x:v>9034664652</x:v>
      </x:c>
      <x:c r="F6437" t="str" s="2">
        <x:v>Facebook Messenger</x:v>
      </x:c>
      <x:c r="G6437" t="str" s="2">
        <x:v>Sandra Saldana</x:v>
      </x:c>
      <x:c r="H6437" s="6">
        <x:v>46287.78430292824</x:v>
      </x:c>
      <x:c r="I6437" t="str" s="2">
        <x:v>Sandra Saldana</x:v>
      </x:c>
      <x:c r="J6437" s="6">
        <x:v>46287.791666666664</x:v>
      </x:c>
      <x:c r="K6437" s="6">
        <x:v>46287.815568171296</x:v>
      </x:c>
      <x:c r="L6437" t="str" s="2">
        <x:v>Show</x:v>
      </x:c>
    </x:row>
    <x:row r="6438">
      <x:c r="A6438" t="str" s="2">
        <x:f>=HYPERLINK("https://rsms.futurehomex.com/lead/40272", "Jamie Frank")</x:f>
      </x:c>
      <x:c r="B6438" t="str" s="2">
        <x:v>Heritage Housing of Asheboro</x:v>
      </x:c>
      <x:c r="C6438" t="str" s="2">
        <x:v/>
      </x:c>
      <x:c r="D6438" t="str" s="2">
        <x:v>9109959727</x:v>
      </x:c>
      <x:c r="E6438" t="str" s="2">
        <x:v>jamiebarnum3@yahoo.com</x:v>
      </x:c>
      <x:c r="F6438" t="str" s="2">
        <x:v>Walk-in</x:v>
      </x:c>
      <x:c r="G6438" s="0"/>
      <x:c r="H6438" s="6">
        <x:v>46287.80753626157</x:v>
      </x:c>
      <x:c r="I6438" t="str" s="2">
        <x:v>Maria Lopez</x:v>
      </x:c>
      <x:c r="J6438" s="0"/>
      <x:c r="K6438" s="0"/>
      <x:c r="L6438" t="str" s="2">
        <x:v>Show</x:v>
      </x:c>
    </x:row>
    <x:row r="6439">
      <x:c r="A6439" t="str" s="2">
        <x:f>=HYPERLINK("https://rsms.futurehomex.com/lead/40276", "Fred Knight")</x:f>
      </x:c>
      <x:c r="B6439" t="str" s="2">
        <x:v>Heritage Housing of Albany</x:v>
      </x:c>
      <x:c r="C6439" t="str" s="2">
        <x:v/>
      </x:c>
      <x:c r="D6439" t="str" s="2">
        <x:v>9016148979</x:v>
      </x:c>
      <x:c r="E6439" t="str" s="2">
        <x:v>fjknight84@gmail.com</x:v>
      </x:c>
      <x:c r="F6439" t="str" s="2">
        <x:v>Walk-in</x:v>
      </x:c>
      <x:c r="G6439" s="0"/>
      <x:c r="H6439" s="6">
        <x:v>46287.83586802083</x:v>
      </x:c>
      <x:c r="I6439" t="str" s="2">
        <x:v>Alexander Bryant</x:v>
      </x:c>
      <x:c r="J6439" s="0"/>
      <x:c r="K6439" s="0"/>
      <x:c r="L6439" t="str" s="2">
        <x:v>Show</x:v>
      </x:c>
    </x:row>
    <x:row r="6440">
      <x:c r="A6440" t="str" s="2">
        <x:f>=HYPERLINK("https://rsms.futurehomex.com/lead/40277", "Kyle Salazer")</x:f>
      </x:c>
      <x:c r="B6440" t="str" s="2">
        <x:v>Heritage Housing of Oklahoma City</x:v>
      </x:c>
      <x:c r="C6440" t="str" s="2">
        <x:v/>
      </x:c>
      <x:c r="D6440" t="str" s="2">
        <x:v>4056261602</x:v>
      </x:c>
      <x:c r="E6440" t="str" s="2">
        <x:v>4056261602</x:v>
      </x:c>
      <x:c r="F6440" t="str" s="2">
        <x:v>Facebook Messenger</x:v>
      </x:c>
      <x:c r="G6440" t="str" s="2">
        <x:v>Devon McCoy</x:v>
      </x:c>
      <x:c r="H6440" s="6">
        <x:v>46287.872251886576</x:v>
      </x:c>
      <x:c r="I6440" t="str" s="2">
        <x:v>Devon McCoy</x:v>
      </x:c>
      <x:c r="J6440" s="0"/>
      <x:c r="K6440" s="6">
        <x:v>46287.872251886576</x:v>
      </x:c>
      <x:c r="L6440" t="str" s="2">
        <x:v>Show</x:v>
      </x:c>
    </x:row>
    <x:row r="6441">
      <x:c r="A6441" t="str" s="2">
        <x:f>=HYPERLINK("https://rsms.futurehomex.com/lead/40279", "Bobby Williams")</x:f>
      </x:c>
      <x:c r="B6441" t="str" s="2">
        <x:v>Heritage Housing of Asheboro</x:v>
      </x:c>
      <x:c r="C6441" t="str" s="2">
        <x:v/>
      </x:c>
      <x:c r="D6441" t="str" s="2">
        <x:v>9107298272</x:v>
      </x:c>
      <x:c r="E6441" t="str" s="2">
        <x:v>invinciblemysterymind@gmail.com</x:v>
      </x:c>
      <x:c r="F6441" t="str" s="2">
        <x:v>Walk-in</x:v>
      </x:c>
      <x:c r="G6441" s="0"/>
      <x:c r="H6441" s="6">
        <x:v>46287.877613923614</x:v>
      </x:c>
      <x:c r="I6441" t="str" s="2">
        <x:v>Maria Lopez</x:v>
      </x:c>
      <x:c r="J6441" s="0"/>
      <x:c r="K6441" s="0"/>
      <x:c r="L6441" t="str" s="2">
        <x:v>Show</x:v>
      </x:c>
    </x:row>
    <x:row r="6442">
      <x:c r="A6442" t="str" s="2">
        <x:f>=HYPERLINK("https://rsms.futurehomex.com/lead/40281", "Juana Villeda")</x:f>
      </x:c>
      <x:c r="B6442" t="str" s="2">
        <x:v>Heritage Housing Mt Pleasant</x:v>
      </x:c>
      <x:c r="C6442" t="str" s="2">
        <x:v/>
      </x:c>
      <x:c r="D6442" t="str" s="2">
        <x:v>9032853438</x:v>
      </x:c>
      <x:c r="E6442" t="str" s="2">
        <x:v>9032853438</x:v>
      </x:c>
      <x:c r="F6442" t="str" s="2">
        <x:v>Referrals</x:v>
      </x:c>
      <x:c r="G6442" t="str" s="2">
        <x:v>Sandra Saldana</x:v>
      </x:c>
      <x:c r="H6442" s="6">
        <x:v>46287.88254861111</x:v>
      </x:c>
      <x:c r="I6442" t="str" s="2">
        <x:v>Sandra Saldana</x:v>
      </x:c>
      <x:c r="J6442" s="6">
        <x:v>46287.958333333336</x:v>
      </x:c>
      <x:c r="K6442" s="6">
        <x:v>46287.95653804398</x:v>
      </x:c>
      <x:c r="L6442" t="str" s="2">
        <x:v>Show</x:v>
      </x:c>
    </x:row>
    <x:row r="6443">
      <x:c r="A6443" t="str" s="2">
        <x:f>=HYPERLINK("https://rsms.futurehomex.com/lead/40283", "Andre Mason")</x:f>
      </x:c>
      <x:c r="B6443" t="str" s="2">
        <x:v>Heritage Housing of Athens</x:v>
      </x:c>
      <x:c r="C6443" t="str" s="2">
        <x:v/>
      </x:c>
      <x:c r="D6443" t="str" s="2">
        <x:v>4042776693</x:v>
      </x:c>
      <x:c r="E6443" t="str" s="2">
        <x:v>mason3amxox@gmail.com</x:v>
      </x:c>
      <x:c r="F6443" t="str" s="2">
        <x:v>Walk-in</x:v>
      </x:c>
      <x:c r="G6443" s="0"/>
      <x:c r="H6443" s="6">
        <x:v>46287.907396608796</x:v>
      </x:c>
      <x:c r="I6443" t="str" s="2">
        <x:v>Ethan Fossett</x:v>
      </x:c>
      <x:c r="J6443" s="0"/>
      <x:c r="K6443" s="0"/>
      <x:c r="L6443" t="str" s="2">
        <x:v>Show</x:v>
      </x:c>
    </x:row>
    <x:row r="6444">
      <x:c r="A6444" t="str" s="2">
        <x:f>=HYPERLINK("https://rsms.futurehomex.com/lead/40314", "Darrius Brower II")</x:f>
      </x:c>
      <x:c r="B6444" t="str" s="2">
        <x:v>Heritage Housing of Asheboro</x:v>
      </x:c>
      <x:c r="C6444" t="str" s="2">
        <x:v/>
      </x:c>
      <x:c r="D6444" t="str" s="2">
        <x:v>9106588553</x:v>
      </x:c>
      <x:c r="E6444" t="str" s="2">
        <x:v>dbrower2@icloud.com</x:v>
      </x:c>
      <x:c r="F6444" t="str" s="2">
        <x:v>Landing_BPM</x:v>
      </x:c>
      <x:c r="G6444" t="str" s="2">
        <x:v>Kate Gutierrez</x:v>
      </x:c>
      <x:c r="H6444" s="6">
        <x:v>46288.62253530093</x:v>
      </x:c>
      <x:c r="I6444" t="str" s="2">
        <x:v>Kate Gutierrez</x:v>
      </x:c>
      <x:c r="J6444" s="6">
        <x:v>46288.84722222222</x:v>
      </x:c>
      <x:c r="K6444" s="6">
        <x:v>46288.884963344906</x:v>
      </x:c>
      <x:c r="L6444" t="str" s="2">
        <x:v>Show</x:v>
      </x:c>
    </x:row>
    <x:row r="6445">
      <x:c r="A6445" t="str" s="2">
        <x:f>=HYPERLINK("https://rsms.futurehomex.com/lead/40297", "James Henderson")</x:f>
      </x:c>
      <x:c r="B6445" t="str" s="2">
        <x:v>Heritage Housing of Asheboro</x:v>
      </x:c>
      <x:c r="C6445" t="str" s="2">
        <x:v/>
      </x:c>
      <x:c r="D6445" t="str" s="2">
        <x:v>3362502834</x:v>
      </x:c>
      <x:c r="E6445" t="str" s="2">
        <x:v>james1@gmail.com</x:v>
      </x:c>
      <x:c r="F6445" t="str" s="2">
        <x:v>Walk-in</x:v>
      </x:c>
      <x:c r="G6445" s="0"/>
      <x:c r="H6445" s="6">
        <x:v>46288.67184675926</x:v>
      </x:c>
      <x:c r="I6445" t="str" s="2">
        <x:v>Maria Lopez</x:v>
      </x:c>
      <x:c r="J6445" s="0"/>
      <x:c r="K6445" s="0"/>
      <x:c r="L6445" t="str" s="2">
        <x:v>Show</x:v>
      </x:c>
    </x:row>
    <x:row r="6446">
      <x:c r="A6446" t="str" s="2">
        <x:f>=HYPERLINK("https://rsms.futurehomex.com/lead/40298", "Marvin Blalock")</x:f>
      </x:c>
      <x:c r="B6446" t="str" s="2">
        <x:v>Heritage Housing of Athens</x:v>
      </x:c>
      <x:c r="C6446" t="str" s="2">
        <x:v/>
      </x:c>
      <x:c r="D6446" t="str" s="2">
        <x:v>7063405433</x:v>
      </x:c>
      <x:c r="E6446" t="str" s="2">
        <x:v>marvinblalock@gmail.com</x:v>
      </x:c>
      <x:c r="F6446" t="str" s="2">
        <x:v>Walk-in</x:v>
      </x:c>
      <x:c r="G6446" s="0"/>
      <x:c r="H6446" s="6">
        <x:v>46288.6749383912</x:v>
      </x:c>
      <x:c r="I6446" t="str" s="2">
        <x:v>Nathan Bishop</x:v>
      </x:c>
      <x:c r="J6446" s="0"/>
      <x:c r="K6446" s="0"/>
      <x:c r="L6446" t="str" s="2">
        <x:v>Show</x:v>
      </x:c>
    </x:row>
    <x:row r="6447">
      <x:c r="A6447" t="str" s="2">
        <x:f>=HYPERLINK("https://rsms.futurehomex.com/lead/40352", "BENJAMIN POWERS")</x:f>
      </x:c>
      <x:c r="B6447" t="str" s="2">
        <x:v>Heritage Housing of Asheboro</x:v>
      </x:c>
      <x:c r="C6447" t="str" s="2">
        <x:v/>
      </x:c>
      <x:c r="D6447" t="str" s="2">
        <x:v>3364705372</x:v>
      </x:c>
      <x:c r="E6447" t="str" s="2">
        <x:v>BENJAMINREED2000@YAHOO.COM</x:v>
      </x:c>
      <x:c r="F6447" t="str" s="2">
        <x:v>Financing Form</x:v>
      </x:c>
      <x:c r="G6447" t="str" s="2">
        <x:v>Kate Gutierrez</x:v>
      </x:c>
      <x:c r="H6447" s="6">
        <x:v>46288.72273116898</x:v>
      </x:c>
      <x:c r="I6447" t="str" s="2">
        <x:v>Kate Gutierrez</x:v>
      </x:c>
      <x:c r="J6447" s="6">
        <x:v>46291.666666666664</x:v>
      </x:c>
      <x:c r="K6447" s="6">
        <x:v>46291.74755177083</x:v>
      </x:c>
      <x:c r="L6447" t="str" s="2">
        <x:v>Show</x:v>
      </x:c>
    </x:row>
    <x:row r="6448">
      <x:c r="A6448" t="str" s="2">
        <x:f>=HYPERLINK("https://rsms.futurehomex.com/lead/40308", "Luke Brown")</x:f>
      </x:c>
      <x:c r="B6448" t="str" s="2">
        <x:v>Heritage Housing of Athens</x:v>
      </x:c>
      <x:c r="C6448" t="str" s="2">
        <x:v/>
      </x:c>
      <x:c r="D6448" t="str" s="2">
        <x:v>7065670746</x:v>
      </x:c>
      <x:c r="E6448" t="str" s="2">
        <x:v>luketylerbrown@gmail.com</x:v>
      </x:c>
      <x:c r="F6448" t="str" s="2">
        <x:v>Walk-in</x:v>
      </x:c>
      <x:c r="G6448" s="0"/>
      <x:c r="H6448" s="6">
        <x:v>46288.7814872338</x:v>
      </x:c>
      <x:c r="I6448" t="str" s="2">
        <x:v>Ethan Fossett</x:v>
      </x:c>
      <x:c r="J6448" s="0"/>
      <x:c r="K6448" s="0"/>
      <x:c r="L6448" t="str" s="2">
        <x:v>Show</x:v>
      </x:c>
    </x:row>
    <x:row r="6449">
      <x:c r="A6449" t="str" s="2">
        <x:f>=HYPERLINK("https://rsms.futurehomex.com/lead/40319", "Lynette Jensen")</x:f>
      </x:c>
      <x:c r="B6449" t="str" s="2">
        <x:v>Heritage Housing of Jennings</x:v>
      </x:c>
      <x:c r="C6449" t="str" s="2">
        <x:v/>
      </x:c>
      <x:c r="D6449" t="str" s="2">
        <x:v>3378534394</x:v>
      </x:c>
      <x:c r="E6449" t="str" s="2">
        <x:v>ljscraps@yahoo.com</x:v>
      </x:c>
      <x:c r="F6449" t="str" s="2">
        <x:v>Walk-in</x:v>
      </x:c>
      <x:c r="G6449" s="0"/>
      <x:c r="H6449" s="6">
        <x:v>46288.91233359954</x:v>
      </x:c>
      <x:c r="I6449" t="str" s="2">
        <x:v>Clint O'Neal</x:v>
      </x:c>
      <x:c r="J6449" s="0"/>
      <x:c r="K6449" s="0"/>
      <x:c r="L6449" t="str" s="2">
        <x:v>Show</x:v>
      </x:c>
    </x:row>
    <x:row r="6450">
      <x:c r="A6450" t="str" s="2">
        <x:f>=HYPERLINK("https://rsms.futurehomex.com/lead/40322", "Norma Lopez")</x:f>
      </x:c>
      <x:c r="B6450" t="str" s="2">
        <x:v>Heritage Housing of Oklahoma City</x:v>
      </x:c>
      <x:c r="C6450" t="str" s="2">
        <x:v/>
      </x:c>
      <x:c r="D6450" t="str" s="2">
        <x:v>2403832123</x:v>
      </x:c>
      <x:c r="E6450" t="str" s="2">
        <x:v>OMARDAMACIO@GMAIL.COM</x:v>
      </x:c>
      <x:c r="F6450" t="str" s="2">
        <x:v>Facebook Messenger</x:v>
      </x:c>
      <x:c r="G6450" t="str" s="2">
        <x:v>Alejandra Calderon</x:v>
      </x:c>
      <x:c r="H6450" s="6">
        <x:v>46288.94816840278</x:v>
      </x:c>
      <x:c r="I6450" t="str" s="2">
        <x:v>Noemi Rojo</x:v>
      </x:c>
      <x:c r="J6450" s="6">
        <x:v>46289.833333333336</x:v>
      </x:c>
      <x:c r="K6450" s="6">
        <x:v>46289.92156956019</x:v>
      </x:c>
      <x:c r="L6450" t="str" s="2">
        <x:v>Show</x:v>
      </x:c>
    </x:row>
    <x:row r="6451">
      <x:c r="A6451" t="str" s="2">
        <x:f>=HYPERLINK("https://rsms.futurehomex.com/lead/40331", "Niesha Blasingame")</x:f>
      </x:c>
      <x:c r="B6451" t="str" s="2">
        <x:v>Heritage Housing of Athens</x:v>
      </x:c>
      <x:c r="C6451" t="str" s="2">
        <x:v/>
      </x:c>
      <x:c r="D6451" t="str" s="2">
        <x:v>6785324487</x:v>
      </x:c>
      <x:c r="E6451" t="str" s="2">
        <x:v>niesha.blasingame@yahoo.com</x:v>
      </x:c>
      <x:c r="F6451" t="str" s="2">
        <x:v>Walk-in</x:v>
      </x:c>
      <x:c r="G6451" s="0"/>
      <x:c r="H6451" s="6">
        <x:v>46289.63925922454</x:v>
      </x:c>
      <x:c r="I6451" t="str" s="2">
        <x:v>Nathan Bishop</x:v>
      </x:c>
      <x:c r="J6451" s="0"/>
      <x:c r="K6451" s="0"/>
      <x:c r="L6451" t="str" s="2">
        <x:v>Show</x:v>
      </x:c>
    </x:row>
    <x:row r="6452">
      <x:c r="A6452" t="str" s="2">
        <x:f>=HYPERLINK("https://rsms.futurehomex.com/lead/40335", "Ray &amp; Breanna Ramos")</x:f>
      </x:c>
      <x:c r="B6452" t="str" s="2">
        <x:v>Heritage Housing of Oklahoma City</x:v>
      </x:c>
      <x:c r="C6452" t="str" s="2">
        <x:v/>
      </x:c>
      <x:c r="D6452" t="str" s="2">
        <x:v>9285951913</x:v>
      </x:c>
      <x:c r="E6452" t="str" s="2">
        <x:v>9285951913</x:v>
      </x:c>
      <x:c r="F6452" t="str" s="2">
        <x:v>Facebook Messenger</x:v>
      </x:c>
      <x:c r="G6452" t="str" s="2">
        <x:v>Steve Castell</x:v>
      </x:c>
      <x:c r="H6452" s="6">
        <x:v>46289.71022577546</x:v>
      </x:c>
      <x:c r="I6452" t="str" s="2">
        <x:v>Steve Castell</x:v>
      </x:c>
      <x:c r="J6452" s="6">
        <x:v>46297.875</x:v>
      </x:c>
      <x:c r="K6452" s="6">
        <x:v>46297.92178101852</x:v>
      </x:c>
      <x:c r="L6452" t="str" s="2">
        <x:v>Show</x:v>
      </x:c>
    </x:row>
    <x:row r="6453">
      <x:c r="A6453" t="str" s="2">
        <x:f>=HYPERLINK("https://rsms.futurehomex.com/lead/40337", "Chad Smith")</x:f>
      </x:c>
      <x:c r="B6453" t="str" s="2">
        <x:v>Heritage Housing of Augusta</x:v>
      </x:c>
      <x:c r="C6453" t="str" s="2">
        <x:v/>
      </x:c>
      <x:c r="D6453" t="str" s="2">
        <x:v>9183153614</x:v>
      </x:c>
      <x:c r="E6453" t="str" s="2">
        <x:v>carsontabatha3@gmail.com</x:v>
      </x:c>
      <x:c r="F6453" t="str" s="2">
        <x:v>Walk-in</x:v>
      </x:c>
      <x:c r="G6453" t="str" s="2">
        <x:v>Jennifer Johnson</x:v>
      </x:c>
      <x:c r="H6453" s="6">
        <x:v>46289.7388090625</x:v>
      </x:c>
      <x:c r="I6453" t="str" s="2">
        <x:v>Jennifer Johnson</x:v>
      </x:c>
      <x:c r="J6453" s="6">
        <x:v>46291.833333333336</x:v>
      </x:c>
      <x:c r="K6453" s="6">
        <x:v>46290.6384247338</x:v>
      </x:c>
      <x:c r="L6453" t="str" s="2">
        <x:v>Show</x:v>
      </x:c>
    </x:row>
    <x:row r="6454">
      <x:c r="A6454" t="str" s="2">
        <x:f>=HYPERLINK("https://rsms.futurehomex.com/lead/40341", "Dawn Carter")</x:f>
      </x:c>
      <x:c r="B6454" t="str" s="2">
        <x:v>Heritage Housing of Tulsa</x:v>
      </x:c>
      <x:c r="C6454" t="str" s="2">
        <x:v/>
      </x:c>
      <x:c r="D6454" t="str" s="2">
        <x:v>9182809362</x:v>
      </x:c>
      <x:c r="E6454" t="str" s="2">
        <x:v>dawnprcarter@gmail.com</x:v>
      </x:c>
      <x:c r="F6454" t="str" s="2">
        <x:v>Walk-in</x:v>
      </x:c>
      <x:c r="G6454" s="0"/>
      <x:c r="H6454" s="6">
        <x:v>46289.74527670139</x:v>
      </x:c>
      <x:c r="I6454" t="str" s="2">
        <x:v>Jenna Fransisco</x:v>
      </x:c>
      <x:c r="J6454" s="0"/>
      <x:c r="K6454" s="0"/>
      <x:c r="L6454" t="str" s="2">
        <x:v>Show</x:v>
      </x:c>
    </x:row>
    <x:row r="6455">
      <x:c r="A6455" t="str" s="2">
        <x:f>=HYPERLINK("https://rsms.futurehomex.com/lead/40339", "Hope Hefner")</x:f>
      </x:c>
      <x:c r="B6455" t="str" s="2">
        <x:v>Heritage Housing of Athens</x:v>
      </x:c>
      <x:c r="C6455" t="str" s="2">
        <x:v/>
      </x:c>
      <x:c r="D6455" t="str" s="2">
        <x:v>4046440720</x:v>
      </x:c>
      <x:c r="E6455" t="str" s="2">
        <x:v>hopelhefner@gmail.com</x:v>
      </x:c>
      <x:c r="F6455" t="str" s="2">
        <x:v>Walk-in</x:v>
      </x:c>
      <x:c r="G6455" s="0"/>
      <x:c r="H6455" s="6">
        <x:v>46289.80581582176</x:v>
      </x:c>
      <x:c r="I6455" t="str" s="2">
        <x:v>Ethan Fossett</x:v>
      </x:c>
      <x:c r="J6455" s="0"/>
      <x:c r="K6455" s="0"/>
      <x:c r="L6455" t="str" s="2">
        <x:v>Show</x:v>
      </x:c>
    </x:row>
    <x:row r="6456">
      <x:c r="A6456" t="str" s="2">
        <x:f>=HYPERLINK("https://rsms.futurehomex.com/lead/40347", "Jack Chatfield")</x:f>
      </x:c>
      <x:c r="B6456" t="str" s="2">
        <x:v>Heritage Housing of Albany</x:v>
      </x:c>
      <x:c r="C6456" t="str" s="2">
        <x:v/>
      </x:c>
      <x:c r="D6456" t="str" s="2">
        <x:v>4782878510</x:v>
      </x:c>
      <x:c r="E6456" t="str" s="2">
        <x:v>chatfieldj5@gmail.com</x:v>
      </x:c>
      <x:c r="F6456" t="str" s="2">
        <x:v>Walk-in</x:v>
      </x:c>
      <x:c r="G6456" s="0"/>
      <x:c r="H6456" s="6">
        <x:v>46289.90507021991</x:v>
      </x:c>
      <x:c r="I6456" t="str" s="2">
        <x:v>Alexander Bryant</x:v>
      </x:c>
      <x:c r="J6456" s="0"/>
      <x:c r="K6456" s="0"/>
      <x:c r="L6456" t="str" s="2">
        <x:v>Show</x:v>
      </x:c>
    </x:row>
    <x:row r="6457">
      <x:c r="A6457" t="str" s="2">
        <x:f>=HYPERLINK("https://rsms.futurehomex.com/lead/40349", "Ken Mealor")</x:f>
      </x:c>
      <x:c r="B6457" t="str" s="2">
        <x:v>Heritage Housing of Athens</x:v>
      </x:c>
      <x:c r="C6457" t="str" s="2">
        <x:v/>
      </x:c>
      <x:c r="D6457" t="str" s="2">
        <x:v>8509741582</x:v>
      </x:c>
      <x:c r="E6457" t="str" s="2">
        <x:v>mnek1@yahoo.com</x:v>
      </x:c>
      <x:c r="F6457" t="str" s="2">
        <x:v>Walk-in</x:v>
      </x:c>
      <x:c r="G6457" s="0"/>
      <x:c r="H6457" s="6">
        <x:v>46289.924509571756</x:v>
      </x:c>
      <x:c r="I6457" t="str" s="2">
        <x:v>Ethan Fossett</x:v>
      </x:c>
      <x:c r="J6457" s="0"/>
      <x:c r="K6457" s="0"/>
      <x:c r="L6457" t="str" s="2">
        <x:v>Show</x:v>
      </x:c>
    </x:row>
    <x:row r="6458">
      <x:c r="A6458" t="str" s="2">
        <x:f>=HYPERLINK("https://rsms.futurehomex.com/lead/40353", "Delia Griselda-De Santiago")</x:f>
      </x:c>
      <x:c r="B6458" t="str" s="2">
        <x:v>Heritage Housing of Greenville</x:v>
      </x:c>
      <x:c r="C6458" t="str" s="2">
        <x:v/>
      </x:c>
      <x:c r="D6458" t="str" s="2">
        <x:v>2144297576</x:v>
      </x:c>
      <x:c r="E6458" t="str" s="2">
        <x:v>alamilladelia@gmail.com</x:v>
      </x:c>
      <x:c r="F6458" t="str" s="2">
        <x:v>Facebook Messenger</x:v>
      </x:c>
      <x:c r="G6458" t="str" s="2">
        <x:v>Brandie Sartor</x:v>
      </x:c>
      <x:c r="H6458" s="6">
        <x:v>46290.53689556713</x:v>
      </x:c>
      <x:c r="I6458" t="str" s="2">
        <x:v>Ana Garcia</x:v>
      </x:c>
      <x:c r="J6458" s="0"/>
      <x:c r="K6458" s="6">
        <x:v>46290.53689556713</x:v>
      </x:c>
      <x:c r="L6458" t="str" s="2">
        <x:v>Show</x:v>
      </x:c>
    </x:row>
    <x:row r="6459">
      <x:c r="A6459" t="str" s="2">
        <x:f>=HYPERLINK("https://rsms.futurehomex.com/lead/40355", "Tiffany Reel")</x:f>
      </x:c>
      <x:c r="B6459" t="str" s="2">
        <x:v>Heritage Housing of Asheboro</x:v>
      </x:c>
      <x:c r="C6459" t="str" s="2">
        <x:v/>
      </x:c>
      <x:c r="D6459" t="str" s="2">
        <x:v>3362635823</x:v>
      </x:c>
      <x:c r="E6459" t="str" s="2">
        <x:v>tiffany.reel@yahoo.com</x:v>
      </x:c>
      <x:c r="F6459" t="str" s="2">
        <x:v>Walk-in</x:v>
      </x:c>
      <x:c r="G6459" s="0"/>
      <x:c r="H6459" s="6">
        <x:v>46290.55198491898</x:v>
      </x:c>
      <x:c r="I6459" t="str" s="2">
        <x:v>Kate Gutierrez</x:v>
      </x:c>
      <x:c r="J6459" s="0"/>
      <x:c r="K6459" s="0"/>
      <x:c r="L6459" t="str" s="2">
        <x:v>Show</x:v>
      </x:c>
    </x:row>
    <x:row r="6460">
      <x:c r="A6460" t="str" s="2">
        <x:f>=HYPERLINK("https://rsms.futurehomex.com/lead/40362", "Llanet Martinez")</x:f>
      </x:c>
      <x:c r="B6460" t="str" s="2">
        <x:v>Heritage Housing of Asheboro</x:v>
      </x:c>
      <x:c r="C6460" t="str" s="2">
        <x:v/>
      </x:c>
      <x:c r="D6460" t="str" s="2">
        <x:v>7432674556</x:v>
      </x:c>
      <x:c r="E6460" t="str" s="2">
        <x:v>llanetmtz82@gmail.com</x:v>
      </x:c>
      <x:c r="F6460" t="str" s="2">
        <x:v>Walk-in</x:v>
      </x:c>
      <x:c r="G6460" s="0"/>
      <x:c r="H6460" s="6">
        <x:v>46290.65131446759</x:v>
      </x:c>
      <x:c r="I6460" t="str" s="2">
        <x:v>Maria Lopez</x:v>
      </x:c>
      <x:c r="J6460" s="0"/>
      <x:c r="K6460" s="0"/>
      <x:c r="L6460" t="str" s="2">
        <x:v>Show</x:v>
      </x:c>
    </x:row>
    <x:row r="6461">
      <x:c r="A6461" t="str" s="2">
        <x:f>=HYPERLINK("https://rsms.futurehomex.com/lead/40367", "Dorantes Jesus")</x:f>
      </x:c>
      <x:c r="B6461" t="str" s="2">
        <x:v>Heritage Housing of Athens</x:v>
      </x:c>
      <x:c r="C6461" t="str" s="2">
        <x:v/>
      </x:c>
      <x:c r="D6461" t="str" s="2">
        <x:v>7623103286</x:v>
      </x:c>
      <x:c r="E6461" t="str" s="2">
        <x:v>jesusdorantes531@gmail.com</x:v>
      </x:c>
      <x:c r="F6461" t="str" s="2">
        <x:v>Walk-in</x:v>
      </x:c>
      <x:c r="G6461" s="0"/>
      <x:c r="H6461" s="6">
        <x:v>46290.7009369213</x:v>
      </x:c>
      <x:c r="I6461" t="str" s="2">
        <x:v>Ethan Fossett</x:v>
      </x:c>
      <x:c r="J6461" s="0"/>
      <x:c r="K6461" s="0"/>
      <x:c r="L6461" t="str" s="2">
        <x:v>Show</x:v>
      </x:c>
    </x:row>
    <x:row r="6462">
      <x:c r="A6462" t="str" s="2">
        <x:f>=HYPERLINK("https://rsms.futurehomex.com/lead/40372", "Craig Monroe")</x:f>
      </x:c>
      <x:c r="B6462" t="str" s="2">
        <x:v>Heritage Housing of Albany</x:v>
      </x:c>
      <x:c r="C6462" t="str" s="2">
        <x:v>0/1</x:v>
      </x:c>
      <x:c r="D6462" t="str" s="2">
        <x:v>3862188015</x:v>
      </x:c>
      <x:c r="E6462" t="str" s="2">
        <x:v>monroecraig1@gmail.com</x:v>
      </x:c>
      <x:c r="F6462" t="str" s="2">
        <x:v>Walk-in</x:v>
      </x:c>
      <x:c r="G6462" s="0"/>
      <x:c r="H6462" s="6">
        <x:v>46290.787344675926</x:v>
      </x:c>
      <x:c r="I6462" t="str" s="2">
        <x:v>Justin Johnson</x:v>
      </x:c>
      <x:c r="J6462" s="0"/>
      <x:c r="K6462" s="6">
        <x:v>46303.83969907407</x:v>
      </x:c>
      <x:c r="L6462" t="str" s="2">
        <x:v>Show</x:v>
      </x:c>
    </x:row>
    <x:row r="6463">
      <x:c r="A6463" t="str" s="2">
        <x:f>=HYPERLINK("https://rsms.futurehomex.com/lead/40371", "Austin Sallas")</x:f>
      </x:c>
      <x:c r="B6463" t="str" s="2">
        <x:v>Heritage Housing of Tulsa</x:v>
      </x:c>
      <x:c r="C6463" t="str" s="2">
        <x:v/>
      </x:c>
      <x:c r="D6463" t="str" s="2">
        <x:v>9187120456</x:v>
      </x:c>
      <x:c r="E6463" t="str" s="2">
        <x:v>austinbsallas@gmail.com</x:v>
      </x:c>
      <x:c r="F6463" t="str" s="2">
        <x:v>Walk-in</x:v>
      </x:c>
      <x:c r="G6463" s="0"/>
      <x:c r="H6463" s="6">
        <x:v>46290.79969247685</x:v>
      </x:c>
      <x:c r="I6463" t="str" s="2">
        <x:v>Jenna Fransisco</x:v>
      </x:c>
      <x:c r="J6463" s="0"/>
      <x:c r="K6463" s="0"/>
      <x:c r="L6463" t="str" s="2">
        <x:v>Show</x:v>
      </x:c>
    </x:row>
    <x:row r="6464">
      <x:c r="A6464" t="str" s="2">
        <x:f>=HYPERLINK("https://rsms.futurehomex.com/lead/40545", "Sandra Bingham")</x:f>
      </x:c>
      <x:c r="B6464" t="str" s="2">
        <x:v>Heritage Housing of Athens</x:v>
      </x:c>
      <x:c r="C6464" t="str" s="2">
        <x:v/>
      </x:c>
      <x:c r="D6464" t="str" s="2">
        <x:v>4706607143</x:v>
      </x:c>
      <x:c r="E6464" t="str" s="2">
        <x:v>rena.bingham@yahoo.com</x:v>
      </x:c>
      <x:c r="F6464" t="str" s="2">
        <x:v>Walk-in</x:v>
      </x:c>
      <x:c r="G6464" t="str" s="2">
        <x:v>Yanet Alvarez</x:v>
      </x:c>
      <x:c r="H6464" s="6">
        <x:v>46290.87889309028</x:v>
      </x:c>
      <x:c r="I6464" t="str" s="2">
        <x:v>Nathan Bishop</x:v>
      </x:c>
      <x:c r="J6464" s="0"/>
      <x:c r="K6464" s="6">
        <x:v>46291</x:v>
      </x:c>
      <x:c r="L6464" t="str" s="2">
        <x:v>Show</x:v>
      </x:c>
    </x:row>
    <x:row r="6465">
      <x:c r="A6465" t="str" s="2">
        <x:f>=HYPERLINK("https://rsms.futurehomex.com/lead/40380", "Jonathan Kennedy")</x:f>
      </x:c>
      <x:c r="B6465" t="str" s="2">
        <x:v>Heritage Housing of Asheboro</x:v>
      </x:c>
      <x:c r="C6465" t="str" s="2">
        <x:v/>
      </x:c>
      <x:c r="D6465" t="str" s="2">
        <x:v>3365139968</x:v>
      </x:c>
      <x:c r="E6465" t="str" s="2">
        <x:v>kennedyjohn23n@gmail.com</x:v>
      </x:c>
      <x:c r="F6465" t="str" s="2">
        <x:v>Walk-in</x:v>
      </x:c>
      <x:c r="G6465" s="0"/>
      <x:c r="H6465" s="6">
        <x:v>46291.64190806713</x:v>
      </x:c>
      <x:c r="I6465" t="str" s="2">
        <x:v>Maria Lopez</x:v>
      </x:c>
      <x:c r="J6465" s="0"/>
      <x:c r="K6465" s="0"/>
      <x:c r="L6465" t="str" s="2">
        <x:v>Show</x:v>
      </x:c>
    </x:row>
    <x:row r="6466">
      <x:c r="A6466" t="str" s="2">
        <x:f>=HYPERLINK("https://rsms.futurehomex.com/lead/40381", "Richard Wills")</x:f>
      </x:c>
      <x:c r="B6466" t="str" s="2">
        <x:v>Heritage Housing of Athens</x:v>
      </x:c>
      <x:c r="C6466" t="str" s="2">
        <x:v/>
      </x:c>
      <x:c r="D6466" t="str" s="2">
        <x:v>7066120420</x:v>
      </x:c>
      <x:c r="E6466" t="str" s="2">
        <x:v>arickwills@icloud.com</x:v>
      </x:c>
      <x:c r="F6466" t="str" s="2">
        <x:v>Walk-in</x:v>
      </x:c>
      <x:c r="G6466" s="0"/>
      <x:c r="H6466" s="6">
        <x:v>46291.64683491898</x:v>
      </x:c>
      <x:c r="I6466" t="str" s="2">
        <x:v>Nathan Bishop</x:v>
      </x:c>
      <x:c r="J6466" s="0"/>
      <x:c r="K6466" s="0"/>
      <x:c r="L6466" t="str" s="2">
        <x:v>Show</x:v>
      </x:c>
    </x:row>
    <x:row r="6467">
      <x:c r="A6467" t="str" s="2">
        <x:f>=HYPERLINK("https://rsms.futurehomex.com/lead/40384", "Alexx Jones")</x:f>
      </x:c>
      <x:c r="B6467" t="str" s="2">
        <x:v>Heritage Housing of Athens</x:v>
      </x:c>
      <x:c r="C6467" t="str" s="2">
        <x:v/>
      </x:c>
      <x:c r="D6467" t="str" s="2">
        <x:v>4043908493</x:v>
      </x:c>
      <x:c r="E6467" t="str" s="2">
        <x:v>rjones5359@gmail.com</x:v>
      </x:c>
      <x:c r="F6467" t="str" s="2">
        <x:v>Walk-in</x:v>
      </x:c>
      <x:c r="G6467" s="0"/>
      <x:c r="H6467" s="6">
        <x:v>46291.653111377316</x:v>
      </x:c>
      <x:c r="I6467" t="str" s="2">
        <x:v>Ethan Fossett</x:v>
      </x:c>
      <x:c r="J6467" s="0"/>
      <x:c r="K6467" s="0"/>
      <x:c r="L6467" t="str" s="2">
        <x:v>Show</x:v>
      </x:c>
    </x:row>
    <x:row r="6468">
      <x:c r="A6468" t="str" s="2">
        <x:f>=HYPERLINK("https://rsms.futurehomex.com/lead/40385", "Michelle Michelle")</x:f>
      </x:c>
      <x:c r="B6468" t="str" s="2">
        <x:v>Heritage Housing of Oklahoma City</x:v>
      </x:c>
      <x:c r="C6468" t="str" s="2">
        <x:v/>
      </x:c>
      <x:c r="D6468" t="str" s="2">
        <x:v>4055107537</x:v>
      </x:c>
      <x:c r="E6468" t="str" s="2">
        <x:v>4055107537</x:v>
      </x:c>
      <x:c r="F6468" t="str" s="2">
        <x:v>Meta Ads - Messenger</x:v>
      </x:c>
      <x:c r="G6468" t="str" s="2">
        <x:v>Alejandra Calderon</x:v>
      </x:c>
      <x:c r="H6468" s="6">
        <x:v>46291.65583700231</x:v>
      </x:c>
      <x:c r="I6468" t="str" s="2">
        <x:v>Alejandra Calderon</x:v>
      </x:c>
      <x:c r="J6468" s="6">
        <x:v>46291.875</x:v>
      </x:c>
      <x:c r="K6468" s="6">
        <x:v>46294.99819146991</x:v>
      </x:c>
      <x:c r="L6468" t="str" s="2">
        <x:v>Show</x:v>
      </x:c>
    </x:row>
    <x:row r="6469">
      <x:c r="A6469" t="str" s="2">
        <x:f>=HYPERLINK("https://rsms.futurehomex.com/lead/40390", "Matthew Hall")</x:f>
      </x:c>
      <x:c r="B6469" t="str" s="2">
        <x:v>Heritage Housing of Tulsa</x:v>
      </x:c>
      <x:c r="C6469" t="str" s="2">
        <x:v/>
      </x:c>
      <x:c r="D6469" t="str" s="2">
        <x:v>9188552791</x:v>
      </x:c>
      <x:c r="E6469" t="str" s="2">
        <x:v>matt.hal.04@icloud.com</x:v>
      </x:c>
      <x:c r="F6469" t="str" s="2">
        <x:v>Walk-in</x:v>
      </x:c>
      <x:c r="G6469" s="0"/>
      <x:c r="H6469" s="6">
        <x:v>46291.670376967595</x:v>
      </x:c>
      <x:c r="I6469" t="str" s="2">
        <x:v>Jenna Fransisco</x:v>
      </x:c>
      <x:c r="J6469" s="0"/>
      <x:c r="K6469" s="0"/>
      <x:c r="L6469" t="str" s="2">
        <x:v>Show</x:v>
      </x:c>
    </x:row>
    <x:row r="6470">
      <x:c r="A6470" t="str" s="2">
        <x:f>=HYPERLINK("https://rsms.futurehomex.com/lead/40391", "Nancy Ortiz")</x:f>
      </x:c>
      <x:c r="B6470" t="str" s="2">
        <x:v>Legacy Housing Corp. DBA Americasa</x:v>
      </x:c>
      <x:c r="C6470" t="str" s="2">
        <x:v/>
      </x:c>
      <x:c r="D6470" t="str" s="2">
        <x:v>8328872684</x:v>
      </x:c>
      <x:c r="E6470" t="str" s="2">
        <x:v>8328872684</x:v>
      </x:c>
      <x:c r="F6470" t="str" s="2">
        <x:v>Walk-in</x:v>
      </x:c>
      <x:c r="G6470" t="str" s="2">
        <x:v>Angelica Mendoza </x:v>
      </x:c>
      <x:c r="H6470" s="6">
        <x:v>46291.7171721412</x:v>
      </x:c>
      <x:c r="I6470" t="str" s="2">
        <x:v>Angelica Mendoza </x:v>
      </x:c>
      <x:c r="J6470" s="0"/>
      <x:c r="K6470" s="6">
        <x:v>46291.7171721412</x:v>
      </x:c>
      <x:c r="L6470" t="str" s="2">
        <x:v>Show</x:v>
      </x:c>
    </x:row>
    <x:row r="6471">
      <x:c r="A6471" t="str" s="2">
        <x:f>=HYPERLINK("https://rsms.futurehomex.com/lead/40392", "Debbie Brooks")</x:f>
      </x:c>
      <x:c r="B6471" t="str" s="2">
        <x:v>Heritage Housing of Athens</x:v>
      </x:c>
      <x:c r="C6471" t="str" s="2">
        <x:v/>
      </x:c>
      <x:c r="D6471" t="str" s="2">
        <x:v>7062559443</x:v>
      </x:c>
      <x:c r="E6471" t="str" s="2">
        <x:v>brooks.randy69@gmail.com</x:v>
      </x:c>
      <x:c r="F6471" t="str" s="2">
        <x:v>Walk-in</x:v>
      </x:c>
      <x:c r="G6471" s="0"/>
      <x:c r="H6471" s="6">
        <x:v>46291.71763329861</x:v>
      </x:c>
      <x:c r="I6471" t="str" s="2">
        <x:v>Ethan Fossett</x:v>
      </x:c>
      <x:c r="J6471" s="0"/>
      <x:c r="K6471" s="0"/>
      <x:c r="L6471" t="str" s="2">
        <x:v>Show</x:v>
      </x:c>
    </x:row>
    <x:row r="6472">
      <x:c r="A6472" t="str" s="2">
        <x:f>=HYPERLINK("https://rsms.futurehomex.com/lead/40393", "Monika Woods")</x:f>
      </x:c>
      <x:c r="B6472" t="str" s="2">
        <x:v>Heritage Housing of Athens</x:v>
      </x:c>
      <x:c r="C6472" t="str" s="2">
        <x:v/>
      </x:c>
      <x:c r="D6472" t="str" s="2">
        <x:v>7064912806</x:v>
      </x:c>
      <x:c r="E6472" t="str" s="2">
        <x:v>mmmwoods@gmail.com</x:v>
      </x:c>
      <x:c r="F6472" t="str" s="2">
        <x:v>Walk-in</x:v>
      </x:c>
      <x:c r="G6472" s="0"/>
      <x:c r="H6472" s="6">
        <x:v>46291.72274042824</x:v>
      </x:c>
      <x:c r="I6472" t="str" s="2">
        <x:v>Nathan Bishop</x:v>
      </x:c>
      <x:c r="J6472" s="0"/>
      <x:c r="K6472" s="0"/>
      <x:c r="L6472" t="str" s="2">
        <x:v>Show</x:v>
      </x:c>
    </x:row>
    <x:row r="6473">
      <x:c r="A6473" t="str" s="2">
        <x:f>=HYPERLINK("https://rsms.futurehomex.com/lead/40394", "Geneciss Vasquez")</x:f>
      </x:c>
      <x:c r="B6473" t="str" s="2">
        <x:v>Heritage Housing of Athens</x:v>
      </x:c>
      <x:c r="C6473" t="str" s="2">
        <x:v/>
      </x:c>
      <x:c r="D6473" t="str" s="2">
        <x:v>6787697785</x:v>
      </x:c>
      <x:c r="E6473" t="str" s="2">
        <x:v>geneciss.hernandez@yahoo.com</x:v>
      </x:c>
      <x:c r="F6473" t="str" s="2">
        <x:v>Walk-in</x:v>
      </x:c>
      <x:c r="G6473" s="0"/>
      <x:c r="H6473" s="6">
        <x:v>46291.725728969905</x:v>
      </x:c>
      <x:c r="I6473" t="str" s="2">
        <x:v>Ethan Fossett</x:v>
      </x:c>
      <x:c r="J6473" s="0"/>
      <x:c r="K6473" s="0"/>
      <x:c r="L6473" t="str" s="2">
        <x:v>Show</x:v>
      </x:c>
    </x:row>
    <x:row r="6474">
      <x:c r="A6474" t="str" s="2">
        <x:f>=HYPERLINK("https://rsms.futurehomex.com/lead/40396", "Devin Mabry")</x:f>
      </x:c>
      <x:c r="B6474" t="str" s="2">
        <x:v>Heritage Housing of Oklahoma City</x:v>
      </x:c>
      <x:c r="C6474" t="str" s="2">
        <x:v/>
      </x:c>
      <x:c r="D6474" t="str" s="2">
        <x:v>4055746820</x:v>
      </x:c>
      <x:c r="E6474" t="str" s="2">
        <x:v>devinmabry@yahoo.com</x:v>
      </x:c>
      <x:c r="F6474" t="str" s="2">
        <x:v>Walk-in</x:v>
      </x:c>
      <x:c r="G6474" t="str" s="2">
        <x:v>Eva Misheva</x:v>
      </x:c>
      <x:c r="H6474" s="6">
        <x:v>46291.74583090278</x:v>
      </x:c>
      <x:c r="I6474" t="str" s="2">
        <x:v>Trey Rixleben</x:v>
      </x:c>
      <x:c r="J6474" s="0"/>
      <x:c r="K6474" s="6">
        <x:v>46291.74583090278</x:v>
      </x:c>
      <x:c r="L6474" t="str" s="2">
        <x:v>Show</x:v>
      </x:c>
    </x:row>
    <x:row r="6475">
      <x:c r="A6475" t="str" s="2">
        <x:f>=HYPERLINK("https://rsms.futurehomex.com/lead/40400", "Kevin Hays")</x:f>
      </x:c>
      <x:c r="B6475" t="str" s="2">
        <x:v>Heritage Housing of Athens</x:v>
      </x:c>
      <x:c r="C6475" t="str" s="2">
        <x:v/>
      </x:c>
      <x:c r="D6475" t="str" s="2">
        <x:v>6783878821</x:v>
      </x:c>
      <x:c r="E6475" t="str" s="2">
        <x:v>kevinhays@outlook.com</x:v>
      </x:c>
      <x:c r="F6475" t="str" s="2">
        <x:v>Walk-in</x:v>
      </x:c>
      <x:c r="G6475" s="0"/>
      <x:c r="H6475" s="6">
        <x:v>46291.83992604167</x:v>
      </x:c>
      <x:c r="I6475" t="str" s="2">
        <x:v>Ethan Fossett</x:v>
      </x:c>
      <x:c r="J6475" s="0"/>
      <x:c r="K6475" s="0"/>
      <x:c r="L6475" t="str" s="2">
        <x:v>Show</x:v>
      </x:c>
    </x:row>
    <x:row r="6476">
      <x:c r="A6476" t="str" s="2">
        <x:f>=HYPERLINK("https://rsms.futurehomex.com/lead/40402", "Angie Cassidy")</x:f>
      </x:c>
      <x:c r="B6476" t="str" s="2">
        <x:v>Heritage Housing of Athens</x:v>
      </x:c>
      <x:c r="C6476" t="str" s="2">
        <x:v/>
      </x:c>
      <x:c r="D6476" t="str" s="2">
        <x:v>7068051137</x:v>
      </x:c>
      <x:c r="E6476" t="str" s="2">
        <x:v>seans1honey@yahoo.com</x:v>
      </x:c>
      <x:c r="F6476" t="str" s="2">
        <x:v>Walk-in</x:v>
      </x:c>
      <x:c r="G6476" s="0"/>
      <x:c r="H6476" s="6">
        <x:v>46291.860918136575</x:v>
      </x:c>
      <x:c r="I6476" t="str" s="2">
        <x:v>Nathan Bishop</x:v>
      </x:c>
      <x:c r="J6476" s="0"/>
      <x:c r="K6476" s="0"/>
      <x:c r="L6476" t="str" s="2">
        <x:v>Show</x:v>
      </x:c>
    </x:row>
    <x:row r="6477">
      <x:c r="A6477" t="str" s="2">
        <x:f>=HYPERLINK("https://rsms.futurehomex.com/lead/40403", "Joyce Bowman")</x:f>
      </x:c>
      <x:c r="B6477" t="str" s="2">
        <x:v>Heritage Housing of Minden</x:v>
      </x:c>
      <x:c r="C6477" t="str" s="2">
        <x:v>0/1</x:v>
      </x:c>
      <x:c r="D6477" t="str" s="2">
        <x:v>3182439042</x:v>
      </x:c>
      <x:c r="E6477" t="str" s="2">
        <x:v>joycestan@hotmail.com</x:v>
      </x:c>
      <x:c r="F6477" t="str" s="2">
        <x:v>Walk-in</x:v>
      </x:c>
      <x:c r="G6477" s="0"/>
      <x:c r="H6477" s="6">
        <x:v>46291.900411030096</x:v>
      </x:c>
      <x:c r="I6477" t="str" s="2">
        <x:v>Patrick Schuchart</x:v>
      </x:c>
      <x:c r="J6477" s="0"/>
      <x:c r="K6477" s="0"/>
      <x:c r="L6477" t="str" s="2">
        <x:v>Show</x:v>
      </x:c>
    </x:row>
    <x:row r="6478">
      <x:c r="A6478" t="str" s="2">
        <x:f>=HYPERLINK("https://rsms.futurehomex.com/lead/40416", "Lakesha Tilman")</x:f>
      </x:c>
      <x:c r="B6478" t="str" s="2">
        <x:v>Heritage Housing of Asheboro</x:v>
      </x:c>
      <x:c r="C6478" t="str" s="2">
        <x:v/>
      </x:c>
      <x:c r="D6478" t="str" s="2">
        <x:v>3369635876</x:v>
      </x:c>
      <x:c r="E6478" t="str" s="2">
        <x:v>texasstateofmind82@yahoo.com</x:v>
      </x:c>
      <x:c r="F6478" t="str" s="2">
        <x:v>Landing_BPM</x:v>
      </x:c>
      <x:c r="G6478" t="str" s="2">
        <x:v>Kate Gutierrez</x:v>
      </x:c>
      <x:c r="H6478" s="6">
        <x:v>46292.566663854166</x:v>
      </x:c>
      <x:c r="I6478" t="str" s="2">
        <x:v>Kate Gutierrez</x:v>
      </x:c>
      <x:c r="J6478" s="6">
        <x:v>46294.625</x:v>
      </x:c>
      <x:c r="K6478" s="6">
        <x:v>46302.5901130787</x:v>
      </x:c>
      <x:c r="L6478" t="str" s="2">
        <x:v>Show</x:v>
      </x:c>
    </x:row>
    <x:row r="6479">
      <x:c r="A6479" t="str" s="2">
        <x:f>=HYPERLINK("https://rsms.futurehomex.com/lead/40404", "Misty Vasquez")</x:f>
      </x:c>
      <x:c r="B6479" t="str" s="2">
        <x:v>Heritage Housing of Oklahoma City</x:v>
      </x:c>
      <x:c r="C6479" t="str" s="2">
        <x:v/>
      </x:c>
      <x:c r="D6479" t="str" s="2">
        <x:v>4059790316</x:v>
      </x:c>
      <x:c r="E6479" t="str" s="2">
        <x:v>mistyvas@gmail.com</x:v>
      </x:c>
      <x:c r="F6479" t="str" s="2">
        <x:v>Walk-in</x:v>
      </x:c>
      <x:c r="G6479" t="str" s="2">
        <x:v>Eva Misheva</x:v>
      </x:c>
      <x:c r="H6479" s="6">
        <x:v>46292.86019846065</x:v>
      </x:c>
      <x:c r="I6479" t="str" s="2">
        <x:v>Eva Misheva</x:v>
      </x:c>
      <x:c r="J6479" s="0"/>
      <x:c r="K6479" s="6">
        <x:v>46292.86019846065</x:v>
      </x:c>
      <x:c r="L6479" t="str" s="2">
        <x:v>Show</x:v>
      </x:c>
    </x:row>
    <x:row r="6480">
      <x:c r="A6480" t="str" s="2">
        <x:f>=HYPERLINK("https://rsms.futurehomex.com/lead/40407", "Casey Gaskay")</x:f>
      </x:c>
      <x:c r="B6480" t="str" s="2">
        <x:v>Heritage Housing of Oklahoma City</x:v>
      </x:c>
      <x:c r="C6480" t="str" s="2">
        <x:v/>
      </x:c>
      <x:c r="D6480" t="str" s="2">
        <x:v>4059966130</x:v>
      </x:c>
      <x:c r="E6480" t="str" s="2">
        <x:v>caseylane92@gmail.com</x:v>
      </x:c>
      <x:c r="F6480" t="str" s="2">
        <x:v>Walk-in</x:v>
      </x:c>
      <x:c r="G6480" t="str" s="2">
        <x:v>Eva Misheva</x:v>
      </x:c>
      <x:c r="H6480" s="6">
        <x:v>46292.896943287036</x:v>
      </x:c>
      <x:c r="I6480" t="str" s="2">
        <x:v>Eva Misheva</x:v>
      </x:c>
      <x:c r="J6480" s="0"/>
      <x:c r="K6480" s="6">
        <x:v>46292.896943287036</x:v>
      </x:c>
      <x:c r="L6480" t="str" s="2">
        <x:v>Show</x:v>
      </x:c>
    </x:row>
    <x:row r="6481">
      <x:c r="A6481" t="str" s="2">
        <x:f>=HYPERLINK("https://rsms.futurehomex.com/lead/40408", "Sierra Patterson")</x:f>
      </x:c>
      <x:c r="B6481" t="str" s="2">
        <x:v>Heritage Housing of Oklahoma City</x:v>
      </x:c>
      <x:c r="C6481" t="str" s="2">
        <x:v/>
      </x:c>
      <x:c r="D6481" t="str" s="2">
        <x:v>4794622622</x:v>
      </x:c>
      <x:c r="E6481" t="str" s="2">
        <x:v>sierrapatterson87@yahoo.com</x:v>
      </x:c>
      <x:c r="F6481" t="str" s="2">
        <x:v>Walk-in</x:v>
      </x:c>
      <x:c r="G6481" t="str" s="2">
        <x:v>Eva Misheva</x:v>
      </x:c>
      <x:c r="H6481" s="6">
        <x:v>46292.91535228009</x:v>
      </x:c>
      <x:c r="I6481" t="str" s="2">
        <x:v>Steve Castell</x:v>
      </x:c>
      <x:c r="J6481" s="0"/>
      <x:c r="K6481" s="6">
        <x:v>46292.91535228009</x:v>
      </x:c>
      <x:c r="L6481" t="str" s="2">
        <x:v>Show</x:v>
      </x:c>
    </x:row>
    <x:row r="6482">
      <x:c r="A6482" t="str" s="2">
        <x:f>=HYPERLINK("https://rsms.futurehomex.com/lead/40413", "Henry Merriweather")</x:f>
      </x:c>
      <x:c r="B6482" t="str" s="2">
        <x:v>Heritage Housing of Augusta</x:v>
      </x:c>
      <x:c r="C6482" t="str" s="2">
        <x:v/>
      </x:c>
      <x:c r="D6482" t="str" s="2">
        <x:v>8033419426</x:v>
      </x:c>
      <x:c r="E6482" t="str" s="2">
        <x:v>henrymerr9@icloud.com</x:v>
      </x:c>
      <x:c r="F6482" t="str" s="2">
        <x:v>Walk-in</x:v>
      </x:c>
      <x:c r="G6482" s="0"/>
      <x:c r="H6482" s="6">
        <x:v>46293.60977847222</x:v>
      </x:c>
      <x:c r="I6482" t="str" s="2">
        <x:v>Faye Lively</x:v>
      </x:c>
      <x:c r="J6482" s="0"/>
      <x:c r="K6482" s="0"/>
      <x:c r="L6482" t="str" s="2">
        <x:v>Show</x:v>
      </x:c>
    </x:row>
    <x:row r="6483">
      <x:c r="A6483" t="str" s="2">
        <x:f>=HYPERLINK("https://rsms.futurehomex.com/lead/40417", "Duntay Easley")</x:f>
      </x:c>
      <x:c r="B6483" t="str" s="2">
        <x:v>Heritage Housing of Athens</x:v>
      </x:c>
      <x:c r="C6483" t="str" s="2">
        <x:v/>
      </x:c>
      <x:c r="D6483" t="str" s="2">
        <x:v>7623476488</x:v>
      </x:c>
      <x:c r="E6483" t="str" s="2">
        <x:v>duntayeasley946@gmail.com</x:v>
      </x:c>
      <x:c r="F6483" t="str" s="2">
        <x:v>Walk-in</x:v>
      </x:c>
      <x:c r="G6483" s="0"/>
      <x:c r="H6483" s="6">
        <x:v>46293.70867445602</x:v>
      </x:c>
      <x:c r="I6483" t="str" s="2">
        <x:v>Nathan Bishop</x:v>
      </x:c>
      <x:c r="J6483" s="0"/>
      <x:c r="K6483" s="0"/>
      <x:c r="L6483" t="str" s="2">
        <x:v>Show</x:v>
      </x:c>
    </x:row>
    <x:row r="6484">
      <x:c r="A6484" t="str" s="2">
        <x:f>=HYPERLINK("https://rsms.futurehomex.com/lead/40418", "Trae Baker")</x:f>
      </x:c>
      <x:c r="B6484" t="str" s="2">
        <x:v>Heritage Housing of Athens</x:v>
      </x:c>
      <x:c r="C6484" t="str" s="2">
        <x:v/>
      </x:c>
      <x:c r="D6484" t="str" s="2">
        <x:v>7064247571</x:v>
      </x:c>
      <x:c r="E6484" t="str" s="2">
        <x:v>traebaker89@gmail.com</x:v>
      </x:c>
      <x:c r="F6484" t="str" s="2">
        <x:v>Walk-in</x:v>
      </x:c>
      <x:c r="G6484" s="0"/>
      <x:c r="H6484" s="6">
        <x:v>46293.741154282405</x:v>
      </x:c>
      <x:c r="I6484" t="str" s="2">
        <x:v>Ethan Fossett</x:v>
      </x:c>
      <x:c r="J6484" s="0"/>
      <x:c r="K6484" s="0"/>
      <x:c r="L6484" t="str" s="2">
        <x:v>Show</x:v>
      </x:c>
    </x:row>
    <x:row r="6485">
      <x:c r="A6485" t="str" s="2">
        <x:f>=HYPERLINK("https://rsms.futurehomex.com/lead/40463", "Bobby Ellison")</x:f>
      </x:c>
      <x:c r="B6485" t="str" s="2">
        <x:v>Heritage Housing of Albany</x:v>
      </x:c>
      <x:c r="C6485" t="str" s="2">
        <x:v/>
      </x:c>
      <x:c r="D6485" t="str" s="2">
        <x:v>2296039493</x:v>
      </x:c>
      <x:c r="E6485" t="str" s="2">
        <x:v>bobbyellison@gmail.com</x:v>
      </x:c>
      <x:c r="F6485" t="str" s="2">
        <x:v>Walk-in</x:v>
      </x:c>
      <x:c r="G6485" s="0"/>
      <x:c r="H6485" s="6">
        <x:v>46293.76612704861</x:v>
      </x:c>
      <x:c r="I6485" t="str" s="2">
        <x:v>Yanet Alvarez</x:v>
      </x:c>
      <x:c r="J6485" s="0"/>
      <x:c r="K6485" s="0"/>
      <x:c r="L6485" t="str" s="2">
        <x:v>Show</x:v>
      </x:c>
    </x:row>
    <x:row r="6486">
      <x:c r="A6486" t="str" s="2">
        <x:f>=HYPERLINK("https://rsms.futurehomex.com/lead/40420", "Dustin Cinnamon")</x:f>
      </x:c>
      <x:c r="B6486" t="str" s="2">
        <x:v>Heritage Housing of Athens</x:v>
      </x:c>
      <x:c r="C6486" t="str" s="2">
        <x:v/>
      </x:c>
      <x:c r="D6486" t="str" s="2">
        <x:v>5803705015</x:v>
      </x:c>
      <x:c r="E6486" t="str" s="2">
        <x:v>dcinnamo@yahoo.com</x:v>
      </x:c>
      <x:c r="F6486" t="str" s="2">
        <x:v>Walk-in</x:v>
      </x:c>
      <x:c r="G6486" s="0"/>
      <x:c r="H6486" s="6">
        <x:v>46293.80839259259</x:v>
      </x:c>
      <x:c r="I6486" t="str" s="2">
        <x:v>Nathan Bishop</x:v>
      </x:c>
      <x:c r="J6486" s="0"/>
      <x:c r="K6486" s="0"/>
      <x:c r="L6486" t="str" s="2">
        <x:v>Show</x:v>
      </x:c>
    </x:row>
    <x:row r="6487">
      <x:c r="A6487" t="str" s="2">
        <x:f>=HYPERLINK("https://rsms.futurehomex.com/lead/40421", "Rodolfo Eugenio Alamilla Gonzalez")</x:f>
      </x:c>
      <x:c r="B6487" t="str" s="2">
        <x:v>Heritage Housing of Greenville</x:v>
      </x:c>
      <x:c r="C6487" t="str" s="2">
        <x:v/>
      </x:c>
      <x:c r="D6487" t="str" s="2">
        <x:v>2144297478</x:v>
      </x:c>
      <x:c r="E6487" t="str" s="2">
        <x:v>Rodolfoalamilla666@gmail.com</x:v>
      </x:c>
      <x:c r="F6487" t="str" s="2">
        <x:v>Facebook Messenger</x:v>
      </x:c>
      <x:c r="G6487" t="str" s="2">
        <x:v>Brandie Sartor</x:v>
      </x:c>
      <x:c r="H6487" s="6">
        <x:v>46293.81732079861</x:v>
      </x:c>
      <x:c r="I6487" t="str" s="2">
        <x:v>Ana Garcia</x:v>
      </x:c>
      <x:c r="J6487" s="0"/>
      <x:c r="K6487" s="6">
        <x:v>46293.81732079861</x:v>
      </x:c>
      <x:c r="L6487" t="str" s="2">
        <x:v>Show</x:v>
      </x:c>
    </x:row>
    <x:row r="6488">
      <x:c r="A6488" t="str" s="2">
        <x:f>=HYPERLINK("https://rsms.futurehomex.com/lead/40423", "Hunter Wright")</x:f>
      </x:c>
      <x:c r="B6488" t="str" s="2">
        <x:v>Heritage Housing of Canton</x:v>
      </x:c>
      <x:c r="C6488" t="str" s="2">
        <x:v/>
      </x:c>
      <x:c r="D6488" t="str" s="2">
        <x:v>9034741930</x:v>
      </x:c>
      <x:c r="E6488" t="str" s="2">
        <x:v>dlainew85@aol.com</x:v>
      </x:c>
      <x:c r="F6488" t="str" s="2">
        <x:v>Other</x:v>
      </x:c>
      <x:c r="G6488" t="str" s="2">
        <x:v>Adriana Jaimes-Martinez</x:v>
      </x:c>
      <x:c r="H6488" s="6">
        <x:v>46293.824246909724</x:v>
      </x:c>
      <x:c r="I6488" t="str" s="2">
        <x:v>Jacob Hatten</x:v>
      </x:c>
      <x:c r="J6488" s="0"/>
      <x:c r="K6488" s="6">
        <x:v>46293.824246909724</x:v>
      </x:c>
      <x:c r="L6488" t="str" s="2">
        <x:v>Show</x:v>
      </x:c>
    </x:row>
    <x:row r="6489">
      <x:c r="A6489" t="str" s="2">
        <x:f>=HYPERLINK("https://rsms.futurehomex.com/lead/40425", "Nazario Gerardo Lanverde Guerrero")</x:f>
      </x:c>
      <x:c r="B6489" t="str" s="2">
        <x:v>Heritage Housing of Greenville</x:v>
      </x:c>
      <x:c r="C6489" t="str" s="2">
        <x:v/>
      </x:c>
      <x:c r="D6489" t="str" s="2">
        <x:v>2146698679</x:v>
      </x:c>
      <x:c r="E6489" t="str" s="2">
        <x:v>landaverde072@gmail.com</x:v>
      </x:c>
      <x:c r="F6489" t="str" s="2">
        <x:v>TikTok</x:v>
      </x:c>
      <x:c r="G6489" t="str" s="2">
        <x:v>Brandie Sartor</x:v>
      </x:c>
      <x:c r="H6489" s="6">
        <x:v>46293.87721322916</x:v>
      </x:c>
      <x:c r="I6489" t="str" s="2">
        <x:v>Oscar Osorio</x:v>
      </x:c>
      <x:c r="J6489" s="0"/>
      <x:c r="K6489" s="6">
        <x:v>46293.87721322916</x:v>
      </x:c>
      <x:c r="L6489" t="str" s="2">
        <x:v>Show</x:v>
      </x:c>
    </x:row>
    <x:row r="6490">
      <x:c r="A6490" t="str" s="2">
        <x:f>=HYPERLINK("https://rsms.futurehomex.com/lead/40429", "Denverd Sams")</x:f>
      </x:c>
      <x:c r="B6490" t="str" s="2">
        <x:v>Heritage Housing of Minden</x:v>
      </x:c>
      <x:c r="C6490" t="str" s="2">
        <x:v/>
      </x:c>
      <x:c r="D6490" t="str" s="2">
        <x:v>3183313568</x:v>
      </x:c>
      <x:c r="E6490" t="str" s="2">
        <x:v>dsams@wnpd.la.gov</x:v>
      </x:c>
      <x:c r="F6490" t="str" s="2">
        <x:v>Walk-in</x:v>
      </x:c>
      <x:c r="G6490" s="0"/>
      <x:c r="H6490" s="6">
        <x:v>46293.9049690625</x:v>
      </x:c>
      <x:c r="I6490" t="str" s="2">
        <x:v>Patrick Schuchart</x:v>
      </x:c>
      <x:c r="J6490" s="0"/>
      <x:c r="K6490" s="6">
        <x:v>46297.92231030093</x:v>
      </x:c>
      <x:c r="L6490" t="str" s="2">
        <x:v>Show</x:v>
      </x:c>
    </x:row>
    <x:row r="6491">
      <x:c r="A6491" t="str" s="2">
        <x:f>=HYPERLINK("https://rsms.futurehomex.com/lead/40433", "Darren Brown")</x:f>
      </x:c>
      <x:c r="B6491" t="str" s="2">
        <x:v>Heritage Housing of Oklahoma City</x:v>
      </x:c>
      <x:c r="C6491" t="str" s="2">
        <x:v/>
      </x:c>
      <x:c r="D6491" t="str" s="2">
        <x:v>8136832574</x:v>
      </x:c>
      <x:c r="E6491" t="str" s="2">
        <x:v>darrenbrown847@gmail.com</x:v>
      </x:c>
      <x:c r="F6491" t="str" s="2">
        <x:v>Facebook Messenger</x:v>
      </x:c>
      <x:c r="G6491" t="str" s="2">
        <x:v>Alejandra Calderon</x:v>
      </x:c>
      <x:c r="H6491" s="6">
        <x:v>46294.577042164354</x:v>
      </x:c>
      <x:c r="I6491" t="str" s="2">
        <x:v>Alejandra Calderon</x:v>
      </x:c>
      <x:c r="J6491" s="6">
        <x:v>46294.75</x:v>
      </x:c>
      <x:c r="K6491" s="6">
        <x:v>46294.84319475695</x:v>
      </x:c>
      <x:c r="L6491" t="str" s="2">
        <x:v>Show</x:v>
      </x:c>
    </x:row>
    <x:row r="6492">
      <x:c r="A6492" t="str" s="2">
        <x:f>=HYPERLINK("https://rsms.futurehomex.com/lead/40439", "Dulce Duarte")</x:f>
      </x:c>
      <x:c r="B6492" t="str" s="2">
        <x:v>Legacy Housing Corp. DBA Americasa</x:v>
      </x:c>
      <x:c r="C6492" t="str" s="2">
        <x:v/>
      </x:c>
      <x:c r="D6492" t="str" s="2">
        <x:v>8326708350</x:v>
      </x:c>
      <x:c r="E6492" t="str" s="2">
        <x:v>8326708350</x:v>
      </x:c>
      <x:c r="F6492" t="str" s="2">
        <x:v>Referrals</x:v>
      </x:c>
      <x:c r="G6492" t="str" s="2">
        <x:v>Angelica Mendoza </x:v>
      </x:c>
      <x:c r="H6492" s="6">
        <x:v>46294.64459876157</x:v>
      </x:c>
      <x:c r="I6492" t="str" s="2">
        <x:v>Angelica Mendoza </x:v>
      </x:c>
      <x:c r="J6492" s="0"/>
      <x:c r="K6492" s="6">
        <x:v>46294.64459876157</x:v>
      </x:c>
      <x:c r="L6492" t="str" s="2">
        <x:v>Show</x:v>
      </x:c>
    </x:row>
    <x:row r="6493">
      <x:c r="A6493" t="str" s="2">
        <x:f>=HYPERLINK("https://rsms.futurehomex.com/lead/40442", "Pamela Cassidy")</x:f>
      </x:c>
      <x:c r="B6493" t="str" s="2">
        <x:v>Heritage Housing of Asheboro</x:v>
      </x:c>
      <x:c r="C6493" t="str" s="2">
        <x:v/>
      </x:c>
      <x:c r="D6493" t="str" s="2">
        <x:v>7035826213</x:v>
      </x:c>
      <x:c r="E6493" t="str" s="2">
        <x:v>pamelacassidy@myyahoo.com</x:v>
      </x:c>
      <x:c r="F6493" t="str" s="2">
        <x:v>Walk-in</x:v>
      </x:c>
      <x:c r="G6493" s="0"/>
      <x:c r="H6493" s="6">
        <x:v>46294.68069533565</x:v>
      </x:c>
      <x:c r="I6493" t="str" s="2">
        <x:v>Maria Lopez</x:v>
      </x:c>
      <x:c r="J6493" s="0"/>
      <x:c r="K6493" s="0"/>
      <x:c r="L6493" t="str" s="2">
        <x:v>Show</x:v>
      </x:c>
    </x:row>
    <x:row r="6494">
      <x:c r="A6494" t="str" s="2">
        <x:f>=HYPERLINK("https://rsms.futurehomex.com/lead/40447", "Alexis Moss-Assoumou")</x:f>
      </x:c>
      <x:c r="B6494" t="str" s="2">
        <x:v>Heritage Housing of Augusta</x:v>
      </x:c>
      <x:c r="C6494" t="str" s="2">
        <x:v/>
      </x:c>
      <x:c r="D6494" t="str" s="2">
        <x:v>7063944086</x:v>
      </x:c>
      <x:c r="E6494" t="str" s="2">
        <x:v>mosscarter09@gmail.com</x:v>
      </x:c>
      <x:c r="F6494" t="str" s="2">
        <x:v>Referrals</x:v>
      </x:c>
      <x:c r="G6494" t="str" s="2">
        <x:v>Jose Chavez</x:v>
      </x:c>
      <x:c r="H6494" s="6">
        <x:v>46294.70138313658</x:v>
      </x:c>
      <x:c r="I6494" t="str" s="2">
        <x:v>Jennifer Johnson</x:v>
      </x:c>
      <x:c r="J6494" s="6">
        <x:v>46301.666666666664</x:v>
      </x:c>
      <x:c r="K6494" s="6">
        <x:v>46297.59435883102</x:v>
      </x:c>
      <x:c r="L6494" t="str" s="2">
        <x:v>Show</x:v>
      </x:c>
    </x:row>
    <x:row r="6495">
      <x:c r="A6495" t="str" s="2">
        <x:f>=HYPERLINK("https://rsms.futurehomex.com/lead/40448", "Test B Legacy")</x:f>
      </x:c>
      <x:c r="B6495" t="str" s="2">
        <x:v>Heritage Housing Gainesville</x:v>
      </x:c>
      <x:c r="C6495" t="str" s="2">
        <x:v/>
      </x:c>
      <x:c r="D6495" t="str" s="2">
        <x:v>8178620587</x:v>
      </x:c>
      <x:c r="E6495" t="str" s="2">
        <x:v>brad@housingcorp.com</x:v>
      </x:c>
      <x:c r="F6495" t="str" s="2">
        <x:v>Office Hot Calls</x:v>
      </x:c>
      <x:c r="G6495" t="str" s="2">
        <x:v>Dane Lara</x:v>
      </x:c>
      <x:c r="H6495" s="6">
        <x:v>46294.70369934028</x:v>
      </x:c>
      <x:c r="I6495" t="str" s="2">
        <x:v>Kelly Ford</x:v>
      </x:c>
      <x:c r="J6495" s="0"/>
      <x:c r="K6495" s="6">
        <x:v>46294.70369934028</x:v>
      </x:c>
      <x:c r="L6495" t="str" s="2">
        <x:v>Show</x:v>
      </x:c>
    </x:row>
    <x:row r="6496">
      <x:c r="A6496" t="str" s="2">
        <x:f>=HYPERLINK("https://rsms.futurehomex.com/lead/40453", "Owen Mooney")</x:f>
      </x:c>
      <x:c r="B6496" t="str" s="2">
        <x:v>Heritage Housing of Tulsa</x:v>
      </x:c>
      <x:c r="C6496" t="str" s="2">
        <x:v/>
      </x:c>
      <x:c r="D6496" t="str" s="2">
        <x:v>9187591553</x:v>
      </x:c>
      <x:c r="E6496" t="str" s="2">
        <x:v>owen.mooney51615@icloud.com</x:v>
      </x:c>
      <x:c r="F6496" t="str" s="2">
        <x:v>Walk-in</x:v>
      </x:c>
      <x:c r="G6496" s="0"/>
      <x:c r="H6496" s="6">
        <x:v>46294.781392743054</x:v>
      </x:c>
      <x:c r="I6496" t="str" s="2">
        <x:v>Jenna Fransisco</x:v>
      </x:c>
      <x:c r="J6496" s="0"/>
      <x:c r="K6496" s="0"/>
      <x:c r="L6496" t="str" s="2">
        <x:v>Show</x:v>
      </x:c>
    </x:row>
    <x:row r="6497">
      <x:c r="A6497" t="str" s="2">
        <x:f>=HYPERLINK("https://rsms.futurehomex.com/lead/40466", "Terry Allen")</x:f>
      </x:c>
      <x:c r="B6497" t="str" s="2">
        <x:v>Heritage Housing of Athens</x:v>
      </x:c>
      <x:c r="C6497" t="str" s="2">
        <x:v/>
      </x:c>
      <x:c r="D6497" t="str" s="2">
        <x:v>7063385534</x:v>
      </x:c>
      <x:c r="E6497" t="str" s="2">
        <x:v>na@email.com</x:v>
      </x:c>
      <x:c r="F6497" t="str" s="2">
        <x:v>Walk-in</x:v>
      </x:c>
      <x:c r="G6497" s="0"/>
      <x:c r="H6497" s="6">
        <x:v>46295.57521964121</x:v>
      </x:c>
      <x:c r="I6497" t="str" s="2">
        <x:v>Ethan Fossett</x:v>
      </x:c>
      <x:c r="J6497" s="0"/>
      <x:c r="K6497" s="0"/>
      <x:c r="L6497" t="str" s="2">
        <x:v>Show</x:v>
      </x:c>
    </x:row>
    <x:row r="6498">
      <x:c r="A6498" t="str" s="2">
        <x:f>=HYPERLINK("https://rsms.futurehomex.com/lead/40470", "Sid Pavatt")</x:f>
      </x:c>
      <x:c r="B6498" t="str" s="2">
        <x:v>Heritage Housing of Tulsa</x:v>
      </x:c>
      <x:c r="C6498" t="str" s="2">
        <x:v/>
      </x:c>
      <x:c r="D6498" t="str" s="2">
        <x:v>9182641903</x:v>
      </x:c>
      <x:c r="E6498" t="str" s="2">
        <x:v>nono@no.com</x:v>
      </x:c>
      <x:c r="F6498" t="str" s="2">
        <x:v>Walk-in</x:v>
      </x:c>
      <x:c r="G6498" s="0"/>
      <x:c r="H6498" s="6">
        <x:v>46295.61324521991</x:v>
      </x:c>
      <x:c r="I6498" t="str" s="2">
        <x:v>Jenna Fransisco</x:v>
      </x:c>
      <x:c r="J6498" s="0"/>
      <x:c r="K6498" s="0"/>
      <x:c r="L6498" t="str" s="2">
        <x:v>Show</x:v>
      </x:c>
    </x:row>
    <x:row r="6499">
      <x:c r="A6499" t="str" s="2">
        <x:f>=HYPERLINK("https://rsms.futurehomex.com/lead/40487", "Jessica Padgett")</x:f>
      </x:c>
      <x:c r="B6499" t="str" s="2">
        <x:v>Heritage Housing of Augusta</x:v>
      </x:c>
      <x:c r="C6499" t="str" s="2">
        <x:v/>
      </x:c>
      <x:c r="D6499" t="str" s="2">
        <x:v>7063050321</x:v>
      </x:c>
      <x:c r="E6499" t="str" s="2">
        <x:v>essica123@gmail.com</x:v>
      </x:c>
      <x:c r="F6499" t="str" s="2">
        <x:v>Walk-in</x:v>
      </x:c>
      <x:c r="G6499" s="0"/>
      <x:c r="H6499" s="6">
        <x:v>46295.66125188657</x:v>
      </x:c>
      <x:c r="I6499" t="str" s="2">
        <x:v>Jose Chavez</x:v>
      </x:c>
      <x:c r="J6499" s="0"/>
      <x:c r="K6499" s="0"/>
      <x:c r="L6499" t="str" s="2">
        <x:v>Show</x:v>
      </x:c>
    </x:row>
    <x:row r="6500">
      <x:c r="A6500" t="str" s="2">
        <x:f>="Tammy Carranco"</x:f>
      </x:c>
      <x:c r="B6500" t="str" s="2">
        <x:v>Heritage Housing of Athens</x:v>
      </x:c>
      <x:c r="C6500" t="str" s="2">
        <x:v/>
      </x:c>
      <x:c r="D6500" t="str" s="2">
        <x:v>4044538697</x:v>
      </x:c>
      <x:c r="E6500" t="str" s="2">
        <x:v>carranco.tammy@yahoo.com</x:v>
      </x:c>
      <x:c r="F6500" t="str" s="2">
        <x:v>Walk-in</x:v>
      </x:c>
      <x:c r="G6500" s="0"/>
      <x:c r="H6500" s="6">
        <x:v>46295.69183900463</x:v>
      </x:c>
      <x:c r="I6500" s="0"/>
      <x:c r="J6500" s="0"/>
      <x:c r="K6500" s="0"/>
      <x:c r="L6500" t="str" s="2">
        <x:v>Show</x:v>
      </x:c>
    </x:row>
    <x:row r="6501">
      <x:c r="A6501" t="str" s="2">
        <x:f>=HYPERLINK("https://rsms.futurehomex.com/lead/40483", "Seborn Tolver")</x:f>
      </x:c>
      <x:c r="B6501" t="str" s="2">
        <x:v>Heritage Housing of Augusta</x:v>
      </x:c>
      <x:c r="C6501" t="str" s="2">
        <x:v/>
      </x:c>
      <x:c r="D6501" t="str" s="2">
        <x:v>7062842434</x:v>
      </x:c>
      <x:c r="E6501" t="str" s="2">
        <x:v>7062842434</x:v>
      </x:c>
      <x:c r="F6501" t="str" s="2">
        <x:v>Walk-in</x:v>
      </x:c>
      <x:c r="G6501" t="str" s="2">
        <x:v>Jose Chavez</x:v>
      </x:c>
      <x:c r="H6501" s="6">
        <x:v>46295.7111622338</x:v>
      </x:c>
      <x:c r="I6501" t="str" s="2">
        <x:v>Jennifer Johnson</x:v>
      </x:c>
      <x:c r="J6501" s="6">
        <x:v>46298.75</x:v>
      </x:c>
      <x:c r="K6501" s="6">
        <x:v>46298.71289988426</x:v>
      </x:c>
      <x:c r="L6501" t="str" s="2">
        <x:v>Show</x:v>
      </x:c>
    </x:row>
    <x:row r="6502">
      <x:c r="A6502" t="str" s="2">
        <x:f>=HYPERLINK("https://rsms.futurehomex.com/lead/40486", "Amy Crawley")</x:f>
      </x:c>
      <x:c r="B6502" t="str" s="2">
        <x:v>Heritage Housing of Tulsa</x:v>
      </x:c>
      <x:c r="C6502" t="str" s="2">
        <x:v/>
      </x:c>
      <x:c r="D6502" t="str" s="2">
        <x:v>4052682403</x:v>
      </x:c>
      <x:c r="E6502" t="str" s="2">
        <x:v>amycrawley@hotmail.com</x:v>
      </x:c>
      <x:c r="F6502" t="str" s="2">
        <x:v>Walk-in</x:v>
      </x:c>
      <x:c r="G6502" s="0"/>
      <x:c r="H6502" s="6">
        <x:v>46295.72491107639</x:v>
      </x:c>
      <x:c r="I6502" t="str" s="2">
        <x:v>Jenna Fransisco</x:v>
      </x:c>
      <x:c r="J6502" s="0"/>
      <x:c r="K6502" s="0"/>
      <x:c r="L6502" t="str" s="2">
        <x:v>Show</x:v>
      </x:c>
    </x:row>
    <x:row r="6503">
      <x:c r="A6503" t="str" s="2">
        <x:f>=HYPERLINK("https://rsms.futurehomex.com/lead/40488", "Jessica Greynolds")</x:f>
      </x:c>
      <x:c r="B6503" t="str" s="2">
        <x:v>Heritage Housing of Augusta</x:v>
      </x:c>
      <x:c r="C6503" t="str" s="2">
        <x:v/>
      </x:c>
      <x:c r="D6503" t="str" s="2">
        <x:v>7069411256</x:v>
      </x:c>
      <x:c r="E6503" t="str" s="2">
        <x:v>jessicagreynolds0885@gmail.com</x:v>
      </x:c>
      <x:c r="F6503" t="str" s="2">
        <x:v>Walk-in</x:v>
      </x:c>
      <x:c r="G6503" s="0"/>
      <x:c r="H6503" s="6">
        <x:v>46295.73900540509</x:v>
      </x:c>
      <x:c r="I6503" t="str" s="2">
        <x:v>Jose Chavez</x:v>
      </x:c>
      <x:c r="J6503" s="0"/>
      <x:c r="K6503" s="0"/>
      <x:c r="L6503" t="str" s="2">
        <x:v>Show</x:v>
      </x:c>
    </x:row>
    <x:row r="6504">
      <x:c r="A6504" t="str" s="2">
        <x:f>=HYPERLINK("https://rsms.futurehomex.com/lead/40489", "Charles Hook")</x:f>
      </x:c>
      <x:c r="B6504" t="str" s="2">
        <x:v>Heritage Housing of Tulsa</x:v>
      </x:c>
      <x:c r="C6504" t="str" s="2">
        <x:v/>
      </x:c>
      <x:c r="D6504" t="str" s="2">
        <x:v>9185271634</x:v>
      </x:c>
      <x:c r="E6504" t="str" s="2">
        <x:v>charleshook7@yahoo.com</x:v>
      </x:c>
      <x:c r="F6504" t="str" s="2">
        <x:v>Walk-in</x:v>
      </x:c>
      <x:c r="G6504" t="str" s="2">
        <x:v>Derek Searcy</x:v>
      </x:c>
      <x:c r="H6504" s="6">
        <x:v>46295.74551015046</x:v>
      </x:c>
      <x:c r="I6504" t="str" s="2">
        <x:v>Jenna Fransisco</x:v>
      </x:c>
      <x:c r="J6504" s="0"/>
      <x:c r="K6504" s="6">
        <x:v>46295.74551015046</x:v>
      </x:c>
      <x:c r="L6504" t="str" s="2">
        <x:v>Show</x:v>
      </x:c>
    </x:row>
    <x:row r="6505">
      <x:c r="A6505" t="str" s="2">
        <x:f>=HYPERLINK("https://rsms.futurehomex.com/lead/40495", "Cynthia Starner")</x:f>
      </x:c>
      <x:c r="B6505" t="str" s="2">
        <x:v>Heritage Housing of Tulsa</x:v>
      </x:c>
      <x:c r="C6505" t="str" s="2">
        <x:v/>
      </x:c>
      <x:c r="D6505" t="str" s="2">
        <x:v>9185764527</x:v>
      </x:c>
      <x:c r="E6505" t="str" s="2">
        <x:v>nivsv2230@gmail.com</x:v>
      </x:c>
      <x:c r="F6505" t="str" s="2">
        <x:v>Walk-in</x:v>
      </x:c>
      <x:c r="G6505" s="0"/>
      <x:c r="H6505" s="6">
        <x:v>46295.87577357639</x:v>
      </x:c>
      <x:c r="I6505" t="str" s="2">
        <x:v>Jenna Fransisco</x:v>
      </x:c>
      <x:c r="J6505" s="0"/>
      <x:c r="K6505" s="0"/>
      <x:c r="L6505" t="str" s="2">
        <x:v>Show</x:v>
      </x:c>
    </x:row>
    <x:row r="6506">
      <x:c r="A6506" t="str" s="2">
        <x:f>=HYPERLINK("https://rsms.futurehomex.com/lead/40543", "Za’Kia Booker")</x:f>
      </x:c>
      <x:c r="B6506" t="str" s="2">
        <x:v>Heritage Housing of Athens</x:v>
      </x:c>
      <x:c r="C6506" t="str" s="2">
        <x:v/>
      </x:c>
      <x:c r="D6506" t="str" s="2">
        <x:v>7064010983</x:v>
      </x:c>
      <x:c r="E6506" t="str" s="2">
        <x:v>zakiabooker18@gmail.com</x:v>
      </x:c>
      <x:c r="F6506" t="str" s="2">
        <x:v>Landing_BPM</x:v>
      </x:c>
      <x:c r="G6506" t="str" s="2">
        <x:v>Nathan Bishop</x:v>
      </x:c>
      <x:c r="H6506" s="6">
        <x:v>46296.43035671296</x:v>
      </x:c>
      <x:c r="I6506" t="str" s="2">
        <x:v>Nathan Bishop</x:v>
      </x:c>
      <x:c r="J6506" s="6">
        <x:v>46298.572916666664</x:v>
      </x:c>
      <x:c r="K6506" s="6">
        <x:v>46298.57141917824</x:v>
      </x:c>
      <x:c r="L6506" t="str" s="2">
        <x:v>Show</x:v>
      </x:c>
    </x:row>
    <x:row r="6507">
      <x:c r="A6507" t="str" s="2">
        <x:f>=HYPERLINK("https://rsms.futurehomex.com/lead/40503", "Linda Sisk")</x:f>
      </x:c>
      <x:c r="B6507" t="str" s="2">
        <x:v>Heritage Housing of Athens</x:v>
      </x:c>
      <x:c r="C6507" t="str" s="2">
        <x:v/>
      </x:c>
      <x:c r="D6507" t="str" s="2">
        <x:v>7062445067</x:v>
      </x:c>
      <x:c r="E6507" t="str" s="2">
        <x:v>lindajeansisk@yahoo.com</x:v>
      </x:c>
      <x:c r="F6507" t="str" s="2">
        <x:v>Walk-in</x:v>
      </x:c>
      <x:c r="G6507" s="0"/>
      <x:c r="H6507" s="6">
        <x:v>46296.62610601852</x:v>
      </x:c>
      <x:c r="I6507" t="str" s="2">
        <x:v>Ethan Fossett</x:v>
      </x:c>
      <x:c r="J6507" s="0"/>
      <x:c r="K6507" s="0"/>
      <x:c r="L6507" t="str" s="2">
        <x:v>Show</x:v>
      </x:c>
    </x:row>
    <x:row r="6508">
      <x:c r="A6508" t="str" s="2">
        <x:f>=HYPERLINK("https://rsms.futurehomex.com/lead/40506", "Ricardo Guadarrama")</x:f>
      </x:c>
      <x:c r="B6508" t="str" s="2">
        <x:v>Heritage Housing of Athens</x:v>
      </x:c>
      <x:c r="C6508" t="str" s="2">
        <x:v/>
      </x:c>
      <x:c r="D6508" t="str" s="2">
        <x:v>7063714101</x:v>
      </x:c>
      <x:c r="E6508" t="str" s="2">
        <x:v>ricardoguadarramajr.18@gmail.com</x:v>
      </x:c>
      <x:c r="F6508" t="str" s="2">
        <x:v>Walk-in</x:v>
      </x:c>
      <x:c r="G6508" s="0"/>
      <x:c r="H6508" s="6">
        <x:v>46296.64692028935</x:v>
      </x:c>
      <x:c r="I6508" t="str" s="2">
        <x:v>Nathan Bishop</x:v>
      </x:c>
      <x:c r="J6508" s="0"/>
      <x:c r="K6508" s="0"/>
      <x:c r="L6508" t="str" s="2">
        <x:v>Show</x:v>
      </x:c>
    </x:row>
    <x:row r="6509">
      <x:c r="A6509" t="str" s="2">
        <x:f>=HYPERLINK("https://rsms.futurehomex.com/lead/40510", "Joy Leon")</x:f>
      </x:c>
      <x:c r="B6509" t="str" s="2">
        <x:v>Heritage Housing of Asheboro</x:v>
      </x:c>
      <x:c r="C6509" t="str" s="2">
        <x:v/>
      </x:c>
      <x:c r="D6509" t="str" s="2">
        <x:v>3369649016</x:v>
      </x:c>
      <x:c r="E6509" t="str" s="2">
        <x:v>joymartinez416@yahoo.com</x:v>
      </x:c>
      <x:c r="F6509" t="str" s="2">
        <x:v>Walk-in</x:v>
      </x:c>
      <x:c r="G6509" s="0"/>
      <x:c r="H6509" s="6">
        <x:v>46296.68312920139</x:v>
      </x:c>
      <x:c r="I6509" t="str" s="2">
        <x:v>Kate Gutierrez</x:v>
      </x:c>
      <x:c r="J6509" s="0"/>
      <x:c r="K6509" s="0"/>
      <x:c r="L6509" t="str" s="2">
        <x:v>Show</x:v>
      </x:c>
    </x:row>
    <x:row r="6510">
      <x:c r="A6510" t="str" s="2">
        <x:f>=HYPERLINK("https://rsms.futurehomex.com/lead/40511", "James Ratterree")</x:f>
      </x:c>
      <x:c r="B6510" t="str" s="2">
        <x:v>Heritage Housing of Tulsa</x:v>
      </x:c>
      <x:c r="C6510" t="str" s="2">
        <x:v/>
      </x:c>
      <x:c r="D6510" t="str" s="2">
        <x:v>9183486900</x:v>
      </x:c>
      <x:c r="E6510" t="str" s="2">
        <x:v>ratfox100@gmail.com</x:v>
      </x:c>
      <x:c r="F6510" t="str" s="2">
        <x:v>Walk-in</x:v>
      </x:c>
      <x:c r="G6510" t="str" s="2">
        <x:v>Derek Searcy</x:v>
      </x:c>
      <x:c r="H6510" s="6">
        <x:v>46296.75819390046</x:v>
      </x:c>
      <x:c r="I6510" t="str" s="2">
        <x:v>Derek Searcy</x:v>
      </x:c>
      <x:c r="J6510" s="0"/>
      <x:c r="K6510" s="6">
        <x:v>46296.75819390046</x:v>
      </x:c>
      <x:c r="L6510" t="str" s="2">
        <x:v>Show</x:v>
      </x:c>
    </x:row>
    <x:row r="6511">
      <x:c r="A6511" t="str" s="2">
        <x:f>=HYPERLINK("https://rsms.futurehomex.com/lead/40514", "Dave Banks")</x:f>
      </x:c>
      <x:c r="B6511" t="str" s="2">
        <x:v>Heritage Housing of Oklahoma City</x:v>
      </x:c>
      <x:c r="C6511" t="str" s="2">
        <x:v/>
      </x:c>
      <x:c r="D6511" t="str" s="2">
        <x:v>4056958753</x:v>
      </x:c>
      <x:c r="E6511" t="str" s="2">
        <x:v>4056958753</x:v>
      </x:c>
      <x:c r="F6511" t="str" s="2">
        <x:v>Meta Ads - Messenger</x:v>
      </x:c>
      <x:c r="G6511" t="str" s="2">
        <x:v>Alejandra Calderon</x:v>
      </x:c>
      <x:c r="H6511" s="6">
        <x:v>46296.828114895834</x:v>
      </x:c>
      <x:c r="I6511" t="str" s="2">
        <x:v>Alejandra Calderon</x:v>
      </x:c>
      <x:c r="J6511" s="6">
        <x:v>46296.875</x:v>
      </x:c>
      <x:c r="K6511" s="6">
        <x:v>46297.92850170139</x:v>
      </x:c>
      <x:c r="L6511" t="str" s="2">
        <x:v>Show</x:v>
      </x:c>
    </x:row>
    <x:row r="6512">
      <x:c r="A6512" t="str" s="2">
        <x:f>=HYPERLINK("https://rsms.futurehomex.com/lead/40516", "Leticia Hernandez")</x:f>
      </x:c>
      <x:c r="B6512" t="str" s="2">
        <x:v>Heritage Housing of Asheboro</x:v>
      </x:c>
      <x:c r="C6512" t="str" s="2">
        <x:v/>
      </x:c>
      <x:c r="D6512" t="str" s="2">
        <x:v>9567779913</x:v>
      </x:c>
      <x:c r="E6512" t="str" s="2">
        <x:v>gugarc72@gmail.com</x:v>
      </x:c>
      <x:c r="F6512" t="str" s="2">
        <x:v>Walk-in</x:v>
      </x:c>
      <x:c r="G6512" s="0"/>
      <x:c r="H6512" s="6">
        <x:v>46296.846779363426</x:v>
      </x:c>
      <x:c r="I6512" t="str" s="2">
        <x:v>Kate Gutierrez</x:v>
      </x:c>
      <x:c r="J6512" s="0"/>
      <x:c r="K6512" s="0"/>
      <x:c r="L6512" t="str" s="2">
        <x:v>Show</x:v>
      </x:c>
    </x:row>
    <x:row r="6513">
      <x:c r="A6513" t="str" s="2">
        <x:f>=HYPERLINK("https://rsms.futurehomex.com/lead/40521", "Steve Williams")</x:f>
      </x:c>
      <x:c r="B6513" t="str" s="2">
        <x:v>Heritage Housing of Minden</x:v>
      </x:c>
      <x:c r="C6513" t="str" s="2">
        <x:v>0/1</x:v>
      </x:c>
      <x:c r="D6513" t="str" s="2">
        <x:v>3184260489</x:v>
      </x:c>
      <x:c r="E6513" t="str" s="2">
        <x:v>sdwilliams549@gmail.com</x:v>
      </x:c>
      <x:c r="F6513" t="str" s="2">
        <x:v>Walk-in</x:v>
      </x:c>
      <x:c r="G6513" s="0"/>
      <x:c r="H6513" s="6">
        <x:v>46296.95548869213</x:v>
      </x:c>
      <x:c r="I6513" t="str" s="2">
        <x:v>Patrick Schuchart</x:v>
      </x:c>
      <x:c r="J6513" s="0"/>
      <x:c r="K6513" s="0"/>
      <x:c r="L6513" t="str" s="2">
        <x:v>Show</x:v>
      </x:c>
    </x:row>
    <x:row r="6514">
      <x:c r="A6514" t="str" s="2">
        <x:f>=HYPERLINK("https://rsms.futurehomex.com/lead/40528", "Carla Anderson")</x:f>
      </x:c>
      <x:c r="B6514" t="str" s="2">
        <x:v>Heritage Housing of Augusta</x:v>
      </x:c>
      <x:c r="C6514" t="str" s="2">
        <x:v/>
      </x:c>
      <x:c r="D6514" t="str" s="2">
        <x:v>5023765001</x:v>
      </x:c>
      <x:c r="E6514" t="str" s="2">
        <x:v>carla.anderson121314@gmail.com</x:v>
      </x:c>
      <x:c r="F6514" t="str" s="2">
        <x:v>Walk-in</x:v>
      </x:c>
      <x:c r="G6514" s="0"/>
      <x:c r="H6514" s="6">
        <x:v>46297.616660416665</x:v>
      </x:c>
      <x:c r="I6514" t="str" s="2">
        <x:v>Jennifer Johnson</x:v>
      </x:c>
      <x:c r="J6514" s="6">
        <x:v>46315.625</x:v>
      </x:c>
      <x:c r="K6514" s="0"/>
      <x:c r="L6514" t="str" s="2">
        <x:v>Show</x:v>
      </x:c>
    </x:row>
    <x:row r="6515">
      <x:c r="A6515" t="str" s="2">
        <x:f>=HYPERLINK("https://rsms.futurehomex.com/lead/40531", "John Guzzio")</x:f>
      </x:c>
      <x:c r="B6515" t="str" s="2">
        <x:v>Heritage Housing of Greenville</x:v>
      </x:c>
      <x:c r="C6515" t="str" s="2">
        <x:v/>
      </x:c>
      <x:c r="D6515" t="str" s="2">
        <x:v>8176069101</x:v>
      </x:c>
      <x:c r="E6515" t="str" s="2">
        <x:v>8176069101</x:v>
      </x:c>
      <x:c r="F6515" t="str" s="2">
        <x:v>Facebook Messenger</x:v>
      </x:c>
      <x:c r="G6515" t="str" s="2">
        <x:v>Brandie Sartor</x:v>
      </x:c>
      <x:c r="H6515" s="6">
        <x:v>46297.71486357639</x:v>
      </x:c>
      <x:c r="I6515" t="str" s="2">
        <x:v>Oscar Osorio</x:v>
      </x:c>
      <x:c r="J6515" s="0"/>
      <x:c r="K6515" s="6">
        <x:v>46297.71486357639</x:v>
      </x:c>
      <x:c r="L6515" t="str" s="2">
        <x:v>Show</x:v>
      </x:c>
    </x:row>
    <x:row r="6516">
      <x:c r="A6516" t="str" s="2">
        <x:f>=HYPERLINK("https://rsms.futurehomex.com/lead/40538", "Lindbergh Simmons III")</x:f>
      </x:c>
      <x:c r="B6516" t="str" s="2">
        <x:v>Heritage Housing of Athens</x:v>
      </x:c>
      <x:c r="C6516" t="str" s="2">
        <x:v/>
      </x:c>
      <x:c r="D6516" t="str" s="2">
        <x:v>7062547378</x:v>
      </x:c>
      <x:c r="E6516" t="str" s="2">
        <x:v>kidshortyy2@gmail.com</x:v>
      </x:c>
      <x:c r="F6516" t="str" s="2">
        <x:v>Walk-in</x:v>
      </x:c>
      <x:c r="G6516" s="0"/>
      <x:c r="H6516" s="6">
        <x:v>46297.8701959838</x:v>
      </x:c>
      <x:c r="I6516" t="str" s="2">
        <x:v>Nathan Bishop</x:v>
      </x:c>
      <x:c r="J6516" s="0"/>
      <x:c r="K6516" s="0"/>
      <x:c r="L6516" t="str" s="2">
        <x:v>Show</x:v>
      </x:c>
    </x:row>
    <x:row r="6517">
      <x:c r="A6517" t="str" s="2">
        <x:f>=HYPERLINK("https://rsms.futurehomex.com/lead/40541", "Tyler Clavech")</x:f>
      </x:c>
      <x:c r="B6517" t="str" s="2">
        <x:v>Heritage Housing of Minden</x:v>
      </x:c>
      <x:c r="C6517" t="str" s="2">
        <x:v/>
      </x:c>
      <x:c r="D6517" t="str" s="2">
        <x:v>3186246648</x:v>
      </x:c>
      <x:c r="E6517" t="str" s="2">
        <x:v>flowback94@gmail.com</x:v>
      </x:c>
      <x:c r="F6517" t="str" s="2">
        <x:v>Walk-in</x:v>
      </x:c>
      <x:c r="G6517" s="0"/>
      <x:c r="H6517" s="6">
        <x:v>46297.918635104164</x:v>
      </x:c>
      <x:c r="I6517" t="str" s="2">
        <x:v>Patrick Schuchart</x:v>
      </x:c>
      <x:c r="J6517" s="6">
        <x:v>46297.8125</x:v>
      </x:c>
      <x:c r="K6517" s="6">
        <x:v>46297.92668931713</x:v>
      </x:c>
      <x:c r="L6517" t="str" s="2">
        <x:v>Show</x:v>
      </x:c>
    </x:row>
    <x:row r="6518">
      <x:c r="A6518" t="str" s="2">
        <x:f>=HYPERLINK("https://rsms.futurehomex.com/lead/40542", "Anita Karen")</x:f>
      </x:c>
      <x:c r="B6518" t="str" s="2">
        <x:v>Heritage Housing of Minden</x:v>
      </x:c>
      <x:c r="C6518" t="str" s="2">
        <x:v/>
      </x:c>
      <x:c r="D6518" t="str" s="2">
        <x:v>3186244846</x:v>
      </x:c>
      <x:c r="E6518" t="str" s="2">
        <x:v>karenreddington@gmail.com</x:v>
      </x:c>
      <x:c r="F6518" t="str" s="2">
        <x:v>Walk-in</x:v>
      </x:c>
      <x:c r="G6518" s="0"/>
      <x:c r="H6518" s="6">
        <x:v>46297.91979594908</x:v>
      </x:c>
      <x:c r="I6518" t="str" s="2">
        <x:v>Patrick Schuchart</x:v>
      </x:c>
      <x:c r="J6518" s="0"/>
      <x:c r="K6518" s="0"/>
      <x:c r="L6518" t="str" s="2">
        <x:v>Show</x:v>
      </x:c>
    </x:row>
    <x:row r="6519">
      <x:c r="A6519" t="str" s="2">
        <x:f>=HYPERLINK("https://rsms.futurehomex.com/lead/40549", "Savannah Rider")</x:f>
      </x:c>
      <x:c r="B6519" t="str" s="2">
        <x:v>Heritage Housing of Minden</x:v>
      </x:c>
      <x:c r="C6519" t="str" s="2">
        <x:v>0/1</x:v>
      </x:c>
      <x:c r="D6519" t="str" s="2">
        <x:v>3189097213</x:v>
      </x:c>
      <x:c r="E6519" t="str" s="2">
        <x:v>Savannahrider190@gmail.com</x:v>
      </x:c>
      <x:c r="F6519" t="str" s="2">
        <x:v>Landing_BPM</x:v>
      </x:c>
      <x:c r="G6519" t="str" s="2">
        <x:v>Elizabeth Kent</x:v>
      </x:c>
      <x:c r="H6519" s="6">
        <x:v>46298.116888344906</x:v>
      </x:c>
      <x:c r="I6519" t="str" s="2">
        <x:v>Patrick Schuchart</x:v>
      </x:c>
      <x:c r="J6519" s="6">
        <x:v>46300.708333333336</x:v>
      </x:c>
      <x:c r="K6519" s="6">
        <x:v>46302.85419054398</x:v>
      </x:c>
      <x:c r="L6519" t="str" s="2">
        <x:v>Show</x:v>
      </x:c>
    </x:row>
    <x:row r="6520">
      <x:c r="A6520" t="str" s="2">
        <x:f>=HYPERLINK("https://rsms.futurehomex.com/lead/40631", "Linda Strong")</x:f>
      </x:c>
      <x:c r="B6520" t="str" s="2">
        <x:v>Heritage Housing of Albany</x:v>
      </x:c>
      <x:c r="C6520" t="str" s="2">
        <x:v/>
      </x:c>
      <x:c r="D6520" t="str" s="2">
        <x:v>8505704159</x:v>
      </x:c>
      <x:c r="E6520" t="str" s="2">
        <x:v>lindagenesestrong@gmail.com</x:v>
      </x:c>
      <x:c r="F6520" t="str" s="2">
        <x:v>Financing Form</x:v>
      </x:c>
      <x:c r="G6520" t="str" s="2">
        <x:v>Yanet Alvarez</x:v>
      </x:c>
      <x:c r="H6520" s="6">
        <x:v>46298.539819212965</x:v>
      </x:c>
      <x:c r="I6520" t="str" s="2">
        <x:v>Jennifer Johnson</x:v>
      </x:c>
      <x:c r="J6520" s="6">
        <x:v>46305.75</x:v>
      </x:c>
      <x:c r="K6520" s="6">
        <x:v>46304.67975130787</x:v>
      </x:c>
      <x:c r="L6520" t="str" s="2">
        <x:v>Show</x:v>
      </x:c>
    </x:row>
    <x:row r="6521">
      <x:c r="A6521" t="str" s="2">
        <x:f>=HYPERLINK("https://rsms.futurehomex.com/lead/40544", "Nancy Kimble")</x:f>
      </x:c>
      <x:c r="B6521" t="str" s="2">
        <x:v>Heritage Housing of Augusta</x:v>
      </x:c>
      <x:c r="C6521" t="str" s="2">
        <x:v/>
      </x:c>
      <x:c r="D6521" t="str" s="2">
        <x:v>4232206002</x:v>
      </x:c>
      <x:c r="E6521" t="str" s="2">
        <x:v>kimblenancy1@gmail.com</x:v>
      </x:c>
      <x:c r="F6521" t="str" s="2">
        <x:v>Walk-in</x:v>
      </x:c>
      <x:c r="G6521" s="0"/>
      <x:c r="H6521" s="6">
        <x:v>46298.63610405093</x:v>
      </x:c>
      <x:c r="I6521" t="str" s="2">
        <x:v>Jennifer Johnson</x:v>
      </x:c>
      <x:c r="J6521" s="0"/>
      <x:c r="K6521" s="0"/>
      <x:c r="L6521" t="str" s="2">
        <x:v>Show</x:v>
      </x:c>
    </x:row>
    <x:row r="6522">
      <x:c r="A6522" t="str" s="2">
        <x:f>=HYPERLINK("https://rsms.futurehomex.com/lead/40547", "Noah Anglin")</x:f>
      </x:c>
      <x:c r="B6522" t="str" s="2">
        <x:v>Heritage Housing of Athens</x:v>
      </x:c>
      <x:c r="C6522" t="str" s="2">
        <x:v/>
      </x:c>
      <x:c r="D6522" t="str" s="2">
        <x:v>7064987395</x:v>
      </x:c>
      <x:c r="E6522" t="str" s="2">
        <x:v>noahanglin08@gmail.com</x:v>
      </x:c>
      <x:c r="F6522" t="str" s="2">
        <x:v>Walk-in</x:v>
      </x:c>
      <x:c r="G6522" s="0"/>
      <x:c r="H6522" s="6">
        <x:v>46298.6659474537</x:v>
      </x:c>
      <x:c r="I6522" t="str" s="2">
        <x:v>Ethan Fossett</x:v>
      </x:c>
      <x:c r="J6522" s="0"/>
      <x:c r="K6522" s="0"/>
      <x:c r="L6522" t="str" s="2">
        <x:v>Show</x:v>
      </x:c>
    </x:row>
    <x:row r="6523">
      <x:c r="A6523" t="str" s="2">
        <x:f>=HYPERLINK("https://rsms.futurehomex.com/lead/40550", "Robin Wright")</x:f>
      </x:c>
      <x:c r="B6523" t="str" s="2">
        <x:v>Heritage Housing of Athens</x:v>
      </x:c>
      <x:c r="C6523" t="str" s="2">
        <x:v/>
      </x:c>
      <x:c r="D6523" t="str" s="2">
        <x:v>7066124651</x:v>
      </x:c>
      <x:c r="E6523" t="str" s="2">
        <x:v>wright_1063@yahoo.com</x:v>
      </x:c>
      <x:c r="F6523" t="str" s="2">
        <x:v>Walk-in</x:v>
      </x:c>
      <x:c r="G6523" s="0"/>
      <x:c r="H6523" s="6">
        <x:v>46298.73646215278</x:v>
      </x:c>
      <x:c r="I6523" t="str" s="2">
        <x:v>Nathan Bishop</x:v>
      </x:c>
      <x:c r="J6523" s="0"/>
      <x:c r="K6523" s="0"/>
      <x:c r="L6523" t="str" s="2">
        <x:v>Show</x:v>
      </x:c>
    </x:row>
    <x:row r="6524">
      <x:c r="A6524" t="str" s="2">
        <x:f>=HYPERLINK("https://rsms.futurehomex.com/lead/40554", "Neal Snyder")</x:f>
      </x:c>
      <x:c r="B6524" t="str" s="2">
        <x:v>Heritage Housing of Augusta</x:v>
      </x:c>
      <x:c r="C6524" t="str" s="2">
        <x:v/>
      </x:c>
      <x:c r="D6524" t="str" s="2">
        <x:v>8037611977</x:v>
      </x:c>
      <x:c r="E6524" t="str" s="2">
        <x:v>redynsn@gmail.com</x:v>
      </x:c>
      <x:c r="F6524" t="str" s="2">
        <x:v>Walk-in</x:v>
      </x:c>
      <x:c r="G6524" s="0"/>
      <x:c r="H6524" s="6">
        <x:v>46298.773718206015</x:v>
      </x:c>
      <x:c r="I6524" t="str" s="2">
        <x:v>Jennifer Johnson</x:v>
      </x:c>
      <x:c r="J6524" s="0"/>
      <x:c r="K6524" s="0"/>
      <x:c r="L6524" t="str" s="2">
        <x:v>Show</x:v>
      </x:c>
    </x:row>
    <x:row r="6525">
      <x:c r="A6525" t="str" s="2">
        <x:f>=HYPERLINK("https://rsms.futurehomex.com/lead/40576", "Joeleen Crotts")</x:f>
      </x:c>
      <x:c r="B6525" t="str" s="2">
        <x:v>Heritage Housing of Asheboro</x:v>
      </x:c>
      <x:c r="C6525" t="str" s="2">
        <x:v/>
      </x:c>
      <x:c r="D6525" t="str" s="2">
        <x:v>4344700296</x:v>
      </x:c>
      <x:c r="E6525" t="str" s="2">
        <x:v>jcrotts775@gmail.com</x:v>
      </x:c>
      <x:c r="F6525" t="str" s="2">
        <x:v>Walk-in</x:v>
      </x:c>
      <x:c r="G6525" s="0"/>
      <x:c r="H6525" s="6">
        <x:v>46298.779265543984</x:v>
      </x:c>
      <x:c r="I6525" t="str" s="2">
        <x:v>Kate Gutierrez</x:v>
      </x:c>
      <x:c r="J6525" s="0"/>
      <x:c r="K6525" s="0"/>
      <x:c r="L6525" t="str" s="2">
        <x:v>Show</x:v>
      </x:c>
    </x:row>
    <x:row r="6526">
      <x:c r="A6526" t="str" s="2">
        <x:f>=HYPERLINK("https://rsms.futurehomex.com/lead/40555", "Anahi Macedo")</x:f>
      </x:c>
      <x:c r="B6526" t="str" s="2">
        <x:v>Heritage Housing of Asheboro</x:v>
      </x:c>
      <x:c r="C6526" t="str" s="2">
        <x:v/>
      </x:c>
      <x:c r="D6526" t="str" s="2">
        <x:v>3363086276</x:v>
      </x:c>
      <x:c r="E6526" t="str" s="2">
        <x:v>anahimacedo01@icloud.com</x:v>
      </x:c>
      <x:c r="F6526" t="str" s="2">
        <x:v>Walk-in</x:v>
      </x:c>
      <x:c r="G6526" s="0"/>
      <x:c r="H6526" s="6">
        <x:v>46298.78871994213</x:v>
      </x:c>
      <x:c r="I6526" t="str" s="2">
        <x:v>Maria Lopez</x:v>
      </x:c>
      <x:c r="J6526" s="0"/>
      <x:c r="K6526" s="0"/>
      <x:c r="L6526" t="str" s="2">
        <x:v>Show</x:v>
      </x:c>
    </x:row>
    <x:row r="6527">
      <x:c r="A6527" t="str" s="2">
        <x:f>=HYPERLINK("https://rsms.futurehomex.com/lead/40557", "Faye Sorrells")</x:f>
      </x:c>
      <x:c r="B6527" t="str" s="2">
        <x:v>Heritage Housing of Athens</x:v>
      </x:c>
      <x:c r="C6527" t="str" s="2">
        <x:v/>
      </x:c>
      <x:c r="D6527" t="str" s="2">
        <x:v>7064615561</x:v>
      </x:c>
      <x:c r="E6527" t="str" s="2">
        <x:v>sitnhear@gmail.com</x:v>
      </x:c>
      <x:c r="F6527" t="str" s="2">
        <x:v>Walk-in</x:v>
      </x:c>
      <x:c r="G6527" s="0"/>
      <x:c r="H6527" s="6">
        <x:v>46298.798127002316</x:v>
      </x:c>
      <x:c r="I6527" t="str" s="2">
        <x:v>Nathan Bishop</x:v>
      </x:c>
      <x:c r="J6527" s="0"/>
      <x:c r="K6527" s="0"/>
      <x:c r="L6527" t="str" s="2">
        <x:v>Show</x:v>
      </x:c>
    </x:row>
    <x:row r="6528">
      <x:c r="A6528" t="str" s="2">
        <x:f>=HYPERLINK("https://rsms.futurehomex.com/lead/40558", "Aaron Krueger")</x:f>
      </x:c>
      <x:c r="B6528" t="str" s="2">
        <x:v>Heritage Housing of Athens</x:v>
      </x:c>
      <x:c r="C6528" t="str" s="2">
        <x:v/>
      </x:c>
      <x:c r="D6528" t="str" s="2">
        <x:v>7708750137</x:v>
      </x:c>
      <x:c r="E6528" t="str" s="2">
        <x:v>aaroonkrueger0123@yahoo.com</x:v>
      </x:c>
      <x:c r="F6528" t="str" s="2">
        <x:v>Walk-in</x:v>
      </x:c>
      <x:c r="G6528" s="0"/>
      <x:c r="H6528" s="6">
        <x:v>46298.80611493056</x:v>
      </x:c>
      <x:c r="I6528" t="str" s="2">
        <x:v>Ethan Fossett</x:v>
      </x:c>
      <x:c r="J6528" s="0"/>
      <x:c r="K6528" s="0"/>
      <x:c r="L6528" t="str" s="2">
        <x:v>Show</x:v>
      </x:c>
    </x:row>
    <x:row r="6529">
      <x:c r="A6529" t="str" s="2">
        <x:f>=HYPERLINK("https://rsms.futurehomex.com/lead/40559", "Allison Granier")</x:f>
      </x:c>
      <x:c r="B6529" t="str" s="2">
        <x:v>Heritage Housing of Jennings</x:v>
      </x:c>
      <x:c r="C6529" t="str" s="2">
        <x:v/>
      </x:c>
      <x:c r="D6529" t="str" s="2">
        <x:v>9858556040</x:v>
      </x:c>
      <x:c r="E6529" t="str" s="2">
        <x:v>allison.granier@gmail.com</x:v>
      </x:c>
      <x:c r="F6529" t="str" s="2">
        <x:v>Walk-in</x:v>
      </x:c>
      <x:c r="G6529" s="0"/>
      <x:c r="H6529" s="6">
        <x:v>46298.8107</x:v>
      </x:c>
      <x:c r="I6529" t="str" s="2">
        <x:v>Mervin Leslie Smith</x:v>
      </x:c>
      <x:c r="J6529" s="0"/>
      <x:c r="K6529" s="0"/>
      <x:c r="L6529" t="str" s="2">
        <x:v>Show</x:v>
      </x:c>
    </x:row>
    <x:row r="6530">
      <x:c r="A6530" t="str" s="2">
        <x:f>=HYPERLINK("https://rsms.futurehomex.com/lead/40611", "Efren Escamilla haro")</x:f>
      </x:c>
      <x:c r="B6530" t="str" s="2">
        <x:v>Heritage Housing of Athens</x:v>
      </x:c>
      <x:c r="C6530" t="str" s="2">
        <x:v/>
      </x:c>
      <x:c r="D6530" t="str" s="2">
        <x:v>6785201050</x:v>
      </x:c>
      <x:c r="E6530" t="str" s="2">
        <x:v>davila.marisol93@gmail.com</x:v>
      </x:c>
      <x:c r="F6530" t="str" s="2">
        <x:v>Walk-in</x:v>
      </x:c>
      <x:c r="G6530" t="str" s="2">
        <x:v>Nathan Bishop</x:v>
      </x:c>
      <x:c r="H6530" s="6">
        <x:v>46298.978222488426</x:v>
      </x:c>
      <x:c r="I6530" t="str" s="2">
        <x:v>Nathan Bishop</x:v>
      </x:c>
      <x:c r="J6530" s="0"/>
      <x:c r="K6530" s="6">
        <x:v>46300.68809892361</x:v>
      </x:c>
      <x:c r="L6530" t="str" s="2">
        <x:v>Show</x:v>
      </x:c>
    </x:row>
    <x:row r="6531">
      <x:c r="A6531" t="str" s="2">
        <x:f>=HYPERLINK("https://rsms.futurehomex.com/lead/40571", "Steven Moore")</x:f>
      </x:c>
      <x:c r="B6531" t="str" s="2">
        <x:v>Heritage Housing of Oklahoma City</x:v>
      </x:c>
      <x:c r="C6531" t="str" s="2">
        <x:v/>
      </x:c>
      <x:c r="D6531" t="str" s="2">
        <x:v>4052205614</x:v>
      </x:c>
      <x:c r="E6531" t="str" s="2">
        <x:v>judyhers123@gmail.com</x:v>
      </x:c>
      <x:c r="F6531" t="str" s="2">
        <x:v>Facebook Messenger</x:v>
      </x:c>
      <x:c r="G6531" t="str" s="2">
        <x:v>Steve Castell</x:v>
      </x:c>
      <x:c r="H6531" s="6">
        <x:v>46299.06099795139</x:v>
      </x:c>
      <x:c r="I6531" t="str" s="2">
        <x:v>Steve Castell</x:v>
      </x:c>
      <x:c r="J6531" s="6">
        <x:v>46299.854166666664</x:v>
      </x:c>
      <x:c r="K6531" s="6">
        <x:v>46299.82421697917</x:v>
      </x:c>
      <x:c r="L6531" t="str" s="2">
        <x:v>Show</x:v>
      </x:c>
    </x:row>
    <x:row r="6532">
      <x:c r="A6532" t="str" s="2">
        <x:f>=HYPERLINK("https://rsms.futurehomex.com/lead/40574", "MARDIS SHACKELFORD")</x:f>
      </x:c>
      <x:c r="B6532" t="str" s="2">
        <x:v>Heritage Housing of Athens</x:v>
      </x:c>
      <x:c r="C6532" t="str" s="2">
        <x:v/>
      </x:c>
      <x:c r="D6532" t="str" s="2">
        <x:v>6788877836</x:v>
      </x:c>
      <x:c r="E6532" t="str" s="2">
        <x:v>mshackelford2@yahoo.com</x:v>
      </x:c>
      <x:c r="F6532" t="str" s="2">
        <x:v>Walk-in</x:v>
      </x:c>
      <x:c r="G6532" s="0"/>
      <x:c r="H6532" s="6">
        <x:v>46299.770412384256</x:v>
      </x:c>
      <x:c r="I6532" t="str" s="2">
        <x:v>Alexander Bryant</x:v>
      </x:c>
      <x:c r="J6532" s="0"/>
      <x:c r="K6532" s="0"/>
      <x:c r="L6532" t="str" s="2">
        <x:v>Show</x:v>
      </x:c>
    </x:row>
    <x:row r="6533">
      <x:c r="A6533" t="str" s="2">
        <x:f>=HYPERLINK("https://rsms.futurehomex.com/lead/40579", "Carl Bagley")</x:f>
      </x:c>
      <x:c r="B6533" t="str" s="2">
        <x:v>Heritage Housing of Oklahoma City</x:v>
      </x:c>
      <x:c r="C6533" t="str" s="2">
        <x:v/>
      </x:c>
      <x:c r="D6533" t="str" s="2">
        <x:v>4794147896</x:v>
      </x:c>
      <x:c r="E6533" t="str" s="2">
        <x:v>4794147896</x:v>
      </x:c>
      <x:c r="F6533" t="str" s="2">
        <x:v>Facebook Messenger</x:v>
      </x:c>
      <x:c r="G6533" t="str" s="2">
        <x:v>Steve Castell</x:v>
      </x:c>
      <x:c r="H6533" s="6">
        <x:v>46300.6259459838</x:v>
      </x:c>
      <x:c r="I6533" t="str" s="2">
        <x:v>Steve Castell</x:v>
      </x:c>
      <x:c r="J6533" s="6">
        <x:v>46300.75</x:v>
      </x:c>
      <x:c r="K6533" s="6">
        <x:v>46301.00156651621</x:v>
      </x:c>
      <x:c r="L6533" t="str" s="2">
        <x:v>Show</x:v>
      </x:c>
    </x:row>
    <x:row r="6534">
      <x:c r="A6534" t="str" s="2">
        <x:f>=HYPERLINK("https://rsms.futurehomex.com/lead/40580", "Cindy Cooper")</x:f>
      </x:c>
      <x:c r="B6534" t="str" s="2">
        <x:v>Heritage Housing of Athens</x:v>
      </x:c>
      <x:c r="C6534" t="str" s="2">
        <x:v/>
      </x:c>
      <x:c r="D6534" t="str" s="2">
        <x:v>7062072431</x:v>
      </x:c>
      <x:c r="E6534" t="str" s="2">
        <x:v>whitleyc@gmail.com</x:v>
      </x:c>
      <x:c r="F6534" t="str" s="2">
        <x:v>Walk-in</x:v>
      </x:c>
      <x:c r="G6534" s="0"/>
      <x:c r="H6534" s="6">
        <x:v>46300.6371190625</x:v>
      </x:c>
      <x:c r="I6534" t="str" s="2">
        <x:v>Ethan Fossett</x:v>
      </x:c>
      <x:c r="J6534" s="0"/>
      <x:c r="K6534" s="0"/>
      <x:c r="L6534" t="str" s="2">
        <x:v>Show</x:v>
      </x:c>
    </x:row>
    <x:row r="6535">
      <x:c r="A6535" t="str" s="2">
        <x:f>=HYPERLINK("https://rsms.futurehomex.com/lead/40583", "Naidy Herrera Maceda")</x:f>
      </x:c>
      <x:c r="B6535" t="str" s="2">
        <x:v>Heritage Housing of Greenville</x:v>
      </x:c>
      <x:c r="C6535" t="str" s="2">
        <x:v/>
      </x:c>
      <x:c r="D6535" t="str" s="2">
        <x:v>7869254148</x:v>
      </x:c>
      <x:c r="E6535" t="str" s="2">
        <x:v>naidyherrera12@hotmail.com</x:v>
      </x:c>
      <x:c r="F6535" t="str" s="2">
        <x:v>TikTok</x:v>
      </x:c>
      <x:c r="G6535" t="str" s="2">
        <x:v>Brandie Sartor</x:v>
      </x:c>
      <x:c r="H6535" s="6">
        <x:v>46300.72030868055</x:v>
      </x:c>
      <x:c r="I6535" t="str" s="2">
        <x:v>Oscar Osorio</x:v>
      </x:c>
      <x:c r="J6535" s="0"/>
      <x:c r="K6535" s="6">
        <x:v>46300.72030868055</x:v>
      </x:c>
      <x:c r="L6535" t="str" s="2">
        <x:v>Show</x:v>
      </x:c>
    </x:row>
    <x:row r="6536">
      <x:c r="A6536" t="str" s="2">
        <x:f>=HYPERLINK("https://rsms.futurehomex.com/lead/40596", "Eduardo Cortez")</x:f>
      </x:c>
      <x:c r="B6536" t="str" s="2">
        <x:v>Legacy Housing Corp. DBA Americasa</x:v>
      </x:c>
      <x:c r="C6536" t="str" s="2">
        <x:v/>
      </x:c>
      <x:c r="D6536" t="str" s="2">
        <x:v>3154365851</x:v>
      </x:c>
      <x:c r="E6536" t="str" s="2">
        <x:v>3154365851</x:v>
      </x:c>
      <x:c r="F6536" t="str" s="2">
        <x:v>TikTok</x:v>
      </x:c>
      <x:c r="G6536" t="str" s="2">
        <x:v>Angelica Mendoza </x:v>
      </x:c>
      <x:c r="H6536" s="6">
        <x:v>46300.89465740741</x:v>
      </x:c>
      <x:c r="I6536" t="str" s="2">
        <x:v>Angelica Mendoza </x:v>
      </x:c>
      <x:c r="J6536" s="0"/>
      <x:c r="K6536" s="6">
        <x:v>46300.89465740741</x:v>
      </x:c>
      <x:c r="L6536" t="str" s="2">
        <x:v>Show</x:v>
      </x:c>
    </x:row>
    <x:row r="6537">
      <x:c r="A6537" t="str" s="2">
        <x:f>=HYPERLINK("https://rsms.futurehomex.com/lead/40651", "Soledad Abner")</x:f>
      </x:c>
      <x:c r="B6537" t="str" s="2">
        <x:v>Heritage Housing of Augusta</x:v>
      </x:c>
      <x:c r="C6537" t="str" s="2">
        <x:v/>
      </x:c>
      <x:c r="D6537" t="str" s="2">
        <x:v>7622185479</x:v>
      </x:c>
      <x:c r="E6537" t="str" s="2">
        <x:v>soledadabner@yahoo.com</x:v>
      </x:c>
      <x:c r="F6537" t="str" s="2">
        <x:v>Walk-in</x:v>
      </x:c>
      <x:c r="G6537" t="str" s="2">
        <x:v>Brian Amato</x:v>
      </x:c>
      <x:c r="H6537" s="6">
        <x:v>46300.90604212963</x:v>
      </x:c>
      <x:c r="I6537" t="str" s="2">
        <x:v>Jennifer Johnson</x:v>
      </x:c>
      <x:c r="J6537" s="0"/>
      <x:c r="K6537" s="0"/>
      <x:c r="L6537" t="str" s="2">
        <x:v>Show</x:v>
      </x:c>
    </x:row>
    <x:row r="6538">
      <x:c r="A6538" t="str" s="2">
        <x:f>=HYPERLINK("https://rsms.futurehomex.com/lead/40603", "Tory Smith")</x:f>
      </x:c>
      <x:c r="B6538" t="str" s="2">
        <x:v>Heritage Housing of Oklahoma City</x:v>
      </x:c>
      <x:c r="C6538" t="str" s="2">
        <x:v/>
      </x:c>
      <x:c r="D6538" t="str" s="2">
        <x:v>4054006760</x:v>
      </x:c>
      <x:c r="E6538" t="str" s="2">
        <x:v>smithtory@ymail.com</x:v>
      </x:c>
      <x:c r="F6538" t="str" s="2">
        <x:v>Financing Form</x:v>
      </x:c>
      <x:c r="G6538" t="str" s="2">
        <x:v>Alejandra Calderon</x:v>
      </x:c>
      <x:c r="H6538" s="6">
        <x:v>46300.97683310185</x:v>
      </x:c>
      <x:c r="I6538" t="str" s="2">
        <x:v>Alejandra Calderon</x:v>
      </x:c>
      <x:c r="J6538" s="6">
        <x:v>46304.625</x:v>
      </x:c>
      <x:c r="K6538" s="6">
        <x:v>46304.682104363426</x:v>
      </x:c>
      <x:c r="L6538" t="str" s="2">
        <x:v>Show</x:v>
      </x:c>
    </x:row>
    <x:row r="6539">
      <x:c r="A6539" t="str" s="2">
        <x:f>=HYPERLINK("https://rsms.futurehomex.com/lead/40600", "John Savchak")</x:f>
      </x:c>
      <x:c r="B6539" t="str" s="2">
        <x:v>Heritage Housing of Asheboro</x:v>
      </x:c>
      <x:c r="C6539" t="str" s="2">
        <x:v/>
      </x:c>
      <x:c r="D6539" t="str" s="2">
        <x:v>3362639658</x:v>
      </x:c>
      <x:c r="E6539" t="str" s="2">
        <x:v>jonhnsavchak@gmail.com</x:v>
      </x:c>
      <x:c r="F6539" t="str" s="2">
        <x:v>Walk-in</x:v>
      </x:c>
      <x:c r="G6539" s="0"/>
      <x:c r="H6539" s="6">
        <x:v>46301.64436762731</x:v>
      </x:c>
      <x:c r="I6539" t="str" s="2">
        <x:v>Maria Lopez</x:v>
      </x:c>
      <x:c r="J6539" s="0"/>
      <x:c r="K6539" s="0"/>
      <x:c r="L6539" t="str" s="2">
        <x:v>Show</x:v>
      </x:c>
    </x:row>
    <x:row r="6540">
      <x:c r="A6540" t="str" s="2">
        <x:f>=HYPERLINK("https://rsms.futurehomex.com/lead/40602", "Alan Vandiver")</x:f>
      </x:c>
      <x:c r="B6540" t="str" s="2">
        <x:v>Heritage Housing of Athens</x:v>
      </x:c>
      <x:c r="C6540" t="str" s="2">
        <x:v/>
      </x:c>
      <x:c r="D6540" t="str" s="2">
        <x:v>6784647201</x:v>
      </x:c>
      <x:c r="E6540" t="str" s="2">
        <x:v>van@gmail.com</x:v>
      </x:c>
      <x:c r="F6540" t="str" s="2">
        <x:v>Walk-in</x:v>
      </x:c>
      <x:c r="G6540" s="0"/>
      <x:c r="H6540" s="6">
        <x:v>46301.68696130787</x:v>
      </x:c>
      <x:c r="I6540" t="str" s="2">
        <x:v>Nathan Bishop</x:v>
      </x:c>
      <x:c r="J6540" s="0"/>
      <x:c r="K6540" s="0"/>
      <x:c r="L6540" t="str" s="2">
        <x:v>Show</x:v>
      </x:c>
    </x:row>
    <x:row r="6541">
      <x:c r="A6541" t="str" s="2">
        <x:f>=HYPERLINK("https://rsms.futurehomex.com/lead/40609", "Juan Lopez")</x:f>
      </x:c>
      <x:c r="B6541" t="str" s="2">
        <x:v>Heritage Housing Mt Pleasant</x:v>
      </x:c>
      <x:c r="C6541" t="str" s="2">
        <x:v/>
      </x:c>
      <x:c r="D6541" t="str" s="2">
        <x:v>7863178315</x:v>
      </x:c>
      <x:c r="E6541" t="str" s="2">
        <x:v>pinar34JL@gmail.com</x:v>
      </x:c>
      <x:c r="F6541" t="str" s="2">
        <x:v>Other</x:v>
      </x:c>
      <x:c r="G6541" t="str" s="2">
        <x:v>Sandra Saldana</x:v>
      </x:c>
      <x:c r="H6541" s="6">
        <x:v>46301.74438587963</x:v>
      </x:c>
      <x:c r="I6541" t="str" s="2">
        <x:v>Sandra Saldana</x:v>
      </x:c>
      <x:c r="J6541" s="6">
        <x:v>46301.760416666664</x:v>
      </x:c>
      <x:c r="K6541" s="6">
        <x:v>46301.83044146991</x:v>
      </x:c>
      <x:c r="L6541" t="str" s="2">
        <x:v>Show</x:v>
      </x:c>
    </x:row>
    <x:row r="6542">
      <x:c r="A6542" t="str" s="2">
        <x:f>=HYPERLINK("https://rsms.futurehomex.com/lead/40610", "Elizabeth Truitt")</x:f>
      </x:c>
      <x:c r="B6542" t="str" s="2">
        <x:v>Heritage Housing of Asheboro</x:v>
      </x:c>
      <x:c r="C6542" t="str" s="2">
        <x:v/>
      </x:c>
      <x:c r="D6542" t="str" s="2">
        <x:v>3364601412</x:v>
      </x:c>
      <x:c r="E6542" t="str" s="2">
        <x:v>truitt.elizabeth@gmail.com</x:v>
      </x:c>
      <x:c r="F6542" t="str" s="2">
        <x:v>Walk-in</x:v>
      </x:c>
      <x:c r="G6542" s="0"/>
      <x:c r="H6542" s="6">
        <x:v>46301.75474586806</x:v>
      </x:c>
      <x:c r="I6542" t="str" s="2">
        <x:v>Kate Gutierrez</x:v>
      </x:c>
      <x:c r="J6542" s="0"/>
      <x:c r="K6542" s="0"/>
      <x:c r="L6542" t="str" s="2">
        <x:v>Show</x:v>
      </x:c>
    </x:row>
    <x:row r="6543">
      <x:c r="A6543" t="str" s="2">
        <x:f>=HYPERLINK("https://rsms.futurehomex.com/lead/40478", "Carolena Carranco")</x:f>
      </x:c>
      <x:c r="B6543" s="0"/>
      <x:c r="C6543" t="str" s="2">
        <x:v/>
      </x:c>
      <x:c r="D6543" t="str" s="2">
        <x:v>6786298247</x:v>
      </x:c>
      <x:c r="E6543" t="str" s="2">
        <x:v>carolena1452@icloud.com</x:v>
      </x:c>
      <x:c r="F6543" t="str" s="2">
        <x:v>Walk-in</x:v>
      </x:c>
      <x:c r="G6543" s="0"/>
      <x:c r="H6543" s="6">
        <x:v>46301.779545289355</x:v>
      </x:c>
      <x:c r="I6543" t="str" s="2">
        <x:v>Ethan Fossett</x:v>
      </x:c>
      <x:c r="J6543" s="0"/>
      <x:c r="K6543" s="0"/>
      <x:c r="L6543" t="str" s="2">
        <x:v>Show</x:v>
      </x:c>
    </x:row>
    <x:row r="6544">
      <x:c r="A6544" t="str" s="2">
        <x:f>=HYPERLINK("https://rsms.futurehomex.com/lead/40612", "Troy Safford")</x:f>
      </x:c>
      <x:c r="B6544" t="str" s="2">
        <x:v>Heritage Housing of Augusta</x:v>
      </x:c>
      <x:c r="C6544" t="str" s="2">
        <x:v/>
      </x:c>
      <x:c r="D6544" t="str" s="2">
        <x:v>4045453648</x:v>
      </x:c>
      <x:c r="E6544" t="str" s="2">
        <x:v>troysafford@gmail.com</x:v>
      </x:c>
      <x:c r="F6544" t="str" s="2">
        <x:v>Walk-in</x:v>
      </x:c>
      <x:c r="G6544" s="0"/>
      <x:c r="H6544" s="6">
        <x:v>46301.787871030094</x:v>
      </x:c>
      <x:c r="I6544" t="str" s="2">
        <x:v>Jennifer Johnson</x:v>
      </x:c>
      <x:c r="J6544" s="0"/>
      <x:c r="K6544" s="0"/>
      <x:c r="L6544" t="str" s="2">
        <x:v>Show</x:v>
      </x:c>
    </x:row>
    <x:row r="6545">
      <x:c r="A6545" t="str" s="2">
        <x:f>=HYPERLINK("https://rsms.futurehomex.com/lead/40615", "Larry Raynor")</x:f>
      </x:c>
      <x:c r="B6545" t="str" s="2">
        <x:v>Heritage Housing of Asheboro</x:v>
      </x:c>
      <x:c r="C6545" t="str" s="2">
        <x:v/>
      </x:c>
      <x:c r="D6545" t="str" s="2">
        <x:v>9196283577</x:v>
      </x:c>
      <x:c r="E6545" t="str" s="2">
        <x:v>9196283577</x:v>
      </x:c>
      <x:c r="F6545" t="str" s="2">
        <x:v>Google Ads</x:v>
      </x:c>
      <x:c r="G6545" t="str" s="2">
        <x:v>Kate Gutierrez</x:v>
      </x:c>
      <x:c r="H6545" s="6">
        <x:v>46301.82504525463</x:v>
      </x:c>
      <x:c r="I6545" t="str" s="2">
        <x:v>Kate Gutierrez</x:v>
      </x:c>
      <x:c r="J6545" s="6">
        <x:v>46301.625</x:v>
      </x:c>
      <x:c r="K6545" s="6">
        <x:v>46302.682869097225</x:v>
      </x:c>
      <x:c r="L6545" t="str" s="2">
        <x:v>Show</x:v>
      </x:c>
    </x:row>
    <x:row r="6546">
      <x:c r="A6546" t="str" s="2">
        <x:f>=HYPERLINK("https://rsms.futurehomex.com/lead/40623", "Maria Macias")</x:f>
      </x:c>
      <x:c r="B6546" t="str" s="2">
        <x:v>Heritage Housing Mt Pleasant</x:v>
      </x:c>
      <x:c r="C6546" t="str" s="2">
        <x:v/>
      </x:c>
      <x:c r="D6546" t="str" s="2">
        <x:v>4053065442</x:v>
      </x:c>
      <x:c r="E6546" t="str" s="2">
        <x:v>4053065442</x:v>
      </x:c>
      <x:c r="F6546" t="str" s="2">
        <x:v>Meta Ads - Messenger</x:v>
      </x:c>
      <x:c r="G6546" t="str" s="2">
        <x:v>Sandra Saldana</x:v>
      </x:c>
      <x:c r="H6546" s="6">
        <x:v>46301.958310497685</x:v>
      </x:c>
      <x:c r="I6546" t="str" s="2">
        <x:v>Sandra Saldana</x:v>
      </x:c>
      <x:c r="J6546" s="6">
        <x:v>46301.96875</x:v>
      </x:c>
      <x:c r="K6546" s="6">
        <x:v>46302.58533495371</x:v>
      </x:c>
      <x:c r="L6546" t="str" s="2">
        <x:v>Show</x:v>
      </x:c>
    </x:row>
    <x:row r="6547">
      <x:c r="A6547" t="str" s="2">
        <x:f>=HYPERLINK("https://rsms.futurehomex.com/lead/40624", "Ashley Edwards")</x:f>
      </x:c>
      <x:c r="B6547" t="str" s="2">
        <x:v>Heritage Housing of Athens</x:v>
      </x:c>
      <x:c r="C6547" t="str" s="2">
        <x:v/>
      </x:c>
      <x:c r="D6547" t="str" s="2">
        <x:v>7627726936</x:v>
      </x:c>
      <x:c r="E6547" t="str" s="2">
        <x:v>amontanae0503@gmail.com</x:v>
      </x:c>
      <x:c r="F6547" t="str" s="2">
        <x:v>Walk-in</x:v>
      </x:c>
      <x:c r="G6547" s="0"/>
      <x:c r="H6547" s="6">
        <x:v>46302.59807758102</x:v>
      </x:c>
      <x:c r="I6547" t="str" s="2">
        <x:v>Ethan Fossett</x:v>
      </x:c>
      <x:c r="J6547" s="0"/>
      <x:c r="K6547" s="0"/>
      <x:c r="L6547" t="str" s="2">
        <x:v>Show</x:v>
      </x:c>
    </x:row>
    <x:row r="6548">
      <x:c r="A6548" t="str" s="2">
        <x:f>=HYPERLINK("https://rsms.futurehomex.com/lead/40630", "Constantino Martinez-Ramirez")</x:f>
      </x:c>
      <x:c r="B6548" t="str" s="2">
        <x:v>Heritage Housing of Greenville</x:v>
      </x:c>
      <x:c r="C6548" t="str" s="2">
        <x:v/>
      </x:c>
      <x:c r="D6548" t="str" s="2">
        <x:v>2143255670</x:v>
      </x:c>
      <x:c r="E6548" t="str" s="2">
        <x:v>tinomartinezramirez42@gmail.com</x:v>
      </x:c>
      <x:c r="F6548" t="str" s="2">
        <x:v>TikTok</x:v>
      </x:c>
      <x:c r="G6548" t="str" s="2">
        <x:v>Brandie Sartor</x:v>
      </x:c>
      <x:c r="H6548" s="6">
        <x:v>46302.72065818287</x:v>
      </x:c>
      <x:c r="I6548" t="str" s="2">
        <x:v>Oscar Osorio</x:v>
      </x:c>
      <x:c r="J6548" s="0"/>
      <x:c r="K6548" s="6">
        <x:v>46302.72065818287</x:v>
      </x:c>
      <x:c r="L6548" t="str" s="2">
        <x:v>Show</x:v>
      </x:c>
    </x:row>
    <x:row r="6549">
      <x:c r="A6549" t="str" s="2">
        <x:f>=HYPERLINK("https://rsms.futurehomex.com/lead/40641", "Connie Vanwinkle")</x:f>
      </x:c>
      <x:c r="B6549" t="str" s="2">
        <x:v>Heritage Housing of Tulsa</x:v>
      </x:c>
      <x:c r="C6549" t="str" s="2">
        <x:v/>
      </x:c>
      <x:c r="D6549" t="str" s="2">
        <x:v>8505297889</x:v>
      </x:c>
      <x:c r="E6549" t="str" s="2">
        <x:v>connievanwinkle16@gmail.com</x:v>
      </x:c>
      <x:c r="F6549" t="str" s="2">
        <x:v>Walk-in</x:v>
      </x:c>
      <x:c r="G6549" s="0"/>
      <x:c r="H6549" s="6">
        <x:v>46302.79840292824</x:v>
      </x:c>
      <x:c r="I6549" t="str" s="2">
        <x:v>Jenna Fransisco</x:v>
      </x:c>
      <x:c r="J6549" s="0"/>
      <x:c r="K6549" s="0"/>
      <x:c r="L6549" t="str" s="2">
        <x:v>Show</x:v>
      </x:c>
    </x:row>
    <x:row r="6550">
      <x:c r="A6550" t="str" s="2">
        <x:f>=HYPERLINK("https://rsms.futurehomex.com/lead/40643", "Kathy Whitfield")</x:f>
      </x:c>
      <x:c r="B6550" t="str" s="2">
        <x:v>Heritage Housing of Athens</x:v>
      </x:c>
      <x:c r="C6550" t="str" s="2">
        <x:v/>
      </x:c>
      <x:c r="D6550" t="str" s="2">
        <x:v>7063404107</x:v>
      </x:c>
      <x:c r="E6550" t="str" s="2">
        <x:v>kjwortham@yahoo.com</x:v>
      </x:c>
      <x:c r="F6550" t="str" s="2">
        <x:v>Walk-in</x:v>
      </x:c>
      <x:c r="G6550" s="0"/>
      <x:c r="H6550" s="6">
        <x:v>46302.80701149305</x:v>
      </x:c>
      <x:c r="I6550" t="str" s="2">
        <x:v>Nathan Bishop</x:v>
      </x:c>
      <x:c r="J6550" s="6">
        <x:v>46306.708333333336</x:v>
      </x:c>
      <x:c r="K6550" s="0"/>
      <x:c r="L6550" t="str" s="2">
        <x:v>Show</x:v>
      </x:c>
    </x:row>
    <x:row r="6551">
      <x:c r="A6551" t="str" s="2">
        <x:f>=HYPERLINK("https://rsms.futurehomex.com/lead/40644", "Krystal Sexton")</x:f>
      </x:c>
      <x:c r="B6551" t="str" s="2">
        <x:v>Heritage Housing of Athens</x:v>
      </x:c>
      <x:c r="C6551" t="str" s="2">
        <x:v/>
      </x:c>
      <x:c r="D6551" t="str" s="2">
        <x:v>7065672648</x:v>
      </x:c>
      <x:c r="E6551" t="str" s="2">
        <x:v>krystalsexton87@gmail.com</x:v>
      </x:c>
      <x:c r="F6551" t="str" s="2">
        <x:v>Walk-in</x:v>
      </x:c>
      <x:c r="G6551" s="0"/>
      <x:c r="H6551" s="6">
        <x:v>46302.83810489583</x:v>
      </x:c>
      <x:c r="I6551" t="str" s="2">
        <x:v>Nathan Bishop</x:v>
      </x:c>
      <x:c r="J6551" s="0"/>
      <x:c r="K6551" s="0"/>
      <x:c r="L6551" t="str" s="2">
        <x:v>Show</x:v>
      </x:c>
    </x:row>
    <x:row r="6552">
      <x:c r="A6552" t="str" s="2">
        <x:f>=HYPERLINK("https://rsms.futurehomex.com/lead/40645", "Mary Longoria")</x:f>
      </x:c>
      <x:c r="B6552" t="str" s="2">
        <x:v>Heritage Housing of Asheboro</x:v>
      </x:c>
      <x:c r="C6552" t="str" s="2">
        <x:v/>
      </x:c>
      <x:c r="D6552" t="str" s="2">
        <x:v>3369640994</x:v>
      </x:c>
      <x:c r="E6552" t="str" s="2">
        <x:v>longoriadelangel@gmail.com</x:v>
      </x:c>
      <x:c r="F6552" t="str" s="2">
        <x:v>Walk-in</x:v>
      </x:c>
      <x:c r="G6552" s="0"/>
      <x:c r="H6552" s="6">
        <x:v>46302.85169510417</x:v>
      </x:c>
      <x:c r="I6552" t="str" s="2">
        <x:v>Maria Lopez</x:v>
      </x:c>
      <x:c r="J6552" s="0"/>
      <x:c r="K6552" s="0"/>
      <x:c r="L6552" t="str" s="2">
        <x:v>Show</x:v>
      </x:c>
    </x:row>
    <x:row r="6553">
      <x:c r="A6553" t="str" s="2">
        <x:f>=HYPERLINK("https://rsms.futurehomex.com/lead/40650", "Janie Smith")</x:f>
      </x:c>
      <x:c r="B6553" t="str" s="2">
        <x:v>Heritage Housing of Athens</x:v>
      </x:c>
      <x:c r="C6553" t="str" s="2">
        <x:v/>
      </x:c>
      <x:c r="D6553" t="str" s="2">
        <x:v>7066147776</x:v>
      </x:c>
      <x:c r="E6553" t="str" s="2">
        <x:v>janie@gmail.com</x:v>
      </x:c>
      <x:c r="F6553" t="str" s="2">
        <x:v>Walk-in</x:v>
      </x:c>
      <x:c r="G6553" s="0"/>
      <x:c r="H6553" s="6">
        <x:v>46302.92639197917</x:v>
      </x:c>
      <x:c r="I6553" t="str" s="2">
        <x:v>Nathan Bishop</x:v>
      </x:c>
      <x:c r="J6553" s="0"/>
      <x:c r="K6553" s="0"/>
      <x:c r="L6553" t="str" s="2">
        <x:v>Show</x:v>
      </x:c>
    </x:row>
    <x:row r="6554">
      <x:c r="A6554" t="str" s="2">
        <x:f>=HYPERLINK("https://rsms.futurehomex.com/lead/40652", "Danielle Hornsby")</x:f>
      </x:c>
      <x:c r="B6554" t="str" s="2">
        <x:v>Heritage Housing of Athens</x:v>
      </x:c>
      <x:c r="C6554" t="str" s="2">
        <x:v/>
      </x:c>
      <x:c r="D6554" t="str" s="2">
        <x:v>6788586942</x:v>
      </x:c>
      <x:c r="E6554" t="str" s="2">
        <x:v>djs3302026@gmail.com</x:v>
      </x:c>
      <x:c r="F6554" t="str" s="2">
        <x:v>Walk-in</x:v>
      </x:c>
      <x:c r="G6554" s="0"/>
      <x:c r="H6554" s="6">
        <x:v>46303.59691033565</x:v>
      </x:c>
      <x:c r="I6554" t="str" s="2">
        <x:v>Nathan Bishop</x:v>
      </x:c>
      <x:c r="J6554" s="0"/>
      <x:c r="K6554" s="0"/>
      <x:c r="L6554" t="str" s="2">
        <x:v>Show</x:v>
      </x:c>
    </x:row>
    <x:row r="6555">
      <x:c r="A6555" t="str" s="2">
        <x:f>=HYPERLINK("https://rsms.futurehomex.com/lead/40658", "Whitney Carey")</x:f>
      </x:c>
      <x:c r="B6555" t="str" s="2">
        <x:v>Heritage Housing of Athens</x:v>
      </x:c>
      <x:c r="C6555" t="str" s="2">
        <x:v/>
      </x:c>
      <x:c r="D6555" t="str" s="2">
        <x:v>7065404023</x:v>
      </x:c>
      <x:c r="E6555" t="str" s="2">
        <x:v>wgbrady1181@gmail.com</x:v>
      </x:c>
      <x:c r="F6555" t="str" s="2">
        <x:v>Walk-in</x:v>
      </x:c>
      <x:c r="G6555" s="0"/>
      <x:c r="H6555" s="6">
        <x:v>46303.644624803244</x:v>
      </x:c>
      <x:c r="I6555" t="str" s="2">
        <x:v>Ethan Fossett</x:v>
      </x:c>
      <x:c r="J6555" s="0"/>
      <x:c r="K6555" s="0"/>
      <x:c r="L6555" t="str" s="2">
        <x:v>Show</x:v>
      </x:c>
    </x:row>
    <x:row r="6556">
      <x:c r="A6556" t="str" s="2">
        <x:f>=HYPERLINK("https://rsms.futurehomex.com/lead/40662", "Felicia Cormier")</x:f>
      </x:c>
      <x:c r="B6556" t="str" s="2">
        <x:v>Heritage Housing of Asheboro</x:v>
      </x:c>
      <x:c r="C6556" t="str" s="2">
        <x:v/>
      </x:c>
      <x:c r="D6556" t="str" s="2">
        <x:v>3524311201</x:v>
      </x:c>
      <x:c r="E6556" t="str" s="2">
        <x:v>feliciacormier@gmail.com</x:v>
      </x:c>
      <x:c r="F6556" t="str" s="2">
        <x:v>Walk-in</x:v>
      </x:c>
      <x:c r="G6556" s="0"/>
      <x:c r="H6556" s="6">
        <x:v>46303.664741168985</x:v>
      </x:c>
      <x:c r="I6556" t="str" s="2">
        <x:v>Kate Gutierrez</x:v>
      </x:c>
      <x:c r="J6556" s="0"/>
      <x:c r="K6556" s="0"/>
      <x:c r="L6556" t="str" s="2">
        <x:v>Show</x:v>
      </x:c>
    </x:row>
    <x:row r="6557">
      <x:c r="A6557" t="str" s="2">
        <x:f>=HYPERLINK("https://rsms.futurehomex.com/lead/40666", "Amanda Kloes")</x:f>
      </x:c>
      <x:c r="B6557" t="str" s="2">
        <x:v>Heritage Housing of Athens</x:v>
      </x:c>
      <x:c r="C6557" t="str" s="2">
        <x:v/>
      </x:c>
      <x:c r="D6557" t="str" s="2">
        <x:v>7066803888</x:v>
      </x:c>
      <x:c r="E6557" t="str" s="2">
        <x:v>amandakloes@gmail.com</x:v>
      </x:c>
      <x:c r="F6557" t="str" s="2">
        <x:v>Walk-in</x:v>
      </x:c>
      <x:c r="G6557" s="0"/>
      <x:c r="H6557" s="6">
        <x:v>46303.708486724536</x:v>
      </x:c>
      <x:c r="I6557" t="str" s="2">
        <x:v>Ethan Fossett</x:v>
      </x:c>
      <x:c r="J6557" s="0"/>
      <x:c r="K6557" s="0"/>
      <x:c r="L6557" t="str" s="2">
        <x:v>Show</x:v>
      </x:c>
    </x:row>
    <x:row r="6558">
      <x:c r="A6558" t="str" s="2">
        <x:f>=HYPERLINK("https://rsms.futurehomex.com/lead/40673", "Cynthia Kaminski")</x:f>
      </x:c>
      <x:c r="B6558" t="str" s="2">
        <x:v>Heritage Housing of Asheboro</x:v>
      </x:c>
      <x:c r="C6558" t="str" s="2">
        <x:v/>
      </x:c>
      <x:c r="D6558" t="str" s="2">
        <x:v>9802342521</x:v>
      </x:c>
      <x:c r="E6558" t="str" s="2">
        <x:v>cckaminski@gmail.com</x:v>
      </x:c>
      <x:c r="F6558" t="str" s="2">
        <x:v>Walk-in</x:v>
      </x:c>
      <x:c r="G6558" s="0"/>
      <x:c r="H6558" s="6">
        <x:v>46303.756719247685</x:v>
      </x:c>
      <x:c r="I6558" t="str" s="2">
        <x:v>Kate Gutierrez</x:v>
      </x:c>
      <x:c r="J6558" s="0"/>
      <x:c r="K6558" s="0"/>
      <x:c r="L6558" t="str" s="2">
        <x:v>Show</x:v>
      </x:c>
    </x:row>
    <x:row r="6559">
      <x:c r="A6559" t="str" s="2">
        <x:f>=HYPERLINK("https://rsms.futurehomex.com/lead/40680", "Terry Thompson")</x:f>
      </x:c>
      <x:c r="B6559" t="str" s="2">
        <x:v>Heritage Housing of Tulsa</x:v>
      </x:c>
      <x:c r="C6559" t="str" s="2">
        <x:v/>
      </x:c>
      <x:c r="D6559" t="str" s="2">
        <x:v>9189072118</x:v>
      </x:c>
      <x:c r="E6559" t="str" s="2">
        <x:v>thompsonterry84@yahoo.com</x:v>
      </x:c>
      <x:c r="F6559" t="str" s="2">
        <x:v>Walk-in</x:v>
      </x:c>
      <x:c r="G6559" s="0"/>
      <x:c r="H6559" s="6">
        <x:v>46303.757101006944</x:v>
      </x:c>
      <x:c r="I6559" t="str" s="2">
        <x:v>Jenna Fransisco</x:v>
      </x:c>
      <x:c r="J6559" s="0"/>
      <x:c r="K6559" s="0"/>
      <x:c r="L6559" t="str" s="2">
        <x:v>Show</x:v>
      </x:c>
    </x:row>
    <x:row r="6560">
      <x:c r="A6560" t="str" s="2">
        <x:f>=HYPERLINK("https://rsms.futurehomex.com/lead/40674", "Ron Kelley")</x:f>
      </x:c>
      <x:c r="B6560" t="str" s="2">
        <x:v>Heritage Housing of Athens</x:v>
      </x:c>
      <x:c r="C6560" t="str" s="2">
        <x:v/>
      </x:c>
      <x:c r="D6560" t="str" s="2">
        <x:v>7062862835</x:v>
      </x:c>
      <x:c r="E6560" t="str" s="2">
        <x:v>rkelleyboi23@gmail.com</x:v>
      </x:c>
      <x:c r="F6560" t="str" s="2">
        <x:v>Walk-in</x:v>
      </x:c>
      <x:c r="G6560" s="0"/>
      <x:c r="H6560" s="6">
        <x:v>46303.76933579861</x:v>
      </x:c>
      <x:c r="I6560" t="str" s="2">
        <x:v>Nathan Bishop</x:v>
      </x:c>
      <x:c r="J6560" s="0"/>
      <x:c r="K6560" s="0"/>
      <x:c r="L6560" t="str" s="2">
        <x:v>Show</x:v>
      </x:c>
    </x:row>
    <x:row r="6561">
      <x:c r="A6561" t="str" s="2">
        <x:f>=HYPERLINK("https://rsms.futurehomex.com/lead/40675", "Kelsey Parrish")</x:f>
      </x:c>
      <x:c r="B6561" t="str" s="2">
        <x:v>Heritage Housing of Augusta</x:v>
      </x:c>
      <x:c r="C6561" t="str" s="2">
        <x:v/>
      </x:c>
      <x:c r="D6561" t="str" s="2">
        <x:v>9126820123</x:v>
      </x:c>
      <x:c r="E6561" t="str" s="2">
        <x:v>1972ktpsr@gmail.com</x:v>
      </x:c>
      <x:c r="F6561" t="str" s="2">
        <x:v>Walk-in</x:v>
      </x:c>
      <x:c r="G6561" s="0"/>
      <x:c r="H6561" s="6">
        <x:v>46303.775626041665</x:v>
      </x:c>
      <x:c r="I6561" t="str" s="2">
        <x:v>Jennifer Johnson</x:v>
      </x:c>
      <x:c r="J6561" s="6">
        <x:v>46315.791666666664</x:v>
      </x:c>
      <x:c r="K6561" s="0"/>
      <x:c r="L6561" t="str" s="2">
        <x:v>Show</x:v>
      </x:c>
    </x:row>
    <x:row r="6562">
      <x:c r="A6562" t="str" s="2">
        <x:f>=HYPERLINK("https://rsms.futurehomex.com/lead/40677", "Benji Schrenk")</x:f>
      </x:c>
      <x:c r="B6562" t="str" s="2">
        <x:v>Heritage Housing of Athens</x:v>
      </x:c>
      <x:c r="C6562" t="str" s="2">
        <x:v/>
      </x:c>
      <x:c r="D6562" t="str" s="2">
        <x:v>6789935868</x:v>
      </x:c>
      <x:c r="E6562" t="str" s="2">
        <x:v>benjischrenk1@gmail.com</x:v>
      </x:c>
      <x:c r="F6562" t="str" s="2">
        <x:v>Walk-in</x:v>
      </x:c>
      <x:c r="G6562" s="0"/>
      <x:c r="H6562" s="6">
        <x:v>46303.8219787037</x:v>
      </x:c>
      <x:c r="I6562" t="str" s="2">
        <x:v>Ethan Fossett</x:v>
      </x:c>
      <x:c r="J6562" s="0"/>
      <x:c r="K6562" s="0"/>
      <x:c r="L6562" t="str" s="2">
        <x:v>Show</x:v>
      </x:c>
    </x:row>
    <x:row r="6563">
      <x:c r="A6563" t="str" s="2">
        <x:f>=HYPERLINK("https://rsms.futurehomex.com/lead/40679", "Kelley Coe")</x:f>
      </x:c>
      <x:c r="B6563" t="str" s="2">
        <x:v>Heritage Housing of Tulsa</x:v>
      </x:c>
      <x:c r="C6563" t="str" s="2">
        <x:v/>
      </x:c>
      <x:c r="D6563" t="str" s="2">
        <x:v>9185571404</x:v>
      </x:c>
      <x:c r="E6563" t="str" s="2">
        <x:v>kelleylcoe@gmail.com</x:v>
      </x:c>
      <x:c r="F6563" t="str" s="2">
        <x:v>Walk-in</x:v>
      </x:c>
      <x:c r="G6563" s="0"/>
      <x:c r="H6563" s="6">
        <x:v>46303.89816542824</x:v>
      </x:c>
      <x:c r="I6563" t="str" s="2">
        <x:v>Jenna Fransisco</x:v>
      </x:c>
      <x:c r="J6563" s="0"/>
      <x:c r="K6563" s="0"/>
      <x:c r="L6563" t="str" s="2">
        <x:v>Show</x:v>
      </x:c>
    </x:row>
    <x:row r="6564">
      <x:c r="A6564" t="str" s="2">
        <x:f>=HYPERLINK("https://rsms.futurehomex.com/lead/40690", "Shayla Mendiola")</x:f>
      </x:c>
      <x:c r="B6564" t="str" s="2">
        <x:v>Heritage Housing Mt Pleasant</x:v>
      </x:c>
      <x:c r="C6564" t="str" s="2">
        <x:v/>
      </x:c>
      <x:c r="D6564" t="str" s="2">
        <x:v>9034663719</x:v>
      </x:c>
      <x:c r="E6564" t="str" s="2">
        <x:v>shaylact2406@gmail.com</x:v>
      </x:c>
      <x:c r="F6564" t="str" s="2">
        <x:v>Other</x:v>
      </x:c>
      <x:c r="G6564" t="str" s="2">
        <x:v>Sandra Saldana</x:v>
      </x:c>
      <x:c r="H6564" s="6">
        <x:v>46303.98449609954</x:v>
      </x:c>
      <x:c r="I6564" t="str" s="2">
        <x:v>Sandra Saldana</x:v>
      </x:c>
      <x:c r="J6564" s="6">
        <x:v>46303.958333333336</x:v>
      </x:c>
      <x:c r="K6564" s="6">
        <x:v>46303.98786778935</x:v>
      </x:c>
      <x:c r="L6564" t="str" s="2">
        <x:v>Show</x:v>
      </x:c>
    </x:row>
    <x:row r="6565">
      <x:c r="A6565" t="str" s="2">
        <x:f>=HYPERLINK("https://rsms.futurehomex.com/lead/40691", "Felix Cargill")</x:f>
      </x:c>
      <x:c r="B6565" t="str" s="2">
        <x:v>Heritage Housing of Oklahoma City</x:v>
      </x:c>
      <x:c r="C6565" t="str" s="2">
        <x:v/>
      </x:c>
      <x:c r="D6565" t="str" s="2">
        <x:v>4056207475</x:v>
      </x:c>
      <x:c r="E6565" t="str" s="2">
        <x:v>feal_real@icloud.com</x:v>
      </x:c>
      <x:c r="F6565" t="str" s="2">
        <x:v>Facebook Messenger</x:v>
      </x:c>
      <x:c r="G6565" t="str" s="2">
        <x:v>Steve Castell</x:v>
      </x:c>
      <x:c r="H6565" s="6">
        <x:v>46304.03691076389</x:v>
      </x:c>
      <x:c r="I6565" t="str" s="2">
        <x:v>Steve Castell</x:v>
      </x:c>
      <x:c r="J6565" s="6">
        <x:v>46304.625</x:v>
      </x:c>
      <x:c r="K6565" s="6">
        <x:v>46304.80722091435</x:v>
      </x:c>
      <x:c r="L6565" t="str" s="2">
        <x:v>Show</x:v>
      </x:c>
    </x:row>
    <x:row r="6566">
      <x:c r="A6566" t="str" s="2">
        <x:f>=HYPERLINK("https://rsms.futurehomex.com/lead/40692", "Martha K Freeman")</x:f>
      </x:c>
      <x:c r="B6566" t="str" s="2">
        <x:v>Heritage Housing of Jennings</x:v>
      </x:c>
      <x:c r="C6566" t="str" s="2">
        <x:v/>
      </x:c>
      <x:c r="D6566" t="str" s="2">
        <x:v>3374458663</x:v>
      </x:c>
      <x:c r="E6566" t="str" s="2">
        <x:v>mfreeman.janiking@gmail.com</x:v>
      </x:c>
      <x:c r="F6566" t="str" s="2">
        <x:v>Office Hot Calls</x:v>
      </x:c>
      <x:c r="G6566" t="str" s="2">
        <x:v>Clint O'Neal</x:v>
      </x:c>
      <x:c r="H6566" s="6">
        <x:v>46304.56901304398</x:v>
      </x:c>
      <x:c r="I6566" t="str" s="2">
        <x:v>Clint O'Neal</x:v>
      </x:c>
      <x:c r="J6566" s="6">
        <x:v>46305.583333333336</x:v>
      </x:c>
      <x:c r="K6566" s="6">
        <x:v>46305.64161207176</x:v>
      </x:c>
      <x:c r="L6566" t="str" s="2">
        <x:v>Show</x:v>
      </x:c>
    </x:row>
    <x:row r="6567">
      <x:c r="A6567" t="str" s="2">
        <x:f>=HYPERLINK("https://rsms.futurehomex.com/lead/40693", "Robert Searles")</x:f>
      </x:c>
      <x:c r="B6567" t="str" s="2">
        <x:v>Heritage Housing of Augusta</x:v>
      </x:c>
      <x:c r="C6567" t="str" s="2">
        <x:v/>
      </x:c>
      <x:c r="D6567" t="str" s="2">
        <x:v>7064454596</x:v>
      </x:c>
      <x:c r="E6567" t="str" s="2">
        <x:v>evasearles66@gmail.com</x:v>
      </x:c>
      <x:c r="F6567" t="str" s="2">
        <x:v>Walk-in</x:v>
      </x:c>
      <x:c r="G6567" s="0"/>
      <x:c r="H6567" s="6">
        <x:v>46304.57154417824</x:v>
      </x:c>
      <x:c r="I6567" t="str" s="2">
        <x:v>Jennifer Johnson</x:v>
      </x:c>
      <x:c r="J6567" s="6">
        <x:v>46308.625</x:v>
      </x:c>
      <x:c r="K6567" s="0"/>
      <x:c r="L6567" t="str" s="2">
        <x:v>Show</x:v>
      </x:c>
    </x:row>
    <x:row r="6568">
      <x:c r="A6568" t="str" s="2">
        <x:f>=HYPERLINK("https://rsms.futurehomex.com/lead/40695", "Skylar Redmon")</x:f>
      </x:c>
      <x:c r="B6568" t="str" s="2">
        <x:v>Heritage Housing of Asheboro</x:v>
      </x:c>
      <x:c r="C6568" t="str" s="2">
        <x:v/>
      </x:c>
      <x:c r="D6568" t="str" s="2">
        <x:v>3364603690</x:v>
      </x:c>
      <x:c r="E6568" t="str" s="2">
        <x:v>redmonskylar2809@gmail.com</x:v>
      </x:c>
      <x:c r="F6568" t="str" s="2">
        <x:v>Walk-in</x:v>
      </x:c>
      <x:c r="G6568" s="0"/>
      <x:c r="H6568" s="6">
        <x:v>46304.604464895834</x:v>
      </x:c>
      <x:c r="I6568" t="str" s="2">
        <x:v>Maria Lopez</x:v>
      </x:c>
      <x:c r="J6568" s="0"/>
      <x:c r="K6568" s="0"/>
      <x:c r="L6568" t="str" s="2">
        <x:v>Show</x:v>
      </x:c>
    </x:row>
    <x:row r="6569">
      <x:c r="A6569" t="str" s="2">
        <x:f>=HYPERLINK("https://rsms.futurehomex.com/lead/40696", "Daniel Armando Reyes")</x:f>
      </x:c>
      <x:c r="B6569" t="str" s="2">
        <x:v>Legacy Housing Corp. DBA Americasa</x:v>
      </x:c>
      <x:c r="C6569" t="str" s="2">
        <x:v/>
      </x:c>
      <x:c r="D6569" t="str" s="2">
        <x:v>6315591008</x:v>
      </x:c>
      <x:c r="E6569" t="str" s="2">
        <x:v>6315591008</x:v>
      </x:c>
      <x:c r="F6569" t="str" s="2">
        <x:v>Referrals</x:v>
      </x:c>
      <x:c r="G6569" t="str" s="2">
        <x:v>Angelica Mendoza </x:v>
      </x:c>
      <x:c r="H6569" s="6">
        <x:v>46304.621092789355</x:v>
      </x:c>
      <x:c r="I6569" t="str" s="2">
        <x:v>Angelica Mendoza </x:v>
      </x:c>
      <x:c r="J6569" s="6">
        <x:v>46314.666666666664</x:v>
      </x:c>
      <x:c r="K6569" s="6">
        <x:v>46304.621092789355</x:v>
      </x:c>
      <x:c r="L6569" t="str" s="2">
        <x:v>Show</x:v>
      </x:c>
    </x:row>
    <x:row r="6570">
      <x:c r="A6570" t="str" s="2">
        <x:f>=HYPERLINK("https://rsms.futurehomex.com/lead/40699", "Sulma Hawkins")</x:f>
      </x:c>
      <x:c r="B6570" t="str" s="2">
        <x:v>Heritage Housing Mt Pleasant</x:v>
      </x:c>
      <x:c r="C6570" t="str" s="2">
        <x:v/>
      </x:c>
      <x:c r="D6570" t="str" s="2">
        <x:v>9032854481</x:v>
      </x:c>
      <x:c r="E6570" t="str" s="2">
        <x:v>9032854481</x:v>
      </x:c>
      <x:c r="F6570" t="str" s="2">
        <x:v>Facebook Messenger</x:v>
      </x:c>
      <x:c r="G6570" t="str" s="2">
        <x:v>Yarelis Torres</x:v>
      </x:c>
      <x:c r="H6570" s="6">
        <x:v>46304.66817291667</x:v>
      </x:c>
      <x:c r="I6570" t="str" s="2">
        <x:v>Yarelis Torres</x:v>
      </x:c>
      <x:c r="J6570" s="6">
        <x:v>46304.604166666664</x:v>
      </x:c>
      <x:c r="K6570" s="6">
        <x:v>46305.641935300926</x:v>
      </x:c>
      <x:c r="L6570" t="str" s="2">
        <x:v>Show</x:v>
      </x:c>
    </x:row>
    <x:row r="6571">
      <x:c r="A6571" t="str" s="2">
        <x:f>=HYPERLINK("https://rsms.futurehomex.com/lead/40701", "Kara Kyle")</x:f>
      </x:c>
      <x:c r="B6571" t="str" s="2">
        <x:v>Heritage Housing of Augusta</x:v>
      </x:c>
      <x:c r="C6571" t="str" s="2">
        <x:v/>
      </x:c>
      <x:c r="D6571" t="str" s="2">
        <x:v>7068703218</x:v>
      </x:c>
      <x:c r="E6571" t="str" s="2">
        <x:v>kara.kyle1999@gmail.com</x:v>
      </x:c>
      <x:c r="F6571" t="str" s="2">
        <x:v>Walk-in</x:v>
      </x:c>
      <x:c r="G6571" s="0"/>
      <x:c r="H6571" s="6">
        <x:v>46304.704974155095</x:v>
      </x:c>
      <x:c r="I6571" t="str" s="2">
        <x:v>Jennifer Johnson</x:v>
      </x:c>
      <x:c r="J6571" s="0"/>
      <x:c r="K6571" s="0"/>
      <x:c r="L6571" t="str" s="2">
        <x:v>Show</x:v>
      </x:c>
    </x:row>
    <x:row r="6572">
      <x:c r="A6572" t="str" s="2">
        <x:f>=HYPERLINK("https://rsms.futurehomex.com/lead/40704", "Annabeth Perkins")</x:f>
      </x:c>
      <x:c r="B6572" t="str" s="2">
        <x:v>Heritage Housing of Augusta</x:v>
      </x:c>
      <x:c r="C6572" t="str" s="2">
        <x:v/>
      </x:c>
      <x:c r="D6572" t="str" s="2">
        <x:v>7068405517</x:v>
      </x:c>
      <x:c r="E6572" t="str" s="2">
        <x:v>perkinsannabeth@gmail.com</x:v>
      </x:c>
      <x:c r="F6572" t="str" s="2">
        <x:v>Walk-in</x:v>
      </x:c>
      <x:c r="G6572" s="0"/>
      <x:c r="H6572" s="6">
        <x:v>46304.75089927083</x:v>
      </x:c>
      <x:c r="I6572" t="str" s="2">
        <x:v>Jennifer Johnson</x:v>
      </x:c>
      <x:c r="J6572" s="0"/>
      <x:c r="K6572" s="0"/>
      <x:c r="L6572" t="str" s="2">
        <x:v>Show</x:v>
      </x:c>
    </x:row>
    <x:row r="6573">
      <x:c r="A6573" t="str" s="2">
        <x:f>=HYPERLINK("https://rsms.futurehomex.com/lead/40706", "Dwight Hunt")</x:f>
      </x:c>
      <x:c r="B6573" t="str" s="2">
        <x:v>Heritage Housing of Athens</x:v>
      </x:c>
      <x:c r="C6573" t="str" s="2">
        <x:v/>
      </x:c>
      <x:c r="D6573" t="str" s="2">
        <x:v>8643531287</x:v>
      </x:c>
      <x:c r="E6573" t="str" s="2">
        <x:v>slickwillie2056@yahoo.com</x:v>
      </x:c>
      <x:c r="F6573" t="str" s="2">
        <x:v>Walk-in</x:v>
      </x:c>
      <x:c r="G6573" s="0"/>
      <x:c r="H6573" s="6">
        <x:v>46304.75862627315</x:v>
      </x:c>
      <x:c r="I6573" t="str" s="2">
        <x:v>Nathan Bishop</x:v>
      </x:c>
      <x:c r="J6573" s="0"/>
      <x:c r="K6573" s="0"/>
      <x:c r="L6573" t="str" s="2">
        <x:v>Show</x:v>
      </x:c>
    </x:row>
    <x:row r="6574">
      <x:c r="A6574" t="str" s="2">
        <x:f>=HYPERLINK("https://rsms.futurehomex.com/lead/40707", "Dreama Murphy")</x:f>
      </x:c>
      <x:c r="B6574" t="str" s="2">
        <x:v>Heritage Housing of Asheboro</x:v>
      </x:c>
      <x:c r="C6574" t="str" s="2">
        <x:v/>
      </x:c>
      <x:c r="D6574" t="str" s="2">
        <x:v>3369643284</x:v>
      </x:c>
      <x:c r="E6574" t="str" s="2">
        <x:v>tmurphy32970@gmail.com</x:v>
      </x:c>
      <x:c r="F6574" t="str" s="2">
        <x:v>Walk-in</x:v>
      </x:c>
      <x:c r="G6574" s="0"/>
      <x:c r="H6574" s="6">
        <x:v>46304.784388541666</x:v>
      </x:c>
      <x:c r="I6574" t="str" s="2">
        <x:v>Maria Lopez</x:v>
      </x:c>
      <x:c r="J6574" s="0"/>
      <x:c r="K6574" s="0"/>
      <x:c r="L6574" t="str" s="2">
        <x:v>Show</x:v>
      </x:c>
    </x:row>
    <x:row r="6575">
      <x:c r="A6575" t="str" s="2">
        <x:f>=HYPERLINK("https://rsms.futurehomex.com/lead/40709", "Makale Hebert")</x:f>
      </x:c>
      <x:c r="B6575" t="str" s="2">
        <x:v>Heritage Housing of Jennings</x:v>
      </x:c>
      <x:c r="C6575" t="str" s="2">
        <x:v/>
      </x:c>
      <x:c r="D6575" t="str" s="2">
        <x:v>1337371705</x:v>
      </x:c>
      <x:c r="E6575" t="str" s="2">
        <x:v>makale.hebert@gmail.com</x:v>
      </x:c>
      <x:c r="F6575" t="str" s="2">
        <x:v>Walk-in</x:v>
      </x:c>
      <x:c r="G6575" s="0"/>
      <x:c r="H6575" s="6">
        <x:v>46304.79630945602</x:v>
      </x:c>
      <x:c r="I6575" t="str" s="2">
        <x:v>Clint O'Neal</x:v>
      </x:c>
      <x:c r="J6575" s="0"/>
      <x:c r="K6575" s="0"/>
      <x:c r="L6575" t="str" s="2">
        <x:v>Show</x:v>
      </x:c>
    </x:row>
    <x:row r="6576">
      <x:c r="A6576" t="str" s="2">
        <x:f>=HYPERLINK("https://rsms.futurehomex.com/lead/40710", "Anyssa Morales")</x:f>
      </x:c>
      <x:c r="B6576" t="str" s="2">
        <x:v>Heritage Housing of Oklahoma City</x:v>
      </x:c>
      <x:c r="C6576" t="str" s="2">
        <x:v/>
      </x:c>
      <x:c r="D6576" t="str" s="2">
        <x:v>4053125056</x:v>
      </x:c>
      <x:c r="E6576" t="str" s="2">
        <x:v>4053125056</x:v>
      </x:c>
      <x:c r="F6576" t="str" s="2">
        <x:v>Facebook Messenger</x:v>
      </x:c>
      <x:c r="G6576" t="str" s="2">
        <x:v>Devon McCoy</x:v>
      </x:c>
      <x:c r="H6576" s="6">
        <x:v>46304.823675</x:v>
      </x:c>
      <x:c r="I6576" t="str" s="2">
        <x:v>Devon McCoy</x:v>
      </x:c>
      <x:c r="J6576" s="6">
        <x:v>46304.708333333336</x:v>
      </x:c>
      <x:c r="K6576" s="6">
        <x:v>46307.81684375</x:v>
      </x:c>
      <x:c r="L6576" t="str" s="2">
        <x:v>Show</x:v>
      </x:c>
    </x:row>
    <x:row r="6577">
      <x:c r="A6577" t="str" s="2">
        <x:f>=HYPERLINK("https://rsms.futurehomex.com/lead/40726", "Jack Wood")</x:f>
      </x:c>
      <x:c r="B6577" t="str" s="2">
        <x:v>Heritage Housing of Oklahoma City</x:v>
      </x:c>
      <x:c r="C6577" t="str" s="2">
        <x:v/>
      </x:c>
      <x:c r="D6577" t="str" s="2">
        <x:v>5722201245</x:v>
      </x:c>
      <x:c r="E6577" t="str" s="2">
        <x:v>unlimitedpowerllc@yahoo.com</x:v>
      </x:c>
      <x:c r="F6577" t="str" s="2">
        <x:v>Meta Marketplace</x:v>
      </x:c>
      <x:c r="G6577" t="str" s="2">
        <x:v>Richard Bell</x:v>
      </x:c>
      <x:c r="H6577" s="6">
        <x:v>46305.670166979166</x:v>
      </x:c>
      <x:c r="I6577" t="str" s="2">
        <x:v>Alejandra Calderon</x:v>
      </x:c>
      <x:c r="J6577" s="0"/>
      <x:c r="K6577" s="6">
        <x:v>46305.670166979166</x:v>
      </x:c>
      <x:c r="L6577" t="str" s="2">
        <x:v>Show</x:v>
      </x:c>
    </x:row>
    <x:row r="6578">
      <x:c r="A6578" t="str" s="2">
        <x:f>=HYPERLINK("https://rsms.futurehomex.com/lead/40727", "Sara Garcia")</x:f>
      </x:c>
      <x:c r="B6578" t="str" s="2">
        <x:v>Legacy Housing Corp. DBA Americasa</x:v>
      </x:c>
      <x:c r="C6578" t="str" s="2">
        <x:v/>
      </x:c>
      <x:c r="D6578" t="str" s="2">
        <x:v>9545482955</x:v>
      </x:c>
      <x:c r="E6578" t="str" s="2">
        <x:v>9545482955</x:v>
      </x:c>
      <x:c r="F6578" t="str" s="2">
        <x:v>Referrals</x:v>
      </x:c>
      <x:c r="G6578" t="str" s="2">
        <x:v>Angelica Mendoza </x:v>
      </x:c>
      <x:c r="H6578" s="6">
        <x:v>46305.6942258912</x:v>
      </x:c>
      <x:c r="I6578" t="str" s="2">
        <x:v>Angelica Mendoza </x:v>
      </x:c>
      <x:c r="J6578" s="0"/>
      <x:c r="K6578" s="6">
        <x:v>46305.6942258912</x:v>
      </x:c>
      <x:c r="L6578" t="str" s="2">
        <x:v>Show</x:v>
      </x:c>
    </x:row>
    <x:row r="6579">
      <x:c r="A6579" t="str" s="2">
        <x:f>=HYPERLINK("https://rsms.futurehomex.com/lead/40729", "Christopher Wlliams")</x:f>
      </x:c>
      <x:c r="B6579" t="str" s="2">
        <x:v>Heritage Housing Mt Pleasant</x:v>
      </x:c>
      <x:c r="C6579" t="str" s="2">
        <x:v/>
      </x:c>
      <x:c r="D6579" t="str" s="2">
        <x:v>8064333667</x:v>
      </x:c>
      <x:c r="E6579" t="str" s="2">
        <x:v>cowboysexpresstrucking@gmail.com</x:v>
      </x:c>
      <x:c r="F6579" t="str" s="2">
        <x:v>Facebook Messenger</x:v>
      </x:c>
      <x:c r="G6579" t="str" s="2">
        <x:v>Yarelis Torres</x:v>
      </x:c>
      <x:c r="H6579" s="6">
        <x:v>46305.7091371875</x:v>
      </x:c>
      <x:c r="I6579" t="str" s="2">
        <x:v>Yarelis Torres</x:v>
      </x:c>
      <x:c r="J6579" s="6">
        <x:v>46305.75</x:v>
      </x:c>
      <x:c r="K6579" s="6">
        <x:v>46305.91443741898</x:v>
      </x:c>
      <x:c r="L6579" t="str" s="2">
        <x:v>Show</x:v>
      </x:c>
    </x:row>
    <x:row r="6580">
      <x:c r="A6580" t="str" s="2">
        <x:f>=HYPERLINK("https://rsms.futurehomex.com/lead/40731", "Sonya Lejeune")</x:f>
      </x:c>
      <x:c r="B6580" t="str" s="2">
        <x:v>Heritage Housing of Jennings</x:v>
      </x:c>
      <x:c r="C6580" t="str" s="2">
        <x:v/>
      </x:c>
      <x:c r="D6580" t="str" s="2">
        <x:v>3373441225</x:v>
      </x:c>
      <x:c r="E6580" t="str" s="2">
        <x:v>sunshineandstorms33@yahoo.com</x:v>
      </x:c>
      <x:c r="F6580" t="str" s="2">
        <x:v>Walk-in</x:v>
      </x:c>
      <x:c r="G6580" s="0"/>
      <x:c r="H6580" s="6">
        <x:v>46305.71335975694</x:v>
      </x:c>
      <x:c r="I6580" t="str" s="2">
        <x:v>Mervin Leslie Smith</x:v>
      </x:c>
      <x:c r="J6580" s="0"/>
      <x:c r="K6580" s="0"/>
      <x:c r="L6580" t="str" s="2">
        <x:v>Show</x:v>
      </x:c>
    </x:row>
    <x:row r="6581">
      <x:c r="A6581" t="str" s="2">
        <x:f>=HYPERLINK("https://rsms.futurehomex.com/lead/40732", "Charllote Carey")</x:f>
      </x:c>
      <x:c r="B6581" t="str" s="2">
        <x:v>Heritage Housing of Minden</x:v>
      </x:c>
      <x:c r="C6581" t="str" s="2">
        <x:v/>
      </x:c>
      <x:c r="D6581" t="str" s="2">
        <x:v>3182005604</x:v>
      </x:c>
      <x:c r="E6581" t="str" s="2">
        <x:v>talktell@yahoo.com</x:v>
      </x:c>
      <x:c r="F6581" t="str" s="2">
        <x:v>Walk-in</x:v>
      </x:c>
      <x:c r="G6581" s="0"/>
      <x:c r="H6581" s="6">
        <x:v>46305.74657939815</x:v>
      </x:c>
      <x:c r="I6581" t="str" s="2">
        <x:v>Patrick Schuchart</x:v>
      </x:c>
      <x:c r="J6581" s="0"/>
      <x:c r="K6581" s="0"/>
      <x:c r="L6581" t="str" s="2">
        <x:v>Show</x:v>
      </x:c>
    </x:row>
    <x:row r="6582">
      <x:c r="A6582" t="str" s="2">
        <x:f>=HYPERLINK("https://rsms.futurehomex.com/lead/40735", "Danille Micheau")</x:f>
      </x:c>
      <x:c r="B6582" t="str" s="2">
        <x:v>Heritage Housing of Athens</x:v>
      </x:c>
      <x:c r="C6582" t="str" s="2">
        <x:v/>
      </x:c>
      <x:c r="D6582" t="str" s="2">
        <x:v>8659731815</x:v>
      </x:c>
      <x:c r="E6582" t="str" s="2">
        <x:v>danillemicheau@yahoo.com</x:v>
      </x:c>
      <x:c r="F6582" t="str" s="2">
        <x:v>Walk-in</x:v>
      </x:c>
      <x:c r="G6582" s="0"/>
      <x:c r="H6582" s="6">
        <x:v>46305.827362303244</x:v>
      </x:c>
      <x:c r="I6582" t="str" s="2">
        <x:v>Ethan Fossett</x:v>
      </x:c>
      <x:c r="J6582" s="0"/>
      <x:c r="K6582" s="0"/>
      <x:c r="L6582" t="str" s="2">
        <x:v>Show</x:v>
      </x:c>
    </x:row>
    <x:row r="6583">
      <x:c r="A6583" t="str" s="2">
        <x:f>=HYPERLINK("https://rsms.futurehomex.com/lead/40741", "Sarah Fry")</x:f>
      </x:c>
      <x:c r="B6583" t="str" s="2">
        <x:v>Heritage Housing Mt Pleasant</x:v>
      </x:c>
      <x:c r="C6583" t="str" s="2">
        <x:v/>
      </x:c>
      <x:c r="D6583" t="str" s="2">
        <x:v>9038559421</x:v>
      </x:c>
      <x:c r="E6583" t="str" s="2">
        <x:v>sfry@mpisd.net</x:v>
      </x:c>
      <x:c r="F6583" t="str" s="2">
        <x:v>Other</x:v>
      </x:c>
      <x:c r="G6583" t="str" s="2">
        <x:v>Sandra Saldana</x:v>
      </x:c>
      <x:c r="H6583" s="6">
        <x:v>46306.71569945602</x:v>
      </x:c>
      <x:c r="I6583" t="str" s="2">
        <x:v>Sandra Saldana</x:v>
      </x:c>
      <x:c r="J6583" s="6">
        <x:v>46306.21875</x:v>
      </x:c>
      <x:c r="K6583" s="6">
        <x:v>46306.73090170139</x:v>
      </x:c>
      <x:c r="L6583" t="str" s="2">
        <x:v>Show</x:v>
      </x:c>
    </x:row>
    <x:row r="6584">
      <x:c r="A6584" t="str" s="2">
        <x:f>=HYPERLINK("https://rsms.futurehomex.com/lead/40751", "Stan Roberts")</x:f>
      </x:c>
      <x:c r="B6584" t="str" s="2">
        <x:v>Heritage Housing of Minden</x:v>
      </x:c>
      <x:c r="C6584" t="str" s="2">
        <x:v/>
      </x:c>
      <x:c r="D6584" t="str" s="2">
        <x:v>3185236897</x:v>
      </x:c>
      <x:c r="E6584" t="str" s="2">
        <x:v>jiuol@gmail.com</x:v>
      </x:c>
      <x:c r="F6584" t="str" s="2">
        <x:v>Walk-in</x:v>
      </x:c>
      <x:c r="G6584" s="0"/>
      <x:c r="H6584" s="6">
        <x:v>46307.604923148145</x:v>
      </x:c>
      <x:c r="I6584" t="str" s="2">
        <x:v>Patrick Schuchart</x:v>
      </x:c>
      <x:c r="J6584" s="0"/>
      <x:c r="K6584" s="0"/>
      <x:c r="L6584" t="str" s="2">
        <x:v>Show</x:v>
      </x:c>
    </x:row>
    <x:row r="6585">
      <x:c r="A6585" t="str" s="2">
        <x:f>=HYPERLINK("https://rsms.futurehomex.com/lead/40750", "Joe Villalpando")</x:f>
      </x:c>
      <x:c r="B6585" t="str" s="2">
        <x:v>Heritage Housing of Athens</x:v>
      </x:c>
      <x:c r="C6585" t="str" s="2">
        <x:v/>
      </x:c>
      <x:c r="D6585" t="str" s="2">
        <x:v>8645296897</x:v>
      </x:c>
      <x:c r="E6585" t="str" s="2">
        <x:v>wua6178@gmail.com</x:v>
      </x:c>
      <x:c r="F6585" t="str" s="2">
        <x:v>Walk-in</x:v>
      </x:c>
      <x:c r="G6585" s="0"/>
      <x:c r="H6585" s="6">
        <x:v>46307.60514980324</x:v>
      </x:c>
      <x:c r="I6585" t="str" s="2">
        <x:v>Ethan Fossett</x:v>
      </x:c>
      <x:c r="J6585" s="0"/>
      <x:c r="K6585" s="0"/>
      <x:c r="L6585" t="str" s="2">
        <x:v>Show</x:v>
      </x:c>
    </x:row>
    <x:row r="6586">
      <x:c r="A6586" t="str" s="2">
        <x:f>=HYPERLINK("https://rsms.futurehomex.com/lead/40752", "Garrick Daniel")</x:f>
      </x:c>
      <x:c r="B6586" t="str" s="2">
        <x:v>Heritage Housing of Athens</x:v>
      </x:c>
      <x:c r="C6586" t="str" s="2">
        <x:v/>
      </x:c>
      <x:c r="D6586" t="str" s="2">
        <x:v>7067151952</x:v>
      </x:c>
      <x:c r="E6586" t="str" s="2">
        <x:v>geedaniel257@yahoo.com</x:v>
      </x:c>
      <x:c r="F6586" t="str" s="2">
        <x:v>Walk-in</x:v>
      </x:c>
      <x:c r="G6586" s="0"/>
      <x:c r="H6586" s="6">
        <x:v>46307.6058440162</x:v>
      </x:c>
      <x:c r="I6586" t="str" s="2">
        <x:v>Ethan Fossett</x:v>
      </x:c>
      <x:c r="J6586" s="0"/>
      <x:c r="K6586" s="0"/>
      <x:c r="L6586" t="str" s="2">
        <x:v>Show</x:v>
      </x:c>
    </x:row>
    <x:row r="6587">
      <x:c r="A6587" t="str" s="2">
        <x:f>=HYPERLINK("https://rsms.futurehomex.com/lead/40755", "Peggy Yates")</x:f>
      </x:c>
      <x:c r="B6587" t="str" s="2">
        <x:v>Heritage Housing of Asheboro</x:v>
      </x:c>
      <x:c r="C6587" t="str" s="2">
        <x:v/>
      </x:c>
      <x:c r="D6587" t="str" s="2">
        <x:v>3369535529</x:v>
      </x:c>
      <x:c r="E6587" t="str" s="2">
        <x:v>nurse43555@gmail.com</x:v>
      </x:c>
      <x:c r="F6587" t="str" s="2">
        <x:v>Walk-in</x:v>
      </x:c>
      <x:c r="G6587" s="0"/>
      <x:c r="H6587" s="6">
        <x:v>46307.6215971412</x:v>
      </x:c>
      <x:c r="I6587" t="str" s="2">
        <x:v>Maria Lopez</x:v>
      </x:c>
      <x:c r="J6587" s="0"/>
      <x:c r="K6587" s="0"/>
      <x:c r="L6587" t="str" s="2">
        <x:v>Show</x:v>
      </x:c>
    </x:row>
    <x:row r="6588">
      <x:c r="A6588" t="str" s="2">
        <x:f>=HYPERLINK("https://rsms.futurehomex.com/lead/40756", "Michael Miyabara")</x:f>
      </x:c>
      <x:c r="B6588" t="str" s="2">
        <x:v>Heritage Housing of Oklahoma City</x:v>
      </x:c>
      <x:c r="C6588" t="str" s="2">
        <x:v/>
      </x:c>
      <x:c r="D6588" t="str" s="2">
        <x:v>4794059504</x:v>
      </x:c>
      <x:c r="E6588" t="str" s="2">
        <x:v>m3@miyabara.com</x:v>
      </x:c>
      <x:c r="F6588" t="str" s="2">
        <x:v>Facebook Messenger</x:v>
      </x:c>
      <x:c r="G6588" t="str" s="2">
        <x:v>Devon McCoy</x:v>
      </x:c>
      <x:c r="H6588" s="6">
        <x:v>46307.63523148148</x:v>
      </x:c>
      <x:c r="I6588" t="str" s="2">
        <x:v>Devon McCoy</x:v>
      </x:c>
      <x:c r="J6588" s="6">
        <x:v>46307.208333333336</x:v>
      </x:c>
      <x:c r="K6588" s="6">
        <x:v>46307.90957045139</x:v>
      </x:c>
      <x:c r="L6588" t="str" s="2">
        <x:v>Show</x:v>
      </x:c>
    </x:row>
    <x:row r="6589">
      <x:c r="A6589" t="str" s="2">
        <x:f>=HYPERLINK("https://rsms.futurehomex.com/lead/40759", "Richard Reeves")</x:f>
      </x:c>
      <x:c r="B6589" t="str" s="2">
        <x:v>Heritage Housing of Oklahoma City</x:v>
      </x:c>
      <x:c r="C6589" t="str" s="2">
        <x:v/>
      </x:c>
      <x:c r="D6589" t="str" s="2">
        <x:v>4058801212</x:v>
      </x:c>
      <x:c r="E6589" t="str" s="2">
        <x:v>4058801212</x:v>
      </x:c>
      <x:c r="F6589" t="str" s="2">
        <x:v>Facebook Messenger</x:v>
      </x:c>
      <x:c r="G6589" t="str" s="2">
        <x:v>Steve Castell</x:v>
      </x:c>
      <x:c r="H6589" s="6">
        <x:v>46307.69732688658</x:v>
      </x:c>
      <x:c r="I6589" t="str" s="2">
        <x:v>Steve Castell</x:v>
      </x:c>
      <x:c r="J6589" s="6">
        <x:v>46307.791666666664</x:v>
      </x:c>
      <x:c r="K6589" s="6">
        <x:v>46307.91863680555</x:v>
      </x:c>
      <x:c r="L6589" t="str" s="2">
        <x:v>Show</x:v>
      </x:c>
    </x:row>
    <x:row r="6590">
      <x:c r="A6590" t="str" s="2">
        <x:f>=HYPERLINK("https://rsms.futurehomex.com/lead/40766", "Aimee Fortner")</x:f>
      </x:c>
      <x:c r="B6590" t="str" s="2">
        <x:v>Heritage Housing of Athens</x:v>
      </x:c>
      <x:c r="C6590" t="str" s="2">
        <x:v/>
      </x:c>
      <x:c r="D6590" t="str" s="2">
        <x:v>6786652463</x:v>
      </x:c>
      <x:c r="E6590" t="str" s="2">
        <x:v>aimee.dwelli@gmail.com</x:v>
      </x:c>
      <x:c r="F6590" t="str" s="2">
        <x:v>Walk-in</x:v>
      </x:c>
      <x:c r="G6590" s="0"/>
      <x:c r="H6590" s="6">
        <x:v>46307.82845625</x:v>
      </x:c>
      <x:c r="I6590" t="str" s="2">
        <x:v>Ethan Fossett</x:v>
      </x:c>
      <x:c r="J6590" s="0"/>
      <x:c r="K6590" s="0"/>
      <x:c r="L6590" t="str" s="2">
        <x:v>Show</x:v>
      </x:c>
    </x:row>
    <x:row r="6591">
      <x:c r="A6591" t="str" s="2">
        <x:f>=HYPERLINK("https://rsms.futurehomex.com/lead/40768", "Wilda Krop")</x:f>
      </x:c>
      <x:c r="B6591" t="str" s="2">
        <x:v>Heritage Housing of Tulsa</x:v>
      </x:c>
      <x:c r="C6591" t="str" s="2">
        <x:v/>
      </x:c>
      <x:c r="D6591" t="str" s="2">
        <x:v>9187342717</x:v>
      </x:c>
      <x:c r="E6591" t="str" s="2">
        <x:v>morganwilda@yahoo.com</x:v>
      </x:c>
      <x:c r="F6591" t="str" s="2">
        <x:v>Walk-in</x:v>
      </x:c>
      <x:c r="G6591" s="0"/>
      <x:c r="H6591" s="6">
        <x:v>46307.86123333334</x:v>
      </x:c>
      <x:c r="I6591" t="str" s="2">
        <x:v>Jenna Fransisco</x:v>
      </x:c>
      <x:c r="J6591" s="0"/>
      <x:c r="K6591" s="0"/>
      <x:c r="L6591" t="str" s="2">
        <x:v>Show</x:v>
      </x:c>
    </x:row>
    <x:drawing r:id="drawing1"/>
  </x:sheetData>
  <x:autoFilter ref="A1:L6591"/>
</x:worksheet>
</file>